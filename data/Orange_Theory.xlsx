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onzimmerman/Desktop/Data Projects/OT Data Analysis/data/"/>
    </mc:Choice>
  </mc:AlternateContent>
  <xr:revisionPtr revIDLastSave="0" documentId="13_ncr:1_{5E4CE8E5-7C25-0E4A-B93A-138374F7B38B}" xr6:coauthVersionLast="47" xr6:coauthVersionMax="47" xr10:uidLastSave="{00000000-0000-0000-0000-000000000000}"/>
  <bookViews>
    <workbookView xWindow="3400" yWindow="1300" windowWidth="23540" windowHeight="14840" activeTab="3" xr2:uid="{00000000-000D-0000-FFFF-FFFF00000000}"/>
  </bookViews>
  <sheets>
    <sheet name="Data" sheetId="3" r:id="rId1"/>
    <sheet name="Helpful Tables" sheetId="2" r:id="rId2"/>
    <sheet name="Monthly Minutes" sheetId="4" r:id="rId3"/>
    <sheet name="Quarterly Minutes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" i="5" l="1"/>
  <c r="G27" i="5"/>
  <c r="F27" i="5"/>
  <c r="E27" i="5"/>
  <c r="D27" i="5"/>
  <c r="A27" i="5"/>
  <c r="F74" i="4"/>
  <c r="E74" i="4"/>
  <c r="D74" i="4"/>
  <c r="C74" i="4"/>
  <c r="B74" i="4"/>
  <c r="AM885" i="3"/>
  <c r="AR885" i="3"/>
  <c r="AM881" i="3"/>
  <c r="AR881" i="3"/>
  <c r="AR2" i="3"/>
  <c r="AR3" i="3"/>
  <c r="AR4" i="3"/>
  <c r="AR5" i="3"/>
  <c r="AR6" i="3"/>
  <c r="AR7" i="3"/>
  <c r="AR8" i="3"/>
  <c r="AR9" i="3"/>
  <c r="AR10" i="3"/>
  <c r="AR11" i="3"/>
  <c r="AR12" i="3"/>
  <c r="AR13" i="3"/>
  <c r="AR14" i="3"/>
  <c r="AR15" i="3"/>
  <c r="AR16" i="3"/>
  <c r="AR17" i="3"/>
  <c r="AR18" i="3"/>
  <c r="AR19" i="3"/>
  <c r="AR20" i="3"/>
  <c r="AR21" i="3"/>
  <c r="AR22" i="3"/>
  <c r="AR23" i="3"/>
  <c r="AR24" i="3"/>
  <c r="AR25" i="3"/>
  <c r="AR26" i="3"/>
  <c r="AR27" i="3"/>
  <c r="AR28" i="3"/>
  <c r="AR29" i="3"/>
  <c r="AR30" i="3"/>
  <c r="AR31" i="3"/>
  <c r="AR32" i="3"/>
  <c r="AR33" i="3"/>
  <c r="AR34" i="3"/>
  <c r="AR35" i="3"/>
  <c r="AR36" i="3"/>
  <c r="AR37" i="3"/>
  <c r="AR38" i="3"/>
  <c r="AR39" i="3"/>
  <c r="AR40" i="3"/>
  <c r="AR41" i="3"/>
  <c r="AR42" i="3"/>
  <c r="AR43" i="3"/>
  <c r="AR44" i="3"/>
  <c r="AR45" i="3"/>
  <c r="AR46" i="3"/>
  <c r="AR47" i="3"/>
  <c r="AR48" i="3"/>
  <c r="AR49" i="3"/>
  <c r="AR50" i="3"/>
  <c r="AR51" i="3"/>
  <c r="AR52" i="3"/>
  <c r="AR53" i="3"/>
  <c r="AR54" i="3"/>
  <c r="AR55" i="3"/>
  <c r="AR56" i="3"/>
  <c r="AR57" i="3"/>
  <c r="AR58" i="3"/>
  <c r="AR59" i="3"/>
  <c r="AR60" i="3"/>
  <c r="AR61" i="3"/>
  <c r="AR62" i="3"/>
  <c r="AR63" i="3"/>
  <c r="AR64" i="3"/>
  <c r="AR65" i="3"/>
  <c r="AR66" i="3"/>
  <c r="AR67" i="3"/>
  <c r="AR68" i="3"/>
  <c r="AR69" i="3"/>
  <c r="AR70" i="3"/>
  <c r="AR71" i="3"/>
  <c r="AR72" i="3"/>
  <c r="AR73" i="3"/>
  <c r="AR74" i="3"/>
  <c r="AR75" i="3"/>
  <c r="AR76" i="3"/>
  <c r="AR77" i="3"/>
  <c r="AR78" i="3"/>
  <c r="AR79" i="3"/>
  <c r="AR80" i="3"/>
  <c r="AR81" i="3"/>
  <c r="AR82" i="3"/>
  <c r="AR83" i="3"/>
  <c r="AR84" i="3"/>
  <c r="AR85" i="3"/>
  <c r="AR86" i="3"/>
  <c r="AR87" i="3"/>
  <c r="AR88" i="3"/>
  <c r="AR89" i="3"/>
  <c r="AR90" i="3"/>
  <c r="AR91" i="3"/>
  <c r="AR92" i="3"/>
  <c r="AR93" i="3"/>
  <c r="AR94" i="3"/>
  <c r="AR95" i="3"/>
  <c r="AR96" i="3"/>
  <c r="AR97" i="3"/>
  <c r="AR98" i="3"/>
  <c r="AR99" i="3"/>
  <c r="AR100" i="3"/>
  <c r="AR101" i="3"/>
  <c r="AR102" i="3"/>
  <c r="AR103" i="3"/>
  <c r="AR104" i="3"/>
  <c r="AR105" i="3"/>
  <c r="AR106" i="3"/>
  <c r="AR107" i="3"/>
  <c r="AR108" i="3"/>
  <c r="AR109" i="3"/>
  <c r="AR110" i="3"/>
  <c r="AR111" i="3"/>
  <c r="AR112" i="3"/>
  <c r="AR113" i="3"/>
  <c r="AR114" i="3"/>
  <c r="AR115" i="3"/>
  <c r="AR116" i="3"/>
  <c r="AR117" i="3"/>
  <c r="AR118" i="3"/>
  <c r="AR119" i="3"/>
  <c r="AR120" i="3"/>
  <c r="AR121" i="3"/>
  <c r="AR122" i="3"/>
  <c r="AR123" i="3"/>
  <c r="AR124" i="3"/>
  <c r="AR125" i="3"/>
  <c r="AR126" i="3"/>
  <c r="AR127" i="3"/>
  <c r="AR128" i="3"/>
  <c r="AR129" i="3"/>
  <c r="AR130" i="3"/>
  <c r="AR131" i="3"/>
  <c r="AR132" i="3"/>
  <c r="AR133" i="3"/>
  <c r="AR134" i="3"/>
  <c r="AR135" i="3"/>
  <c r="AR136" i="3"/>
  <c r="AR137" i="3"/>
  <c r="AR138" i="3"/>
  <c r="AR139" i="3"/>
  <c r="AR140" i="3"/>
  <c r="AR141" i="3"/>
  <c r="AR142" i="3"/>
  <c r="AR143" i="3"/>
  <c r="AR144" i="3"/>
  <c r="AR145" i="3"/>
  <c r="AR146" i="3"/>
  <c r="AR147" i="3"/>
  <c r="AR148" i="3"/>
  <c r="AR149" i="3"/>
  <c r="AR150" i="3"/>
  <c r="AR151" i="3"/>
  <c r="AR152" i="3"/>
  <c r="AR153" i="3"/>
  <c r="AR154" i="3"/>
  <c r="AR155" i="3"/>
  <c r="AR156" i="3"/>
  <c r="AR157" i="3"/>
  <c r="AR158" i="3"/>
  <c r="AR159" i="3"/>
  <c r="AR160" i="3"/>
  <c r="AR161" i="3"/>
  <c r="AR162" i="3"/>
  <c r="AR163" i="3"/>
  <c r="AR164" i="3"/>
  <c r="AR165" i="3"/>
  <c r="AR166" i="3"/>
  <c r="AR167" i="3"/>
  <c r="AR168" i="3"/>
  <c r="AR169" i="3"/>
  <c r="AR170" i="3"/>
  <c r="AR171" i="3"/>
  <c r="AR172" i="3"/>
  <c r="AR173" i="3"/>
  <c r="AR174" i="3"/>
  <c r="AR175" i="3"/>
  <c r="AR176" i="3"/>
  <c r="AR177" i="3"/>
  <c r="AR178" i="3"/>
  <c r="AR179" i="3"/>
  <c r="AR180" i="3"/>
  <c r="AR181" i="3"/>
  <c r="AR182" i="3"/>
  <c r="AR183" i="3"/>
  <c r="AR184" i="3"/>
  <c r="AR185" i="3"/>
  <c r="AR186" i="3"/>
  <c r="AR187" i="3"/>
  <c r="AR188" i="3"/>
  <c r="AR189" i="3"/>
  <c r="AR190" i="3"/>
  <c r="AR191" i="3"/>
  <c r="AR192" i="3"/>
  <c r="AR193" i="3"/>
  <c r="AR194" i="3"/>
  <c r="AR195" i="3"/>
  <c r="AR196" i="3"/>
  <c r="AR197" i="3"/>
  <c r="AR198" i="3"/>
  <c r="AR199" i="3"/>
  <c r="AR200" i="3"/>
  <c r="AR201" i="3"/>
  <c r="AR202" i="3"/>
  <c r="AR203" i="3"/>
  <c r="AR204" i="3"/>
  <c r="AR205" i="3"/>
  <c r="AR206" i="3"/>
  <c r="AR207" i="3"/>
  <c r="AR208" i="3"/>
  <c r="AR209" i="3"/>
  <c r="AR210" i="3"/>
  <c r="AR211" i="3"/>
  <c r="AR212" i="3"/>
  <c r="AR213" i="3"/>
  <c r="AR214" i="3"/>
  <c r="AR215" i="3"/>
  <c r="AR216" i="3"/>
  <c r="AR217" i="3"/>
  <c r="AR218" i="3"/>
  <c r="AR219" i="3"/>
  <c r="AR220" i="3"/>
  <c r="AR221" i="3"/>
  <c r="AR222" i="3"/>
  <c r="AR223" i="3"/>
  <c r="AR224" i="3"/>
  <c r="AR225" i="3"/>
  <c r="AR226" i="3"/>
  <c r="AR227" i="3"/>
  <c r="AR228" i="3"/>
  <c r="AR229" i="3"/>
  <c r="AR230" i="3"/>
  <c r="AR231" i="3"/>
  <c r="AR232" i="3"/>
  <c r="AR233" i="3"/>
  <c r="AR234" i="3"/>
  <c r="AR235" i="3"/>
  <c r="AR236" i="3"/>
  <c r="AR237" i="3"/>
  <c r="AR238" i="3"/>
  <c r="AR239" i="3"/>
  <c r="AR240" i="3"/>
  <c r="AR241" i="3"/>
  <c r="AR242" i="3"/>
  <c r="AR243" i="3"/>
  <c r="AR244" i="3"/>
  <c r="AR245" i="3"/>
  <c r="AR246" i="3"/>
  <c r="AR247" i="3"/>
  <c r="AR248" i="3"/>
  <c r="AR249" i="3"/>
  <c r="AR250" i="3"/>
  <c r="AR251" i="3"/>
  <c r="AR252" i="3"/>
  <c r="AR253" i="3"/>
  <c r="AR254" i="3"/>
  <c r="AR255" i="3"/>
  <c r="AR256" i="3"/>
  <c r="AR257" i="3"/>
  <c r="AR258" i="3"/>
  <c r="AR259" i="3"/>
  <c r="AR260" i="3"/>
  <c r="AR261" i="3"/>
  <c r="AR262" i="3"/>
  <c r="AR263" i="3"/>
  <c r="AR264" i="3"/>
  <c r="AR265" i="3"/>
  <c r="AR266" i="3"/>
  <c r="AR267" i="3"/>
  <c r="AR268" i="3"/>
  <c r="AR269" i="3"/>
  <c r="AR270" i="3"/>
  <c r="AR271" i="3"/>
  <c r="AR272" i="3"/>
  <c r="AR273" i="3"/>
  <c r="AR274" i="3"/>
  <c r="AR275" i="3"/>
  <c r="AR276" i="3"/>
  <c r="AR277" i="3"/>
  <c r="AR278" i="3"/>
  <c r="AR279" i="3"/>
  <c r="AR280" i="3"/>
  <c r="AR281" i="3"/>
  <c r="AR282" i="3"/>
  <c r="AR283" i="3"/>
  <c r="AR284" i="3"/>
  <c r="AR285" i="3"/>
  <c r="AR286" i="3"/>
  <c r="AR287" i="3"/>
  <c r="AR288" i="3"/>
  <c r="AR289" i="3"/>
  <c r="AR290" i="3"/>
  <c r="AR291" i="3"/>
  <c r="AR292" i="3"/>
  <c r="AR293" i="3"/>
  <c r="AR294" i="3"/>
  <c r="AR295" i="3"/>
  <c r="AR296" i="3"/>
  <c r="AR297" i="3"/>
  <c r="AR298" i="3"/>
  <c r="AR299" i="3"/>
  <c r="AR300" i="3"/>
  <c r="AR301" i="3"/>
  <c r="AR302" i="3"/>
  <c r="AR303" i="3"/>
  <c r="AR304" i="3"/>
  <c r="AR305" i="3"/>
  <c r="AR306" i="3"/>
  <c r="AR307" i="3"/>
  <c r="AR308" i="3"/>
  <c r="AR309" i="3"/>
  <c r="AR310" i="3"/>
  <c r="AR311" i="3"/>
  <c r="AR312" i="3"/>
  <c r="AR313" i="3"/>
  <c r="AR314" i="3"/>
  <c r="AR315" i="3"/>
  <c r="AR316" i="3"/>
  <c r="AR317" i="3"/>
  <c r="AR318" i="3"/>
  <c r="AR319" i="3"/>
  <c r="AR320" i="3"/>
  <c r="AR321" i="3"/>
  <c r="AR322" i="3"/>
  <c r="AR323" i="3"/>
  <c r="AR324" i="3"/>
  <c r="AR325" i="3"/>
  <c r="AR326" i="3"/>
  <c r="AR327" i="3"/>
  <c r="AR328" i="3"/>
  <c r="AR329" i="3"/>
  <c r="AR330" i="3"/>
  <c r="AR331" i="3"/>
  <c r="AR332" i="3"/>
  <c r="AR333" i="3"/>
  <c r="AR334" i="3"/>
  <c r="AR335" i="3"/>
  <c r="AR336" i="3"/>
  <c r="AR337" i="3"/>
  <c r="AR338" i="3"/>
  <c r="AR339" i="3"/>
  <c r="AR340" i="3"/>
  <c r="AR341" i="3"/>
  <c r="AR342" i="3"/>
  <c r="AR343" i="3"/>
  <c r="AR344" i="3"/>
  <c r="AR345" i="3"/>
  <c r="AR346" i="3"/>
  <c r="AR347" i="3"/>
  <c r="AR348" i="3"/>
  <c r="AR349" i="3"/>
  <c r="AR350" i="3"/>
  <c r="AR351" i="3"/>
  <c r="AR352" i="3"/>
  <c r="AR353" i="3"/>
  <c r="AR354" i="3"/>
  <c r="AR355" i="3"/>
  <c r="AR356" i="3"/>
  <c r="AR357" i="3"/>
  <c r="AR358" i="3"/>
  <c r="AR359" i="3"/>
  <c r="AR360" i="3"/>
  <c r="AR361" i="3"/>
  <c r="AR362" i="3"/>
  <c r="AR363" i="3"/>
  <c r="AR364" i="3"/>
  <c r="AR365" i="3"/>
  <c r="AR366" i="3"/>
  <c r="AR367" i="3"/>
  <c r="AR368" i="3"/>
  <c r="AR369" i="3"/>
  <c r="AR370" i="3"/>
  <c r="AR371" i="3"/>
  <c r="AR372" i="3"/>
  <c r="AR373" i="3"/>
  <c r="AR374" i="3"/>
  <c r="AR375" i="3"/>
  <c r="AR376" i="3"/>
  <c r="AR377" i="3"/>
  <c r="AR378" i="3"/>
  <c r="AR379" i="3"/>
  <c r="AR380" i="3"/>
  <c r="AR381" i="3"/>
  <c r="AR382" i="3"/>
  <c r="AR383" i="3"/>
  <c r="AR384" i="3"/>
  <c r="AR385" i="3"/>
  <c r="AR386" i="3"/>
  <c r="AR387" i="3"/>
  <c r="AR388" i="3"/>
  <c r="AR389" i="3"/>
  <c r="AR390" i="3"/>
  <c r="AR391" i="3"/>
  <c r="AR392" i="3"/>
  <c r="AR393" i="3"/>
  <c r="AR394" i="3"/>
  <c r="AR395" i="3"/>
  <c r="AR396" i="3"/>
  <c r="AR397" i="3"/>
  <c r="AR398" i="3"/>
  <c r="AR399" i="3"/>
  <c r="AR400" i="3"/>
  <c r="AR401" i="3"/>
  <c r="AR402" i="3"/>
  <c r="AR403" i="3"/>
  <c r="AR404" i="3"/>
  <c r="AR405" i="3"/>
  <c r="AR406" i="3"/>
  <c r="AR407" i="3"/>
  <c r="AR408" i="3"/>
  <c r="AR409" i="3"/>
  <c r="AR410" i="3"/>
  <c r="AR411" i="3"/>
  <c r="AR412" i="3"/>
  <c r="AR413" i="3"/>
  <c r="AR414" i="3"/>
  <c r="AR415" i="3"/>
  <c r="AR416" i="3"/>
  <c r="AR417" i="3"/>
  <c r="AR418" i="3"/>
  <c r="AR419" i="3"/>
  <c r="AR420" i="3"/>
  <c r="AR421" i="3"/>
  <c r="AR422" i="3"/>
  <c r="AR423" i="3"/>
  <c r="AR424" i="3"/>
  <c r="AR425" i="3"/>
  <c r="AR426" i="3"/>
  <c r="AR427" i="3"/>
  <c r="AR428" i="3"/>
  <c r="AR429" i="3"/>
  <c r="AR430" i="3"/>
  <c r="AR431" i="3"/>
  <c r="AR432" i="3"/>
  <c r="AR433" i="3"/>
  <c r="AR434" i="3"/>
  <c r="AR435" i="3"/>
  <c r="AR436" i="3"/>
  <c r="AR437" i="3"/>
  <c r="AR438" i="3"/>
  <c r="AR439" i="3"/>
  <c r="AR440" i="3"/>
  <c r="AR441" i="3"/>
  <c r="AR442" i="3"/>
  <c r="AR443" i="3"/>
  <c r="AR444" i="3"/>
  <c r="AR445" i="3"/>
  <c r="AR446" i="3"/>
  <c r="AR447" i="3"/>
  <c r="AR448" i="3"/>
  <c r="AR449" i="3"/>
  <c r="AR450" i="3"/>
  <c r="AR451" i="3"/>
  <c r="AR452" i="3"/>
  <c r="AR453" i="3"/>
  <c r="AR454" i="3"/>
  <c r="AR455" i="3"/>
  <c r="AR456" i="3"/>
  <c r="AR457" i="3"/>
  <c r="AR458" i="3"/>
  <c r="AR459" i="3"/>
  <c r="AR460" i="3"/>
  <c r="AR461" i="3"/>
  <c r="AR462" i="3"/>
  <c r="AR463" i="3"/>
  <c r="AR464" i="3"/>
  <c r="AR465" i="3"/>
  <c r="AR466" i="3"/>
  <c r="AR467" i="3"/>
  <c r="AR468" i="3"/>
  <c r="AR469" i="3"/>
  <c r="AR470" i="3"/>
  <c r="AR471" i="3"/>
  <c r="AR472" i="3"/>
  <c r="AR473" i="3"/>
  <c r="AR474" i="3"/>
  <c r="AR475" i="3"/>
  <c r="AR476" i="3"/>
  <c r="AR477" i="3"/>
  <c r="AR478" i="3"/>
  <c r="AR479" i="3"/>
  <c r="AR480" i="3"/>
  <c r="AR481" i="3"/>
  <c r="AR482" i="3"/>
  <c r="AR483" i="3"/>
  <c r="AR484" i="3"/>
  <c r="AR485" i="3"/>
  <c r="AR486" i="3"/>
  <c r="AR487" i="3"/>
  <c r="AR488" i="3"/>
  <c r="AR489" i="3"/>
  <c r="AR490" i="3"/>
  <c r="AR491" i="3"/>
  <c r="AR492" i="3"/>
  <c r="AR493" i="3"/>
  <c r="AR494" i="3"/>
  <c r="AR495" i="3"/>
  <c r="AR496" i="3"/>
  <c r="AR497" i="3"/>
  <c r="AR498" i="3"/>
  <c r="AR499" i="3"/>
  <c r="AR500" i="3"/>
  <c r="AR501" i="3"/>
  <c r="AR502" i="3"/>
  <c r="AR503" i="3"/>
  <c r="AR504" i="3"/>
  <c r="AR505" i="3"/>
  <c r="AR506" i="3"/>
  <c r="AR507" i="3"/>
  <c r="AR508" i="3"/>
  <c r="AR509" i="3"/>
  <c r="AR510" i="3"/>
  <c r="AR511" i="3"/>
  <c r="AR512" i="3"/>
  <c r="AR513" i="3"/>
  <c r="AR514" i="3"/>
  <c r="AR515" i="3"/>
  <c r="AR516" i="3"/>
  <c r="AR517" i="3"/>
  <c r="AR518" i="3"/>
  <c r="AR519" i="3"/>
  <c r="AR520" i="3"/>
  <c r="AR521" i="3"/>
  <c r="AR522" i="3"/>
  <c r="AR523" i="3"/>
  <c r="AR524" i="3"/>
  <c r="AR525" i="3"/>
  <c r="AR526" i="3"/>
  <c r="AR527" i="3"/>
  <c r="AR528" i="3"/>
  <c r="AR529" i="3"/>
  <c r="AR530" i="3"/>
  <c r="AR531" i="3"/>
  <c r="AR532" i="3"/>
  <c r="AR533" i="3"/>
  <c r="AR534" i="3"/>
  <c r="AR535" i="3"/>
  <c r="AR536" i="3"/>
  <c r="AR537" i="3"/>
  <c r="AR538" i="3"/>
  <c r="AR539" i="3"/>
  <c r="AR540" i="3"/>
  <c r="AR541" i="3"/>
  <c r="AR542" i="3"/>
  <c r="AR543" i="3"/>
  <c r="AR544" i="3"/>
  <c r="AR545" i="3"/>
  <c r="AR546" i="3"/>
  <c r="AR547" i="3"/>
  <c r="AR548" i="3"/>
  <c r="AR549" i="3"/>
  <c r="AR550" i="3"/>
  <c r="AR551" i="3"/>
  <c r="AR552" i="3"/>
  <c r="AR553" i="3"/>
  <c r="AR554" i="3"/>
  <c r="AR555" i="3"/>
  <c r="AR556" i="3"/>
  <c r="AR557" i="3"/>
  <c r="AR558" i="3"/>
  <c r="AR559" i="3"/>
  <c r="AR560" i="3"/>
  <c r="AR561" i="3"/>
  <c r="AR562" i="3"/>
  <c r="AR563" i="3"/>
  <c r="AR564" i="3"/>
  <c r="AR565" i="3"/>
  <c r="AR566" i="3"/>
  <c r="AR567" i="3"/>
  <c r="AR568" i="3"/>
  <c r="AR569" i="3"/>
  <c r="AR570" i="3"/>
  <c r="AR571" i="3"/>
  <c r="AR572" i="3"/>
  <c r="AR573" i="3"/>
  <c r="AR574" i="3"/>
  <c r="AR575" i="3"/>
  <c r="AR576" i="3"/>
  <c r="AR577" i="3"/>
  <c r="AR578" i="3"/>
  <c r="AR579" i="3"/>
  <c r="AR580" i="3"/>
  <c r="AR581" i="3"/>
  <c r="AR582" i="3"/>
  <c r="AR583" i="3"/>
  <c r="AR584" i="3"/>
  <c r="AR585" i="3"/>
  <c r="AR586" i="3"/>
  <c r="AR587" i="3"/>
  <c r="AR588" i="3"/>
  <c r="AR589" i="3"/>
  <c r="AR590" i="3"/>
  <c r="AR591" i="3"/>
  <c r="AR592" i="3"/>
  <c r="AR593" i="3"/>
  <c r="AR594" i="3"/>
  <c r="AR595" i="3"/>
  <c r="AR596" i="3"/>
  <c r="AR597" i="3"/>
  <c r="AR598" i="3"/>
  <c r="AR599" i="3"/>
  <c r="AR600" i="3"/>
  <c r="AR601" i="3"/>
  <c r="AR602" i="3"/>
  <c r="AR603" i="3"/>
  <c r="AR604" i="3"/>
  <c r="AR605" i="3"/>
  <c r="AR606" i="3"/>
  <c r="AR607" i="3"/>
  <c r="AR608" i="3"/>
  <c r="AR609" i="3"/>
  <c r="AR610" i="3"/>
  <c r="AR611" i="3"/>
  <c r="AR612" i="3"/>
  <c r="AR613" i="3"/>
  <c r="AR614" i="3"/>
  <c r="AR615" i="3"/>
  <c r="AR616" i="3"/>
  <c r="AR617" i="3"/>
  <c r="AR618" i="3"/>
  <c r="AR619" i="3"/>
  <c r="AR620" i="3"/>
  <c r="AR621" i="3"/>
  <c r="AR622" i="3"/>
  <c r="AR623" i="3"/>
  <c r="AR624" i="3"/>
  <c r="AR625" i="3"/>
  <c r="AR626" i="3"/>
  <c r="AR627" i="3"/>
  <c r="AR628" i="3"/>
  <c r="AR629" i="3"/>
  <c r="AR630" i="3"/>
  <c r="AR631" i="3"/>
  <c r="AR632" i="3"/>
  <c r="AR633" i="3"/>
  <c r="AR634" i="3"/>
  <c r="AR635" i="3"/>
  <c r="AR636" i="3"/>
  <c r="AR637" i="3"/>
  <c r="AR638" i="3"/>
  <c r="AR639" i="3"/>
  <c r="AR640" i="3"/>
  <c r="AR641" i="3"/>
  <c r="AR642" i="3"/>
  <c r="AR643" i="3"/>
  <c r="AR644" i="3"/>
  <c r="AR645" i="3"/>
  <c r="AR646" i="3"/>
  <c r="AR647" i="3"/>
  <c r="AR648" i="3"/>
  <c r="AR649" i="3"/>
  <c r="AR650" i="3"/>
  <c r="AR651" i="3"/>
  <c r="AR652" i="3"/>
  <c r="AR653" i="3"/>
  <c r="AR654" i="3"/>
  <c r="AR655" i="3"/>
  <c r="AR656" i="3"/>
  <c r="AR657" i="3"/>
  <c r="AR658" i="3"/>
  <c r="AR659" i="3"/>
  <c r="AR660" i="3"/>
  <c r="AR661" i="3"/>
  <c r="AR662" i="3"/>
  <c r="AR663" i="3"/>
  <c r="AR664" i="3"/>
  <c r="AR665" i="3"/>
  <c r="AR666" i="3"/>
  <c r="AR667" i="3"/>
  <c r="AR668" i="3"/>
  <c r="AR669" i="3"/>
  <c r="AR670" i="3"/>
  <c r="AR671" i="3"/>
  <c r="AR672" i="3"/>
  <c r="AR673" i="3"/>
  <c r="AR674" i="3"/>
  <c r="AR675" i="3"/>
  <c r="AR676" i="3"/>
  <c r="AR677" i="3"/>
  <c r="AR678" i="3"/>
  <c r="AR679" i="3"/>
  <c r="AR680" i="3"/>
  <c r="AR681" i="3"/>
  <c r="AR682" i="3"/>
  <c r="AR683" i="3"/>
  <c r="AR684" i="3"/>
  <c r="AR685" i="3"/>
  <c r="AR686" i="3"/>
  <c r="AR687" i="3"/>
  <c r="AR688" i="3"/>
  <c r="AR689" i="3"/>
  <c r="AR690" i="3"/>
  <c r="AR691" i="3"/>
  <c r="AR692" i="3"/>
  <c r="AR693" i="3"/>
  <c r="AR694" i="3"/>
  <c r="AR695" i="3"/>
  <c r="AR696" i="3"/>
  <c r="AR697" i="3"/>
  <c r="AR698" i="3"/>
  <c r="AR699" i="3"/>
  <c r="AR700" i="3"/>
  <c r="AR701" i="3"/>
  <c r="AR702" i="3"/>
  <c r="AR703" i="3"/>
  <c r="AR704" i="3"/>
  <c r="AR705" i="3"/>
  <c r="AR706" i="3"/>
  <c r="AR707" i="3"/>
  <c r="AR708" i="3"/>
  <c r="AR709" i="3"/>
  <c r="AR710" i="3"/>
  <c r="AR711" i="3"/>
  <c r="AR712" i="3"/>
  <c r="AR713" i="3"/>
  <c r="AR714" i="3"/>
  <c r="AR715" i="3"/>
  <c r="AR716" i="3"/>
  <c r="AR717" i="3"/>
  <c r="AR718" i="3"/>
  <c r="AR719" i="3"/>
  <c r="AR720" i="3"/>
  <c r="AR721" i="3"/>
  <c r="AR722" i="3"/>
  <c r="AR723" i="3"/>
  <c r="AR724" i="3"/>
  <c r="AR725" i="3"/>
  <c r="AR726" i="3"/>
  <c r="AR727" i="3"/>
  <c r="AR728" i="3"/>
  <c r="AR729" i="3"/>
  <c r="AR730" i="3"/>
  <c r="AR731" i="3"/>
  <c r="AR732" i="3"/>
  <c r="AR733" i="3"/>
  <c r="AR734" i="3"/>
  <c r="AR735" i="3"/>
  <c r="AR736" i="3"/>
  <c r="AR737" i="3"/>
  <c r="AR738" i="3"/>
  <c r="AR739" i="3"/>
  <c r="AR740" i="3"/>
  <c r="AR741" i="3"/>
  <c r="AR742" i="3"/>
  <c r="AR743" i="3"/>
  <c r="AR744" i="3"/>
  <c r="AR745" i="3"/>
  <c r="AR746" i="3"/>
  <c r="AR747" i="3"/>
  <c r="AR748" i="3"/>
  <c r="AR749" i="3"/>
  <c r="AR750" i="3"/>
  <c r="AR751" i="3"/>
  <c r="AR752" i="3"/>
  <c r="AR753" i="3"/>
  <c r="AR754" i="3"/>
  <c r="AR755" i="3"/>
  <c r="AR756" i="3"/>
  <c r="AR757" i="3"/>
  <c r="AR758" i="3"/>
  <c r="AR759" i="3"/>
  <c r="AR760" i="3"/>
  <c r="AR761" i="3"/>
  <c r="AR762" i="3"/>
  <c r="AR763" i="3"/>
  <c r="AR764" i="3"/>
  <c r="AR765" i="3"/>
  <c r="AR766" i="3"/>
  <c r="AR767" i="3"/>
  <c r="AR768" i="3"/>
  <c r="AR769" i="3"/>
  <c r="AR770" i="3"/>
  <c r="AR771" i="3"/>
  <c r="AR772" i="3"/>
  <c r="AR773" i="3"/>
  <c r="AR774" i="3"/>
  <c r="AR775" i="3"/>
  <c r="AR776" i="3"/>
  <c r="AR777" i="3"/>
  <c r="AR778" i="3"/>
  <c r="AR779" i="3"/>
  <c r="AR780" i="3"/>
  <c r="AR781" i="3"/>
  <c r="AR782" i="3"/>
  <c r="AR783" i="3"/>
  <c r="AR784" i="3"/>
  <c r="AR785" i="3"/>
  <c r="AR786" i="3"/>
  <c r="AR787" i="3"/>
  <c r="AR788" i="3"/>
  <c r="AR789" i="3"/>
  <c r="AR790" i="3"/>
  <c r="AR791" i="3"/>
  <c r="AR792" i="3"/>
  <c r="AR793" i="3"/>
  <c r="AR794" i="3"/>
  <c r="AR795" i="3"/>
  <c r="AR796" i="3"/>
  <c r="AR797" i="3"/>
  <c r="AR798" i="3"/>
  <c r="AR799" i="3"/>
  <c r="AR800" i="3"/>
  <c r="AR801" i="3"/>
  <c r="AR802" i="3"/>
  <c r="AR803" i="3"/>
  <c r="AR804" i="3"/>
  <c r="AR805" i="3"/>
  <c r="AR806" i="3"/>
  <c r="AR807" i="3"/>
  <c r="AR808" i="3"/>
  <c r="AR809" i="3"/>
  <c r="AR810" i="3"/>
  <c r="AR811" i="3"/>
  <c r="AR812" i="3"/>
  <c r="AR813" i="3"/>
  <c r="AR814" i="3"/>
  <c r="AR815" i="3"/>
  <c r="AR816" i="3"/>
  <c r="AR817" i="3"/>
  <c r="AR818" i="3"/>
  <c r="AR819" i="3"/>
  <c r="AR820" i="3"/>
  <c r="AR821" i="3"/>
  <c r="AR822" i="3"/>
  <c r="AR823" i="3"/>
  <c r="AR824" i="3"/>
  <c r="AR825" i="3"/>
  <c r="AR826" i="3"/>
  <c r="AR827" i="3"/>
  <c r="AR828" i="3"/>
  <c r="AR829" i="3"/>
  <c r="AR830" i="3"/>
  <c r="AR831" i="3"/>
  <c r="AR832" i="3"/>
  <c r="AR833" i="3"/>
  <c r="AR834" i="3"/>
  <c r="AR835" i="3"/>
  <c r="AR836" i="3"/>
  <c r="AM2" i="3"/>
  <c r="AM3" i="3"/>
  <c r="AM4" i="3"/>
  <c r="AM5" i="3"/>
  <c r="AM6" i="3"/>
  <c r="AM7" i="3"/>
  <c r="AM8" i="3"/>
  <c r="AM9" i="3"/>
  <c r="AM10" i="3"/>
  <c r="AM11" i="3"/>
  <c r="AM12" i="3"/>
  <c r="AM13" i="3"/>
  <c r="AM14" i="3"/>
  <c r="AM15" i="3"/>
  <c r="AM16" i="3"/>
  <c r="AM17" i="3"/>
  <c r="AM18" i="3"/>
  <c r="AM19" i="3"/>
  <c r="AM20" i="3"/>
  <c r="AM21" i="3"/>
  <c r="AM22" i="3"/>
  <c r="AM23" i="3"/>
  <c r="AM24" i="3"/>
  <c r="AM25" i="3"/>
  <c r="AM26" i="3"/>
  <c r="AM27" i="3"/>
  <c r="AM28" i="3"/>
  <c r="AM29" i="3"/>
  <c r="AM30" i="3"/>
  <c r="AM31" i="3"/>
  <c r="AM32" i="3"/>
  <c r="AM33" i="3"/>
  <c r="AM34" i="3"/>
  <c r="AM35" i="3"/>
  <c r="AM36" i="3"/>
  <c r="AM37" i="3"/>
  <c r="AM38" i="3"/>
  <c r="AM39" i="3"/>
  <c r="AM40" i="3"/>
  <c r="AM41" i="3"/>
  <c r="AM42" i="3"/>
  <c r="AM43" i="3"/>
  <c r="AM44" i="3"/>
  <c r="AM45" i="3"/>
  <c r="AM46" i="3"/>
  <c r="AM47" i="3"/>
  <c r="AM48" i="3"/>
  <c r="AM49" i="3"/>
  <c r="AM50" i="3"/>
  <c r="AM51" i="3"/>
  <c r="AM52" i="3"/>
  <c r="AM53" i="3"/>
  <c r="AM54" i="3"/>
  <c r="AM55" i="3"/>
  <c r="AM56" i="3"/>
  <c r="AM57" i="3"/>
  <c r="AM58" i="3"/>
  <c r="AM59" i="3"/>
  <c r="AM60" i="3"/>
  <c r="AM61" i="3"/>
  <c r="AM62" i="3"/>
  <c r="AM63" i="3"/>
  <c r="AM64" i="3"/>
  <c r="AM65" i="3"/>
  <c r="AM66" i="3"/>
  <c r="AM67" i="3"/>
  <c r="AM68" i="3"/>
  <c r="AM69" i="3"/>
  <c r="AM70" i="3"/>
  <c r="AM71" i="3"/>
  <c r="AM72" i="3"/>
  <c r="AM73" i="3"/>
  <c r="AM74" i="3"/>
  <c r="AM75" i="3"/>
  <c r="AM76" i="3"/>
  <c r="AM77" i="3"/>
  <c r="AM78" i="3"/>
  <c r="AM79" i="3"/>
  <c r="AM80" i="3"/>
  <c r="AM81" i="3"/>
  <c r="AM82" i="3"/>
  <c r="AM83" i="3"/>
  <c r="AM84" i="3"/>
  <c r="AM85" i="3"/>
  <c r="AM86" i="3"/>
  <c r="AM87" i="3"/>
  <c r="AM88" i="3"/>
  <c r="AM89" i="3"/>
  <c r="AM90" i="3"/>
  <c r="AM91" i="3"/>
  <c r="AM92" i="3"/>
  <c r="AM93" i="3"/>
  <c r="AM94" i="3"/>
  <c r="AM95" i="3"/>
  <c r="AM96" i="3"/>
  <c r="AM97" i="3"/>
  <c r="AM98" i="3"/>
  <c r="AM99" i="3"/>
  <c r="AM100" i="3"/>
  <c r="AM101" i="3"/>
  <c r="AM102" i="3"/>
  <c r="AM103" i="3"/>
  <c r="AM104" i="3"/>
  <c r="AM105" i="3"/>
  <c r="AM106" i="3"/>
  <c r="AM107" i="3"/>
  <c r="AM108" i="3"/>
  <c r="AM109" i="3"/>
  <c r="AM110" i="3"/>
  <c r="AM111" i="3"/>
  <c r="AM112" i="3"/>
  <c r="AM113" i="3"/>
  <c r="AM114" i="3"/>
  <c r="AM115" i="3"/>
  <c r="AM116" i="3"/>
  <c r="AM117" i="3"/>
  <c r="AM118" i="3"/>
  <c r="AM119" i="3"/>
  <c r="AM120" i="3"/>
  <c r="AM121" i="3"/>
  <c r="AM122" i="3"/>
  <c r="AM123" i="3"/>
  <c r="AM124" i="3"/>
  <c r="AM125" i="3"/>
  <c r="AM126" i="3"/>
  <c r="AM127" i="3"/>
  <c r="AM128" i="3"/>
  <c r="AM129" i="3"/>
  <c r="AM130" i="3"/>
  <c r="AM131" i="3"/>
  <c r="AM132" i="3"/>
  <c r="AM133" i="3"/>
  <c r="AM134" i="3"/>
  <c r="AM135" i="3"/>
  <c r="AM136" i="3"/>
  <c r="AM137" i="3"/>
  <c r="AM138" i="3"/>
  <c r="AM139" i="3"/>
  <c r="AM140" i="3"/>
  <c r="AM141" i="3"/>
  <c r="AM142" i="3"/>
  <c r="AM143" i="3"/>
  <c r="AM144" i="3"/>
  <c r="AM145" i="3"/>
  <c r="AM146" i="3"/>
  <c r="AM147" i="3"/>
  <c r="AM148" i="3"/>
  <c r="AM149" i="3"/>
  <c r="AM150" i="3"/>
  <c r="AM151" i="3"/>
  <c r="AM152" i="3"/>
  <c r="AM153" i="3"/>
  <c r="AM154" i="3"/>
  <c r="AM155" i="3"/>
  <c r="AM156" i="3"/>
  <c r="AM157" i="3"/>
  <c r="AM158" i="3"/>
  <c r="AM159" i="3"/>
  <c r="AM160" i="3"/>
  <c r="AM161" i="3"/>
  <c r="AM162" i="3"/>
  <c r="AM163" i="3"/>
  <c r="AM164" i="3"/>
  <c r="AM165" i="3"/>
  <c r="AM166" i="3"/>
  <c r="AM167" i="3"/>
  <c r="AM168" i="3"/>
  <c r="AM169" i="3"/>
  <c r="AM170" i="3"/>
  <c r="AM171" i="3"/>
  <c r="AM172" i="3"/>
  <c r="AM173" i="3"/>
  <c r="AM174" i="3"/>
  <c r="AM175" i="3"/>
  <c r="AM176" i="3"/>
  <c r="AM177" i="3"/>
  <c r="AM178" i="3"/>
  <c r="AM179" i="3"/>
  <c r="AM180" i="3"/>
  <c r="AM181" i="3"/>
  <c r="AM182" i="3"/>
  <c r="AM183" i="3"/>
  <c r="AM184" i="3"/>
  <c r="AM185" i="3"/>
  <c r="AM186" i="3"/>
  <c r="AM187" i="3"/>
  <c r="AM188" i="3"/>
  <c r="AM189" i="3"/>
  <c r="AM190" i="3"/>
  <c r="AM191" i="3"/>
  <c r="AM192" i="3"/>
  <c r="AM193" i="3"/>
  <c r="AM194" i="3"/>
  <c r="AM195" i="3"/>
  <c r="AM196" i="3"/>
  <c r="AM197" i="3"/>
  <c r="AM198" i="3"/>
  <c r="AM199" i="3"/>
  <c r="AM200" i="3"/>
  <c r="AM201" i="3"/>
  <c r="AM202" i="3"/>
  <c r="AM203" i="3"/>
  <c r="AM204" i="3"/>
  <c r="AM205" i="3"/>
  <c r="AM206" i="3"/>
  <c r="AM207" i="3"/>
  <c r="AM208" i="3"/>
  <c r="AM209" i="3"/>
  <c r="AM210" i="3"/>
  <c r="AM211" i="3"/>
  <c r="AM212" i="3"/>
  <c r="AM213" i="3"/>
  <c r="AM214" i="3"/>
  <c r="AM215" i="3"/>
  <c r="AM216" i="3"/>
  <c r="AM217" i="3"/>
  <c r="AM218" i="3"/>
  <c r="AM219" i="3"/>
  <c r="AM220" i="3"/>
  <c r="AM221" i="3"/>
  <c r="AM222" i="3"/>
  <c r="AM223" i="3"/>
  <c r="AM224" i="3"/>
  <c r="AM225" i="3"/>
  <c r="AM226" i="3"/>
  <c r="AM227" i="3"/>
  <c r="AM228" i="3"/>
  <c r="AM229" i="3"/>
  <c r="AM230" i="3"/>
  <c r="AM231" i="3"/>
  <c r="AM232" i="3"/>
  <c r="AM233" i="3"/>
  <c r="AM234" i="3"/>
  <c r="AM235" i="3"/>
  <c r="AM236" i="3"/>
  <c r="AM237" i="3"/>
  <c r="AM238" i="3"/>
  <c r="AM239" i="3"/>
  <c r="AM240" i="3"/>
  <c r="AM241" i="3"/>
  <c r="AM242" i="3"/>
  <c r="AM243" i="3"/>
  <c r="AM244" i="3"/>
  <c r="AM245" i="3"/>
  <c r="AM246" i="3"/>
  <c r="AM247" i="3"/>
  <c r="AM248" i="3"/>
  <c r="AM249" i="3"/>
  <c r="AM250" i="3"/>
  <c r="AM251" i="3"/>
  <c r="AM252" i="3"/>
  <c r="AM253" i="3"/>
  <c r="AM254" i="3"/>
  <c r="AM255" i="3"/>
  <c r="AM256" i="3"/>
  <c r="AM257" i="3"/>
  <c r="AM258" i="3"/>
  <c r="AM259" i="3"/>
  <c r="AM260" i="3"/>
  <c r="AM261" i="3"/>
  <c r="AM262" i="3"/>
  <c r="AM263" i="3"/>
  <c r="AM264" i="3"/>
  <c r="AM265" i="3"/>
  <c r="AM266" i="3"/>
  <c r="AM267" i="3"/>
  <c r="AM268" i="3"/>
  <c r="AM269" i="3"/>
  <c r="AM270" i="3"/>
  <c r="AM271" i="3"/>
  <c r="AM272" i="3"/>
  <c r="AM273" i="3"/>
  <c r="AM274" i="3"/>
  <c r="AM275" i="3"/>
  <c r="AM276" i="3"/>
  <c r="AM277" i="3"/>
  <c r="AM278" i="3"/>
  <c r="AM279" i="3"/>
  <c r="AM280" i="3"/>
  <c r="AM281" i="3"/>
  <c r="AM282" i="3"/>
  <c r="AM283" i="3"/>
  <c r="AM284" i="3"/>
  <c r="AM285" i="3"/>
  <c r="AM286" i="3"/>
  <c r="AM287" i="3"/>
  <c r="AM288" i="3"/>
  <c r="AM289" i="3"/>
  <c r="AM290" i="3"/>
  <c r="AM291" i="3"/>
  <c r="AM292" i="3"/>
  <c r="AM293" i="3"/>
  <c r="AM294" i="3"/>
  <c r="AM295" i="3"/>
  <c r="AM296" i="3"/>
  <c r="AM297" i="3"/>
  <c r="AM298" i="3"/>
  <c r="AM299" i="3"/>
  <c r="AM300" i="3"/>
  <c r="AM301" i="3"/>
  <c r="AM302" i="3"/>
  <c r="AM303" i="3"/>
  <c r="AM304" i="3"/>
  <c r="AM305" i="3"/>
  <c r="AM306" i="3"/>
  <c r="AM307" i="3"/>
  <c r="AM308" i="3"/>
  <c r="AM309" i="3"/>
  <c r="AM310" i="3"/>
  <c r="AM311" i="3"/>
  <c r="AM312" i="3"/>
  <c r="AM313" i="3"/>
  <c r="AM314" i="3"/>
  <c r="AM315" i="3"/>
  <c r="AM316" i="3"/>
  <c r="AM317" i="3"/>
  <c r="AM318" i="3"/>
  <c r="AM319" i="3"/>
  <c r="AM320" i="3"/>
  <c r="AM321" i="3"/>
  <c r="AM322" i="3"/>
  <c r="AM323" i="3"/>
  <c r="AM324" i="3"/>
  <c r="AM325" i="3"/>
  <c r="AM326" i="3"/>
  <c r="AM327" i="3"/>
  <c r="AM328" i="3"/>
  <c r="AM329" i="3"/>
  <c r="AM330" i="3"/>
  <c r="AM331" i="3"/>
  <c r="AM332" i="3"/>
  <c r="AM333" i="3"/>
  <c r="AM334" i="3"/>
  <c r="AM335" i="3"/>
  <c r="AM336" i="3"/>
  <c r="AM337" i="3"/>
  <c r="AM338" i="3"/>
  <c r="AM339" i="3"/>
  <c r="AM340" i="3"/>
  <c r="AM341" i="3"/>
  <c r="AM342" i="3"/>
  <c r="AM343" i="3"/>
  <c r="AM344" i="3"/>
  <c r="AM345" i="3"/>
  <c r="AM346" i="3"/>
  <c r="AM347" i="3"/>
  <c r="AM348" i="3"/>
  <c r="AM349" i="3"/>
  <c r="AM350" i="3"/>
  <c r="AM351" i="3"/>
  <c r="AM352" i="3"/>
  <c r="AM353" i="3"/>
  <c r="AM354" i="3"/>
  <c r="AM355" i="3"/>
  <c r="AM356" i="3"/>
  <c r="AM357" i="3"/>
  <c r="AM358" i="3"/>
  <c r="AM359" i="3"/>
  <c r="AM360" i="3"/>
  <c r="AM361" i="3"/>
  <c r="AM362" i="3"/>
  <c r="AM363" i="3"/>
  <c r="AM364" i="3"/>
  <c r="AM365" i="3"/>
  <c r="AM366" i="3"/>
  <c r="AM367" i="3"/>
  <c r="AM368" i="3"/>
  <c r="AM369" i="3"/>
  <c r="AM370" i="3"/>
  <c r="AM371" i="3"/>
  <c r="AM372" i="3"/>
  <c r="AM373" i="3"/>
  <c r="AM374" i="3"/>
  <c r="AM375" i="3"/>
  <c r="AM376" i="3"/>
  <c r="AM377" i="3"/>
  <c r="AM378" i="3"/>
  <c r="AM379" i="3"/>
  <c r="AM380" i="3"/>
  <c r="AM381" i="3"/>
  <c r="AM382" i="3"/>
  <c r="AM383" i="3"/>
  <c r="AM384" i="3"/>
  <c r="AM385" i="3"/>
  <c r="AM386" i="3"/>
  <c r="AM387" i="3"/>
  <c r="AM388" i="3"/>
  <c r="AM389" i="3"/>
  <c r="AM390" i="3"/>
  <c r="AM391" i="3"/>
  <c r="AM392" i="3"/>
  <c r="AM393" i="3"/>
  <c r="AM394" i="3"/>
  <c r="AM395" i="3"/>
  <c r="AM396" i="3"/>
  <c r="AM397" i="3"/>
  <c r="AM398" i="3"/>
  <c r="AM399" i="3"/>
  <c r="AM400" i="3"/>
  <c r="AM401" i="3"/>
  <c r="AM402" i="3"/>
  <c r="AM403" i="3"/>
  <c r="AM404" i="3"/>
  <c r="AM405" i="3"/>
  <c r="AM406" i="3"/>
  <c r="AM407" i="3"/>
  <c r="AM408" i="3"/>
  <c r="AM409" i="3"/>
  <c r="AM410" i="3"/>
  <c r="AM411" i="3"/>
  <c r="AM412" i="3"/>
  <c r="AM413" i="3"/>
  <c r="AM414" i="3"/>
  <c r="AM415" i="3"/>
  <c r="AM416" i="3"/>
  <c r="AM417" i="3"/>
  <c r="AM418" i="3"/>
  <c r="AM419" i="3"/>
  <c r="AM420" i="3"/>
  <c r="AM421" i="3"/>
  <c r="AM422" i="3"/>
  <c r="AM423" i="3"/>
  <c r="AM424" i="3"/>
  <c r="AM425" i="3"/>
  <c r="AM426" i="3"/>
  <c r="AM427" i="3"/>
  <c r="AM428" i="3"/>
  <c r="AM429" i="3"/>
  <c r="AM430" i="3"/>
  <c r="AM431" i="3"/>
  <c r="AM432" i="3"/>
  <c r="AM433" i="3"/>
  <c r="AM434" i="3"/>
  <c r="AM435" i="3"/>
  <c r="AM436" i="3"/>
  <c r="AM437" i="3"/>
  <c r="AM438" i="3"/>
  <c r="AM439" i="3"/>
  <c r="AM440" i="3"/>
  <c r="AM441" i="3"/>
  <c r="AM442" i="3"/>
  <c r="AM443" i="3"/>
  <c r="AM444" i="3"/>
  <c r="AM445" i="3"/>
  <c r="AM446" i="3"/>
  <c r="AM447" i="3"/>
  <c r="AM448" i="3"/>
  <c r="AM449" i="3"/>
  <c r="AM450" i="3"/>
  <c r="AM451" i="3"/>
  <c r="AM452" i="3"/>
  <c r="AM453" i="3"/>
  <c r="AM454" i="3"/>
  <c r="AM455" i="3"/>
  <c r="AM456" i="3"/>
  <c r="AM457" i="3"/>
  <c r="AM458" i="3"/>
  <c r="AM459" i="3"/>
  <c r="AM460" i="3"/>
  <c r="AM461" i="3"/>
  <c r="AM462" i="3"/>
  <c r="AM463" i="3"/>
  <c r="AM464" i="3"/>
  <c r="AM465" i="3"/>
  <c r="AM466" i="3"/>
  <c r="AM467" i="3"/>
  <c r="AM468" i="3"/>
  <c r="AM469" i="3"/>
  <c r="AM470" i="3"/>
  <c r="AM471" i="3"/>
  <c r="AM472" i="3"/>
  <c r="AM473" i="3"/>
  <c r="AM474" i="3"/>
  <c r="AM475" i="3"/>
  <c r="AM476" i="3"/>
  <c r="AM477" i="3"/>
  <c r="AM478" i="3"/>
  <c r="AM479" i="3"/>
  <c r="AM480" i="3"/>
  <c r="AM481" i="3"/>
  <c r="AM482" i="3"/>
  <c r="AM483" i="3"/>
  <c r="AM484" i="3"/>
  <c r="AM485" i="3"/>
  <c r="AM486" i="3"/>
  <c r="AM487" i="3"/>
  <c r="AM488" i="3"/>
  <c r="AM489" i="3"/>
  <c r="AM490" i="3"/>
  <c r="AM491" i="3"/>
  <c r="AM492" i="3"/>
  <c r="AM493" i="3"/>
  <c r="AM494" i="3"/>
  <c r="AM495" i="3"/>
  <c r="AM496" i="3"/>
  <c r="AM497" i="3"/>
  <c r="AM498" i="3"/>
  <c r="AM499" i="3"/>
  <c r="AM500" i="3"/>
  <c r="AM501" i="3"/>
  <c r="AM502" i="3"/>
  <c r="AM503" i="3"/>
  <c r="AM504" i="3"/>
  <c r="AM505" i="3"/>
  <c r="AM506" i="3"/>
  <c r="AM507" i="3"/>
  <c r="AM508" i="3"/>
  <c r="AM509" i="3"/>
  <c r="AM510" i="3"/>
  <c r="AM511" i="3"/>
  <c r="AM512" i="3"/>
  <c r="AM513" i="3"/>
  <c r="AM514" i="3"/>
  <c r="AM515" i="3"/>
  <c r="AM516" i="3"/>
  <c r="AM517" i="3"/>
  <c r="AM518" i="3"/>
  <c r="AM519" i="3"/>
  <c r="AM520" i="3"/>
  <c r="AM521" i="3"/>
  <c r="AM522" i="3"/>
  <c r="AM523" i="3"/>
  <c r="AM524" i="3"/>
  <c r="AM525" i="3"/>
  <c r="AM526" i="3"/>
  <c r="AM527" i="3"/>
  <c r="AM528" i="3"/>
  <c r="AM529" i="3"/>
  <c r="AM530" i="3"/>
  <c r="AM531" i="3"/>
  <c r="AM532" i="3"/>
  <c r="AM533" i="3"/>
  <c r="AM534" i="3"/>
  <c r="AM535" i="3"/>
  <c r="AM536" i="3"/>
  <c r="AM537" i="3"/>
  <c r="AM538" i="3"/>
  <c r="AM539" i="3"/>
  <c r="AM540" i="3"/>
  <c r="AM541" i="3"/>
  <c r="AM542" i="3"/>
  <c r="AM543" i="3"/>
  <c r="AM544" i="3"/>
  <c r="AM545" i="3"/>
  <c r="AM546" i="3"/>
  <c r="AM547" i="3"/>
  <c r="AM548" i="3"/>
  <c r="AM549" i="3"/>
  <c r="AM550" i="3"/>
  <c r="AM551" i="3"/>
  <c r="AM552" i="3"/>
  <c r="AM553" i="3"/>
  <c r="AM554" i="3"/>
  <c r="AM555" i="3"/>
  <c r="AM556" i="3"/>
  <c r="AM557" i="3"/>
  <c r="AM558" i="3"/>
  <c r="AM559" i="3"/>
  <c r="AM560" i="3"/>
  <c r="AM561" i="3"/>
  <c r="AM562" i="3"/>
  <c r="AM563" i="3"/>
  <c r="AM564" i="3"/>
  <c r="AM565" i="3"/>
  <c r="AM566" i="3"/>
  <c r="AM567" i="3"/>
  <c r="AM568" i="3"/>
  <c r="AM569" i="3"/>
  <c r="AM570" i="3"/>
  <c r="AM571" i="3"/>
  <c r="AM572" i="3"/>
  <c r="AM573" i="3"/>
  <c r="AM574" i="3"/>
  <c r="AM575" i="3"/>
  <c r="AM576" i="3"/>
  <c r="AM577" i="3"/>
  <c r="AM578" i="3"/>
  <c r="AM579" i="3"/>
  <c r="AM580" i="3"/>
  <c r="AM581" i="3"/>
  <c r="AM582" i="3"/>
  <c r="AM583" i="3"/>
  <c r="AM584" i="3"/>
  <c r="AM585" i="3"/>
  <c r="AM586" i="3"/>
  <c r="AM587" i="3"/>
  <c r="AM588" i="3"/>
  <c r="AM589" i="3"/>
  <c r="AM590" i="3"/>
  <c r="AM591" i="3"/>
  <c r="AM592" i="3"/>
  <c r="AM593" i="3"/>
  <c r="AM594" i="3"/>
  <c r="AM595" i="3"/>
  <c r="AM596" i="3"/>
  <c r="AM597" i="3"/>
  <c r="AM598" i="3"/>
  <c r="AM599" i="3"/>
  <c r="AM600" i="3"/>
  <c r="AM601" i="3"/>
  <c r="AM602" i="3"/>
  <c r="AM603" i="3"/>
  <c r="AM604" i="3"/>
  <c r="AM605" i="3"/>
  <c r="AM606" i="3"/>
  <c r="AM607" i="3"/>
  <c r="AM608" i="3"/>
  <c r="AM609" i="3"/>
  <c r="AM610" i="3"/>
  <c r="AM611" i="3"/>
  <c r="AM612" i="3"/>
  <c r="AM613" i="3"/>
  <c r="AM614" i="3"/>
  <c r="AM615" i="3"/>
  <c r="AM616" i="3"/>
  <c r="AM617" i="3"/>
  <c r="AM618" i="3"/>
  <c r="AM619" i="3"/>
  <c r="AM620" i="3"/>
  <c r="AM621" i="3"/>
  <c r="AM622" i="3"/>
  <c r="AM623" i="3"/>
  <c r="AM624" i="3"/>
  <c r="AM625" i="3"/>
  <c r="AM626" i="3"/>
  <c r="AM627" i="3"/>
  <c r="AM628" i="3"/>
  <c r="AM629" i="3"/>
  <c r="AM630" i="3"/>
  <c r="AM631" i="3"/>
  <c r="AM632" i="3"/>
  <c r="AM633" i="3"/>
  <c r="AM634" i="3"/>
  <c r="AM635" i="3"/>
  <c r="AM636" i="3"/>
  <c r="AM637" i="3"/>
  <c r="AM638" i="3"/>
  <c r="AM639" i="3"/>
  <c r="AM640" i="3"/>
  <c r="AM641" i="3"/>
  <c r="AM642" i="3"/>
  <c r="AM643" i="3"/>
  <c r="AM644" i="3"/>
  <c r="AM645" i="3"/>
  <c r="AM646" i="3"/>
  <c r="AM647" i="3"/>
  <c r="AM648" i="3"/>
  <c r="AM649" i="3"/>
  <c r="AM650" i="3"/>
  <c r="AM651" i="3"/>
  <c r="AM652" i="3"/>
  <c r="AM653" i="3"/>
  <c r="AM654" i="3"/>
  <c r="AM655" i="3"/>
  <c r="AM656" i="3"/>
  <c r="AM657" i="3"/>
  <c r="AM658" i="3"/>
  <c r="AM659" i="3"/>
  <c r="AM660" i="3"/>
  <c r="AM661" i="3"/>
  <c r="AM662" i="3"/>
  <c r="AM663" i="3"/>
  <c r="AM664" i="3"/>
  <c r="AM665" i="3"/>
  <c r="AM666" i="3"/>
  <c r="AM667" i="3"/>
  <c r="AM668" i="3"/>
  <c r="AM669" i="3"/>
  <c r="AM670" i="3"/>
  <c r="AM671" i="3"/>
  <c r="AM672" i="3"/>
  <c r="AM673" i="3"/>
  <c r="AM674" i="3"/>
  <c r="AM675" i="3"/>
  <c r="AM676" i="3"/>
  <c r="AM677" i="3"/>
  <c r="AM678" i="3"/>
  <c r="AM679" i="3"/>
  <c r="AM680" i="3"/>
  <c r="AM681" i="3"/>
  <c r="AM682" i="3"/>
  <c r="AM683" i="3"/>
  <c r="AM684" i="3"/>
  <c r="AM685" i="3"/>
  <c r="AM686" i="3"/>
  <c r="AM687" i="3"/>
  <c r="AM688" i="3"/>
  <c r="AM689" i="3"/>
  <c r="AM690" i="3"/>
  <c r="AM691" i="3"/>
  <c r="AM692" i="3"/>
  <c r="AM693" i="3"/>
  <c r="AM694" i="3"/>
  <c r="AM695" i="3"/>
  <c r="AM696" i="3"/>
  <c r="AM697" i="3"/>
  <c r="AM698" i="3"/>
  <c r="AM699" i="3"/>
  <c r="AM700" i="3"/>
  <c r="AM701" i="3"/>
  <c r="AM702" i="3"/>
  <c r="AM703" i="3"/>
  <c r="AM704" i="3"/>
  <c r="AM705" i="3"/>
  <c r="AM706" i="3"/>
  <c r="AM707" i="3"/>
  <c r="AM708" i="3"/>
  <c r="AM709" i="3"/>
  <c r="AM710" i="3"/>
  <c r="AM711" i="3"/>
  <c r="AM712" i="3"/>
  <c r="AM713" i="3"/>
  <c r="AM714" i="3"/>
  <c r="AM715" i="3"/>
  <c r="AM716" i="3"/>
  <c r="AM717" i="3"/>
  <c r="AM718" i="3"/>
  <c r="AM719" i="3"/>
  <c r="AM720" i="3"/>
  <c r="AM721" i="3"/>
  <c r="AM722" i="3"/>
  <c r="AM723" i="3"/>
  <c r="AM724" i="3"/>
  <c r="AM725" i="3"/>
  <c r="AM726" i="3"/>
  <c r="AM727" i="3"/>
  <c r="AM728" i="3"/>
  <c r="AM729" i="3"/>
  <c r="AM730" i="3"/>
  <c r="AM731" i="3"/>
  <c r="AM732" i="3"/>
  <c r="AM733" i="3"/>
  <c r="AM734" i="3"/>
  <c r="AM735" i="3"/>
  <c r="AM736" i="3"/>
  <c r="AM737" i="3"/>
  <c r="AM738" i="3"/>
  <c r="AM739" i="3"/>
  <c r="AM740" i="3"/>
  <c r="AM741" i="3"/>
  <c r="AM742" i="3"/>
  <c r="AM743" i="3"/>
  <c r="AM744" i="3"/>
  <c r="AM745" i="3"/>
  <c r="AM746" i="3"/>
  <c r="AM747" i="3"/>
  <c r="AM748" i="3"/>
  <c r="AM749" i="3"/>
  <c r="AM750" i="3"/>
  <c r="AM751" i="3"/>
  <c r="AM752" i="3"/>
  <c r="AM753" i="3"/>
  <c r="AM754" i="3"/>
  <c r="AM755" i="3"/>
  <c r="AM756" i="3"/>
  <c r="AM757" i="3"/>
  <c r="AM758" i="3"/>
  <c r="AM759" i="3"/>
  <c r="AM760" i="3"/>
  <c r="AM761" i="3"/>
  <c r="AM762" i="3"/>
  <c r="AM763" i="3"/>
  <c r="AM764" i="3"/>
  <c r="AM765" i="3"/>
  <c r="AM766" i="3"/>
  <c r="AM767" i="3"/>
  <c r="AM768" i="3"/>
  <c r="AM769" i="3"/>
  <c r="AM770" i="3"/>
  <c r="AM771" i="3"/>
  <c r="AM772" i="3"/>
  <c r="AM773" i="3"/>
  <c r="AM774" i="3"/>
  <c r="AM775" i="3"/>
  <c r="AM776" i="3"/>
  <c r="AM777" i="3"/>
  <c r="AM778" i="3"/>
  <c r="AM779" i="3"/>
  <c r="AM780" i="3"/>
  <c r="AM781" i="3"/>
  <c r="AM782" i="3"/>
  <c r="AM783" i="3"/>
  <c r="AM784" i="3"/>
  <c r="AM785" i="3"/>
  <c r="AM786" i="3"/>
  <c r="AM787" i="3"/>
  <c r="AM788" i="3"/>
  <c r="AM789" i="3"/>
  <c r="AM790" i="3"/>
  <c r="AM791" i="3"/>
  <c r="AM792" i="3"/>
  <c r="AM793" i="3"/>
  <c r="AM794" i="3"/>
  <c r="AM795" i="3"/>
  <c r="AM796" i="3"/>
  <c r="AM797" i="3"/>
  <c r="AM798" i="3"/>
  <c r="AM799" i="3"/>
  <c r="AM800" i="3"/>
  <c r="AM801" i="3"/>
  <c r="AM802" i="3"/>
  <c r="AM803" i="3"/>
  <c r="AM804" i="3"/>
  <c r="AM805" i="3"/>
  <c r="AM806" i="3"/>
  <c r="AM807" i="3"/>
  <c r="AM808" i="3"/>
  <c r="AM809" i="3"/>
  <c r="AM810" i="3"/>
  <c r="AM811" i="3"/>
  <c r="AM812" i="3"/>
  <c r="AM813" i="3"/>
  <c r="AM814" i="3"/>
  <c r="AM815" i="3"/>
  <c r="AM816" i="3"/>
  <c r="AM817" i="3"/>
  <c r="AM818" i="3"/>
  <c r="AM819" i="3"/>
  <c r="AM820" i="3"/>
  <c r="AM821" i="3"/>
  <c r="AM822" i="3"/>
  <c r="AM823" i="3"/>
  <c r="AM824" i="3"/>
  <c r="AM825" i="3"/>
  <c r="AM826" i="3"/>
  <c r="AM827" i="3"/>
  <c r="AM828" i="3"/>
  <c r="AM829" i="3"/>
  <c r="AM830" i="3"/>
  <c r="AM831" i="3"/>
  <c r="AM832" i="3"/>
  <c r="AM833" i="3"/>
  <c r="AM834" i="3"/>
  <c r="AM835" i="3"/>
  <c r="AM836" i="3"/>
  <c r="AM837" i="3"/>
  <c r="AR837" i="3"/>
  <c r="AM838" i="3"/>
  <c r="AR838" i="3"/>
  <c r="AM839" i="3"/>
  <c r="AR839" i="3"/>
  <c r="AM840" i="3"/>
  <c r="AR840" i="3"/>
  <c r="AM841" i="3"/>
  <c r="AR841" i="3"/>
  <c r="AM842" i="3"/>
  <c r="AR842" i="3"/>
  <c r="AM843" i="3"/>
  <c r="AR843" i="3"/>
  <c r="AM844" i="3"/>
  <c r="AR844" i="3"/>
  <c r="AM845" i="3"/>
  <c r="AR845" i="3"/>
  <c r="AM846" i="3"/>
  <c r="AR846" i="3"/>
  <c r="AM847" i="3"/>
  <c r="AR847" i="3"/>
  <c r="AM848" i="3"/>
  <c r="AR848" i="3"/>
  <c r="AM849" i="3"/>
  <c r="AR849" i="3"/>
  <c r="AM850" i="3"/>
  <c r="AR850" i="3"/>
  <c r="AM851" i="3"/>
  <c r="AR851" i="3"/>
  <c r="AM852" i="3"/>
  <c r="AR852" i="3"/>
  <c r="AM853" i="3"/>
  <c r="AR853" i="3"/>
  <c r="AM854" i="3"/>
  <c r="AR854" i="3"/>
  <c r="AM855" i="3"/>
  <c r="AR855" i="3"/>
  <c r="AM856" i="3"/>
  <c r="AR856" i="3"/>
  <c r="AM857" i="3"/>
  <c r="AR857" i="3"/>
  <c r="AM858" i="3"/>
  <c r="AR858" i="3"/>
  <c r="AM859" i="3"/>
  <c r="AR859" i="3"/>
  <c r="AM860" i="3"/>
  <c r="AR860" i="3"/>
  <c r="AM861" i="3"/>
  <c r="AR861" i="3"/>
  <c r="AM862" i="3"/>
  <c r="AR862" i="3"/>
  <c r="AM863" i="3"/>
  <c r="AR863" i="3"/>
  <c r="AM864" i="3"/>
  <c r="AR864" i="3"/>
  <c r="AM865" i="3"/>
  <c r="AR865" i="3"/>
  <c r="AM866" i="3"/>
  <c r="AR866" i="3"/>
  <c r="AM867" i="3"/>
  <c r="AR867" i="3"/>
  <c r="AM868" i="3"/>
  <c r="AR868" i="3"/>
  <c r="AM869" i="3"/>
  <c r="AR869" i="3"/>
  <c r="AM870" i="3"/>
  <c r="AR870" i="3"/>
  <c r="AM871" i="3"/>
  <c r="AR871" i="3"/>
  <c r="AM872" i="3"/>
  <c r="AR872" i="3"/>
  <c r="AM873" i="3"/>
  <c r="AR873" i="3"/>
  <c r="AM874" i="3"/>
  <c r="AR874" i="3"/>
  <c r="AM875" i="3"/>
  <c r="AR875" i="3"/>
  <c r="AM876" i="3"/>
  <c r="AR876" i="3"/>
  <c r="AM877" i="3"/>
  <c r="AR877" i="3"/>
  <c r="AM878" i="3"/>
  <c r="AR878" i="3"/>
  <c r="AM879" i="3"/>
  <c r="AR879" i="3"/>
  <c r="AM880" i="3"/>
  <c r="AR880" i="3"/>
  <c r="AM882" i="3"/>
  <c r="AR882" i="3"/>
  <c r="AM883" i="3"/>
  <c r="AR883" i="3"/>
  <c r="AM884" i="3"/>
  <c r="AR884" i="3"/>
  <c r="AM886" i="3"/>
  <c r="AR886" i="3"/>
  <c r="AM887" i="3"/>
  <c r="AR887" i="3"/>
  <c r="AM888" i="3"/>
  <c r="AR888" i="3"/>
  <c r="AM889" i="3"/>
  <c r="AR889" i="3"/>
  <c r="AM890" i="3"/>
  <c r="AR890" i="3"/>
  <c r="AM891" i="3"/>
  <c r="AR891" i="3"/>
  <c r="AM892" i="3"/>
  <c r="AR892" i="3"/>
  <c r="AM893" i="3"/>
  <c r="AR893" i="3"/>
  <c r="AM894" i="3"/>
  <c r="AR894" i="3"/>
  <c r="AM895" i="3"/>
  <c r="AR895" i="3"/>
  <c r="AM896" i="3"/>
  <c r="AR896" i="3"/>
  <c r="AM897" i="3"/>
  <c r="AR897" i="3"/>
  <c r="AM898" i="3"/>
  <c r="AR898" i="3"/>
  <c r="AM899" i="3"/>
  <c r="AR899" i="3"/>
  <c r="AM900" i="3"/>
  <c r="AR900" i="3"/>
  <c r="AM901" i="3"/>
  <c r="AR901" i="3"/>
  <c r="AM902" i="3"/>
  <c r="AR902" i="3"/>
  <c r="AM903" i="3"/>
  <c r="AR903" i="3"/>
  <c r="AM904" i="3"/>
  <c r="AR904" i="3"/>
  <c r="AM905" i="3"/>
  <c r="AR905" i="3"/>
  <c r="AM906" i="3"/>
  <c r="AR906" i="3"/>
  <c r="AM907" i="3"/>
  <c r="AR907" i="3"/>
  <c r="AM908" i="3"/>
  <c r="AR908" i="3"/>
  <c r="AM909" i="3"/>
  <c r="AR909" i="3"/>
  <c r="AM910" i="3"/>
  <c r="AR910" i="3"/>
  <c r="AM911" i="3"/>
  <c r="AR911" i="3"/>
  <c r="AM912" i="3"/>
  <c r="AR912" i="3"/>
  <c r="AM913" i="3"/>
  <c r="AR913" i="3"/>
  <c r="AM914" i="3"/>
  <c r="AR914" i="3"/>
  <c r="AM915" i="3"/>
  <c r="AR915" i="3"/>
  <c r="AM916" i="3"/>
  <c r="AR916" i="3"/>
  <c r="AM917" i="3"/>
  <c r="AR917" i="3"/>
  <c r="AM918" i="3"/>
  <c r="AR918" i="3"/>
  <c r="AM919" i="3"/>
  <c r="AR919" i="3"/>
  <c r="AM920" i="3"/>
  <c r="AR920" i="3"/>
  <c r="AM921" i="3"/>
  <c r="AR921" i="3"/>
  <c r="AM922" i="3"/>
  <c r="AR922" i="3"/>
  <c r="AM923" i="3"/>
  <c r="AR923" i="3"/>
  <c r="AM924" i="3"/>
  <c r="AR924" i="3"/>
  <c r="AM925" i="3"/>
  <c r="AR925" i="3"/>
  <c r="AM926" i="3"/>
  <c r="AR926" i="3"/>
  <c r="AM927" i="3"/>
  <c r="AR927" i="3"/>
  <c r="AM928" i="3"/>
  <c r="AR928" i="3"/>
  <c r="AM929" i="3"/>
  <c r="AR929" i="3"/>
  <c r="AM930" i="3"/>
  <c r="AR930" i="3"/>
  <c r="AM931" i="3"/>
  <c r="AR931" i="3"/>
  <c r="AM932" i="3"/>
  <c r="AR932" i="3"/>
  <c r="AM933" i="3"/>
  <c r="AR933" i="3"/>
  <c r="AM934" i="3"/>
  <c r="AR934" i="3"/>
  <c r="AM935" i="3"/>
  <c r="AR935" i="3"/>
  <c r="AM936" i="3"/>
  <c r="AR936" i="3"/>
  <c r="AM937" i="3"/>
  <c r="AR937" i="3"/>
  <c r="D938" i="3"/>
  <c r="Z938" i="3" s="1"/>
  <c r="Q938" i="3"/>
  <c r="R938" i="3"/>
  <c r="AD938" i="3" s="1"/>
  <c r="T938" i="3"/>
  <c r="U938" i="3"/>
  <c r="X938" i="3"/>
  <c r="AE938" i="3"/>
  <c r="AI938" i="3"/>
  <c r="AJ938" i="3"/>
  <c r="AK938" i="3"/>
  <c r="AL938" i="3"/>
  <c r="AM938" i="3"/>
  <c r="AN938" i="3"/>
  <c r="AP938" i="3"/>
  <c r="AQ938" i="3"/>
  <c r="AR938" i="3"/>
  <c r="AU938" i="3"/>
  <c r="AX938" i="3"/>
  <c r="AY938" i="3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" i="5"/>
  <c r="D22" i="5"/>
  <c r="AY2" i="3"/>
  <c r="D3" i="5" s="1"/>
  <c r="AY3" i="3"/>
  <c r="H3" i="5" s="1"/>
  <c r="AY4" i="3"/>
  <c r="AY5" i="3"/>
  <c r="AY6" i="3"/>
  <c r="AY7" i="3"/>
  <c r="D4" i="5" s="1"/>
  <c r="AY8" i="3"/>
  <c r="AY9" i="3"/>
  <c r="AY10" i="3"/>
  <c r="AY11" i="3"/>
  <c r="AY12" i="3"/>
  <c r="AY13" i="3"/>
  <c r="AY14" i="3"/>
  <c r="AY15" i="3"/>
  <c r="AY16" i="3"/>
  <c r="AY17" i="3"/>
  <c r="AY18" i="3"/>
  <c r="AY19" i="3"/>
  <c r="AY20" i="3"/>
  <c r="AY21" i="3"/>
  <c r="AY22" i="3"/>
  <c r="AY23" i="3"/>
  <c r="AY24" i="3"/>
  <c r="AY25" i="3"/>
  <c r="AY26" i="3"/>
  <c r="AY27" i="3"/>
  <c r="AY28" i="3"/>
  <c r="AY29" i="3"/>
  <c r="AY30" i="3"/>
  <c r="AY31" i="3"/>
  <c r="AY32" i="3"/>
  <c r="AY33" i="3"/>
  <c r="AY34" i="3"/>
  <c r="AY35" i="3"/>
  <c r="AY36" i="3"/>
  <c r="AY37" i="3"/>
  <c r="AY38" i="3"/>
  <c r="AY39" i="3"/>
  <c r="AY40" i="3"/>
  <c r="AY41" i="3"/>
  <c r="AY42" i="3"/>
  <c r="AY43" i="3"/>
  <c r="AY44" i="3"/>
  <c r="AY45" i="3"/>
  <c r="AY46" i="3"/>
  <c r="AY47" i="3"/>
  <c r="AY48" i="3"/>
  <c r="AY49" i="3"/>
  <c r="AY50" i="3"/>
  <c r="AY51" i="3"/>
  <c r="AY52" i="3"/>
  <c r="AY53" i="3"/>
  <c r="AY54" i="3"/>
  <c r="AY55" i="3"/>
  <c r="AY56" i="3"/>
  <c r="AY57" i="3"/>
  <c r="AY58" i="3"/>
  <c r="AY59" i="3"/>
  <c r="AY60" i="3"/>
  <c r="AY61" i="3"/>
  <c r="AY62" i="3"/>
  <c r="AY63" i="3"/>
  <c r="AY64" i="3"/>
  <c r="AY65" i="3"/>
  <c r="AY66" i="3"/>
  <c r="AY67" i="3"/>
  <c r="AY68" i="3"/>
  <c r="AY69" i="3"/>
  <c r="AY70" i="3"/>
  <c r="AY71" i="3"/>
  <c r="AY72" i="3"/>
  <c r="AY73" i="3"/>
  <c r="AY74" i="3"/>
  <c r="AY75" i="3"/>
  <c r="AY76" i="3"/>
  <c r="AY77" i="3"/>
  <c r="AY78" i="3"/>
  <c r="AY79" i="3"/>
  <c r="AY80" i="3"/>
  <c r="AY81" i="3"/>
  <c r="AY82" i="3"/>
  <c r="AY83" i="3"/>
  <c r="AY84" i="3"/>
  <c r="AY85" i="3"/>
  <c r="AY86" i="3"/>
  <c r="AY87" i="3"/>
  <c r="AY88" i="3"/>
  <c r="AY89" i="3"/>
  <c r="AY90" i="3"/>
  <c r="AY91" i="3"/>
  <c r="AY92" i="3"/>
  <c r="AY93" i="3"/>
  <c r="AY94" i="3"/>
  <c r="AY95" i="3"/>
  <c r="AY96" i="3"/>
  <c r="AY97" i="3"/>
  <c r="AY98" i="3"/>
  <c r="AY99" i="3"/>
  <c r="AY100" i="3"/>
  <c r="AY101" i="3"/>
  <c r="AY102" i="3"/>
  <c r="AY103" i="3"/>
  <c r="AY104" i="3"/>
  <c r="AY105" i="3"/>
  <c r="AY106" i="3"/>
  <c r="AY107" i="3"/>
  <c r="D6" i="5" s="1"/>
  <c r="AY108" i="3"/>
  <c r="AY109" i="3"/>
  <c r="AY110" i="3"/>
  <c r="AY111" i="3"/>
  <c r="AY112" i="3"/>
  <c r="AY113" i="3"/>
  <c r="AY114" i="3"/>
  <c r="AY115" i="3"/>
  <c r="AY116" i="3"/>
  <c r="AY117" i="3"/>
  <c r="AY118" i="3"/>
  <c r="AY119" i="3"/>
  <c r="AY120" i="3"/>
  <c r="AY121" i="3"/>
  <c r="AY122" i="3"/>
  <c r="AY123" i="3"/>
  <c r="AY124" i="3"/>
  <c r="AY125" i="3"/>
  <c r="AY126" i="3"/>
  <c r="AY127" i="3"/>
  <c r="AY128" i="3"/>
  <c r="AY129" i="3"/>
  <c r="AY130" i="3"/>
  <c r="AY131" i="3"/>
  <c r="AY132" i="3"/>
  <c r="AY133" i="3"/>
  <c r="AY134" i="3"/>
  <c r="AY135" i="3"/>
  <c r="AY136" i="3"/>
  <c r="AY137" i="3"/>
  <c r="AY138" i="3"/>
  <c r="AY139" i="3"/>
  <c r="AY140" i="3"/>
  <c r="AY141" i="3"/>
  <c r="AY142" i="3"/>
  <c r="AY143" i="3"/>
  <c r="AY144" i="3"/>
  <c r="AY145" i="3"/>
  <c r="AY146" i="3"/>
  <c r="D9" i="5" s="1"/>
  <c r="AY147" i="3"/>
  <c r="AY148" i="3"/>
  <c r="AY149" i="3"/>
  <c r="AY150" i="3"/>
  <c r="AY151" i="3"/>
  <c r="H9" i="5" s="1"/>
  <c r="AY152" i="3"/>
  <c r="AY153" i="3"/>
  <c r="AY154" i="3"/>
  <c r="AY155" i="3"/>
  <c r="AY156" i="3"/>
  <c r="AY157" i="3"/>
  <c r="AY158" i="3"/>
  <c r="AY159" i="3"/>
  <c r="AY160" i="3"/>
  <c r="AY161" i="3"/>
  <c r="AY162" i="3"/>
  <c r="AY163" i="3"/>
  <c r="AY164" i="3"/>
  <c r="AY165" i="3"/>
  <c r="AY166" i="3"/>
  <c r="AY167" i="3"/>
  <c r="AY168" i="3"/>
  <c r="AY169" i="3"/>
  <c r="AY170" i="3"/>
  <c r="AY171" i="3"/>
  <c r="AY172" i="3"/>
  <c r="AY173" i="3"/>
  <c r="AY174" i="3"/>
  <c r="AY175" i="3"/>
  <c r="AY176" i="3"/>
  <c r="AY177" i="3"/>
  <c r="AY178" i="3"/>
  <c r="AY179" i="3"/>
  <c r="AY180" i="3"/>
  <c r="AY181" i="3"/>
  <c r="AY182" i="3"/>
  <c r="AY183" i="3"/>
  <c r="AY184" i="3"/>
  <c r="AY185" i="3"/>
  <c r="AY186" i="3"/>
  <c r="AY187" i="3"/>
  <c r="AY188" i="3"/>
  <c r="AY189" i="3"/>
  <c r="AY190" i="3"/>
  <c r="AY191" i="3"/>
  <c r="AY192" i="3"/>
  <c r="AY193" i="3"/>
  <c r="AY194" i="3"/>
  <c r="AY195" i="3"/>
  <c r="AY196" i="3"/>
  <c r="AY197" i="3"/>
  <c r="AY198" i="3"/>
  <c r="AY199" i="3"/>
  <c r="AY200" i="3"/>
  <c r="AY201" i="3"/>
  <c r="AY202" i="3"/>
  <c r="AY203" i="3"/>
  <c r="AY204" i="3"/>
  <c r="AY205" i="3"/>
  <c r="AY206" i="3"/>
  <c r="AY207" i="3"/>
  <c r="AY208" i="3"/>
  <c r="AY209" i="3"/>
  <c r="AY210" i="3"/>
  <c r="AY211" i="3"/>
  <c r="AY212" i="3"/>
  <c r="AY213" i="3"/>
  <c r="AY214" i="3"/>
  <c r="AY215" i="3"/>
  <c r="AY216" i="3"/>
  <c r="AY217" i="3"/>
  <c r="AY218" i="3"/>
  <c r="AY219" i="3"/>
  <c r="AY220" i="3"/>
  <c r="AY221" i="3"/>
  <c r="AY222" i="3"/>
  <c r="AY223" i="3"/>
  <c r="AY224" i="3"/>
  <c r="AY225" i="3"/>
  <c r="AY226" i="3"/>
  <c r="AY227" i="3"/>
  <c r="AY228" i="3"/>
  <c r="AY229" i="3"/>
  <c r="AY230" i="3"/>
  <c r="AY231" i="3"/>
  <c r="AY232" i="3"/>
  <c r="AY233" i="3"/>
  <c r="AY234" i="3"/>
  <c r="AY235" i="3"/>
  <c r="AY236" i="3"/>
  <c r="AY237" i="3"/>
  <c r="AY238" i="3"/>
  <c r="AY239" i="3"/>
  <c r="AY240" i="3"/>
  <c r="AY241" i="3"/>
  <c r="AY242" i="3"/>
  <c r="AY243" i="3"/>
  <c r="AY244" i="3"/>
  <c r="AY245" i="3"/>
  <c r="AY246" i="3"/>
  <c r="AY247" i="3"/>
  <c r="AY248" i="3"/>
  <c r="AY249" i="3"/>
  <c r="AY250" i="3"/>
  <c r="AY251" i="3"/>
  <c r="D10" i="5" s="1"/>
  <c r="AY252" i="3"/>
  <c r="AY253" i="3"/>
  <c r="AY254" i="3"/>
  <c r="AY255" i="3"/>
  <c r="D12" i="5" s="1"/>
  <c r="AY256" i="3"/>
  <c r="AY257" i="3"/>
  <c r="AY258" i="3"/>
  <c r="AY259" i="3"/>
  <c r="AY260" i="3"/>
  <c r="AY261" i="3"/>
  <c r="AY262" i="3"/>
  <c r="AY263" i="3"/>
  <c r="AY264" i="3"/>
  <c r="AY265" i="3"/>
  <c r="AY266" i="3"/>
  <c r="AY267" i="3"/>
  <c r="AY268" i="3"/>
  <c r="AY269" i="3"/>
  <c r="AY270" i="3"/>
  <c r="AY271" i="3"/>
  <c r="AY272" i="3"/>
  <c r="AY273" i="3"/>
  <c r="AY274" i="3"/>
  <c r="AY275" i="3"/>
  <c r="AY276" i="3"/>
  <c r="AY277" i="3"/>
  <c r="AY278" i="3"/>
  <c r="AY279" i="3"/>
  <c r="AY280" i="3"/>
  <c r="AY281" i="3"/>
  <c r="AY282" i="3"/>
  <c r="AY283" i="3"/>
  <c r="AY284" i="3"/>
  <c r="AY285" i="3"/>
  <c r="AY286" i="3"/>
  <c r="AY287" i="3"/>
  <c r="AY288" i="3"/>
  <c r="AY289" i="3"/>
  <c r="AY290" i="3"/>
  <c r="AY291" i="3"/>
  <c r="AY292" i="3"/>
  <c r="AY293" i="3"/>
  <c r="AY294" i="3"/>
  <c r="AY295" i="3"/>
  <c r="AY296" i="3"/>
  <c r="AY297" i="3"/>
  <c r="AY298" i="3"/>
  <c r="AY299" i="3"/>
  <c r="AY300" i="3"/>
  <c r="AY301" i="3"/>
  <c r="AY302" i="3"/>
  <c r="AY303" i="3"/>
  <c r="AY304" i="3"/>
  <c r="AY305" i="3"/>
  <c r="AY306" i="3"/>
  <c r="AY307" i="3"/>
  <c r="AY308" i="3"/>
  <c r="AY309" i="3"/>
  <c r="AY310" i="3"/>
  <c r="AY311" i="3"/>
  <c r="AY312" i="3"/>
  <c r="AY313" i="3"/>
  <c r="AY314" i="3"/>
  <c r="AY315" i="3"/>
  <c r="AY316" i="3"/>
  <c r="AY317" i="3"/>
  <c r="AY318" i="3"/>
  <c r="AY319" i="3"/>
  <c r="AY320" i="3"/>
  <c r="AY321" i="3"/>
  <c r="AY322" i="3"/>
  <c r="AY323" i="3"/>
  <c r="AY324" i="3"/>
  <c r="AY325" i="3"/>
  <c r="AY326" i="3"/>
  <c r="AY327" i="3"/>
  <c r="AY328" i="3"/>
  <c r="AY329" i="3"/>
  <c r="AY330" i="3"/>
  <c r="AY331" i="3"/>
  <c r="AY332" i="3"/>
  <c r="AY333" i="3"/>
  <c r="AY334" i="3"/>
  <c r="AY335" i="3"/>
  <c r="AY336" i="3"/>
  <c r="AY337" i="3"/>
  <c r="AY338" i="3"/>
  <c r="AY339" i="3"/>
  <c r="AY340" i="3"/>
  <c r="AY341" i="3"/>
  <c r="AY342" i="3"/>
  <c r="AY343" i="3"/>
  <c r="AY344" i="3"/>
  <c r="AY345" i="3"/>
  <c r="AY346" i="3"/>
  <c r="AY347" i="3"/>
  <c r="AY348" i="3"/>
  <c r="AY349" i="3"/>
  <c r="AY350" i="3"/>
  <c r="AY351" i="3"/>
  <c r="AY352" i="3"/>
  <c r="AY353" i="3"/>
  <c r="AY354" i="3"/>
  <c r="AY355" i="3"/>
  <c r="AY356" i="3"/>
  <c r="AY357" i="3"/>
  <c r="AY358" i="3"/>
  <c r="AY359" i="3"/>
  <c r="AY360" i="3"/>
  <c r="AY361" i="3"/>
  <c r="AY362" i="3"/>
  <c r="AY363" i="3"/>
  <c r="AY364" i="3"/>
  <c r="AY365" i="3"/>
  <c r="AY366" i="3"/>
  <c r="AY367" i="3"/>
  <c r="AY368" i="3"/>
  <c r="AY369" i="3"/>
  <c r="AY370" i="3"/>
  <c r="AY371" i="3"/>
  <c r="AY372" i="3"/>
  <c r="AY373" i="3"/>
  <c r="AY374" i="3"/>
  <c r="AY375" i="3"/>
  <c r="AY376" i="3"/>
  <c r="AY377" i="3"/>
  <c r="AY378" i="3"/>
  <c r="AY379" i="3"/>
  <c r="AY380" i="3"/>
  <c r="AY381" i="3"/>
  <c r="AY382" i="3"/>
  <c r="AY383" i="3"/>
  <c r="AY384" i="3"/>
  <c r="AY385" i="3"/>
  <c r="AY386" i="3"/>
  <c r="AY387" i="3"/>
  <c r="AY388" i="3"/>
  <c r="AY389" i="3"/>
  <c r="AY390" i="3"/>
  <c r="AY391" i="3"/>
  <c r="AY392" i="3"/>
  <c r="AY393" i="3"/>
  <c r="AY394" i="3"/>
  <c r="AY395" i="3"/>
  <c r="AY396" i="3"/>
  <c r="AY397" i="3"/>
  <c r="AY398" i="3"/>
  <c r="AY399" i="3"/>
  <c r="AY400" i="3"/>
  <c r="AY401" i="3"/>
  <c r="AY402" i="3"/>
  <c r="AY403" i="3"/>
  <c r="AY404" i="3"/>
  <c r="AY405" i="3"/>
  <c r="AY406" i="3"/>
  <c r="AY407" i="3"/>
  <c r="AY408" i="3"/>
  <c r="AY409" i="3"/>
  <c r="AY410" i="3"/>
  <c r="AY411" i="3"/>
  <c r="AY412" i="3"/>
  <c r="AY413" i="3"/>
  <c r="D14" i="5" s="1"/>
  <c r="AY414" i="3"/>
  <c r="AY415" i="3"/>
  <c r="H17" i="5" s="1"/>
  <c r="AY416" i="3"/>
  <c r="AY417" i="3"/>
  <c r="AY418" i="3"/>
  <c r="AY419" i="3"/>
  <c r="AY420" i="3"/>
  <c r="AY421" i="3"/>
  <c r="AY422" i="3"/>
  <c r="AY423" i="3"/>
  <c r="AY424" i="3"/>
  <c r="AY425" i="3"/>
  <c r="AY426" i="3"/>
  <c r="AY427" i="3"/>
  <c r="AY428" i="3"/>
  <c r="AY429" i="3"/>
  <c r="AY430" i="3"/>
  <c r="AY431" i="3"/>
  <c r="AY432" i="3"/>
  <c r="AY433" i="3"/>
  <c r="AY434" i="3"/>
  <c r="AY435" i="3"/>
  <c r="AY436" i="3"/>
  <c r="AY437" i="3"/>
  <c r="AY438" i="3"/>
  <c r="AY439" i="3"/>
  <c r="AY440" i="3"/>
  <c r="AY441" i="3"/>
  <c r="AY442" i="3"/>
  <c r="AY443" i="3"/>
  <c r="AY444" i="3"/>
  <c r="AY445" i="3"/>
  <c r="AY446" i="3"/>
  <c r="AY447" i="3"/>
  <c r="AY448" i="3"/>
  <c r="AY449" i="3"/>
  <c r="AY450" i="3"/>
  <c r="AY451" i="3"/>
  <c r="AY452" i="3"/>
  <c r="AY453" i="3"/>
  <c r="AY454" i="3"/>
  <c r="AY455" i="3"/>
  <c r="AY456" i="3"/>
  <c r="AY457" i="3"/>
  <c r="AY458" i="3"/>
  <c r="AY459" i="3"/>
  <c r="AY460" i="3"/>
  <c r="AY461" i="3"/>
  <c r="AY462" i="3"/>
  <c r="AY463" i="3"/>
  <c r="AY464" i="3"/>
  <c r="AY465" i="3"/>
  <c r="AY466" i="3"/>
  <c r="AY467" i="3"/>
  <c r="AY468" i="3"/>
  <c r="AY469" i="3"/>
  <c r="AY470" i="3"/>
  <c r="AY471" i="3"/>
  <c r="AY472" i="3"/>
  <c r="AY473" i="3"/>
  <c r="AY474" i="3"/>
  <c r="AY475" i="3"/>
  <c r="AY476" i="3"/>
  <c r="AY477" i="3"/>
  <c r="AY478" i="3"/>
  <c r="AY479" i="3"/>
  <c r="AY480" i="3"/>
  <c r="AY481" i="3"/>
  <c r="AY482" i="3"/>
  <c r="AY483" i="3"/>
  <c r="AY484" i="3"/>
  <c r="AY485" i="3"/>
  <c r="AY486" i="3"/>
  <c r="AY487" i="3"/>
  <c r="AY488" i="3"/>
  <c r="AY489" i="3"/>
  <c r="AY490" i="3"/>
  <c r="AY491" i="3"/>
  <c r="AY492" i="3"/>
  <c r="AY493" i="3"/>
  <c r="AY494" i="3"/>
  <c r="AY495" i="3"/>
  <c r="AY496" i="3"/>
  <c r="AY497" i="3"/>
  <c r="AY498" i="3"/>
  <c r="AY499" i="3"/>
  <c r="AY500" i="3"/>
  <c r="AY501" i="3"/>
  <c r="AY502" i="3"/>
  <c r="AY503" i="3"/>
  <c r="AY504" i="3"/>
  <c r="AY505" i="3"/>
  <c r="AY506" i="3"/>
  <c r="AY507" i="3"/>
  <c r="AY508" i="3"/>
  <c r="AY509" i="3"/>
  <c r="AY510" i="3"/>
  <c r="AY511" i="3"/>
  <c r="AY512" i="3"/>
  <c r="AY513" i="3"/>
  <c r="AY514" i="3"/>
  <c r="AY515" i="3"/>
  <c r="AY516" i="3"/>
  <c r="AY517" i="3"/>
  <c r="AY518" i="3"/>
  <c r="AY519" i="3"/>
  <c r="AY520" i="3"/>
  <c r="AY521" i="3"/>
  <c r="AY522" i="3"/>
  <c r="AY523" i="3"/>
  <c r="AY524" i="3"/>
  <c r="AY525" i="3"/>
  <c r="AY526" i="3"/>
  <c r="AY527" i="3"/>
  <c r="AY528" i="3"/>
  <c r="AY529" i="3"/>
  <c r="AY530" i="3"/>
  <c r="AY531" i="3"/>
  <c r="AY532" i="3"/>
  <c r="AY533" i="3"/>
  <c r="AY534" i="3"/>
  <c r="AY535" i="3"/>
  <c r="AY536" i="3"/>
  <c r="AY537" i="3"/>
  <c r="AY538" i="3"/>
  <c r="AY539" i="3"/>
  <c r="AY540" i="3"/>
  <c r="AY541" i="3"/>
  <c r="AY542" i="3"/>
  <c r="AY543" i="3"/>
  <c r="AY544" i="3"/>
  <c r="AY545" i="3"/>
  <c r="AY546" i="3"/>
  <c r="AY547" i="3"/>
  <c r="AY548" i="3"/>
  <c r="AY549" i="3"/>
  <c r="AY550" i="3"/>
  <c r="AY551" i="3"/>
  <c r="AY552" i="3"/>
  <c r="AY553" i="3"/>
  <c r="AY554" i="3"/>
  <c r="AY555" i="3"/>
  <c r="AY556" i="3"/>
  <c r="AY557" i="3"/>
  <c r="AY558" i="3"/>
  <c r="AY559" i="3"/>
  <c r="AY560" i="3"/>
  <c r="AY561" i="3"/>
  <c r="AY562" i="3"/>
  <c r="AY563" i="3"/>
  <c r="AY564" i="3"/>
  <c r="AY565" i="3"/>
  <c r="AY566" i="3"/>
  <c r="AY567" i="3"/>
  <c r="AY568" i="3"/>
  <c r="AY569" i="3"/>
  <c r="AY570" i="3"/>
  <c r="AY571" i="3"/>
  <c r="AY572" i="3"/>
  <c r="AY573" i="3"/>
  <c r="AY574" i="3"/>
  <c r="AY575" i="3"/>
  <c r="D18" i="5" s="1"/>
  <c r="AY576" i="3"/>
  <c r="AY577" i="3"/>
  <c r="AY578" i="3"/>
  <c r="AY579" i="3"/>
  <c r="AY580" i="3"/>
  <c r="AY581" i="3"/>
  <c r="AY582" i="3"/>
  <c r="AY583" i="3"/>
  <c r="AY584" i="3"/>
  <c r="AY585" i="3"/>
  <c r="AY586" i="3"/>
  <c r="AY587" i="3"/>
  <c r="AY588" i="3"/>
  <c r="AY589" i="3"/>
  <c r="AY590" i="3"/>
  <c r="AY591" i="3"/>
  <c r="AY592" i="3"/>
  <c r="AY593" i="3"/>
  <c r="AY594" i="3"/>
  <c r="AY595" i="3"/>
  <c r="AY596" i="3"/>
  <c r="AY597" i="3"/>
  <c r="AY598" i="3"/>
  <c r="AY599" i="3"/>
  <c r="AY600" i="3"/>
  <c r="AY601" i="3"/>
  <c r="AY602" i="3"/>
  <c r="AY603" i="3"/>
  <c r="AY604" i="3"/>
  <c r="AY605" i="3"/>
  <c r="AY606" i="3"/>
  <c r="AY607" i="3"/>
  <c r="AY608" i="3"/>
  <c r="AY609" i="3"/>
  <c r="AY610" i="3"/>
  <c r="AY611" i="3"/>
  <c r="AY612" i="3"/>
  <c r="AY613" i="3"/>
  <c r="AY614" i="3"/>
  <c r="AY615" i="3"/>
  <c r="AY616" i="3"/>
  <c r="AY617" i="3"/>
  <c r="AY618" i="3"/>
  <c r="AY619" i="3"/>
  <c r="AY620" i="3"/>
  <c r="AY621" i="3"/>
  <c r="AY622" i="3"/>
  <c r="AY623" i="3"/>
  <c r="AY624" i="3"/>
  <c r="AY625" i="3"/>
  <c r="AY626" i="3"/>
  <c r="AY627" i="3"/>
  <c r="AY628" i="3"/>
  <c r="AY629" i="3"/>
  <c r="AY630" i="3"/>
  <c r="AY631" i="3"/>
  <c r="AY632" i="3"/>
  <c r="AY633" i="3"/>
  <c r="AY634" i="3"/>
  <c r="AY635" i="3"/>
  <c r="AY636" i="3"/>
  <c r="AY637" i="3"/>
  <c r="AY638" i="3"/>
  <c r="AY639" i="3"/>
  <c r="AY640" i="3"/>
  <c r="AY641" i="3"/>
  <c r="AY642" i="3"/>
  <c r="AY643" i="3"/>
  <c r="AY644" i="3"/>
  <c r="AY645" i="3"/>
  <c r="AY646" i="3"/>
  <c r="AY647" i="3"/>
  <c r="AY648" i="3"/>
  <c r="AY649" i="3"/>
  <c r="AY650" i="3"/>
  <c r="AY651" i="3"/>
  <c r="AY652" i="3"/>
  <c r="AY653" i="3"/>
  <c r="AY654" i="3"/>
  <c r="AY655" i="3"/>
  <c r="AY656" i="3"/>
  <c r="AY657" i="3"/>
  <c r="AY658" i="3"/>
  <c r="AY659" i="3"/>
  <c r="AY660" i="3"/>
  <c r="AY661" i="3"/>
  <c r="AY662" i="3"/>
  <c r="AY663" i="3"/>
  <c r="AY664" i="3"/>
  <c r="AY665" i="3"/>
  <c r="AY666" i="3"/>
  <c r="AY667" i="3"/>
  <c r="AY668" i="3"/>
  <c r="AY669" i="3"/>
  <c r="AY670" i="3"/>
  <c r="AY671" i="3"/>
  <c r="AY672" i="3"/>
  <c r="AY673" i="3"/>
  <c r="AY674" i="3"/>
  <c r="AY675" i="3"/>
  <c r="AY676" i="3"/>
  <c r="AY677" i="3"/>
  <c r="AY678" i="3"/>
  <c r="AY679" i="3"/>
  <c r="AY680" i="3"/>
  <c r="AY681" i="3"/>
  <c r="AY682" i="3"/>
  <c r="AY683" i="3"/>
  <c r="AY684" i="3"/>
  <c r="AY685" i="3"/>
  <c r="AY686" i="3"/>
  <c r="AY687" i="3"/>
  <c r="AY688" i="3"/>
  <c r="AY689" i="3"/>
  <c r="AY690" i="3"/>
  <c r="AY691" i="3"/>
  <c r="AY692" i="3"/>
  <c r="AY693" i="3"/>
  <c r="AY694" i="3"/>
  <c r="AY695" i="3"/>
  <c r="AY696" i="3"/>
  <c r="AY697" i="3"/>
  <c r="AY698" i="3"/>
  <c r="AY699" i="3"/>
  <c r="AY700" i="3"/>
  <c r="AY701" i="3"/>
  <c r="AY702" i="3"/>
  <c r="AY703" i="3"/>
  <c r="AY704" i="3"/>
  <c r="AY705" i="3"/>
  <c r="AY706" i="3"/>
  <c r="AY707" i="3"/>
  <c r="AY708" i="3"/>
  <c r="AY709" i="3"/>
  <c r="AY710" i="3"/>
  <c r="AY711" i="3"/>
  <c r="AY712" i="3"/>
  <c r="AY713" i="3"/>
  <c r="AY714" i="3"/>
  <c r="AY715" i="3"/>
  <c r="AY716" i="3"/>
  <c r="AY717" i="3"/>
  <c r="AY718" i="3"/>
  <c r="AY719" i="3"/>
  <c r="AY720" i="3"/>
  <c r="AY721" i="3"/>
  <c r="AY722" i="3"/>
  <c r="AY723" i="3"/>
  <c r="AY724" i="3"/>
  <c r="AY725" i="3"/>
  <c r="AY726" i="3"/>
  <c r="AY727" i="3"/>
  <c r="AY728" i="3"/>
  <c r="AY729" i="3"/>
  <c r="AY730" i="3"/>
  <c r="AY731" i="3"/>
  <c r="AY732" i="3"/>
  <c r="AY733" i="3"/>
  <c r="AY734" i="3"/>
  <c r="AY735" i="3"/>
  <c r="D25" i="5" s="1"/>
  <c r="AY736" i="3"/>
  <c r="AY737" i="3"/>
  <c r="AY738" i="3"/>
  <c r="AY739" i="3"/>
  <c r="AY740" i="3"/>
  <c r="AY741" i="3"/>
  <c r="AY742" i="3"/>
  <c r="AY743" i="3"/>
  <c r="AY744" i="3"/>
  <c r="AY745" i="3"/>
  <c r="AY746" i="3"/>
  <c r="AY747" i="3"/>
  <c r="AY748" i="3"/>
  <c r="AY749" i="3"/>
  <c r="AY750" i="3"/>
  <c r="AY751" i="3"/>
  <c r="AY752" i="3"/>
  <c r="AY753" i="3"/>
  <c r="AY754" i="3"/>
  <c r="AY755" i="3"/>
  <c r="AY756" i="3"/>
  <c r="AY757" i="3"/>
  <c r="AY758" i="3"/>
  <c r="AY759" i="3"/>
  <c r="AY760" i="3"/>
  <c r="AY761" i="3"/>
  <c r="AY762" i="3"/>
  <c r="AY763" i="3"/>
  <c r="AY764" i="3"/>
  <c r="AY765" i="3"/>
  <c r="AY766" i="3"/>
  <c r="AY767" i="3"/>
  <c r="AY768" i="3"/>
  <c r="AY769" i="3"/>
  <c r="AY770" i="3"/>
  <c r="AY771" i="3"/>
  <c r="AY772" i="3"/>
  <c r="AY773" i="3"/>
  <c r="AY774" i="3"/>
  <c r="AY775" i="3"/>
  <c r="AY776" i="3"/>
  <c r="AY777" i="3"/>
  <c r="AY778" i="3"/>
  <c r="AY779" i="3"/>
  <c r="AY780" i="3"/>
  <c r="AY781" i="3"/>
  <c r="AY782" i="3"/>
  <c r="AY783" i="3"/>
  <c r="AY784" i="3"/>
  <c r="AY785" i="3"/>
  <c r="AY786" i="3"/>
  <c r="AY787" i="3"/>
  <c r="AY788" i="3"/>
  <c r="AY789" i="3"/>
  <c r="AY790" i="3"/>
  <c r="AY791" i="3"/>
  <c r="AY792" i="3"/>
  <c r="AY793" i="3"/>
  <c r="AY794" i="3"/>
  <c r="AY795" i="3"/>
  <c r="AY796" i="3"/>
  <c r="AY797" i="3"/>
  <c r="AY798" i="3"/>
  <c r="AY799" i="3"/>
  <c r="AY800" i="3"/>
  <c r="AY801" i="3"/>
  <c r="AY802" i="3"/>
  <c r="AY803" i="3"/>
  <c r="AY804" i="3"/>
  <c r="AY805" i="3"/>
  <c r="AY806" i="3"/>
  <c r="AY807" i="3"/>
  <c r="AY808" i="3"/>
  <c r="AY809" i="3"/>
  <c r="AY810" i="3"/>
  <c r="AY811" i="3"/>
  <c r="AY812" i="3"/>
  <c r="AY813" i="3"/>
  <c r="AY814" i="3"/>
  <c r="AY815" i="3"/>
  <c r="AY816" i="3"/>
  <c r="AY817" i="3"/>
  <c r="AY818" i="3"/>
  <c r="AY819" i="3"/>
  <c r="AY820" i="3"/>
  <c r="AY821" i="3"/>
  <c r="AY822" i="3"/>
  <c r="AY823" i="3"/>
  <c r="AY824" i="3"/>
  <c r="AY825" i="3"/>
  <c r="AY826" i="3"/>
  <c r="AY827" i="3"/>
  <c r="AY828" i="3"/>
  <c r="AY829" i="3"/>
  <c r="AY830" i="3"/>
  <c r="AY831" i="3"/>
  <c r="AY832" i="3"/>
  <c r="AY833" i="3"/>
  <c r="AY834" i="3"/>
  <c r="AY835" i="3"/>
  <c r="AY836" i="3"/>
  <c r="AY837" i="3"/>
  <c r="AY838" i="3"/>
  <c r="AY839" i="3"/>
  <c r="AY840" i="3"/>
  <c r="AY841" i="3"/>
  <c r="AY842" i="3"/>
  <c r="AY843" i="3"/>
  <c r="AY844" i="3"/>
  <c r="AY845" i="3"/>
  <c r="AY846" i="3"/>
  <c r="AY847" i="3"/>
  <c r="AY848" i="3"/>
  <c r="AY849" i="3"/>
  <c r="AY850" i="3"/>
  <c r="AY851" i="3"/>
  <c r="AY852" i="3"/>
  <c r="AY853" i="3"/>
  <c r="AY854" i="3"/>
  <c r="AY855" i="3"/>
  <c r="AY856" i="3"/>
  <c r="AY857" i="3"/>
  <c r="AY858" i="3"/>
  <c r="AY859" i="3"/>
  <c r="AY860" i="3"/>
  <c r="AY861" i="3"/>
  <c r="AY862" i="3"/>
  <c r="AY863" i="3"/>
  <c r="AY864" i="3"/>
  <c r="AY865" i="3"/>
  <c r="AY866" i="3"/>
  <c r="AY867" i="3"/>
  <c r="AY868" i="3"/>
  <c r="AY869" i="3"/>
  <c r="AY870" i="3"/>
  <c r="AY871" i="3"/>
  <c r="AY872" i="3"/>
  <c r="AY873" i="3"/>
  <c r="AY874" i="3"/>
  <c r="AY875" i="3"/>
  <c r="AY876" i="3"/>
  <c r="AY877" i="3"/>
  <c r="AY878" i="3"/>
  <c r="AY879" i="3"/>
  <c r="AY880" i="3"/>
  <c r="AY881" i="3"/>
  <c r="AY882" i="3"/>
  <c r="AY883" i="3"/>
  <c r="AY884" i="3"/>
  <c r="AY885" i="3"/>
  <c r="AY886" i="3"/>
  <c r="AY887" i="3"/>
  <c r="AY888" i="3"/>
  <c r="AY889" i="3"/>
  <c r="AY890" i="3"/>
  <c r="AY891" i="3"/>
  <c r="AY892" i="3"/>
  <c r="AY893" i="3"/>
  <c r="AY894" i="3"/>
  <c r="AY895" i="3"/>
  <c r="AY896" i="3"/>
  <c r="AY897" i="3"/>
  <c r="AY898" i="3"/>
  <c r="AY899" i="3"/>
  <c r="AY900" i="3"/>
  <c r="AY901" i="3"/>
  <c r="AY902" i="3"/>
  <c r="AY903" i="3"/>
  <c r="AY904" i="3"/>
  <c r="AY905" i="3"/>
  <c r="AY906" i="3"/>
  <c r="AY907" i="3"/>
  <c r="AY908" i="3"/>
  <c r="AY909" i="3"/>
  <c r="AY910" i="3"/>
  <c r="AY911" i="3"/>
  <c r="AY912" i="3"/>
  <c r="AY913" i="3"/>
  <c r="AY914" i="3"/>
  <c r="AY915" i="3"/>
  <c r="AY916" i="3"/>
  <c r="AY917" i="3"/>
  <c r="AY918" i="3"/>
  <c r="AY919" i="3"/>
  <c r="AY920" i="3"/>
  <c r="AY921" i="3"/>
  <c r="AY922" i="3"/>
  <c r="AY923" i="3"/>
  <c r="AY924" i="3"/>
  <c r="AY925" i="3"/>
  <c r="AY926" i="3"/>
  <c r="AY927" i="3"/>
  <c r="AY928" i="3"/>
  <c r="AY929" i="3"/>
  <c r="AY930" i="3"/>
  <c r="AY931" i="3"/>
  <c r="AY932" i="3"/>
  <c r="AY933" i="3"/>
  <c r="AY934" i="3"/>
  <c r="AY935" i="3"/>
  <c r="AY936" i="3"/>
  <c r="AY937" i="3"/>
  <c r="D8" i="5"/>
  <c r="D16" i="5"/>
  <c r="H25" i="5"/>
  <c r="D937" i="3"/>
  <c r="Z937" i="3" s="1"/>
  <c r="Q937" i="3"/>
  <c r="R937" i="3"/>
  <c r="AJ937" i="3" s="1"/>
  <c r="T937" i="3"/>
  <c r="U937" i="3"/>
  <c r="AE937" i="3"/>
  <c r="AI937" i="3"/>
  <c r="AK937" i="3"/>
  <c r="AL937" i="3"/>
  <c r="AN937" i="3"/>
  <c r="AP937" i="3"/>
  <c r="AQ937" i="3"/>
  <c r="AU937" i="3"/>
  <c r="AX937" i="3"/>
  <c r="D936" i="3"/>
  <c r="AT936" i="3" s="1" a="1"/>
  <c r="AT936" i="3" s="1"/>
  <c r="Q936" i="3"/>
  <c r="R936" i="3"/>
  <c r="T936" i="3"/>
  <c r="U936" i="3"/>
  <c r="AE936" i="3"/>
  <c r="AI936" i="3"/>
  <c r="AK936" i="3"/>
  <c r="AL936" i="3"/>
  <c r="AN936" i="3"/>
  <c r="AP936" i="3"/>
  <c r="AQ936" i="3"/>
  <c r="AU936" i="3"/>
  <c r="AX936" i="3"/>
  <c r="D935" i="3"/>
  <c r="V935" i="3" s="1"/>
  <c r="Q935" i="3"/>
  <c r="R935" i="3"/>
  <c r="AJ935" i="3" s="1"/>
  <c r="T935" i="3"/>
  <c r="U935" i="3"/>
  <c r="AE935" i="3"/>
  <c r="AX935" i="3" s="1"/>
  <c r="AI935" i="3"/>
  <c r="AK935" i="3"/>
  <c r="AL935" i="3"/>
  <c r="AN935" i="3"/>
  <c r="AP935" i="3"/>
  <c r="AQ935" i="3"/>
  <c r="AU935" i="3"/>
  <c r="D934" i="3"/>
  <c r="X934" i="3" s="1"/>
  <c r="Q934" i="3"/>
  <c r="R934" i="3"/>
  <c r="AJ934" i="3" s="1"/>
  <c r="T934" i="3"/>
  <c r="U934" i="3"/>
  <c r="AE934" i="3"/>
  <c r="AX934" i="3" s="1"/>
  <c r="AI934" i="3"/>
  <c r="AK934" i="3"/>
  <c r="AL934" i="3"/>
  <c r="AN934" i="3"/>
  <c r="AP934" i="3"/>
  <c r="AQ934" i="3"/>
  <c r="AU934" i="3"/>
  <c r="D933" i="3"/>
  <c r="Z933" i="3" s="1"/>
  <c r="Q933" i="3"/>
  <c r="R933" i="3"/>
  <c r="AJ933" i="3" s="1"/>
  <c r="T933" i="3"/>
  <c r="U933" i="3"/>
  <c r="AE933" i="3"/>
  <c r="AX933" i="3" s="1"/>
  <c r="AI933" i="3"/>
  <c r="AK933" i="3"/>
  <c r="AL933" i="3"/>
  <c r="AN933" i="3"/>
  <c r="AP933" i="3"/>
  <c r="AQ933" i="3"/>
  <c r="AU933" i="3"/>
  <c r="D932" i="3"/>
  <c r="V932" i="3" s="1"/>
  <c r="Q932" i="3"/>
  <c r="R932" i="3"/>
  <c r="AJ932" i="3" s="1"/>
  <c r="T932" i="3"/>
  <c r="U932" i="3"/>
  <c r="AE932" i="3"/>
  <c r="AX932" i="3" s="1"/>
  <c r="AI932" i="3"/>
  <c r="AK932" i="3"/>
  <c r="AL932" i="3"/>
  <c r="AN932" i="3"/>
  <c r="AP932" i="3"/>
  <c r="AQ932" i="3"/>
  <c r="AU932" i="3"/>
  <c r="D931" i="3"/>
  <c r="V931" i="3" s="1"/>
  <c r="Q931" i="3"/>
  <c r="R931" i="3"/>
  <c r="T931" i="3"/>
  <c r="U931" i="3"/>
  <c r="AE931" i="3"/>
  <c r="AI931" i="3"/>
  <c r="AK931" i="3"/>
  <c r="AL931" i="3"/>
  <c r="AN931" i="3"/>
  <c r="AP931" i="3"/>
  <c r="AQ931" i="3"/>
  <c r="AU931" i="3"/>
  <c r="AX931" i="3"/>
  <c r="D930" i="3"/>
  <c r="AT930" i="3" s="1" a="1"/>
  <c r="AT930" i="3" s="1"/>
  <c r="Q930" i="3"/>
  <c r="R930" i="3"/>
  <c r="T930" i="3"/>
  <c r="U930" i="3"/>
  <c r="AE930" i="3"/>
  <c r="AX930" i="3" s="1"/>
  <c r="AI930" i="3"/>
  <c r="AK930" i="3"/>
  <c r="AL930" i="3"/>
  <c r="AN930" i="3"/>
  <c r="AP930" i="3"/>
  <c r="AQ930" i="3"/>
  <c r="AU930" i="3"/>
  <c r="D929" i="3"/>
  <c r="W929" i="3" s="1"/>
  <c r="Q929" i="3"/>
  <c r="R929" i="3"/>
  <c r="T929" i="3"/>
  <c r="U929" i="3"/>
  <c r="AE929" i="3"/>
  <c r="AX929" i="3" s="1"/>
  <c r="AI929" i="3"/>
  <c r="AK929" i="3"/>
  <c r="AL929" i="3"/>
  <c r="AN929" i="3"/>
  <c r="AP929" i="3"/>
  <c r="AQ929" i="3"/>
  <c r="AU929" i="3"/>
  <c r="D928" i="3"/>
  <c r="V928" i="3" s="1"/>
  <c r="Q928" i="3"/>
  <c r="R928" i="3"/>
  <c r="T928" i="3"/>
  <c r="U928" i="3"/>
  <c r="AE928" i="3"/>
  <c r="AX928" i="3" s="1"/>
  <c r="AI928" i="3"/>
  <c r="AK928" i="3"/>
  <c r="AL928" i="3"/>
  <c r="AN928" i="3"/>
  <c r="AP928" i="3"/>
  <c r="AQ928" i="3"/>
  <c r="AU928" i="3"/>
  <c r="D927" i="3"/>
  <c r="V927" i="3" s="1"/>
  <c r="Q927" i="3"/>
  <c r="R927" i="3"/>
  <c r="T927" i="3"/>
  <c r="U927" i="3"/>
  <c r="AE927" i="3"/>
  <c r="AX927" i="3" s="1"/>
  <c r="AI927" i="3"/>
  <c r="AK927" i="3"/>
  <c r="AL927" i="3"/>
  <c r="AN927" i="3"/>
  <c r="AP927" i="3"/>
  <c r="AQ927" i="3"/>
  <c r="AU927" i="3"/>
  <c r="D926" i="3"/>
  <c r="W926" i="3" s="1"/>
  <c r="Q926" i="3"/>
  <c r="R926" i="3"/>
  <c r="T926" i="3"/>
  <c r="U926" i="3"/>
  <c r="AE926" i="3"/>
  <c r="AX926" i="3" s="1"/>
  <c r="AI926" i="3"/>
  <c r="AK926" i="3"/>
  <c r="AL926" i="3"/>
  <c r="AN926" i="3"/>
  <c r="AP926" i="3"/>
  <c r="AQ926" i="3"/>
  <c r="AU926" i="3"/>
  <c r="D925" i="3"/>
  <c r="Z925" i="3" s="1"/>
  <c r="Q925" i="3"/>
  <c r="R925" i="3"/>
  <c r="AJ925" i="3" s="1"/>
  <c r="T925" i="3"/>
  <c r="U925" i="3"/>
  <c r="AE925" i="3"/>
  <c r="AX925" i="3" s="1"/>
  <c r="AI925" i="3"/>
  <c r="AK925" i="3"/>
  <c r="AL925" i="3"/>
  <c r="AN925" i="3"/>
  <c r="AP925" i="3"/>
  <c r="AQ925" i="3"/>
  <c r="AU925" i="3"/>
  <c r="D924" i="3"/>
  <c r="AT924" i="3" s="1" a="1"/>
  <c r="AT924" i="3" s="1"/>
  <c r="Q924" i="3"/>
  <c r="R924" i="3"/>
  <c r="T924" i="3"/>
  <c r="U924" i="3"/>
  <c r="AE924" i="3"/>
  <c r="AI924" i="3"/>
  <c r="AK924" i="3"/>
  <c r="AL924" i="3"/>
  <c r="AN924" i="3"/>
  <c r="AP924" i="3"/>
  <c r="AQ924" i="3"/>
  <c r="AU924" i="3"/>
  <c r="AX924" i="3"/>
  <c r="D923" i="3"/>
  <c r="V923" i="3" s="1"/>
  <c r="Q923" i="3"/>
  <c r="R923" i="3"/>
  <c r="AJ923" i="3" s="1"/>
  <c r="T923" i="3"/>
  <c r="U923" i="3"/>
  <c r="AE923" i="3"/>
  <c r="AX923" i="3" s="1"/>
  <c r="AI923" i="3"/>
  <c r="AK923" i="3"/>
  <c r="AL923" i="3"/>
  <c r="AN923" i="3"/>
  <c r="AP923" i="3"/>
  <c r="AQ923" i="3"/>
  <c r="AU923" i="3"/>
  <c r="D922" i="3"/>
  <c r="Z922" i="3" s="1"/>
  <c r="Q922" i="3"/>
  <c r="R922" i="3"/>
  <c r="T922" i="3"/>
  <c r="U922" i="3"/>
  <c r="AE922" i="3"/>
  <c r="AX922" i="3" s="1"/>
  <c r="AI922" i="3"/>
  <c r="AK922" i="3"/>
  <c r="AL922" i="3"/>
  <c r="AN922" i="3"/>
  <c r="AP922" i="3"/>
  <c r="AQ922" i="3"/>
  <c r="AU922" i="3"/>
  <c r="J23" i="2"/>
  <c r="J21" i="2"/>
  <c r="D921" i="3"/>
  <c r="Z921" i="3" s="1"/>
  <c r="Q921" i="3"/>
  <c r="R921" i="3"/>
  <c r="T921" i="3"/>
  <c r="U921" i="3"/>
  <c r="AE921" i="3"/>
  <c r="AX921" i="3" s="1"/>
  <c r="AI921" i="3"/>
  <c r="AK921" i="3"/>
  <c r="AL921" i="3"/>
  <c r="AN921" i="3"/>
  <c r="AP921" i="3"/>
  <c r="AQ921" i="3"/>
  <c r="AU921" i="3"/>
  <c r="D920" i="3"/>
  <c r="V920" i="3" s="1"/>
  <c r="Q920" i="3"/>
  <c r="R920" i="3"/>
  <c r="AJ920" i="3" s="1"/>
  <c r="T920" i="3"/>
  <c r="U920" i="3"/>
  <c r="AE920" i="3"/>
  <c r="AX920" i="3" s="1"/>
  <c r="AI920" i="3"/>
  <c r="AK920" i="3"/>
  <c r="AL920" i="3"/>
  <c r="AN920" i="3"/>
  <c r="AP920" i="3"/>
  <c r="AQ920" i="3"/>
  <c r="AU920" i="3"/>
  <c r="D919" i="3"/>
  <c r="W919" i="3" s="1"/>
  <c r="Q919" i="3"/>
  <c r="R919" i="3"/>
  <c r="T919" i="3"/>
  <c r="U919" i="3"/>
  <c r="AE919" i="3"/>
  <c r="AX919" i="3" s="1"/>
  <c r="AI919" i="3"/>
  <c r="AK919" i="3"/>
  <c r="AL919" i="3"/>
  <c r="AN919" i="3"/>
  <c r="AP919" i="3"/>
  <c r="AQ919" i="3"/>
  <c r="AU919" i="3"/>
  <c r="I23" i="2"/>
  <c r="H23" i="2"/>
  <c r="I21" i="2"/>
  <c r="H21" i="2"/>
  <c r="D918" i="3"/>
  <c r="X918" i="3" s="1"/>
  <c r="Q918" i="3"/>
  <c r="R918" i="3"/>
  <c r="T918" i="3"/>
  <c r="U918" i="3"/>
  <c r="AE918" i="3"/>
  <c r="AX918" i="3" s="1"/>
  <c r="AI918" i="3"/>
  <c r="AK918" i="3"/>
  <c r="AL918" i="3"/>
  <c r="AN918" i="3"/>
  <c r="AP918" i="3"/>
  <c r="AQ918" i="3"/>
  <c r="AU918" i="3"/>
  <c r="D917" i="3"/>
  <c r="Z917" i="3" s="1"/>
  <c r="Q917" i="3"/>
  <c r="R917" i="3"/>
  <c r="AJ917" i="3" s="1"/>
  <c r="T917" i="3"/>
  <c r="U917" i="3"/>
  <c r="AE917" i="3"/>
  <c r="AX917" i="3" s="1"/>
  <c r="AI917" i="3"/>
  <c r="AK917" i="3"/>
  <c r="AL917" i="3"/>
  <c r="AN917" i="3"/>
  <c r="AP917" i="3"/>
  <c r="AQ917" i="3"/>
  <c r="AU917" i="3"/>
  <c r="D916" i="3"/>
  <c r="AS916" i="3" s="1" a="1"/>
  <c r="AS916" i="3" s="1"/>
  <c r="Q916" i="3"/>
  <c r="R916" i="3"/>
  <c r="T916" i="3"/>
  <c r="U916" i="3"/>
  <c r="AE916" i="3"/>
  <c r="AX916" i="3" s="1"/>
  <c r="AI916" i="3"/>
  <c r="AK916" i="3"/>
  <c r="AL916" i="3"/>
  <c r="AN916" i="3"/>
  <c r="AP916" i="3"/>
  <c r="AQ916" i="3"/>
  <c r="AU916" i="3"/>
  <c r="D915" i="3"/>
  <c r="V915" i="3" s="1"/>
  <c r="Q915" i="3"/>
  <c r="R915" i="3"/>
  <c r="AJ915" i="3" s="1"/>
  <c r="T915" i="3"/>
  <c r="U915" i="3"/>
  <c r="AE915" i="3"/>
  <c r="AI915" i="3"/>
  <c r="AK915" i="3"/>
  <c r="AL915" i="3"/>
  <c r="AN915" i="3"/>
  <c r="AP915" i="3"/>
  <c r="AQ915" i="3"/>
  <c r="AU915" i="3"/>
  <c r="AX915" i="3"/>
  <c r="D914" i="3"/>
  <c r="Z914" i="3" s="1"/>
  <c r="Q914" i="3"/>
  <c r="R914" i="3"/>
  <c r="T914" i="3"/>
  <c r="U914" i="3"/>
  <c r="AE914" i="3"/>
  <c r="AX914" i="3" s="1"/>
  <c r="AI914" i="3"/>
  <c r="AK914" i="3"/>
  <c r="AL914" i="3"/>
  <c r="AN914" i="3"/>
  <c r="AP914" i="3"/>
  <c r="AQ914" i="3"/>
  <c r="AU914" i="3"/>
  <c r="D913" i="3"/>
  <c r="Z913" i="3" s="1"/>
  <c r="Q913" i="3"/>
  <c r="R913" i="3"/>
  <c r="T913" i="3"/>
  <c r="U913" i="3"/>
  <c r="AE913" i="3"/>
  <c r="AX913" i="3" s="1"/>
  <c r="AI913" i="3"/>
  <c r="AK913" i="3"/>
  <c r="AL913" i="3"/>
  <c r="AN913" i="3"/>
  <c r="AP913" i="3"/>
  <c r="AQ913" i="3"/>
  <c r="AU913" i="3"/>
  <c r="D912" i="3"/>
  <c r="AH912" i="3" s="1"/>
  <c r="Q912" i="3"/>
  <c r="R912" i="3"/>
  <c r="T912" i="3"/>
  <c r="U912" i="3"/>
  <c r="AE912" i="3"/>
  <c r="AX912" i="3" s="1"/>
  <c r="AI912" i="3"/>
  <c r="AK912" i="3"/>
  <c r="AL912" i="3"/>
  <c r="AN912" i="3"/>
  <c r="AP912" i="3"/>
  <c r="AQ912" i="3"/>
  <c r="AU912" i="3"/>
  <c r="D911" i="3"/>
  <c r="V911" i="3" s="1"/>
  <c r="Q911" i="3"/>
  <c r="R911" i="3"/>
  <c r="T911" i="3"/>
  <c r="U911" i="3"/>
  <c r="AE911" i="3"/>
  <c r="AI911" i="3"/>
  <c r="AK911" i="3"/>
  <c r="AL911" i="3"/>
  <c r="AN911" i="3"/>
  <c r="AP911" i="3"/>
  <c r="AQ911" i="3"/>
  <c r="AU911" i="3"/>
  <c r="AX911" i="3"/>
  <c r="D910" i="3"/>
  <c r="X910" i="3" s="1"/>
  <c r="Q910" i="3"/>
  <c r="R910" i="3"/>
  <c r="T910" i="3"/>
  <c r="U910" i="3"/>
  <c r="AE910" i="3"/>
  <c r="AX910" i="3" s="1"/>
  <c r="AI910" i="3"/>
  <c r="AK910" i="3"/>
  <c r="AL910" i="3"/>
  <c r="AN910" i="3"/>
  <c r="AP910" i="3"/>
  <c r="AQ910" i="3"/>
  <c r="AU910" i="3"/>
  <c r="D909" i="3"/>
  <c r="Z909" i="3" s="1"/>
  <c r="Q909" i="3"/>
  <c r="R909" i="3"/>
  <c r="AJ909" i="3" s="1"/>
  <c r="T909" i="3"/>
  <c r="U909" i="3"/>
  <c r="AE909" i="3"/>
  <c r="AX909" i="3" s="1"/>
  <c r="AI909" i="3"/>
  <c r="AK909" i="3"/>
  <c r="AL909" i="3"/>
  <c r="AN909" i="3"/>
  <c r="AP909" i="3"/>
  <c r="AQ909" i="3"/>
  <c r="AU909" i="3"/>
  <c r="D908" i="3"/>
  <c r="V908" i="3" s="1"/>
  <c r="Q908" i="3"/>
  <c r="R908" i="3"/>
  <c r="T908" i="3"/>
  <c r="U908" i="3"/>
  <c r="AE908" i="3"/>
  <c r="AX908" i="3" s="1"/>
  <c r="AI908" i="3"/>
  <c r="AK908" i="3"/>
  <c r="AL908" i="3"/>
  <c r="AN908" i="3"/>
  <c r="AP908" i="3"/>
  <c r="AQ908" i="3"/>
  <c r="AU908" i="3"/>
  <c r="D907" i="3"/>
  <c r="V907" i="3" s="1"/>
  <c r="Q907" i="3"/>
  <c r="R907" i="3"/>
  <c r="T907" i="3"/>
  <c r="U907" i="3"/>
  <c r="AE907" i="3"/>
  <c r="AX907" i="3" s="1"/>
  <c r="AI907" i="3"/>
  <c r="AK907" i="3"/>
  <c r="AL907" i="3"/>
  <c r="AN907" i="3"/>
  <c r="AP907" i="3"/>
  <c r="AQ907" i="3"/>
  <c r="AU907" i="3"/>
  <c r="D906" i="3"/>
  <c r="Z906" i="3" s="1"/>
  <c r="Q906" i="3"/>
  <c r="R906" i="3"/>
  <c r="T906" i="3"/>
  <c r="U906" i="3"/>
  <c r="AE906" i="3"/>
  <c r="AX906" i="3" s="1"/>
  <c r="AI906" i="3"/>
  <c r="AK906" i="3"/>
  <c r="AL906" i="3"/>
  <c r="AN906" i="3"/>
  <c r="AP906" i="3"/>
  <c r="AQ906" i="3"/>
  <c r="AU906" i="3"/>
  <c r="D905" i="3"/>
  <c r="Z905" i="3" s="1"/>
  <c r="Q905" i="3"/>
  <c r="R905" i="3"/>
  <c r="AJ905" i="3" s="1"/>
  <c r="T905" i="3"/>
  <c r="U905" i="3"/>
  <c r="AE905" i="3"/>
  <c r="AX905" i="3" s="1"/>
  <c r="AI905" i="3"/>
  <c r="AK905" i="3"/>
  <c r="AL905" i="3"/>
  <c r="AN905" i="3"/>
  <c r="AP905" i="3"/>
  <c r="AQ905" i="3"/>
  <c r="AU905" i="3"/>
  <c r="D904" i="3"/>
  <c r="V904" i="3" s="1"/>
  <c r="Q904" i="3"/>
  <c r="R904" i="3"/>
  <c r="AJ904" i="3" s="1"/>
  <c r="T904" i="3"/>
  <c r="U904" i="3"/>
  <c r="AE904" i="3"/>
  <c r="AX904" i="3" s="1"/>
  <c r="AI904" i="3"/>
  <c r="AK904" i="3"/>
  <c r="AL904" i="3"/>
  <c r="AN904" i="3"/>
  <c r="AP904" i="3"/>
  <c r="AQ904" i="3"/>
  <c r="AU904" i="3"/>
  <c r="D903" i="3"/>
  <c r="V903" i="3" s="1"/>
  <c r="Q903" i="3"/>
  <c r="R903" i="3"/>
  <c r="T903" i="3"/>
  <c r="U903" i="3"/>
  <c r="AE903" i="3"/>
  <c r="AI903" i="3"/>
  <c r="AK903" i="3"/>
  <c r="AL903" i="3"/>
  <c r="AN903" i="3"/>
  <c r="AP903" i="3"/>
  <c r="AQ903" i="3"/>
  <c r="AU903" i="3"/>
  <c r="AX903" i="3"/>
  <c r="D902" i="3"/>
  <c r="X902" i="3" s="1"/>
  <c r="Q902" i="3"/>
  <c r="R902" i="3"/>
  <c r="AJ902" i="3" s="1"/>
  <c r="T902" i="3"/>
  <c r="U902" i="3"/>
  <c r="AE902" i="3"/>
  <c r="AX902" i="3" s="1"/>
  <c r="AI902" i="3"/>
  <c r="AK902" i="3"/>
  <c r="AL902" i="3"/>
  <c r="AN902" i="3"/>
  <c r="AP902" i="3"/>
  <c r="AQ902" i="3"/>
  <c r="AU902" i="3"/>
  <c r="D901" i="3"/>
  <c r="AH901" i="3" s="1"/>
  <c r="Q901" i="3"/>
  <c r="R901" i="3"/>
  <c r="T901" i="3"/>
  <c r="U901" i="3"/>
  <c r="AE901" i="3"/>
  <c r="AX901" i="3" s="1"/>
  <c r="AI901" i="3"/>
  <c r="AK901" i="3"/>
  <c r="AL901" i="3"/>
  <c r="AN901" i="3"/>
  <c r="AP901" i="3"/>
  <c r="AQ901" i="3"/>
  <c r="AU901" i="3"/>
  <c r="D900" i="3"/>
  <c r="V900" i="3" s="1"/>
  <c r="Q900" i="3"/>
  <c r="R900" i="3"/>
  <c r="AJ900" i="3" s="1"/>
  <c r="T900" i="3"/>
  <c r="U900" i="3"/>
  <c r="AE900" i="3"/>
  <c r="AX900" i="3" s="1"/>
  <c r="AI900" i="3"/>
  <c r="AK900" i="3"/>
  <c r="AL900" i="3"/>
  <c r="AN900" i="3"/>
  <c r="AP900" i="3"/>
  <c r="AQ900" i="3"/>
  <c r="AU900" i="3"/>
  <c r="D899" i="3"/>
  <c r="V899" i="3" s="1"/>
  <c r="Q899" i="3"/>
  <c r="R899" i="3"/>
  <c r="T899" i="3"/>
  <c r="U899" i="3"/>
  <c r="AE899" i="3"/>
  <c r="AX899" i="3" s="1"/>
  <c r="AI899" i="3"/>
  <c r="AK899" i="3"/>
  <c r="AL899" i="3"/>
  <c r="AN899" i="3"/>
  <c r="AP899" i="3"/>
  <c r="AQ899" i="3"/>
  <c r="AU899" i="3"/>
  <c r="D898" i="3"/>
  <c r="Z898" i="3" s="1"/>
  <c r="Q898" i="3"/>
  <c r="R898" i="3"/>
  <c r="T898" i="3"/>
  <c r="U898" i="3"/>
  <c r="AE898" i="3"/>
  <c r="AX898" i="3" s="1"/>
  <c r="AI898" i="3"/>
  <c r="AK898" i="3"/>
  <c r="AL898" i="3"/>
  <c r="AN898" i="3"/>
  <c r="AP898" i="3"/>
  <c r="AQ898" i="3"/>
  <c r="AU898" i="3"/>
  <c r="D897" i="3"/>
  <c r="Z897" i="3" s="1"/>
  <c r="Q897" i="3"/>
  <c r="R897" i="3"/>
  <c r="T897" i="3"/>
  <c r="U897" i="3"/>
  <c r="AE897" i="3"/>
  <c r="AX897" i="3" s="1"/>
  <c r="AI897" i="3"/>
  <c r="AK897" i="3"/>
  <c r="AL897" i="3"/>
  <c r="AN897" i="3"/>
  <c r="AP897" i="3"/>
  <c r="AQ897" i="3"/>
  <c r="AU897" i="3"/>
  <c r="D896" i="3"/>
  <c r="W896" i="3" s="1"/>
  <c r="Q896" i="3"/>
  <c r="R896" i="3"/>
  <c r="AJ896" i="3" s="1"/>
  <c r="T896" i="3"/>
  <c r="U896" i="3"/>
  <c r="AE896" i="3"/>
  <c r="AX896" i="3" s="1"/>
  <c r="AI896" i="3"/>
  <c r="AK896" i="3"/>
  <c r="AL896" i="3"/>
  <c r="AN896" i="3"/>
  <c r="AP896" i="3"/>
  <c r="AQ896" i="3"/>
  <c r="AU896" i="3"/>
  <c r="D895" i="3"/>
  <c r="V895" i="3" s="1"/>
  <c r="Q895" i="3"/>
  <c r="R895" i="3"/>
  <c r="AJ895" i="3" s="1"/>
  <c r="T895" i="3"/>
  <c r="U895" i="3"/>
  <c r="AE895" i="3"/>
  <c r="AX895" i="3" s="1"/>
  <c r="AI895" i="3"/>
  <c r="AK895" i="3"/>
  <c r="AL895" i="3"/>
  <c r="AN895" i="3"/>
  <c r="AP895" i="3"/>
  <c r="AQ895" i="3"/>
  <c r="AU895" i="3"/>
  <c r="N131" i="2"/>
  <c r="N132" i="2"/>
  <c r="D894" i="3"/>
  <c r="X894" i="3" s="1"/>
  <c r="Q894" i="3"/>
  <c r="R894" i="3"/>
  <c r="T894" i="3"/>
  <c r="U894" i="3"/>
  <c r="AE894" i="3"/>
  <c r="AI894" i="3"/>
  <c r="AK894" i="3"/>
  <c r="AL894" i="3"/>
  <c r="AN894" i="3"/>
  <c r="AP894" i="3"/>
  <c r="AQ894" i="3"/>
  <c r="AU894" i="3"/>
  <c r="AX894" i="3"/>
  <c r="D893" i="3"/>
  <c r="Z893" i="3" s="1"/>
  <c r="Q893" i="3"/>
  <c r="R893" i="3"/>
  <c r="T893" i="3"/>
  <c r="U893" i="3"/>
  <c r="AE893" i="3"/>
  <c r="AX893" i="3" s="1"/>
  <c r="AI893" i="3"/>
  <c r="AK893" i="3"/>
  <c r="AL893" i="3"/>
  <c r="AN893" i="3"/>
  <c r="AP893" i="3"/>
  <c r="AQ893" i="3"/>
  <c r="AU893" i="3"/>
  <c r="D892" i="3"/>
  <c r="AT892" i="3" s="1" a="1"/>
  <c r="AT892" i="3" s="1"/>
  <c r="Q892" i="3"/>
  <c r="R892" i="3"/>
  <c r="AJ892" i="3" s="1"/>
  <c r="T892" i="3"/>
  <c r="U892" i="3"/>
  <c r="AE892" i="3"/>
  <c r="AI892" i="3"/>
  <c r="AK892" i="3"/>
  <c r="AL892" i="3"/>
  <c r="AN892" i="3"/>
  <c r="AP892" i="3"/>
  <c r="AQ892" i="3"/>
  <c r="AU892" i="3"/>
  <c r="AX892" i="3"/>
  <c r="N130" i="2"/>
  <c r="D891" i="3"/>
  <c r="X891" i="3" s="1"/>
  <c r="Q891" i="3"/>
  <c r="R891" i="3"/>
  <c r="T891" i="3"/>
  <c r="U891" i="3"/>
  <c r="AE891" i="3"/>
  <c r="AX891" i="3" s="1"/>
  <c r="AI891" i="3"/>
  <c r="AK891" i="3"/>
  <c r="AL891" i="3"/>
  <c r="AN891" i="3"/>
  <c r="AP891" i="3"/>
  <c r="AQ891" i="3"/>
  <c r="AU891" i="3"/>
  <c r="D890" i="3"/>
  <c r="X890" i="3" s="1"/>
  <c r="Q890" i="3"/>
  <c r="R890" i="3"/>
  <c r="T890" i="3"/>
  <c r="U890" i="3"/>
  <c r="AE890" i="3"/>
  <c r="AX890" i="3" s="1"/>
  <c r="AI890" i="3"/>
  <c r="AK890" i="3"/>
  <c r="AL890" i="3"/>
  <c r="AN890" i="3"/>
  <c r="AP890" i="3"/>
  <c r="AQ890" i="3"/>
  <c r="AU890" i="3"/>
  <c r="D889" i="3"/>
  <c r="W889" i="3" s="1"/>
  <c r="Q889" i="3"/>
  <c r="R889" i="3"/>
  <c r="T889" i="3"/>
  <c r="U889" i="3"/>
  <c r="AE889" i="3"/>
  <c r="AX889" i="3" s="1"/>
  <c r="AI889" i="3"/>
  <c r="AK889" i="3"/>
  <c r="AL889" i="3"/>
  <c r="AN889" i="3"/>
  <c r="AP889" i="3"/>
  <c r="AQ889" i="3"/>
  <c r="AU889" i="3"/>
  <c r="D888" i="3"/>
  <c r="AH888" i="3" s="1"/>
  <c r="Q888" i="3"/>
  <c r="R888" i="3"/>
  <c r="T888" i="3"/>
  <c r="U888" i="3"/>
  <c r="AE888" i="3"/>
  <c r="AX888" i="3" s="1"/>
  <c r="AI888" i="3"/>
  <c r="AK888" i="3"/>
  <c r="AL888" i="3"/>
  <c r="AN888" i="3"/>
  <c r="AP888" i="3"/>
  <c r="AQ888" i="3"/>
  <c r="AU888" i="3"/>
  <c r="D887" i="3"/>
  <c r="V887" i="3" s="1"/>
  <c r="Q887" i="3"/>
  <c r="R887" i="3"/>
  <c r="T887" i="3"/>
  <c r="U887" i="3"/>
  <c r="AE887" i="3"/>
  <c r="AX887" i="3" s="1"/>
  <c r="AI887" i="3"/>
  <c r="AK887" i="3"/>
  <c r="AL887" i="3"/>
  <c r="AN887" i="3"/>
  <c r="AP887" i="3"/>
  <c r="AQ887" i="3"/>
  <c r="AU887" i="3"/>
  <c r="AQ886" i="3"/>
  <c r="E28" i="2"/>
  <c r="N129" i="2"/>
  <c r="D886" i="3"/>
  <c r="X886" i="3" s="1"/>
  <c r="Q886" i="3"/>
  <c r="R886" i="3"/>
  <c r="T886" i="3"/>
  <c r="U886" i="3"/>
  <c r="AE886" i="3"/>
  <c r="AX886" i="3" s="1"/>
  <c r="AI886" i="3"/>
  <c r="AK886" i="3"/>
  <c r="AL886" i="3"/>
  <c r="AN886" i="3"/>
  <c r="AP886" i="3"/>
  <c r="AU886" i="3"/>
  <c r="N128" i="2"/>
  <c r="AE885" i="3"/>
  <c r="AX885" i="3" s="1"/>
  <c r="D885" i="3"/>
  <c r="V885" i="3" s="1"/>
  <c r="U885" i="3"/>
  <c r="T885" i="3"/>
  <c r="R885" i="3"/>
  <c r="Q885" i="3"/>
  <c r="AI885" i="3"/>
  <c r="AK885" i="3"/>
  <c r="AL885" i="3"/>
  <c r="AN885" i="3"/>
  <c r="AP885" i="3"/>
  <c r="AQ885" i="3"/>
  <c r="AU885" i="3"/>
  <c r="N127" i="2"/>
  <c r="D884" i="3"/>
  <c r="AT884" i="3" s="1" a="1"/>
  <c r="AT884" i="3" s="1"/>
  <c r="Q884" i="3"/>
  <c r="R884" i="3"/>
  <c r="T884" i="3"/>
  <c r="U884" i="3"/>
  <c r="AE884" i="3"/>
  <c r="AX884" i="3" s="1"/>
  <c r="AI884" i="3"/>
  <c r="AK884" i="3"/>
  <c r="AL884" i="3"/>
  <c r="AN884" i="3"/>
  <c r="AP884" i="3"/>
  <c r="AQ884" i="3"/>
  <c r="AU884" i="3"/>
  <c r="D883" i="3"/>
  <c r="W883" i="3" s="1"/>
  <c r="Q883" i="3"/>
  <c r="R883" i="3"/>
  <c r="T883" i="3"/>
  <c r="U883" i="3"/>
  <c r="AE883" i="3"/>
  <c r="AX883" i="3" s="1"/>
  <c r="AI883" i="3"/>
  <c r="AK883" i="3"/>
  <c r="AL883" i="3"/>
  <c r="AN883" i="3"/>
  <c r="AP883" i="3"/>
  <c r="AQ883" i="3"/>
  <c r="AU883" i="3"/>
  <c r="D882" i="3"/>
  <c r="Z882" i="3" s="1"/>
  <c r="Q882" i="3"/>
  <c r="R882" i="3"/>
  <c r="AJ882" i="3" s="1"/>
  <c r="T882" i="3"/>
  <c r="U882" i="3"/>
  <c r="AE882" i="3"/>
  <c r="AX882" i="3" s="1"/>
  <c r="AI882" i="3"/>
  <c r="AK882" i="3"/>
  <c r="AL882" i="3"/>
  <c r="AN882" i="3"/>
  <c r="AP882" i="3"/>
  <c r="AQ882" i="3"/>
  <c r="AU882" i="3"/>
  <c r="D881" i="3"/>
  <c r="Z881" i="3" s="1"/>
  <c r="Q881" i="3"/>
  <c r="R881" i="3"/>
  <c r="T881" i="3"/>
  <c r="U881" i="3"/>
  <c r="AE881" i="3"/>
  <c r="AX881" i="3" s="1"/>
  <c r="AI881" i="3"/>
  <c r="AK881" i="3"/>
  <c r="AL881" i="3"/>
  <c r="AN881" i="3"/>
  <c r="AP881" i="3"/>
  <c r="AQ881" i="3"/>
  <c r="AU881" i="3"/>
  <c r="D880" i="3"/>
  <c r="V880" i="3" s="1"/>
  <c r="Q880" i="3"/>
  <c r="R880" i="3"/>
  <c r="T880" i="3"/>
  <c r="U880" i="3"/>
  <c r="AE880" i="3"/>
  <c r="AX880" i="3" s="1"/>
  <c r="AI880" i="3"/>
  <c r="AK880" i="3"/>
  <c r="AL880" i="3"/>
  <c r="AN880" i="3"/>
  <c r="AP880" i="3"/>
  <c r="AQ880" i="3"/>
  <c r="AU880" i="3"/>
  <c r="D879" i="3"/>
  <c r="AT879" i="3" s="1" a="1"/>
  <c r="AT879" i="3" s="1"/>
  <c r="Q879" i="3"/>
  <c r="R879" i="3"/>
  <c r="AJ879" i="3" s="1"/>
  <c r="T879" i="3"/>
  <c r="U879" i="3"/>
  <c r="AE879" i="3"/>
  <c r="AX879" i="3" s="1"/>
  <c r="AI879" i="3"/>
  <c r="AK879" i="3"/>
  <c r="AL879" i="3"/>
  <c r="AN879" i="3"/>
  <c r="AP879" i="3"/>
  <c r="AQ879" i="3"/>
  <c r="AU879" i="3"/>
  <c r="D878" i="3"/>
  <c r="X878" i="3" s="1"/>
  <c r="Q878" i="3"/>
  <c r="R878" i="3"/>
  <c r="T878" i="3"/>
  <c r="U878" i="3"/>
  <c r="AE878" i="3"/>
  <c r="AX878" i="3" s="1"/>
  <c r="AI878" i="3"/>
  <c r="AK878" i="3"/>
  <c r="AL878" i="3"/>
  <c r="AN878" i="3"/>
  <c r="AP878" i="3"/>
  <c r="AQ878" i="3"/>
  <c r="AU878" i="3"/>
  <c r="D877" i="3"/>
  <c r="Z877" i="3" s="1"/>
  <c r="Q877" i="3"/>
  <c r="R877" i="3"/>
  <c r="AJ877" i="3" s="1"/>
  <c r="T877" i="3"/>
  <c r="U877" i="3"/>
  <c r="AE877" i="3"/>
  <c r="AX877" i="3" s="1"/>
  <c r="AI877" i="3"/>
  <c r="AK877" i="3"/>
  <c r="AL877" i="3"/>
  <c r="AN877" i="3"/>
  <c r="AP877" i="3"/>
  <c r="AQ877" i="3"/>
  <c r="AU877" i="3"/>
  <c r="D876" i="3"/>
  <c r="AT876" i="3" s="1" a="1"/>
  <c r="AT876" i="3" s="1"/>
  <c r="Q876" i="3"/>
  <c r="R876" i="3"/>
  <c r="T876" i="3"/>
  <c r="U876" i="3"/>
  <c r="AE876" i="3"/>
  <c r="AX876" i="3" s="1"/>
  <c r="AI876" i="3"/>
  <c r="AK876" i="3"/>
  <c r="AL876" i="3"/>
  <c r="AN876" i="3"/>
  <c r="AP876" i="3"/>
  <c r="AQ876" i="3"/>
  <c r="AU876" i="3"/>
  <c r="D875" i="3"/>
  <c r="V875" i="3" s="1"/>
  <c r="Q875" i="3"/>
  <c r="R875" i="3"/>
  <c r="T875" i="3"/>
  <c r="U875" i="3"/>
  <c r="AE875" i="3"/>
  <c r="AX875" i="3" s="1"/>
  <c r="AI875" i="3"/>
  <c r="AK875" i="3"/>
  <c r="AL875" i="3"/>
  <c r="AN875" i="3"/>
  <c r="AP875" i="3"/>
  <c r="AQ875" i="3"/>
  <c r="AU875" i="3"/>
  <c r="D874" i="3"/>
  <c r="Z874" i="3" s="1"/>
  <c r="Q874" i="3"/>
  <c r="R874" i="3"/>
  <c r="T874" i="3"/>
  <c r="U874" i="3"/>
  <c r="AE874" i="3"/>
  <c r="AX874" i="3" s="1"/>
  <c r="AI874" i="3"/>
  <c r="AK874" i="3"/>
  <c r="AL874" i="3"/>
  <c r="AN874" i="3"/>
  <c r="AP874" i="3"/>
  <c r="AQ874" i="3"/>
  <c r="AU874" i="3"/>
  <c r="D873" i="3"/>
  <c r="AT873" i="3" s="1" a="1"/>
  <c r="AT873" i="3" s="1"/>
  <c r="Q873" i="3"/>
  <c r="R873" i="3"/>
  <c r="T873" i="3"/>
  <c r="U873" i="3"/>
  <c r="AE873" i="3"/>
  <c r="AX873" i="3" s="1"/>
  <c r="AI873" i="3"/>
  <c r="AK873" i="3"/>
  <c r="AL873" i="3"/>
  <c r="AN873" i="3"/>
  <c r="AP873" i="3"/>
  <c r="AQ873" i="3"/>
  <c r="AU873" i="3"/>
  <c r="D872" i="3"/>
  <c r="AH872" i="3" s="1"/>
  <c r="Q872" i="3"/>
  <c r="R872" i="3"/>
  <c r="T872" i="3"/>
  <c r="U872" i="3"/>
  <c r="AE872" i="3"/>
  <c r="AX872" i="3" s="1"/>
  <c r="AI872" i="3"/>
  <c r="AK872" i="3"/>
  <c r="AL872" i="3"/>
  <c r="AN872" i="3"/>
  <c r="AP872" i="3"/>
  <c r="AQ872" i="3"/>
  <c r="AU872" i="3"/>
  <c r="D871" i="3"/>
  <c r="V871" i="3" s="1"/>
  <c r="Q871" i="3"/>
  <c r="R871" i="3"/>
  <c r="T871" i="3"/>
  <c r="U871" i="3"/>
  <c r="AE871" i="3"/>
  <c r="AX871" i="3" s="1"/>
  <c r="AI871" i="3"/>
  <c r="AK871" i="3"/>
  <c r="AL871" i="3"/>
  <c r="AN871" i="3"/>
  <c r="AP871" i="3"/>
  <c r="AQ871" i="3"/>
  <c r="AU871" i="3"/>
  <c r="D870" i="3"/>
  <c r="AT870" i="3" s="1" a="1"/>
  <c r="AT870" i="3" s="1"/>
  <c r="Q870" i="3"/>
  <c r="R870" i="3"/>
  <c r="T870" i="3"/>
  <c r="U870" i="3"/>
  <c r="AE870" i="3"/>
  <c r="AX870" i="3" s="1"/>
  <c r="AI870" i="3"/>
  <c r="AK870" i="3"/>
  <c r="AL870" i="3"/>
  <c r="AN870" i="3"/>
  <c r="AP870" i="3"/>
  <c r="AQ870" i="3"/>
  <c r="AU870" i="3"/>
  <c r="D869" i="3"/>
  <c r="AT869" i="3" s="1" a="1"/>
  <c r="AT869" i="3" s="1"/>
  <c r="Q869" i="3"/>
  <c r="R869" i="3"/>
  <c r="T869" i="3"/>
  <c r="U869" i="3"/>
  <c r="AE869" i="3"/>
  <c r="AI869" i="3"/>
  <c r="AK869" i="3"/>
  <c r="AL869" i="3"/>
  <c r="AN869" i="3"/>
  <c r="AP869" i="3"/>
  <c r="AQ869" i="3"/>
  <c r="AU869" i="3"/>
  <c r="D868" i="3"/>
  <c r="W868" i="3" s="1"/>
  <c r="Q868" i="3"/>
  <c r="R868" i="3"/>
  <c r="T868" i="3"/>
  <c r="U868" i="3"/>
  <c r="AE868" i="3"/>
  <c r="AI868" i="3"/>
  <c r="AK868" i="3"/>
  <c r="AL868" i="3"/>
  <c r="AN868" i="3"/>
  <c r="AP868" i="3"/>
  <c r="AQ868" i="3"/>
  <c r="AU868" i="3"/>
  <c r="D867" i="3"/>
  <c r="W867" i="3" s="1"/>
  <c r="Q867" i="3"/>
  <c r="R867" i="3"/>
  <c r="AJ867" i="3" s="1"/>
  <c r="T867" i="3"/>
  <c r="U867" i="3"/>
  <c r="AE867" i="3"/>
  <c r="AX867" i="3" s="1"/>
  <c r="AI867" i="3"/>
  <c r="AK867" i="3"/>
  <c r="AL867" i="3"/>
  <c r="AN867" i="3"/>
  <c r="AP867" i="3"/>
  <c r="AQ867" i="3"/>
  <c r="AU867" i="3"/>
  <c r="D866" i="3"/>
  <c r="V866" i="3" s="1"/>
  <c r="Q866" i="3"/>
  <c r="R866" i="3"/>
  <c r="T866" i="3"/>
  <c r="U866" i="3"/>
  <c r="AE866" i="3"/>
  <c r="AX866" i="3" s="1"/>
  <c r="AI866" i="3"/>
  <c r="AK866" i="3"/>
  <c r="AL866" i="3"/>
  <c r="AN866" i="3"/>
  <c r="AP866" i="3"/>
  <c r="AQ866" i="3"/>
  <c r="AU866" i="3"/>
  <c r="D865" i="3"/>
  <c r="Z865" i="3" s="1"/>
  <c r="Q865" i="3"/>
  <c r="R865" i="3"/>
  <c r="AJ865" i="3" s="1"/>
  <c r="T865" i="3"/>
  <c r="U865" i="3"/>
  <c r="AE865" i="3"/>
  <c r="AX865" i="3" s="1"/>
  <c r="AI865" i="3"/>
  <c r="AK865" i="3"/>
  <c r="AL865" i="3"/>
  <c r="AN865" i="3"/>
  <c r="AP865" i="3"/>
  <c r="AQ865" i="3"/>
  <c r="AU865" i="3"/>
  <c r="D864" i="3"/>
  <c r="V864" i="3" s="1"/>
  <c r="Q864" i="3"/>
  <c r="R864" i="3"/>
  <c r="T864" i="3"/>
  <c r="U864" i="3"/>
  <c r="AE864" i="3"/>
  <c r="AX864" i="3" s="1"/>
  <c r="AI864" i="3"/>
  <c r="AK864" i="3"/>
  <c r="AL864" i="3"/>
  <c r="AN864" i="3"/>
  <c r="AP864" i="3"/>
  <c r="AQ864" i="3"/>
  <c r="AU864" i="3"/>
  <c r="D863" i="3"/>
  <c r="V863" i="3" s="1"/>
  <c r="Q863" i="3"/>
  <c r="R863" i="3"/>
  <c r="T863" i="3"/>
  <c r="U863" i="3"/>
  <c r="AE863" i="3"/>
  <c r="AX863" i="3" s="1"/>
  <c r="AI863" i="3"/>
  <c r="AK863" i="3"/>
  <c r="AL863" i="3"/>
  <c r="AN863" i="3"/>
  <c r="AP863" i="3"/>
  <c r="AQ863" i="3"/>
  <c r="AU863" i="3"/>
  <c r="D862" i="3"/>
  <c r="Z862" i="3" s="1"/>
  <c r="Q862" i="3"/>
  <c r="R862" i="3"/>
  <c r="T862" i="3"/>
  <c r="U862" i="3"/>
  <c r="AE862" i="3"/>
  <c r="AX862" i="3" s="1"/>
  <c r="AI862" i="3"/>
  <c r="AK862" i="3"/>
  <c r="AL862" i="3"/>
  <c r="AN862" i="3"/>
  <c r="AP862" i="3"/>
  <c r="AQ862" i="3"/>
  <c r="AU862" i="3"/>
  <c r="D861" i="3"/>
  <c r="Z861" i="3" s="1"/>
  <c r="Q861" i="3"/>
  <c r="R861" i="3"/>
  <c r="AJ861" i="3" s="1"/>
  <c r="T861" i="3"/>
  <c r="U861" i="3"/>
  <c r="AE861" i="3"/>
  <c r="AX861" i="3" s="1"/>
  <c r="AI861" i="3"/>
  <c r="AK861" i="3"/>
  <c r="AL861" i="3"/>
  <c r="AN861" i="3"/>
  <c r="AP861" i="3"/>
  <c r="AQ861" i="3"/>
  <c r="AU861" i="3"/>
  <c r="D860" i="3"/>
  <c r="W860" i="3" s="1"/>
  <c r="Q860" i="3"/>
  <c r="R860" i="3"/>
  <c r="T860" i="3"/>
  <c r="U860" i="3"/>
  <c r="AE860" i="3"/>
  <c r="AI860" i="3"/>
  <c r="AK860" i="3"/>
  <c r="AL860" i="3"/>
  <c r="AN860" i="3"/>
  <c r="AP860" i="3"/>
  <c r="AQ860" i="3"/>
  <c r="AU860" i="3"/>
  <c r="D859" i="3"/>
  <c r="W859" i="3" s="1"/>
  <c r="Q859" i="3"/>
  <c r="R859" i="3"/>
  <c r="AJ859" i="3" s="1"/>
  <c r="T859" i="3"/>
  <c r="U859" i="3"/>
  <c r="AE859" i="3"/>
  <c r="AX859" i="3" s="1"/>
  <c r="AI859" i="3"/>
  <c r="AK859" i="3"/>
  <c r="AL859" i="3"/>
  <c r="AN859" i="3"/>
  <c r="AP859" i="3"/>
  <c r="AQ859" i="3"/>
  <c r="AU859" i="3"/>
  <c r="D858" i="3"/>
  <c r="Z858" i="3" s="1"/>
  <c r="Q858" i="3"/>
  <c r="R858" i="3"/>
  <c r="T858" i="3"/>
  <c r="U858" i="3"/>
  <c r="AE858" i="3"/>
  <c r="AX858" i="3" s="1"/>
  <c r="AI858" i="3"/>
  <c r="AK858" i="3"/>
  <c r="AL858" i="3"/>
  <c r="AN858" i="3"/>
  <c r="AP858" i="3"/>
  <c r="AQ858" i="3"/>
  <c r="AU858" i="3"/>
  <c r="D857" i="3"/>
  <c r="V857" i="3" s="1"/>
  <c r="Q857" i="3"/>
  <c r="R857" i="3"/>
  <c r="T857" i="3"/>
  <c r="U857" i="3"/>
  <c r="AE857" i="3"/>
  <c r="AX857" i="3" s="1"/>
  <c r="AI857" i="3"/>
  <c r="AK857" i="3"/>
  <c r="AL857" i="3"/>
  <c r="AN857" i="3"/>
  <c r="AP857" i="3"/>
  <c r="AQ857" i="3"/>
  <c r="AU857" i="3"/>
  <c r="D856" i="3"/>
  <c r="AH856" i="3" s="1"/>
  <c r="Q856" i="3"/>
  <c r="R856" i="3"/>
  <c r="T856" i="3"/>
  <c r="U856" i="3"/>
  <c r="AE856" i="3"/>
  <c r="AX856" i="3" s="1"/>
  <c r="AI856" i="3"/>
  <c r="AK856" i="3"/>
  <c r="AL856" i="3"/>
  <c r="AN856" i="3"/>
  <c r="AP856" i="3"/>
  <c r="AQ856" i="3"/>
  <c r="AU856" i="3"/>
  <c r="D855" i="3"/>
  <c r="V855" i="3" s="1"/>
  <c r="Q855" i="3"/>
  <c r="R855" i="3"/>
  <c r="T855" i="3"/>
  <c r="U855" i="3"/>
  <c r="AE855" i="3"/>
  <c r="AX855" i="3" s="1"/>
  <c r="AI855" i="3"/>
  <c r="AK855" i="3"/>
  <c r="AL855" i="3"/>
  <c r="AN855" i="3"/>
  <c r="AP855" i="3"/>
  <c r="AQ855" i="3"/>
  <c r="AU855" i="3"/>
  <c r="D854" i="3"/>
  <c r="X854" i="3" s="1"/>
  <c r="Q854" i="3"/>
  <c r="R854" i="3"/>
  <c r="T854" i="3"/>
  <c r="U854" i="3"/>
  <c r="AE854" i="3"/>
  <c r="AX854" i="3" s="1"/>
  <c r="AI854" i="3"/>
  <c r="AK854" i="3"/>
  <c r="AL854" i="3"/>
  <c r="AN854" i="3"/>
  <c r="AP854" i="3"/>
  <c r="AQ854" i="3"/>
  <c r="AU854" i="3"/>
  <c r="Q853" i="3"/>
  <c r="R853" i="3"/>
  <c r="T853" i="3"/>
  <c r="U853" i="3"/>
  <c r="AE853" i="3"/>
  <c r="AX853" i="3" s="1"/>
  <c r="AI853" i="3"/>
  <c r="AK853" i="3"/>
  <c r="AL853" i="3"/>
  <c r="AN853" i="3"/>
  <c r="AP853" i="3"/>
  <c r="AQ853" i="3"/>
  <c r="D852" i="3"/>
  <c r="W852" i="3" s="1"/>
  <c r="Q852" i="3"/>
  <c r="R852" i="3"/>
  <c r="AJ852" i="3" s="1"/>
  <c r="T852" i="3"/>
  <c r="U852" i="3"/>
  <c r="AE852" i="3"/>
  <c r="AX852" i="3" s="1"/>
  <c r="AI852" i="3"/>
  <c r="AK852" i="3"/>
  <c r="AL852" i="3"/>
  <c r="AN852" i="3"/>
  <c r="AP852" i="3"/>
  <c r="AQ852" i="3"/>
  <c r="AU852" i="3"/>
  <c r="D851" i="3"/>
  <c r="W851" i="3" s="1"/>
  <c r="Q851" i="3"/>
  <c r="R851" i="3"/>
  <c r="T851" i="3"/>
  <c r="U851" i="3"/>
  <c r="AE851" i="3"/>
  <c r="AX851" i="3" s="1"/>
  <c r="AI851" i="3"/>
  <c r="AK851" i="3"/>
  <c r="AL851" i="3"/>
  <c r="AN851" i="3"/>
  <c r="AP851" i="3"/>
  <c r="AQ851" i="3"/>
  <c r="AU851" i="3"/>
  <c r="Q850" i="3"/>
  <c r="R850" i="3"/>
  <c r="T850" i="3"/>
  <c r="U850" i="3"/>
  <c r="AE850" i="3"/>
  <c r="AX850" i="3" s="1"/>
  <c r="AI850" i="3"/>
  <c r="AK850" i="3"/>
  <c r="AL850" i="3"/>
  <c r="AN850" i="3"/>
  <c r="AP850" i="3"/>
  <c r="AQ850" i="3"/>
  <c r="D849" i="3"/>
  <c r="Y849" i="3" s="1"/>
  <c r="Q849" i="3"/>
  <c r="R849" i="3"/>
  <c r="T849" i="3"/>
  <c r="U849" i="3"/>
  <c r="AE849" i="3"/>
  <c r="AX849" i="3" s="1"/>
  <c r="AI849" i="3"/>
  <c r="AK849" i="3"/>
  <c r="AL849" i="3"/>
  <c r="AN849" i="3"/>
  <c r="AP849" i="3"/>
  <c r="AQ849" i="3"/>
  <c r="AU849" i="3"/>
  <c r="N126" i="2"/>
  <c r="D848" i="3"/>
  <c r="W848" i="3" s="1"/>
  <c r="Q848" i="3"/>
  <c r="R848" i="3"/>
  <c r="T848" i="3"/>
  <c r="U848" i="3"/>
  <c r="AE848" i="3"/>
  <c r="AX848" i="3" s="1"/>
  <c r="AI848" i="3"/>
  <c r="AK848" i="3"/>
  <c r="AL848" i="3"/>
  <c r="AN848" i="3"/>
  <c r="AP848" i="3"/>
  <c r="AQ848" i="3"/>
  <c r="AU848" i="3"/>
  <c r="D847" i="3"/>
  <c r="V847" i="3" s="1"/>
  <c r="Q847" i="3"/>
  <c r="R847" i="3"/>
  <c r="T847" i="3"/>
  <c r="U847" i="3"/>
  <c r="AE847" i="3"/>
  <c r="AX847" i="3" s="1"/>
  <c r="AI847" i="3"/>
  <c r="AK847" i="3"/>
  <c r="AL847" i="3"/>
  <c r="AN847" i="3"/>
  <c r="AP847" i="3"/>
  <c r="AQ847" i="3"/>
  <c r="AU847" i="3"/>
  <c r="D846" i="3"/>
  <c r="X846" i="3" s="1"/>
  <c r="Q846" i="3"/>
  <c r="R846" i="3"/>
  <c r="T846" i="3"/>
  <c r="U846" i="3"/>
  <c r="AE846" i="3"/>
  <c r="AX846" i="3" s="1"/>
  <c r="AI846" i="3"/>
  <c r="AK846" i="3"/>
  <c r="AL846" i="3"/>
  <c r="AN846" i="3"/>
  <c r="AP846" i="3"/>
  <c r="AQ846" i="3"/>
  <c r="AU846" i="3"/>
  <c r="D845" i="3"/>
  <c r="Z845" i="3" s="1"/>
  <c r="Q845" i="3"/>
  <c r="R845" i="3"/>
  <c r="AJ845" i="3" s="1"/>
  <c r="T845" i="3"/>
  <c r="U845" i="3"/>
  <c r="AE845" i="3"/>
  <c r="AX845" i="3" s="1"/>
  <c r="AI845" i="3"/>
  <c r="AK845" i="3"/>
  <c r="AL845" i="3"/>
  <c r="AN845" i="3"/>
  <c r="AP845" i="3"/>
  <c r="AQ845" i="3"/>
  <c r="AU845" i="3"/>
  <c r="D844" i="3"/>
  <c r="V844" i="3" s="1"/>
  <c r="Q844" i="3"/>
  <c r="R844" i="3"/>
  <c r="T844" i="3"/>
  <c r="U844" i="3"/>
  <c r="AE844" i="3"/>
  <c r="AX844" i="3" s="1"/>
  <c r="AI844" i="3"/>
  <c r="AK844" i="3"/>
  <c r="AL844" i="3"/>
  <c r="AN844" i="3"/>
  <c r="AP844" i="3"/>
  <c r="AQ844" i="3"/>
  <c r="AU844" i="3"/>
  <c r="D843" i="3"/>
  <c r="Q843" i="3"/>
  <c r="R843" i="3"/>
  <c r="T843" i="3"/>
  <c r="U843" i="3"/>
  <c r="AE843" i="3"/>
  <c r="AX843" i="3" s="1"/>
  <c r="AI843" i="3"/>
  <c r="AK843" i="3"/>
  <c r="AL843" i="3"/>
  <c r="AN843" i="3"/>
  <c r="AP843" i="3"/>
  <c r="AQ843" i="3"/>
  <c r="AU843" i="3"/>
  <c r="D842" i="3"/>
  <c r="AS842" i="3" s="1" a="1"/>
  <c r="AS842" i="3" s="1"/>
  <c r="Q842" i="3"/>
  <c r="R842" i="3"/>
  <c r="AJ842" i="3" s="1"/>
  <c r="T842" i="3"/>
  <c r="U842" i="3"/>
  <c r="AE842" i="3"/>
  <c r="AX842" i="3" s="1"/>
  <c r="AI842" i="3"/>
  <c r="AK842" i="3"/>
  <c r="AL842" i="3"/>
  <c r="AN842" i="3"/>
  <c r="AP842" i="3"/>
  <c r="AQ842" i="3"/>
  <c r="AU842" i="3"/>
  <c r="N115" i="2"/>
  <c r="N116" i="2"/>
  <c r="N117" i="2"/>
  <c r="N118" i="2"/>
  <c r="N119" i="2"/>
  <c r="N120" i="2"/>
  <c r="N121" i="2"/>
  <c r="N122" i="2"/>
  <c r="N123" i="2"/>
  <c r="N124" i="2"/>
  <c r="N125" i="2"/>
  <c r="D841" i="3"/>
  <c r="AS841" i="3" s="1" a="1"/>
  <c r="AS841" i="3" s="1"/>
  <c r="Q841" i="3"/>
  <c r="R841" i="3"/>
  <c r="T841" i="3"/>
  <c r="U841" i="3"/>
  <c r="AE841" i="3"/>
  <c r="AX841" i="3" s="1"/>
  <c r="AI841" i="3"/>
  <c r="AK841" i="3"/>
  <c r="AL841" i="3"/>
  <c r="AN841" i="3"/>
  <c r="AP841" i="3"/>
  <c r="AQ841" i="3"/>
  <c r="AU841" i="3"/>
  <c r="D840" i="3"/>
  <c r="AT840" i="3" s="1" a="1"/>
  <c r="AT840" i="3" s="1"/>
  <c r="Q840" i="3"/>
  <c r="R840" i="3"/>
  <c r="T840" i="3"/>
  <c r="U840" i="3"/>
  <c r="AE840" i="3"/>
  <c r="AX840" i="3" s="1"/>
  <c r="AI840" i="3"/>
  <c r="AK840" i="3"/>
  <c r="AL840" i="3"/>
  <c r="AN840" i="3"/>
  <c r="AP840" i="3"/>
  <c r="AQ840" i="3"/>
  <c r="AU840" i="3"/>
  <c r="AL3" i="3"/>
  <c r="AL4" i="3"/>
  <c r="AL5" i="3"/>
  <c r="AL6" i="3"/>
  <c r="AL7" i="3"/>
  <c r="AL8" i="3"/>
  <c r="AL9" i="3"/>
  <c r="AL10" i="3"/>
  <c r="AL11" i="3"/>
  <c r="AL12" i="3"/>
  <c r="AL13" i="3"/>
  <c r="AL14" i="3"/>
  <c r="AL15" i="3"/>
  <c r="AL16" i="3"/>
  <c r="AL17" i="3"/>
  <c r="AL18" i="3"/>
  <c r="AL19" i="3"/>
  <c r="AL20" i="3"/>
  <c r="AL21" i="3"/>
  <c r="AL22" i="3"/>
  <c r="AL23" i="3"/>
  <c r="AL24" i="3"/>
  <c r="AL25" i="3"/>
  <c r="AL26" i="3"/>
  <c r="AL27" i="3"/>
  <c r="AL28" i="3"/>
  <c r="AL29" i="3"/>
  <c r="AL30" i="3"/>
  <c r="AL31" i="3"/>
  <c r="AL32" i="3"/>
  <c r="AL33" i="3"/>
  <c r="AL34" i="3"/>
  <c r="AL35" i="3"/>
  <c r="AL36" i="3"/>
  <c r="AL37" i="3"/>
  <c r="AL38" i="3"/>
  <c r="AL39" i="3"/>
  <c r="AL40" i="3"/>
  <c r="AL41" i="3"/>
  <c r="AL42" i="3"/>
  <c r="AL43" i="3"/>
  <c r="AL44" i="3"/>
  <c r="AL45" i="3"/>
  <c r="AL46" i="3"/>
  <c r="AL47" i="3"/>
  <c r="AL48" i="3"/>
  <c r="AL49" i="3"/>
  <c r="AL50" i="3"/>
  <c r="AL51" i="3"/>
  <c r="AL52" i="3"/>
  <c r="AL53" i="3"/>
  <c r="AL54" i="3"/>
  <c r="AL55" i="3"/>
  <c r="AL56" i="3"/>
  <c r="AL57" i="3"/>
  <c r="AL58" i="3"/>
  <c r="AL59" i="3"/>
  <c r="AL60" i="3"/>
  <c r="AL61" i="3"/>
  <c r="AL62" i="3"/>
  <c r="AL63" i="3"/>
  <c r="AL64" i="3"/>
  <c r="AL65" i="3"/>
  <c r="AL66" i="3"/>
  <c r="AL67" i="3"/>
  <c r="AL68" i="3"/>
  <c r="AL69" i="3"/>
  <c r="AL70" i="3"/>
  <c r="AL71" i="3"/>
  <c r="AL72" i="3"/>
  <c r="AL73" i="3"/>
  <c r="AL74" i="3"/>
  <c r="AL75" i="3"/>
  <c r="AL76" i="3"/>
  <c r="AL77" i="3"/>
  <c r="AL78" i="3"/>
  <c r="AL79" i="3"/>
  <c r="AL80" i="3"/>
  <c r="AL81" i="3"/>
  <c r="AL82" i="3"/>
  <c r="AL83" i="3"/>
  <c r="AL84" i="3"/>
  <c r="AL85" i="3"/>
  <c r="AL86" i="3"/>
  <c r="AL87" i="3"/>
  <c r="AL88" i="3"/>
  <c r="AL89" i="3"/>
  <c r="AL90" i="3"/>
  <c r="AL91" i="3"/>
  <c r="AL92" i="3"/>
  <c r="AL93" i="3"/>
  <c r="AL94" i="3"/>
  <c r="AL95" i="3"/>
  <c r="AL96" i="3"/>
  <c r="AL97" i="3"/>
  <c r="AL98" i="3"/>
  <c r="AL99" i="3"/>
  <c r="AL100" i="3"/>
  <c r="AL101" i="3"/>
  <c r="AL102" i="3"/>
  <c r="AL103" i="3"/>
  <c r="AL104" i="3"/>
  <c r="AL105" i="3"/>
  <c r="AL106" i="3"/>
  <c r="AL107" i="3"/>
  <c r="AL108" i="3"/>
  <c r="AL109" i="3"/>
  <c r="AL110" i="3"/>
  <c r="AL111" i="3"/>
  <c r="AL112" i="3"/>
  <c r="AL113" i="3"/>
  <c r="AL114" i="3"/>
  <c r="AL115" i="3"/>
  <c r="AL116" i="3"/>
  <c r="AL117" i="3"/>
  <c r="AL118" i="3"/>
  <c r="AL119" i="3"/>
  <c r="AL120" i="3"/>
  <c r="AL121" i="3"/>
  <c r="AL122" i="3"/>
  <c r="AL123" i="3"/>
  <c r="AL124" i="3"/>
  <c r="AL125" i="3"/>
  <c r="AL126" i="3"/>
  <c r="AL127" i="3"/>
  <c r="AL128" i="3"/>
  <c r="AL129" i="3"/>
  <c r="AL130" i="3"/>
  <c r="AL131" i="3"/>
  <c r="AL132" i="3"/>
  <c r="AL133" i="3"/>
  <c r="AL134" i="3"/>
  <c r="AL135" i="3"/>
  <c r="AL136" i="3"/>
  <c r="AL137" i="3"/>
  <c r="AL138" i="3"/>
  <c r="AL139" i="3"/>
  <c r="AL140" i="3"/>
  <c r="AL141" i="3"/>
  <c r="AL142" i="3"/>
  <c r="AL143" i="3"/>
  <c r="AL144" i="3"/>
  <c r="AL145" i="3"/>
  <c r="AL146" i="3"/>
  <c r="AL147" i="3"/>
  <c r="AL148" i="3"/>
  <c r="AL149" i="3"/>
  <c r="AL150" i="3"/>
  <c r="AL151" i="3"/>
  <c r="AL152" i="3"/>
  <c r="AL153" i="3"/>
  <c r="AL154" i="3"/>
  <c r="AL155" i="3"/>
  <c r="AL156" i="3"/>
  <c r="AL157" i="3"/>
  <c r="AL158" i="3"/>
  <c r="AL159" i="3"/>
  <c r="AL160" i="3"/>
  <c r="AL161" i="3"/>
  <c r="AL162" i="3"/>
  <c r="AL163" i="3"/>
  <c r="AL164" i="3"/>
  <c r="AL165" i="3"/>
  <c r="AL166" i="3"/>
  <c r="AL167" i="3"/>
  <c r="AL168" i="3"/>
  <c r="AL169" i="3"/>
  <c r="AL170" i="3"/>
  <c r="AL171" i="3"/>
  <c r="AL172" i="3"/>
  <c r="AL173" i="3"/>
  <c r="AL174" i="3"/>
  <c r="AL175" i="3"/>
  <c r="AL176" i="3"/>
  <c r="AL177" i="3"/>
  <c r="AL178" i="3"/>
  <c r="AL179" i="3"/>
  <c r="AL180" i="3"/>
  <c r="AL181" i="3"/>
  <c r="AL182" i="3"/>
  <c r="AL183" i="3"/>
  <c r="AL184" i="3"/>
  <c r="AL185" i="3"/>
  <c r="AL186" i="3"/>
  <c r="AL187" i="3"/>
  <c r="AL188" i="3"/>
  <c r="AL189" i="3"/>
  <c r="AL190" i="3"/>
  <c r="AL191" i="3"/>
  <c r="AL192" i="3"/>
  <c r="AL193" i="3"/>
  <c r="AL194" i="3"/>
  <c r="AL195" i="3"/>
  <c r="AL196" i="3"/>
  <c r="AL197" i="3"/>
  <c r="AL198" i="3"/>
  <c r="AL199" i="3"/>
  <c r="AL200" i="3"/>
  <c r="AL201" i="3"/>
  <c r="AL202" i="3"/>
  <c r="AL203" i="3"/>
  <c r="AL204" i="3"/>
  <c r="AL205" i="3"/>
  <c r="AL206" i="3"/>
  <c r="AL207" i="3"/>
  <c r="AL208" i="3"/>
  <c r="AL209" i="3"/>
  <c r="AL210" i="3"/>
  <c r="AL211" i="3"/>
  <c r="AL212" i="3"/>
  <c r="AL213" i="3"/>
  <c r="AL214" i="3"/>
  <c r="AL215" i="3"/>
  <c r="AL216" i="3"/>
  <c r="AL217" i="3"/>
  <c r="AL218" i="3"/>
  <c r="AL219" i="3"/>
  <c r="AL220" i="3"/>
  <c r="AL221" i="3"/>
  <c r="AL222" i="3"/>
  <c r="AL223" i="3"/>
  <c r="AL224" i="3"/>
  <c r="AL225" i="3"/>
  <c r="AL226" i="3"/>
  <c r="AL227" i="3"/>
  <c r="AL228" i="3"/>
  <c r="AL229" i="3"/>
  <c r="AL230" i="3"/>
  <c r="AL231" i="3"/>
  <c r="AL232" i="3"/>
  <c r="AL233" i="3"/>
  <c r="AL234" i="3"/>
  <c r="AL235" i="3"/>
  <c r="AL236" i="3"/>
  <c r="AL237" i="3"/>
  <c r="AL238" i="3"/>
  <c r="AL239" i="3"/>
  <c r="AL240" i="3"/>
  <c r="AL241" i="3"/>
  <c r="AL242" i="3"/>
  <c r="AL243" i="3"/>
  <c r="AL244" i="3"/>
  <c r="AL245" i="3"/>
  <c r="AL246" i="3"/>
  <c r="AL247" i="3"/>
  <c r="AL248" i="3"/>
  <c r="AL249" i="3"/>
  <c r="AL250" i="3"/>
  <c r="AL251" i="3"/>
  <c r="AL252" i="3"/>
  <c r="AL253" i="3"/>
  <c r="AL254" i="3"/>
  <c r="AL255" i="3"/>
  <c r="AL256" i="3"/>
  <c r="AL257" i="3"/>
  <c r="AL258" i="3"/>
  <c r="AL259" i="3"/>
  <c r="AL260" i="3"/>
  <c r="AL261" i="3"/>
  <c r="AL262" i="3"/>
  <c r="AL263" i="3"/>
  <c r="AL264" i="3"/>
  <c r="AL265" i="3"/>
  <c r="AL266" i="3"/>
  <c r="AL267" i="3"/>
  <c r="AL268" i="3"/>
  <c r="AL269" i="3"/>
  <c r="AL270" i="3"/>
  <c r="AL271" i="3"/>
  <c r="AL272" i="3"/>
  <c r="AL273" i="3"/>
  <c r="AL274" i="3"/>
  <c r="AL275" i="3"/>
  <c r="AL276" i="3"/>
  <c r="AL277" i="3"/>
  <c r="AL278" i="3"/>
  <c r="AL279" i="3"/>
  <c r="AL280" i="3"/>
  <c r="AL281" i="3"/>
  <c r="AL282" i="3"/>
  <c r="AL283" i="3"/>
  <c r="AL284" i="3"/>
  <c r="AL285" i="3"/>
  <c r="AL286" i="3"/>
  <c r="AL287" i="3"/>
  <c r="AL288" i="3"/>
  <c r="AL289" i="3"/>
  <c r="AL290" i="3"/>
  <c r="AL291" i="3"/>
  <c r="AL292" i="3"/>
  <c r="AL293" i="3"/>
  <c r="AL294" i="3"/>
  <c r="AL295" i="3"/>
  <c r="AL296" i="3"/>
  <c r="AL297" i="3"/>
  <c r="AL298" i="3"/>
  <c r="AL299" i="3"/>
  <c r="AL300" i="3"/>
  <c r="AL301" i="3"/>
  <c r="AL302" i="3"/>
  <c r="AL303" i="3"/>
  <c r="AL304" i="3"/>
  <c r="AL305" i="3"/>
  <c r="AL306" i="3"/>
  <c r="AL307" i="3"/>
  <c r="AL308" i="3"/>
  <c r="AL309" i="3"/>
  <c r="AL310" i="3"/>
  <c r="AL311" i="3"/>
  <c r="AL312" i="3"/>
  <c r="AL313" i="3"/>
  <c r="AL314" i="3"/>
  <c r="AL315" i="3"/>
  <c r="AL316" i="3"/>
  <c r="AL317" i="3"/>
  <c r="AL318" i="3"/>
  <c r="AL319" i="3"/>
  <c r="AL320" i="3"/>
  <c r="AL321" i="3"/>
  <c r="AL322" i="3"/>
  <c r="AL323" i="3"/>
  <c r="AL324" i="3"/>
  <c r="AL325" i="3"/>
  <c r="AL326" i="3"/>
  <c r="AL327" i="3"/>
  <c r="AL328" i="3"/>
  <c r="AL329" i="3"/>
  <c r="AL330" i="3"/>
  <c r="AL331" i="3"/>
  <c r="AL332" i="3"/>
  <c r="AL333" i="3"/>
  <c r="AL334" i="3"/>
  <c r="AL335" i="3"/>
  <c r="AL336" i="3"/>
  <c r="AL337" i="3"/>
  <c r="AL338" i="3"/>
  <c r="AL339" i="3"/>
  <c r="AL340" i="3"/>
  <c r="AL341" i="3"/>
  <c r="AL342" i="3"/>
  <c r="AL343" i="3"/>
  <c r="AL344" i="3"/>
  <c r="AL345" i="3"/>
  <c r="AL346" i="3"/>
  <c r="AL347" i="3"/>
  <c r="AL348" i="3"/>
  <c r="AL349" i="3"/>
  <c r="AL350" i="3"/>
  <c r="AL351" i="3"/>
  <c r="AL352" i="3"/>
  <c r="AL353" i="3"/>
  <c r="AL354" i="3"/>
  <c r="AL355" i="3"/>
  <c r="AL356" i="3"/>
  <c r="AL357" i="3"/>
  <c r="AL358" i="3"/>
  <c r="AL359" i="3"/>
  <c r="AL360" i="3"/>
  <c r="AL361" i="3"/>
  <c r="AL362" i="3"/>
  <c r="AL363" i="3"/>
  <c r="AL364" i="3"/>
  <c r="AL365" i="3"/>
  <c r="AL366" i="3"/>
  <c r="AL367" i="3"/>
  <c r="AL368" i="3"/>
  <c r="AL369" i="3"/>
  <c r="AL370" i="3"/>
  <c r="AL371" i="3"/>
  <c r="AL372" i="3"/>
  <c r="AL373" i="3"/>
  <c r="AL374" i="3"/>
  <c r="AL375" i="3"/>
  <c r="AL376" i="3"/>
  <c r="AL377" i="3"/>
  <c r="AL378" i="3"/>
  <c r="AL379" i="3"/>
  <c r="AL380" i="3"/>
  <c r="AL381" i="3"/>
  <c r="AL382" i="3"/>
  <c r="AL383" i="3"/>
  <c r="AL384" i="3"/>
  <c r="AL385" i="3"/>
  <c r="AL386" i="3"/>
  <c r="AL387" i="3"/>
  <c r="AL388" i="3"/>
  <c r="AL389" i="3"/>
  <c r="AL390" i="3"/>
  <c r="AL391" i="3"/>
  <c r="AL392" i="3"/>
  <c r="AL393" i="3"/>
  <c r="AL394" i="3"/>
  <c r="AL395" i="3"/>
  <c r="AL396" i="3"/>
  <c r="AL397" i="3"/>
  <c r="AL398" i="3"/>
  <c r="AL399" i="3"/>
  <c r="AL400" i="3"/>
  <c r="AL401" i="3"/>
  <c r="AL402" i="3"/>
  <c r="AL403" i="3"/>
  <c r="AL404" i="3"/>
  <c r="AL405" i="3"/>
  <c r="AL406" i="3"/>
  <c r="AL407" i="3"/>
  <c r="AL408" i="3"/>
  <c r="AL409" i="3"/>
  <c r="AL410" i="3"/>
  <c r="AL411" i="3"/>
  <c r="AL412" i="3"/>
  <c r="AL413" i="3"/>
  <c r="AL414" i="3"/>
  <c r="AL415" i="3"/>
  <c r="AL416" i="3"/>
  <c r="AL417" i="3"/>
  <c r="AL418" i="3"/>
  <c r="AL419" i="3"/>
  <c r="AL420" i="3"/>
  <c r="AL421" i="3"/>
  <c r="AL422" i="3"/>
  <c r="AL423" i="3"/>
  <c r="AL424" i="3"/>
  <c r="AL425" i="3"/>
  <c r="AL426" i="3"/>
  <c r="AL427" i="3"/>
  <c r="AL428" i="3"/>
  <c r="AL429" i="3"/>
  <c r="AL430" i="3"/>
  <c r="AL431" i="3"/>
  <c r="AL432" i="3"/>
  <c r="AL433" i="3"/>
  <c r="AL434" i="3"/>
  <c r="AL435" i="3"/>
  <c r="AL436" i="3"/>
  <c r="AL437" i="3"/>
  <c r="AL438" i="3"/>
  <c r="AL439" i="3"/>
  <c r="AL440" i="3"/>
  <c r="AL441" i="3"/>
  <c r="AL442" i="3"/>
  <c r="AL443" i="3"/>
  <c r="AL444" i="3"/>
  <c r="AL445" i="3"/>
  <c r="AL446" i="3"/>
  <c r="AL447" i="3"/>
  <c r="AL448" i="3"/>
  <c r="AL449" i="3"/>
  <c r="AL450" i="3"/>
  <c r="AL451" i="3"/>
  <c r="AL452" i="3"/>
  <c r="AL453" i="3"/>
  <c r="AL454" i="3"/>
  <c r="AL455" i="3"/>
  <c r="AL456" i="3"/>
  <c r="AL457" i="3"/>
  <c r="AL458" i="3"/>
  <c r="AL459" i="3"/>
  <c r="AL460" i="3"/>
  <c r="AL461" i="3"/>
  <c r="AL462" i="3"/>
  <c r="AL463" i="3"/>
  <c r="AL464" i="3"/>
  <c r="AL465" i="3"/>
  <c r="AL466" i="3"/>
  <c r="AL467" i="3"/>
  <c r="AL468" i="3"/>
  <c r="AL469" i="3"/>
  <c r="AL470" i="3"/>
  <c r="AL471" i="3"/>
  <c r="AL472" i="3"/>
  <c r="AL473" i="3"/>
  <c r="AL474" i="3"/>
  <c r="AL475" i="3"/>
  <c r="AL476" i="3"/>
  <c r="AL477" i="3"/>
  <c r="AL478" i="3"/>
  <c r="AL479" i="3"/>
  <c r="AL480" i="3"/>
  <c r="AL481" i="3"/>
  <c r="AL482" i="3"/>
  <c r="AL483" i="3"/>
  <c r="AL484" i="3"/>
  <c r="AL485" i="3"/>
  <c r="AL486" i="3"/>
  <c r="AL487" i="3"/>
  <c r="AL488" i="3"/>
  <c r="AL489" i="3"/>
  <c r="AL490" i="3"/>
  <c r="AL491" i="3"/>
  <c r="AL492" i="3"/>
  <c r="AL493" i="3"/>
  <c r="AL494" i="3"/>
  <c r="AL495" i="3"/>
  <c r="AL496" i="3"/>
  <c r="AL497" i="3"/>
  <c r="AL498" i="3"/>
  <c r="AL499" i="3"/>
  <c r="AL500" i="3"/>
  <c r="AL501" i="3"/>
  <c r="AL502" i="3"/>
  <c r="AL503" i="3"/>
  <c r="AL504" i="3"/>
  <c r="AL505" i="3"/>
  <c r="AL506" i="3"/>
  <c r="AL507" i="3"/>
  <c r="AL508" i="3"/>
  <c r="AL509" i="3"/>
  <c r="AL510" i="3"/>
  <c r="AL511" i="3"/>
  <c r="AL512" i="3"/>
  <c r="AL513" i="3"/>
  <c r="AL514" i="3"/>
  <c r="AL515" i="3"/>
  <c r="AL516" i="3"/>
  <c r="AL517" i="3"/>
  <c r="AL518" i="3"/>
  <c r="AL519" i="3"/>
  <c r="AL520" i="3"/>
  <c r="AL521" i="3"/>
  <c r="AL522" i="3"/>
  <c r="AL523" i="3"/>
  <c r="AL524" i="3"/>
  <c r="AL525" i="3"/>
  <c r="AL526" i="3"/>
  <c r="AL527" i="3"/>
  <c r="AL528" i="3"/>
  <c r="AL529" i="3"/>
  <c r="AL530" i="3"/>
  <c r="AL531" i="3"/>
  <c r="AL532" i="3"/>
  <c r="AL533" i="3"/>
  <c r="AL534" i="3"/>
  <c r="AL535" i="3"/>
  <c r="AL536" i="3"/>
  <c r="AL537" i="3"/>
  <c r="AL538" i="3"/>
  <c r="AL539" i="3"/>
  <c r="AL540" i="3"/>
  <c r="AL541" i="3"/>
  <c r="AL542" i="3"/>
  <c r="AL543" i="3"/>
  <c r="AL544" i="3"/>
  <c r="AL545" i="3"/>
  <c r="AL546" i="3"/>
  <c r="AL547" i="3"/>
  <c r="AL548" i="3"/>
  <c r="AL549" i="3"/>
  <c r="AL550" i="3"/>
  <c r="AL551" i="3"/>
  <c r="AL552" i="3"/>
  <c r="AL553" i="3"/>
  <c r="AL554" i="3"/>
  <c r="AL555" i="3"/>
  <c r="AL556" i="3"/>
  <c r="AL557" i="3"/>
  <c r="AL558" i="3"/>
  <c r="AL559" i="3"/>
  <c r="AL560" i="3"/>
  <c r="AL561" i="3"/>
  <c r="AL562" i="3"/>
  <c r="AL563" i="3"/>
  <c r="AL564" i="3"/>
  <c r="AL565" i="3"/>
  <c r="AL566" i="3"/>
  <c r="AL567" i="3"/>
  <c r="AL568" i="3"/>
  <c r="AL569" i="3"/>
  <c r="AL570" i="3"/>
  <c r="AL571" i="3"/>
  <c r="AL572" i="3"/>
  <c r="AL573" i="3"/>
  <c r="AL574" i="3"/>
  <c r="AL575" i="3"/>
  <c r="AL576" i="3"/>
  <c r="AL577" i="3"/>
  <c r="AL578" i="3"/>
  <c r="AL579" i="3"/>
  <c r="AL580" i="3"/>
  <c r="AL581" i="3"/>
  <c r="AL582" i="3"/>
  <c r="AL583" i="3"/>
  <c r="AL584" i="3"/>
  <c r="AL585" i="3"/>
  <c r="AL586" i="3"/>
  <c r="AL587" i="3"/>
  <c r="AL588" i="3"/>
  <c r="AL589" i="3"/>
  <c r="AL590" i="3"/>
  <c r="AL591" i="3"/>
  <c r="AL592" i="3"/>
  <c r="AL593" i="3"/>
  <c r="AL594" i="3"/>
  <c r="AL595" i="3"/>
  <c r="AL596" i="3"/>
  <c r="AL597" i="3"/>
  <c r="AL598" i="3"/>
  <c r="AL599" i="3"/>
  <c r="AL600" i="3"/>
  <c r="AL601" i="3"/>
  <c r="AL602" i="3"/>
  <c r="AL603" i="3"/>
  <c r="AL604" i="3"/>
  <c r="AL605" i="3"/>
  <c r="AL606" i="3"/>
  <c r="AL607" i="3"/>
  <c r="AL608" i="3"/>
  <c r="AL609" i="3"/>
  <c r="AL610" i="3"/>
  <c r="AL611" i="3"/>
  <c r="AL612" i="3"/>
  <c r="AL613" i="3"/>
  <c r="AL614" i="3"/>
  <c r="AL615" i="3"/>
  <c r="AL616" i="3"/>
  <c r="AL617" i="3"/>
  <c r="AL618" i="3"/>
  <c r="AL619" i="3"/>
  <c r="AL620" i="3"/>
  <c r="AL621" i="3"/>
  <c r="AL622" i="3"/>
  <c r="AL623" i="3"/>
  <c r="AL624" i="3"/>
  <c r="AL625" i="3"/>
  <c r="AL626" i="3"/>
  <c r="AL627" i="3"/>
  <c r="AL628" i="3"/>
  <c r="AL629" i="3"/>
  <c r="AL630" i="3"/>
  <c r="AL631" i="3"/>
  <c r="AL632" i="3"/>
  <c r="AL633" i="3"/>
  <c r="AL634" i="3"/>
  <c r="AL635" i="3"/>
  <c r="AL636" i="3"/>
  <c r="AL637" i="3"/>
  <c r="AL638" i="3"/>
  <c r="AL639" i="3"/>
  <c r="AL640" i="3"/>
  <c r="AL641" i="3"/>
  <c r="AL642" i="3"/>
  <c r="AL643" i="3"/>
  <c r="AL644" i="3"/>
  <c r="AL645" i="3"/>
  <c r="AL646" i="3"/>
  <c r="AL647" i="3"/>
  <c r="AL648" i="3"/>
  <c r="AL649" i="3"/>
  <c r="AL650" i="3"/>
  <c r="AL651" i="3"/>
  <c r="AL652" i="3"/>
  <c r="AL653" i="3"/>
  <c r="AL654" i="3"/>
  <c r="AL655" i="3"/>
  <c r="AL656" i="3"/>
  <c r="AL657" i="3"/>
  <c r="AL658" i="3"/>
  <c r="AL659" i="3"/>
  <c r="AL660" i="3"/>
  <c r="AL661" i="3"/>
  <c r="AL662" i="3"/>
  <c r="AL663" i="3"/>
  <c r="AL664" i="3"/>
  <c r="AL665" i="3"/>
  <c r="AL666" i="3"/>
  <c r="AL667" i="3"/>
  <c r="AL668" i="3"/>
  <c r="AL669" i="3"/>
  <c r="AL670" i="3"/>
  <c r="AL671" i="3"/>
  <c r="AL672" i="3"/>
  <c r="AL673" i="3"/>
  <c r="AL674" i="3"/>
  <c r="AL675" i="3"/>
  <c r="AL676" i="3"/>
  <c r="AL677" i="3"/>
  <c r="AL678" i="3"/>
  <c r="AL679" i="3"/>
  <c r="AL680" i="3"/>
  <c r="AL681" i="3"/>
  <c r="AL682" i="3"/>
  <c r="AL683" i="3"/>
  <c r="AL684" i="3"/>
  <c r="AL685" i="3"/>
  <c r="AL686" i="3"/>
  <c r="AL687" i="3"/>
  <c r="AL688" i="3"/>
  <c r="AL689" i="3"/>
  <c r="AL690" i="3"/>
  <c r="AL691" i="3"/>
  <c r="AL692" i="3"/>
  <c r="AL693" i="3"/>
  <c r="AL694" i="3"/>
  <c r="AL695" i="3"/>
  <c r="AL696" i="3"/>
  <c r="AL697" i="3"/>
  <c r="AL698" i="3"/>
  <c r="AL699" i="3"/>
  <c r="AL700" i="3"/>
  <c r="AL701" i="3"/>
  <c r="AL702" i="3"/>
  <c r="AL703" i="3"/>
  <c r="AL704" i="3"/>
  <c r="AL705" i="3"/>
  <c r="AL706" i="3"/>
  <c r="AL707" i="3"/>
  <c r="AL708" i="3"/>
  <c r="AL709" i="3"/>
  <c r="AL710" i="3"/>
  <c r="AL711" i="3"/>
  <c r="AL712" i="3"/>
  <c r="AL713" i="3"/>
  <c r="AL714" i="3"/>
  <c r="AL715" i="3"/>
  <c r="AL716" i="3"/>
  <c r="AL717" i="3"/>
  <c r="AL718" i="3"/>
  <c r="AL719" i="3"/>
  <c r="AL720" i="3"/>
  <c r="AL721" i="3"/>
  <c r="AL722" i="3"/>
  <c r="AL723" i="3"/>
  <c r="AL724" i="3"/>
  <c r="AL725" i="3"/>
  <c r="AL726" i="3"/>
  <c r="AL727" i="3"/>
  <c r="AL728" i="3"/>
  <c r="AL729" i="3"/>
  <c r="AL730" i="3"/>
  <c r="AL731" i="3"/>
  <c r="AL732" i="3"/>
  <c r="AL733" i="3"/>
  <c r="AL734" i="3"/>
  <c r="AL735" i="3"/>
  <c r="AL736" i="3"/>
  <c r="AL737" i="3"/>
  <c r="AL738" i="3"/>
  <c r="AL739" i="3"/>
  <c r="AL740" i="3"/>
  <c r="AL741" i="3"/>
  <c r="AL742" i="3"/>
  <c r="AL743" i="3"/>
  <c r="AL744" i="3"/>
  <c r="AL745" i="3"/>
  <c r="AL746" i="3"/>
  <c r="AL747" i="3"/>
  <c r="AL748" i="3"/>
  <c r="AL749" i="3"/>
  <c r="AL750" i="3"/>
  <c r="AL751" i="3"/>
  <c r="AL752" i="3"/>
  <c r="AL753" i="3"/>
  <c r="AL754" i="3"/>
  <c r="AL755" i="3"/>
  <c r="AL756" i="3"/>
  <c r="AL757" i="3"/>
  <c r="AL758" i="3"/>
  <c r="AL759" i="3"/>
  <c r="AL760" i="3"/>
  <c r="AL761" i="3"/>
  <c r="AL762" i="3"/>
  <c r="AL763" i="3"/>
  <c r="AL764" i="3"/>
  <c r="AL765" i="3"/>
  <c r="AL766" i="3"/>
  <c r="AL767" i="3"/>
  <c r="AL768" i="3"/>
  <c r="AL769" i="3"/>
  <c r="AL770" i="3"/>
  <c r="AL771" i="3"/>
  <c r="AL772" i="3"/>
  <c r="AL773" i="3"/>
  <c r="AL774" i="3"/>
  <c r="AL775" i="3"/>
  <c r="AL776" i="3"/>
  <c r="AL777" i="3"/>
  <c r="AL778" i="3"/>
  <c r="AL779" i="3"/>
  <c r="AL780" i="3"/>
  <c r="AL781" i="3"/>
  <c r="AL782" i="3"/>
  <c r="AL783" i="3"/>
  <c r="AL784" i="3"/>
  <c r="AL785" i="3"/>
  <c r="AL786" i="3"/>
  <c r="AL787" i="3"/>
  <c r="AL788" i="3"/>
  <c r="AL789" i="3"/>
  <c r="AL790" i="3"/>
  <c r="AL791" i="3"/>
  <c r="AL792" i="3"/>
  <c r="AL793" i="3"/>
  <c r="AL794" i="3"/>
  <c r="AL795" i="3"/>
  <c r="AL796" i="3"/>
  <c r="AL797" i="3"/>
  <c r="AL798" i="3"/>
  <c r="AL799" i="3"/>
  <c r="AL800" i="3"/>
  <c r="AL801" i="3"/>
  <c r="AL802" i="3"/>
  <c r="AL803" i="3"/>
  <c r="AL804" i="3"/>
  <c r="AL805" i="3"/>
  <c r="AL806" i="3"/>
  <c r="AL807" i="3"/>
  <c r="AL808" i="3"/>
  <c r="AL809" i="3"/>
  <c r="AL810" i="3"/>
  <c r="AL811" i="3"/>
  <c r="AL812" i="3"/>
  <c r="AL813" i="3"/>
  <c r="AL814" i="3"/>
  <c r="AL815" i="3"/>
  <c r="AL816" i="3"/>
  <c r="AL817" i="3"/>
  <c r="AL818" i="3"/>
  <c r="AL819" i="3"/>
  <c r="AL820" i="3"/>
  <c r="AL821" i="3"/>
  <c r="AL822" i="3"/>
  <c r="AL823" i="3"/>
  <c r="AL824" i="3"/>
  <c r="AL825" i="3"/>
  <c r="AL826" i="3"/>
  <c r="AL827" i="3"/>
  <c r="AL828" i="3"/>
  <c r="AL829" i="3"/>
  <c r="AL830" i="3"/>
  <c r="AL831" i="3"/>
  <c r="AL832" i="3"/>
  <c r="AL833" i="3"/>
  <c r="AL834" i="3"/>
  <c r="AL835" i="3"/>
  <c r="AL836" i="3"/>
  <c r="AL837" i="3"/>
  <c r="AL838" i="3"/>
  <c r="AL839" i="3"/>
  <c r="AL2" i="3"/>
  <c r="D839" i="3"/>
  <c r="AT839" i="3" s="1" a="1"/>
  <c r="AT839" i="3" s="1"/>
  <c r="Q839" i="3"/>
  <c r="R839" i="3"/>
  <c r="T839" i="3"/>
  <c r="U839" i="3"/>
  <c r="AE839" i="3"/>
  <c r="AX839" i="3" s="1"/>
  <c r="AI839" i="3"/>
  <c r="AK839" i="3"/>
  <c r="AN839" i="3"/>
  <c r="AP839" i="3"/>
  <c r="AQ839" i="3"/>
  <c r="AU839" i="3"/>
  <c r="AU3" i="3"/>
  <c r="AU4" i="3"/>
  <c r="AU5" i="3"/>
  <c r="AU6" i="3"/>
  <c r="AU7" i="3"/>
  <c r="AU8" i="3"/>
  <c r="AU9" i="3"/>
  <c r="AU10" i="3"/>
  <c r="AU11" i="3"/>
  <c r="AU12" i="3"/>
  <c r="AU13" i="3"/>
  <c r="AU14" i="3"/>
  <c r="AU15" i="3"/>
  <c r="AU16" i="3"/>
  <c r="AU17" i="3"/>
  <c r="AU18" i="3"/>
  <c r="AU19" i="3"/>
  <c r="AU20" i="3"/>
  <c r="AU21" i="3"/>
  <c r="AU22" i="3"/>
  <c r="AU23" i="3"/>
  <c r="AU24" i="3"/>
  <c r="AU25" i="3"/>
  <c r="AU26" i="3"/>
  <c r="AU27" i="3"/>
  <c r="AU28" i="3"/>
  <c r="AU29" i="3"/>
  <c r="AU30" i="3"/>
  <c r="AU31" i="3"/>
  <c r="AU32" i="3"/>
  <c r="AU33" i="3"/>
  <c r="AU34" i="3"/>
  <c r="AU35" i="3"/>
  <c r="AU36" i="3"/>
  <c r="AU37" i="3"/>
  <c r="AU38" i="3"/>
  <c r="AU39" i="3"/>
  <c r="AU40" i="3"/>
  <c r="AU41" i="3"/>
  <c r="AU42" i="3"/>
  <c r="AU43" i="3"/>
  <c r="AU44" i="3"/>
  <c r="AU45" i="3"/>
  <c r="AU46" i="3"/>
  <c r="AU47" i="3"/>
  <c r="AU48" i="3"/>
  <c r="AU49" i="3"/>
  <c r="AU50" i="3"/>
  <c r="AU51" i="3"/>
  <c r="AU52" i="3"/>
  <c r="AU53" i="3"/>
  <c r="AU54" i="3"/>
  <c r="AU55" i="3"/>
  <c r="AU56" i="3"/>
  <c r="AU57" i="3"/>
  <c r="AU58" i="3"/>
  <c r="AU59" i="3"/>
  <c r="AU60" i="3"/>
  <c r="AU61" i="3"/>
  <c r="AU62" i="3"/>
  <c r="AU63" i="3"/>
  <c r="AU64" i="3"/>
  <c r="AU65" i="3"/>
  <c r="AU66" i="3"/>
  <c r="AU67" i="3"/>
  <c r="AU68" i="3"/>
  <c r="AU69" i="3"/>
  <c r="AU70" i="3"/>
  <c r="AU71" i="3"/>
  <c r="AU72" i="3"/>
  <c r="AU73" i="3"/>
  <c r="AU74" i="3"/>
  <c r="AU75" i="3"/>
  <c r="AU76" i="3"/>
  <c r="AU77" i="3"/>
  <c r="AU78" i="3"/>
  <c r="AU79" i="3"/>
  <c r="AU80" i="3"/>
  <c r="AU81" i="3"/>
  <c r="AU82" i="3"/>
  <c r="AU83" i="3"/>
  <c r="AU84" i="3"/>
  <c r="AU85" i="3"/>
  <c r="AU86" i="3"/>
  <c r="AU87" i="3"/>
  <c r="AU88" i="3"/>
  <c r="AU89" i="3"/>
  <c r="AU90" i="3"/>
  <c r="AU91" i="3"/>
  <c r="AU92" i="3"/>
  <c r="AU93" i="3"/>
  <c r="AU94" i="3"/>
  <c r="AU95" i="3"/>
  <c r="AU96" i="3"/>
  <c r="AU97" i="3"/>
  <c r="AU98" i="3"/>
  <c r="AU99" i="3"/>
  <c r="AU100" i="3"/>
  <c r="AU101" i="3"/>
  <c r="AU102" i="3"/>
  <c r="AU103" i="3"/>
  <c r="AU104" i="3"/>
  <c r="AU105" i="3"/>
  <c r="AU106" i="3"/>
  <c r="AU107" i="3"/>
  <c r="AU108" i="3"/>
  <c r="AU109" i="3"/>
  <c r="AU110" i="3"/>
  <c r="AU111" i="3"/>
  <c r="AU112" i="3"/>
  <c r="AU113" i="3"/>
  <c r="AU114" i="3"/>
  <c r="AU115" i="3"/>
  <c r="AU116" i="3"/>
  <c r="AU117" i="3"/>
  <c r="AU118" i="3"/>
  <c r="AU119" i="3"/>
  <c r="AU120" i="3"/>
  <c r="AU121" i="3"/>
  <c r="AU122" i="3"/>
  <c r="AU123" i="3"/>
  <c r="AU124" i="3"/>
  <c r="AU125" i="3"/>
  <c r="AU126" i="3"/>
  <c r="AU127" i="3"/>
  <c r="AU128" i="3"/>
  <c r="AU129" i="3"/>
  <c r="AU130" i="3"/>
  <c r="AU131" i="3"/>
  <c r="AU132" i="3"/>
  <c r="AU133" i="3"/>
  <c r="AU134" i="3"/>
  <c r="AU135" i="3"/>
  <c r="AU136" i="3"/>
  <c r="AU137" i="3"/>
  <c r="AU138" i="3"/>
  <c r="AU139" i="3"/>
  <c r="AU140" i="3"/>
  <c r="AU141" i="3"/>
  <c r="AU142" i="3"/>
  <c r="AU143" i="3"/>
  <c r="AU144" i="3"/>
  <c r="AU145" i="3"/>
  <c r="AU146" i="3"/>
  <c r="AU147" i="3"/>
  <c r="AU148" i="3"/>
  <c r="AU149" i="3"/>
  <c r="AU150" i="3"/>
  <c r="AU151" i="3"/>
  <c r="AU152" i="3"/>
  <c r="AU153" i="3"/>
  <c r="AU154" i="3"/>
  <c r="AU155" i="3"/>
  <c r="AU156" i="3"/>
  <c r="AU157" i="3"/>
  <c r="AU158" i="3"/>
  <c r="AU159" i="3"/>
  <c r="AU160" i="3"/>
  <c r="AU161" i="3"/>
  <c r="AU162" i="3"/>
  <c r="AU163" i="3"/>
  <c r="AU164" i="3"/>
  <c r="AU165" i="3"/>
  <c r="AU166" i="3"/>
  <c r="AU167" i="3"/>
  <c r="AU168" i="3"/>
  <c r="AU169" i="3"/>
  <c r="AU170" i="3"/>
  <c r="AU171" i="3"/>
  <c r="AU172" i="3"/>
  <c r="AU173" i="3"/>
  <c r="AU174" i="3"/>
  <c r="AU175" i="3"/>
  <c r="AU176" i="3"/>
  <c r="AU177" i="3"/>
  <c r="AU178" i="3"/>
  <c r="AU179" i="3"/>
  <c r="AU180" i="3"/>
  <c r="AU181" i="3"/>
  <c r="AU182" i="3"/>
  <c r="AU183" i="3"/>
  <c r="AU184" i="3"/>
  <c r="AU185" i="3"/>
  <c r="AU186" i="3"/>
  <c r="AU187" i="3"/>
  <c r="AU188" i="3"/>
  <c r="AU189" i="3"/>
  <c r="AU190" i="3"/>
  <c r="AU191" i="3"/>
  <c r="AU192" i="3"/>
  <c r="AU193" i="3"/>
  <c r="AU194" i="3"/>
  <c r="AU195" i="3"/>
  <c r="AU196" i="3"/>
  <c r="AU197" i="3"/>
  <c r="AU198" i="3"/>
  <c r="AU199" i="3"/>
  <c r="AU200" i="3"/>
  <c r="AU201" i="3"/>
  <c r="AU202" i="3"/>
  <c r="AU203" i="3"/>
  <c r="AU204" i="3"/>
  <c r="AU205" i="3"/>
  <c r="AU208" i="3"/>
  <c r="AU209" i="3"/>
  <c r="AU210" i="3"/>
  <c r="AU211" i="3"/>
  <c r="AU212" i="3"/>
  <c r="AU213" i="3"/>
  <c r="AU214" i="3"/>
  <c r="AU215" i="3"/>
  <c r="AU216" i="3"/>
  <c r="AU217" i="3"/>
  <c r="AU218" i="3"/>
  <c r="AU219" i="3"/>
  <c r="AU220" i="3"/>
  <c r="AU221" i="3"/>
  <c r="AU222" i="3"/>
  <c r="AU223" i="3"/>
  <c r="AU224" i="3"/>
  <c r="AU225" i="3"/>
  <c r="AU226" i="3"/>
  <c r="AU227" i="3"/>
  <c r="AU228" i="3"/>
  <c r="AU229" i="3"/>
  <c r="AU230" i="3"/>
  <c r="AU231" i="3"/>
  <c r="AU232" i="3"/>
  <c r="AU233" i="3"/>
  <c r="AU234" i="3"/>
  <c r="AU235" i="3"/>
  <c r="AU236" i="3"/>
  <c r="AU238" i="3"/>
  <c r="AU239" i="3"/>
  <c r="AU240" i="3"/>
  <c r="AU241" i="3"/>
  <c r="AU242" i="3"/>
  <c r="AU243" i="3"/>
  <c r="AU244" i="3"/>
  <c r="AU245" i="3"/>
  <c r="AU246" i="3"/>
  <c r="AU247" i="3"/>
  <c r="AU248" i="3"/>
  <c r="AU249" i="3"/>
  <c r="AU250" i="3"/>
  <c r="AU251" i="3"/>
  <c r="AU252" i="3"/>
  <c r="AU253" i="3"/>
  <c r="AU254" i="3"/>
  <c r="AU255" i="3"/>
  <c r="AU256" i="3"/>
  <c r="AU257" i="3"/>
  <c r="AU258" i="3"/>
  <c r="AU259" i="3"/>
  <c r="AU260" i="3"/>
  <c r="AU261" i="3"/>
  <c r="AU262" i="3"/>
  <c r="AU263" i="3"/>
  <c r="AU264" i="3"/>
  <c r="AU265" i="3"/>
  <c r="AU266" i="3"/>
  <c r="AU267" i="3"/>
  <c r="AU268" i="3"/>
  <c r="AU269" i="3"/>
  <c r="AU270" i="3"/>
  <c r="AU271" i="3"/>
  <c r="AU272" i="3"/>
  <c r="AU273" i="3"/>
  <c r="AU274" i="3"/>
  <c r="AU275" i="3"/>
  <c r="AU276" i="3"/>
  <c r="AU277" i="3"/>
  <c r="AU278" i="3"/>
  <c r="AU279" i="3"/>
  <c r="AU280" i="3"/>
  <c r="AU281" i="3"/>
  <c r="AU282" i="3"/>
  <c r="AU283" i="3"/>
  <c r="AU284" i="3"/>
  <c r="AU285" i="3"/>
  <c r="AU286" i="3"/>
  <c r="AU287" i="3"/>
  <c r="AU288" i="3"/>
  <c r="AU289" i="3"/>
  <c r="AU290" i="3"/>
  <c r="AU291" i="3"/>
  <c r="AU292" i="3"/>
  <c r="AU293" i="3"/>
  <c r="AU294" i="3"/>
  <c r="AU295" i="3"/>
  <c r="AU296" i="3"/>
  <c r="AU297" i="3"/>
  <c r="AU298" i="3"/>
  <c r="AU299" i="3"/>
  <c r="AU300" i="3"/>
  <c r="AU301" i="3"/>
  <c r="AU302" i="3"/>
  <c r="AU303" i="3"/>
  <c r="AU304" i="3"/>
  <c r="AU305" i="3"/>
  <c r="AU306" i="3"/>
  <c r="AU307" i="3"/>
  <c r="AU308" i="3"/>
  <c r="AU309" i="3"/>
  <c r="AU310" i="3"/>
  <c r="AU311" i="3"/>
  <c r="AU312" i="3"/>
  <c r="AU313" i="3"/>
  <c r="AU314" i="3"/>
  <c r="AU315" i="3"/>
  <c r="AU316" i="3"/>
  <c r="AU317" i="3"/>
  <c r="AU318" i="3"/>
  <c r="AU319" i="3"/>
  <c r="AU320" i="3"/>
  <c r="AU321" i="3"/>
  <c r="AU322" i="3"/>
  <c r="AU323" i="3"/>
  <c r="AU324" i="3"/>
  <c r="AU325" i="3"/>
  <c r="AU326" i="3"/>
  <c r="AU327" i="3"/>
  <c r="AU328" i="3"/>
  <c r="AU329" i="3"/>
  <c r="AU330" i="3"/>
  <c r="AU331" i="3"/>
  <c r="AU332" i="3"/>
  <c r="AU333" i="3"/>
  <c r="AU334" i="3"/>
  <c r="AU335" i="3"/>
  <c r="AU336" i="3"/>
  <c r="AU337" i="3"/>
  <c r="AU338" i="3"/>
  <c r="AU339" i="3"/>
  <c r="AU340" i="3"/>
  <c r="AU341" i="3"/>
  <c r="AU342" i="3"/>
  <c r="AU343" i="3"/>
  <c r="AU344" i="3"/>
  <c r="AU345" i="3"/>
  <c r="AU346" i="3"/>
  <c r="AU347" i="3"/>
  <c r="AU348" i="3"/>
  <c r="AU349" i="3"/>
  <c r="AU350" i="3"/>
  <c r="AU351" i="3"/>
  <c r="AU352" i="3"/>
  <c r="AU353" i="3"/>
  <c r="AU354" i="3"/>
  <c r="AU355" i="3"/>
  <c r="AU356" i="3"/>
  <c r="AU357" i="3"/>
  <c r="AU358" i="3"/>
  <c r="AU359" i="3"/>
  <c r="AU360" i="3"/>
  <c r="AU361" i="3"/>
  <c r="AU362" i="3"/>
  <c r="AU363" i="3"/>
  <c r="AU364" i="3"/>
  <c r="AU365" i="3"/>
  <c r="AU366" i="3"/>
  <c r="AU367" i="3"/>
  <c r="AU368" i="3"/>
  <c r="AU369" i="3"/>
  <c r="AU370" i="3"/>
  <c r="AU371" i="3"/>
  <c r="AU372" i="3"/>
  <c r="AU373" i="3"/>
  <c r="AU374" i="3"/>
  <c r="AU375" i="3"/>
  <c r="AU376" i="3"/>
  <c r="AU377" i="3"/>
  <c r="AU378" i="3"/>
  <c r="AU379" i="3"/>
  <c r="AU380" i="3"/>
  <c r="AU381" i="3"/>
  <c r="AU382" i="3"/>
  <c r="AU383" i="3"/>
  <c r="AU384" i="3"/>
  <c r="AU385" i="3"/>
  <c r="AU386" i="3"/>
  <c r="AU387" i="3"/>
  <c r="AU388" i="3"/>
  <c r="AU389" i="3"/>
  <c r="AU390" i="3"/>
  <c r="AU391" i="3"/>
  <c r="AU392" i="3"/>
  <c r="AU393" i="3"/>
  <c r="AU394" i="3"/>
  <c r="AU395" i="3"/>
  <c r="AU396" i="3"/>
  <c r="AU397" i="3"/>
  <c r="AU398" i="3"/>
  <c r="AU399" i="3"/>
  <c r="AU400" i="3"/>
  <c r="AU401" i="3"/>
  <c r="AU402" i="3"/>
  <c r="AU403" i="3"/>
  <c r="AU404" i="3"/>
  <c r="AU405" i="3"/>
  <c r="AU406" i="3"/>
  <c r="AU407" i="3"/>
  <c r="AU408" i="3"/>
  <c r="AU409" i="3"/>
  <c r="AU410" i="3"/>
  <c r="AU411" i="3"/>
  <c r="AU412" i="3"/>
  <c r="AU413" i="3"/>
  <c r="AU414" i="3"/>
  <c r="AU415" i="3"/>
  <c r="AU416" i="3"/>
  <c r="AU417" i="3"/>
  <c r="AU418" i="3"/>
  <c r="AU419" i="3"/>
  <c r="AU420" i="3"/>
  <c r="AU421" i="3"/>
  <c r="AU422" i="3"/>
  <c r="AU423" i="3"/>
  <c r="AU424" i="3"/>
  <c r="AU425" i="3"/>
  <c r="AU426" i="3"/>
  <c r="AU427" i="3"/>
  <c r="AU428" i="3"/>
  <c r="AU429" i="3"/>
  <c r="AU430" i="3"/>
  <c r="AU431" i="3"/>
  <c r="AU432" i="3"/>
  <c r="AU433" i="3"/>
  <c r="AU434" i="3"/>
  <c r="AU435" i="3"/>
  <c r="AU436" i="3"/>
  <c r="AU437" i="3"/>
  <c r="AU438" i="3"/>
  <c r="AU439" i="3"/>
  <c r="AU440" i="3"/>
  <c r="AU441" i="3"/>
  <c r="AU442" i="3"/>
  <c r="AU443" i="3"/>
  <c r="AU444" i="3"/>
  <c r="AU445" i="3"/>
  <c r="AU446" i="3"/>
  <c r="AU447" i="3"/>
  <c r="AU448" i="3"/>
  <c r="AU449" i="3"/>
  <c r="AU450" i="3"/>
  <c r="AU451" i="3"/>
  <c r="AU452" i="3"/>
  <c r="AU453" i="3"/>
  <c r="AU455" i="3"/>
  <c r="AU456" i="3"/>
  <c r="AU457" i="3"/>
  <c r="AU458" i="3"/>
  <c r="AU459" i="3"/>
  <c r="AU460" i="3"/>
  <c r="AU461" i="3"/>
  <c r="AU462" i="3"/>
  <c r="AU463" i="3"/>
  <c r="AU464" i="3"/>
  <c r="AU465" i="3"/>
  <c r="AU466" i="3"/>
  <c r="AU467" i="3"/>
  <c r="AU468" i="3"/>
  <c r="AU469" i="3"/>
  <c r="AU470" i="3"/>
  <c r="AU471" i="3"/>
  <c r="AU472" i="3"/>
  <c r="AU473" i="3"/>
  <c r="AU474" i="3"/>
  <c r="AU475" i="3"/>
  <c r="AU476" i="3"/>
  <c r="AU478" i="3"/>
  <c r="AU479" i="3"/>
  <c r="AU480" i="3"/>
  <c r="AU481" i="3"/>
  <c r="AU482" i="3"/>
  <c r="AU483" i="3"/>
  <c r="AU484" i="3"/>
  <c r="AU485" i="3"/>
  <c r="AU486" i="3"/>
  <c r="AU487" i="3"/>
  <c r="AU488" i="3"/>
  <c r="AU489" i="3"/>
  <c r="AU490" i="3"/>
  <c r="AU491" i="3"/>
  <c r="AU492" i="3"/>
  <c r="AU493" i="3"/>
  <c r="AU494" i="3"/>
  <c r="AU495" i="3"/>
  <c r="AU496" i="3"/>
  <c r="AU497" i="3"/>
  <c r="AU498" i="3"/>
  <c r="AU499" i="3"/>
  <c r="AU500" i="3"/>
  <c r="AU501" i="3"/>
  <c r="AU502" i="3"/>
  <c r="AU503" i="3"/>
  <c r="AU504" i="3"/>
  <c r="AU505" i="3"/>
  <c r="AU506" i="3"/>
  <c r="AU507" i="3"/>
  <c r="AU508" i="3"/>
  <c r="AU509" i="3"/>
  <c r="AU510" i="3"/>
  <c r="AU511" i="3"/>
  <c r="AU512" i="3"/>
  <c r="AU513" i="3"/>
  <c r="AU514" i="3"/>
  <c r="AU515" i="3"/>
  <c r="AU516" i="3"/>
  <c r="AU517" i="3"/>
  <c r="AU518" i="3"/>
  <c r="AU519" i="3"/>
  <c r="AU520" i="3"/>
  <c r="AU521" i="3"/>
  <c r="AU522" i="3"/>
  <c r="AU523" i="3"/>
  <c r="AU524" i="3"/>
  <c r="AU525" i="3"/>
  <c r="AU526" i="3"/>
  <c r="AU527" i="3"/>
  <c r="AU528" i="3"/>
  <c r="AU529" i="3"/>
  <c r="AU530" i="3"/>
  <c r="AU531" i="3"/>
  <c r="AU532" i="3"/>
  <c r="AU533" i="3"/>
  <c r="AU534" i="3"/>
  <c r="AU535" i="3"/>
  <c r="AU536" i="3"/>
  <c r="AU537" i="3"/>
  <c r="AU538" i="3"/>
  <c r="AU539" i="3"/>
  <c r="AU540" i="3"/>
  <c r="AU541" i="3"/>
  <c r="AU542" i="3"/>
  <c r="AU543" i="3"/>
  <c r="AU544" i="3"/>
  <c r="AU545" i="3"/>
  <c r="AU546" i="3"/>
  <c r="AU547" i="3"/>
  <c r="AU548" i="3"/>
  <c r="AU549" i="3"/>
  <c r="AU550" i="3"/>
  <c r="AU551" i="3"/>
  <c r="AU552" i="3"/>
  <c r="AU553" i="3"/>
  <c r="AU554" i="3"/>
  <c r="AU555" i="3"/>
  <c r="AU556" i="3"/>
  <c r="AU557" i="3"/>
  <c r="AU558" i="3"/>
  <c r="AU559" i="3"/>
  <c r="AU560" i="3"/>
  <c r="AU561" i="3"/>
  <c r="AU562" i="3"/>
  <c r="AU563" i="3"/>
  <c r="AU564" i="3"/>
  <c r="AU565" i="3"/>
  <c r="AU566" i="3"/>
  <c r="AU567" i="3"/>
  <c r="AU568" i="3"/>
  <c r="AU569" i="3"/>
  <c r="AU570" i="3"/>
  <c r="AU571" i="3"/>
  <c r="AU572" i="3"/>
  <c r="AU573" i="3"/>
  <c r="AU574" i="3"/>
  <c r="AU575" i="3"/>
  <c r="AU576" i="3"/>
  <c r="AU577" i="3"/>
  <c r="AU578" i="3"/>
  <c r="AU579" i="3"/>
  <c r="AU580" i="3"/>
  <c r="AU581" i="3"/>
  <c r="AU582" i="3"/>
  <c r="AU583" i="3"/>
  <c r="AU584" i="3"/>
  <c r="AU585" i="3"/>
  <c r="AU586" i="3"/>
  <c r="AU587" i="3"/>
  <c r="AU588" i="3"/>
  <c r="AU589" i="3"/>
  <c r="AU590" i="3"/>
  <c r="AU591" i="3"/>
  <c r="AU592" i="3"/>
  <c r="AU593" i="3"/>
  <c r="AU594" i="3"/>
  <c r="AU595" i="3"/>
  <c r="AU596" i="3"/>
  <c r="AU597" i="3"/>
  <c r="AU598" i="3"/>
  <c r="AU599" i="3"/>
  <c r="AU600" i="3"/>
  <c r="AU601" i="3"/>
  <c r="AU602" i="3"/>
  <c r="AU603" i="3"/>
  <c r="AU604" i="3"/>
  <c r="AU605" i="3"/>
  <c r="AU606" i="3"/>
  <c r="AU607" i="3"/>
  <c r="AU608" i="3"/>
  <c r="AU609" i="3"/>
  <c r="AU610" i="3"/>
  <c r="AU611" i="3"/>
  <c r="AU612" i="3"/>
  <c r="AU613" i="3"/>
  <c r="AU614" i="3"/>
  <c r="AU615" i="3"/>
  <c r="AU616" i="3"/>
  <c r="AU617" i="3"/>
  <c r="AU618" i="3"/>
  <c r="AU619" i="3"/>
  <c r="AU620" i="3"/>
  <c r="AU621" i="3"/>
  <c r="AU622" i="3"/>
  <c r="AU623" i="3"/>
  <c r="AU624" i="3"/>
  <c r="AU625" i="3"/>
  <c r="AU626" i="3"/>
  <c r="AU627" i="3"/>
  <c r="AU628" i="3"/>
  <c r="AU629" i="3"/>
  <c r="AU630" i="3"/>
  <c r="AU631" i="3"/>
  <c r="AU632" i="3"/>
  <c r="AU633" i="3"/>
  <c r="AU634" i="3"/>
  <c r="AU635" i="3"/>
  <c r="AU636" i="3"/>
  <c r="AU637" i="3"/>
  <c r="AU638" i="3"/>
  <c r="AU639" i="3"/>
  <c r="AU640" i="3"/>
  <c r="AU641" i="3"/>
  <c r="AU642" i="3"/>
  <c r="AU643" i="3"/>
  <c r="AU644" i="3"/>
  <c r="AU645" i="3"/>
  <c r="AU646" i="3"/>
  <c r="AU647" i="3"/>
  <c r="AU648" i="3"/>
  <c r="AU649" i="3"/>
  <c r="AU650" i="3"/>
  <c r="AU651" i="3"/>
  <c r="AU652" i="3"/>
  <c r="AU653" i="3"/>
  <c r="AU654" i="3"/>
  <c r="AU655" i="3"/>
  <c r="AU656" i="3"/>
  <c r="AU657" i="3"/>
  <c r="AU658" i="3"/>
  <c r="AU659" i="3"/>
  <c r="AU660" i="3"/>
  <c r="AU661" i="3"/>
  <c r="AU662" i="3"/>
  <c r="AU663" i="3"/>
  <c r="AU664" i="3"/>
  <c r="AU665" i="3"/>
  <c r="AU666" i="3"/>
  <c r="AU667" i="3"/>
  <c r="AU668" i="3"/>
  <c r="AU669" i="3"/>
  <c r="AU670" i="3"/>
  <c r="AU671" i="3"/>
  <c r="AU672" i="3"/>
  <c r="AU673" i="3"/>
  <c r="AU674" i="3"/>
  <c r="AU675" i="3"/>
  <c r="AU676" i="3"/>
  <c r="AU677" i="3"/>
  <c r="AU678" i="3"/>
  <c r="AU679" i="3"/>
  <c r="AU680" i="3"/>
  <c r="AU681" i="3"/>
  <c r="AU682" i="3"/>
  <c r="AU683" i="3"/>
  <c r="AU684" i="3"/>
  <c r="AU685" i="3"/>
  <c r="AU686" i="3"/>
  <c r="AU687" i="3"/>
  <c r="AU688" i="3"/>
  <c r="AU689" i="3"/>
  <c r="AU690" i="3"/>
  <c r="AU691" i="3"/>
  <c r="AU692" i="3"/>
  <c r="AU693" i="3"/>
  <c r="AU694" i="3"/>
  <c r="AU695" i="3"/>
  <c r="AU696" i="3"/>
  <c r="AU697" i="3"/>
  <c r="AU698" i="3"/>
  <c r="AU699" i="3"/>
  <c r="AU700" i="3"/>
  <c r="AU701" i="3"/>
  <c r="AU702" i="3"/>
  <c r="AU703" i="3"/>
  <c r="AU704" i="3"/>
  <c r="AU705" i="3"/>
  <c r="AU706" i="3"/>
  <c r="AU707" i="3"/>
  <c r="AU708" i="3"/>
  <c r="AU709" i="3"/>
  <c r="AU710" i="3"/>
  <c r="AU711" i="3"/>
  <c r="AU712" i="3"/>
  <c r="AU713" i="3"/>
  <c r="AU714" i="3"/>
  <c r="AU715" i="3"/>
  <c r="AU716" i="3"/>
  <c r="AU717" i="3"/>
  <c r="AU718" i="3"/>
  <c r="AU719" i="3"/>
  <c r="AU720" i="3"/>
  <c r="AU721" i="3"/>
  <c r="AU722" i="3"/>
  <c r="AU723" i="3"/>
  <c r="AU724" i="3"/>
  <c r="AU725" i="3"/>
  <c r="AU726" i="3"/>
  <c r="AU727" i="3"/>
  <c r="AU728" i="3"/>
  <c r="AU729" i="3"/>
  <c r="AU730" i="3"/>
  <c r="AU731" i="3"/>
  <c r="AU732" i="3"/>
  <c r="AU733" i="3"/>
  <c r="AU734" i="3"/>
  <c r="AU735" i="3"/>
  <c r="AU736" i="3"/>
  <c r="AU737" i="3"/>
  <c r="AU738" i="3"/>
  <c r="AU739" i="3"/>
  <c r="AU740" i="3"/>
  <c r="AU741" i="3"/>
  <c r="AU742" i="3"/>
  <c r="AU743" i="3"/>
  <c r="AU744" i="3"/>
  <c r="AU745" i="3"/>
  <c r="AU746" i="3"/>
  <c r="AU747" i="3"/>
  <c r="AU748" i="3"/>
  <c r="AU749" i="3"/>
  <c r="AU750" i="3"/>
  <c r="AU751" i="3"/>
  <c r="AU752" i="3"/>
  <c r="AU753" i="3"/>
  <c r="AU754" i="3"/>
  <c r="AU755" i="3"/>
  <c r="AU756" i="3"/>
  <c r="AU757" i="3"/>
  <c r="AU758" i="3"/>
  <c r="AU759" i="3"/>
  <c r="AU760" i="3"/>
  <c r="AU761" i="3"/>
  <c r="AU762" i="3"/>
  <c r="AU763" i="3"/>
  <c r="AU764" i="3"/>
  <c r="AU765" i="3"/>
  <c r="AU766" i="3"/>
  <c r="AU767" i="3"/>
  <c r="AU768" i="3"/>
  <c r="AU769" i="3"/>
  <c r="AU770" i="3"/>
  <c r="AU771" i="3"/>
  <c r="AU772" i="3"/>
  <c r="AU773" i="3"/>
  <c r="AU774" i="3"/>
  <c r="AU775" i="3"/>
  <c r="AU776" i="3"/>
  <c r="AU777" i="3"/>
  <c r="AU778" i="3"/>
  <c r="AU779" i="3"/>
  <c r="AU780" i="3"/>
  <c r="AU781" i="3"/>
  <c r="AU782" i="3"/>
  <c r="AU783" i="3"/>
  <c r="AU784" i="3"/>
  <c r="AU785" i="3"/>
  <c r="AU786" i="3"/>
  <c r="AU787" i="3"/>
  <c r="AU788" i="3"/>
  <c r="AU789" i="3"/>
  <c r="AU790" i="3"/>
  <c r="AU791" i="3"/>
  <c r="AU792" i="3"/>
  <c r="AU793" i="3"/>
  <c r="AU794" i="3"/>
  <c r="AU795" i="3"/>
  <c r="AU796" i="3"/>
  <c r="AU797" i="3"/>
  <c r="AU798" i="3"/>
  <c r="AU799" i="3"/>
  <c r="AU800" i="3"/>
  <c r="AU801" i="3"/>
  <c r="AU802" i="3"/>
  <c r="AU803" i="3"/>
  <c r="AU804" i="3"/>
  <c r="AU805" i="3"/>
  <c r="AU806" i="3"/>
  <c r="AU807" i="3"/>
  <c r="AU808" i="3"/>
  <c r="AU809" i="3"/>
  <c r="AU810" i="3"/>
  <c r="AU811" i="3"/>
  <c r="AU812" i="3"/>
  <c r="AU813" i="3"/>
  <c r="AU814" i="3"/>
  <c r="AU815" i="3"/>
  <c r="AU816" i="3"/>
  <c r="AU817" i="3"/>
  <c r="AU818" i="3"/>
  <c r="AU819" i="3"/>
  <c r="AU820" i="3"/>
  <c r="AU821" i="3"/>
  <c r="AU822" i="3"/>
  <c r="AU823" i="3"/>
  <c r="AU824" i="3"/>
  <c r="AU825" i="3"/>
  <c r="AU826" i="3"/>
  <c r="AU827" i="3"/>
  <c r="AU828" i="3"/>
  <c r="AU829" i="3"/>
  <c r="AU830" i="3"/>
  <c r="AU831" i="3"/>
  <c r="AU832" i="3"/>
  <c r="AU833" i="3"/>
  <c r="AU834" i="3"/>
  <c r="AU835" i="3"/>
  <c r="AU836" i="3"/>
  <c r="AU837" i="3"/>
  <c r="AU838" i="3"/>
  <c r="D838" i="3"/>
  <c r="AT838" i="3" s="1" a="1"/>
  <c r="AT838" i="3" s="1"/>
  <c r="Q838" i="3"/>
  <c r="R838" i="3"/>
  <c r="T838" i="3"/>
  <c r="U838" i="3"/>
  <c r="AE838" i="3"/>
  <c r="AX838" i="3" s="1"/>
  <c r="AI838" i="3"/>
  <c r="AK838" i="3"/>
  <c r="AN838" i="3"/>
  <c r="AP838" i="3"/>
  <c r="AQ838" i="3"/>
  <c r="D837" i="3"/>
  <c r="AT837" i="3" s="1" a="1"/>
  <c r="AT837" i="3" s="1"/>
  <c r="Q837" i="3"/>
  <c r="R837" i="3"/>
  <c r="AJ837" i="3" s="1"/>
  <c r="T837" i="3"/>
  <c r="U837" i="3"/>
  <c r="AE837" i="3"/>
  <c r="AX837" i="3" s="1"/>
  <c r="AI837" i="3"/>
  <c r="AK837" i="3"/>
  <c r="AN837" i="3"/>
  <c r="AP837" i="3"/>
  <c r="AQ837" i="3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3" i="2"/>
  <c r="O2" i="2" a="1"/>
  <c r="O2" i="2" s="1"/>
  <c r="N2" i="2"/>
  <c r="V938" i="3" l="1"/>
  <c r="AT938" i="3" a="1"/>
  <c r="AT938" i="3" s="1"/>
  <c r="AC938" i="3"/>
  <c r="D26" i="5"/>
  <c r="Y938" i="3"/>
  <c r="B938" i="3"/>
  <c r="AB938" i="3" s="1"/>
  <c r="D23" i="5"/>
  <c r="D15" i="5"/>
  <c r="D7" i="5"/>
  <c r="D17" i="5"/>
  <c r="AH938" i="3"/>
  <c r="W938" i="3"/>
  <c r="H22" i="5"/>
  <c r="H14" i="5"/>
  <c r="H6" i="5"/>
  <c r="D21" i="5"/>
  <c r="D13" i="5"/>
  <c r="D5" i="5"/>
  <c r="H11" i="5"/>
  <c r="D20" i="5"/>
  <c r="F2" i="5"/>
  <c r="D19" i="5"/>
  <c r="AS938" i="3" a="1"/>
  <c r="AS938" i="3" s="1"/>
  <c r="AV938" i="3" s="1"/>
  <c r="D2" i="5"/>
  <c r="E19" i="5"/>
  <c r="F19" i="5"/>
  <c r="F11" i="5"/>
  <c r="G2" i="5"/>
  <c r="G19" i="5"/>
  <c r="G11" i="5"/>
  <c r="H2" i="5"/>
  <c r="H19" i="5"/>
  <c r="E16" i="5"/>
  <c r="E8" i="5"/>
  <c r="E5" i="5"/>
  <c r="F16" i="5"/>
  <c r="F8" i="5"/>
  <c r="F5" i="5"/>
  <c r="G24" i="5"/>
  <c r="G16" i="5"/>
  <c r="G8" i="5"/>
  <c r="G5" i="5"/>
  <c r="H24" i="5"/>
  <c r="H16" i="5"/>
  <c r="H8" i="5"/>
  <c r="H5" i="5"/>
  <c r="D11" i="5"/>
  <c r="E21" i="5"/>
  <c r="E13" i="5"/>
  <c r="F21" i="5"/>
  <c r="F13" i="5"/>
  <c r="G21" i="5"/>
  <c r="G13" i="5"/>
  <c r="H21" i="5"/>
  <c r="H13" i="5"/>
  <c r="E2" i="5"/>
  <c r="E11" i="5"/>
  <c r="E26" i="5"/>
  <c r="E18" i="5"/>
  <c r="E10" i="5"/>
  <c r="E7" i="5"/>
  <c r="F26" i="5"/>
  <c r="F18" i="5"/>
  <c r="F10" i="5"/>
  <c r="F7" i="5"/>
  <c r="G26" i="5"/>
  <c r="G18" i="5"/>
  <c r="G10" i="5"/>
  <c r="G7" i="5"/>
  <c r="H26" i="5"/>
  <c r="H18" i="5"/>
  <c r="H10" i="5"/>
  <c r="H7" i="5"/>
  <c r="E23" i="5"/>
  <c r="E15" i="5"/>
  <c r="E4" i="5"/>
  <c r="F23" i="5"/>
  <c r="F15" i="5"/>
  <c r="F4" i="5"/>
  <c r="G23" i="5"/>
  <c r="G15" i="5"/>
  <c r="G4" i="5"/>
  <c r="H23" i="5"/>
  <c r="H15" i="5"/>
  <c r="H4" i="5"/>
  <c r="E20" i="5"/>
  <c r="E12" i="5"/>
  <c r="F20" i="5"/>
  <c r="F12" i="5"/>
  <c r="G20" i="5"/>
  <c r="G12" i="5"/>
  <c r="H20" i="5"/>
  <c r="H12" i="5"/>
  <c r="E25" i="5"/>
  <c r="E17" i="5"/>
  <c r="E9" i="5"/>
  <c r="E6" i="5"/>
  <c r="F25" i="5"/>
  <c r="F17" i="5"/>
  <c r="F9" i="5"/>
  <c r="F6" i="5"/>
  <c r="G25" i="5"/>
  <c r="G17" i="5"/>
  <c r="G9" i="5"/>
  <c r="G6" i="5"/>
  <c r="E22" i="5"/>
  <c r="E14" i="5"/>
  <c r="E3" i="5"/>
  <c r="F22" i="5"/>
  <c r="F14" i="5"/>
  <c r="F3" i="5"/>
  <c r="G22" i="5"/>
  <c r="G14" i="5"/>
  <c r="G3" i="5"/>
  <c r="Y937" i="3"/>
  <c r="X937" i="3"/>
  <c r="AT937" i="3" a="1"/>
  <c r="AT937" i="3" s="1"/>
  <c r="AH937" i="3"/>
  <c r="W937" i="3"/>
  <c r="V937" i="3"/>
  <c r="AS937" i="3" a="1"/>
  <c r="AS937" i="3" s="1"/>
  <c r="AS936" i="3" a="1"/>
  <c r="AS936" i="3" s="1"/>
  <c r="AV936" i="3" s="1"/>
  <c r="Z936" i="3"/>
  <c r="Y936" i="3"/>
  <c r="AJ936" i="3"/>
  <c r="X936" i="3"/>
  <c r="AH936" i="3"/>
  <c r="W936" i="3"/>
  <c r="V936" i="3"/>
  <c r="AH935" i="3"/>
  <c r="Y935" i="3"/>
  <c r="Z935" i="3"/>
  <c r="X935" i="3"/>
  <c r="AT935" i="3" a="1"/>
  <c r="AT935" i="3" s="1"/>
  <c r="W935" i="3"/>
  <c r="AS935" i="3" a="1"/>
  <c r="AS935" i="3" s="1"/>
  <c r="Y934" i="3"/>
  <c r="V934" i="3"/>
  <c r="W934" i="3"/>
  <c r="AT934" i="3" a="1"/>
  <c r="AT934" i="3" s="1"/>
  <c r="AS934" i="3" a="1"/>
  <c r="AS934" i="3" s="1"/>
  <c r="AH934" i="3"/>
  <c r="Z934" i="3"/>
  <c r="X933" i="3"/>
  <c r="V933" i="3"/>
  <c r="Y933" i="3"/>
  <c r="AH933" i="3"/>
  <c r="W933" i="3"/>
  <c r="AT933" i="3" a="1"/>
  <c r="AT933" i="3" s="1"/>
  <c r="AS933" i="3" a="1"/>
  <c r="AS933" i="3" s="1"/>
  <c r="AS931" i="3" a="1"/>
  <c r="AS931" i="3" s="1"/>
  <c r="Y932" i="3"/>
  <c r="X932" i="3"/>
  <c r="AT932" i="3" a="1"/>
  <c r="AT932" i="3" s="1"/>
  <c r="AS932" i="3" a="1"/>
  <c r="AS932" i="3" s="1"/>
  <c r="Z932" i="3"/>
  <c r="AH932" i="3"/>
  <c r="W932" i="3"/>
  <c r="AT931" i="3" a="1"/>
  <c r="AT931" i="3" s="1"/>
  <c r="Y931" i="3"/>
  <c r="Z931" i="3"/>
  <c r="AJ931" i="3"/>
  <c r="X931" i="3"/>
  <c r="AH931" i="3"/>
  <c r="W931" i="3"/>
  <c r="Y930" i="3"/>
  <c r="V930" i="3"/>
  <c r="W930" i="3"/>
  <c r="AS930" i="3" a="1"/>
  <c r="AS930" i="3" s="1"/>
  <c r="AV930" i="3" s="1"/>
  <c r="AH930" i="3"/>
  <c r="Z930" i="3"/>
  <c r="AJ930" i="3"/>
  <c r="X930" i="3"/>
  <c r="Z929" i="3"/>
  <c r="Y929" i="3"/>
  <c r="X929" i="3"/>
  <c r="V929" i="3"/>
  <c r="AT929" i="3" a="1"/>
  <c r="AT929" i="3" s="1"/>
  <c r="AS929" i="3" a="1"/>
  <c r="AS929" i="3" s="1"/>
  <c r="AJ929" i="3"/>
  <c r="AH929" i="3"/>
  <c r="AT928" i="3" a="1"/>
  <c r="AT928" i="3" s="1"/>
  <c r="AJ928" i="3"/>
  <c r="Y928" i="3"/>
  <c r="AS928" i="3" a="1"/>
  <c r="AS928" i="3" s="1"/>
  <c r="Z928" i="3"/>
  <c r="X928" i="3"/>
  <c r="AH928" i="3"/>
  <c r="W928" i="3"/>
  <c r="AT927" i="3" a="1"/>
  <c r="AT927" i="3" s="1"/>
  <c r="X927" i="3"/>
  <c r="AS927" i="3" a="1"/>
  <c r="AS927" i="3" s="1"/>
  <c r="Z927" i="3"/>
  <c r="Y927" i="3"/>
  <c r="AJ927" i="3"/>
  <c r="AH927" i="3"/>
  <c r="W927" i="3"/>
  <c r="Z926" i="3"/>
  <c r="X926" i="3"/>
  <c r="AT926" i="3" a="1"/>
  <c r="AT926" i="3" s="1"/>
  <c r="AS926" i="3" a="1"/>
  <c r="AS926" i="3" s="1"/>
  <c r="V926" i="3"/>
  <c r="Y926" i="3"/>
  <c r="AH926" i="3"/>
  <c r="AJ926" i="3"/>
  <c r="Y925" i="3"/>
  <c r="W925" i="3"/>
  <c r="V925" i="3"/>
  <c r="AS925" i="3" a="1"/>
  <c r="AS925" i="3" s="1"/>
  <c r="AH925" i="3"/>
  <c r="AT925" i="3" a="1"/>
  <c r="AT925" i="3" s="1"/>
  <c r="X925" i="3"/>
  <c r="AJ924" i="3"/>
  <c r="Y924" i="3"/>
  <c r="AS924" i="3" a="1"/>
  <c r="AS924" i="3" s="1"/>
  <c r="AV924" i="3" s="1"/>
  <c r="Z924" i="3"/>
  <c r="X924" i="3"/>
  <c r="AH924" i="3"/>
  <c r="W924" i="3"/>
  <c r="V924" i="3"/>
  <c r="Y923" i="3"/>
  <c r="AT923" i="3" a="1"/>
  <c r="AT923" i="3" s="1"/>
  <c r="AS923" i="3" a="1"/>
  <c r="AS923" i="3" s="1"/>
  <c r="Z923" i="3"/>
  <c r="X923" i="3"/>
  <c r="AH923" i="3"/>
  <c r="W923" i="3"/>
  <c r="V922" i="3"/>
  <c r="AJ922" i="3"/>
  <c r="X922" i="3"/>
  <c r="Y922" i="3"/>
  <c r="AH922" i="3"/>
  <c r="W922" i="3"/>
  <c r="AT922" i="3" a="1"/>
  <c r="AT922" i="3" s="1"/>
  <c r="AS922" i="3" a="1"/>
  <c r="AS922" i="3" s="1"/>
  <c r="AJ921" i="3"/>
  <c r="Y921" i="3"/>
  <c r="AT921" i="3" a="1"/>
  <c r="AT921" i="3" s="1"/>
  <c r="X921" i="3"/>
  <c r="AS921" i="3" a="1"/>
  <c r="AS921" i="3" s="1"/>
  <c r="W921" i="3"/>
  <c r="AH921" i="3"/>
  <c r="V921" i="3"/>
  <c r="AS920" i="3" a="1"/>
  <c r="AS920" i="3" s="1"/>
  <c r="Z920" i="3"/>
  <c r="AT920" i="3" a="1"/>
  <c r="AT920" i="3" s="1"/>
  <c r="Y920" i="3"/>
  <c r="X920" i="3"/>
  <c r="AH920" i="3"/>
  <c r="W920" i="3"/>
  <c r="AT919" i="3" a="1"/>
  <c r="AT919" i="3" s="1"/>
  <c r="AS919" i="3" a="1"/>
  <c r="AS919" i="3" s="1"/>
  <c r="V919" i="3"/>
  <c r="Z919" i="3"/>
  <c r="Y919" i="3"/>
  <c r="X919" i="3"/>
  <c r="Z918" i="3"/>
  <c r="AJ919" i="3"/>
  <c r="Y918" i="3"/>
  <c r="AH919" i="3"/>
  <c r="H28" i="2"/>
  <c r="I28" i="2"/>
  <c r="J28" i="2"/>
  <c r="AT918" i="3" a="1"/>
  <c r="AT918" i="3" s="1"/>
  <c r="AS918" i="3" a="1"/>
  <c r="AS918" i="3" s="1"/>
  <c r="W918" i="3"/>
  <c r="AH918" i="3"/>
  <c r="V918" i="3"/>
  <c r="AJ918" i="3"/>
  <c r="Y917" i="3"/>
  <c r="W917" i="3"/>
  <c r="V917" i="3"/>
  <c r="AT917" i="3" a="1"/>
  <c r="AT917" i="3" s="1"/>
  <c r="X917" i="3"/>
  <c r="AH917" i="3"/>
  <c r="AS917" i="3" a="1"/>
  <c r="AS917" i="3" s="1"/>
  <c r="AT916" i="3" a="1"/>
  <c r="AT916" i="3" s="1"/>
  <c r="AV916" i="3" s="1"/>
  <c r="AH916" i="3"/>
  <c r="Z916" i="3"/>
  <c r="Y916" i="3"/>
  <c r="X916" i="3"/>
  <c r="W916" i="3"/>
  <c r="V916" i="3"/>
  <c r="AJ916" i="3"/>
  <c r="AS915" i="3" a="1"/>
  <c r="AS915" i="3" s="1"/>
  <c r="Z915" i="3"/>
  <c r="Y915" i="3"/>
  <c r="X915" i="3"/>
  <c r="AT915" i="3" a="1"/>
  <c r="AT915" i="3" s="1"/>
  <c r="AH915" i="3"/>
  <c r="W915" i="3"/>
  <c r="Y914" i="3"/>
  <c r="AJ914" i="3"/>
  <c r="AH914" i="3"/>
  <c r="W914" i="3"/>
  <c r="V914" i="3"/>
  <c r="AT914" i="3" a="1"/>
  <c r="AT914" i="3" s="1"/>
  <c r="X914" i="3"/>
  <c r="AS914" i="3" a="1"/>
  <c r="AS914" i="3" s="1"/>
  <c r="Y913" i="3"/>
  <c r="X913" i="3"/>
  <c r="AT913" i="3" a="1"/>
  <c r="AT913" i="3" s="1"/>
  <c r="W913" i="3"/>
  <c r="V913" i="3"/>
  <c r="AS913" i="3" a="1"/>
  <c r="AS913" i="3" s="1"/>
  <c r="AH913" i="3"/>
  <c r="AJ913" i="3"/>
  <c r="AT911" i="3" a="1"/>
  <c r="AT911" i="3" s="1"/>
  <c r="AT912" i="3" a="1"/>
  <c r="AT912" i="3" s="1"/>
  <c r="Z912" i="3"/>
  <c r="X912" i="3"/>
  <c r="Y912" i="3"/>
  <c r="W912" i="3"/>
  <c r="Y911" i="3"/>
  <c r="AS912" i="3" a="1"/>
  <c r="AS912" i="3" s="1"/>
  <c r="V912" i="3"/>
  <c r="AJ912" i="3"/>
  <c r="Z911" i="3"/>
  <c r="AS911" i="3" a="1"/>
  <c r="AS911" i="3" s="1"/>
  <c r="AJ911" i="3"/>
  <c r="X911" i="3"/>
  <c r="W911" i="3"/>
  <c r="AH911" i="3"/>
  <c r="AS910" i="3" a="1"/>
  <c r="AS910" i="3" s="1"/>
  <c r="Z910" i="3"/>
  <c r="AH910" i="3"/>
  <c r="W910" i="3"/>
  <c r="V910" i="3"/>
  <c r="AT910" i="3" a="1"/>
  <c r="AT910" i="3" s="1"/>
  <c r="AJ910" i="3"/>
  <c r="Y910" i="3"/>
  <c r="Y909" i="3"/>
  <c r="X909" i="3"/>
  <c r="AH909" i="3"/>
  <c r="W909" i="3"/>
  <c r="V909" i="3"/>
  <c r="AT909" i="3" a="1"/>
  <c r="AT909" i="3" s="1"/>
  <c r="AS909" i="3" a="1"/>
  <c r="AS909" i="3" s="1"/>
  <c r="AT908" i="3" a="1"/>
  <c r="AT908" i="3" s="1"/>
  <c r="Y908" i="3"/>
  <c r="Z908" i="3"/>
  <c r="AS908" i="3" a="1"/>
  <c r="AS908" i="3" s="1"/>
  <c r="AJ908" i="3"/>
  <c r="X908" i="3"/>
  <c r="W908" i="3"/>
  <c r="AH908" i="3"/>
  <c r="AT907" i="3" a="1"/>
  <c r="AT907" i="3" s="1"/>
  <c r="Y907" i="3"/>
  <c r="Z907" i="3"/>
  <c r="AS907" i="3" a="1"/>
  <c r="AS907" i="3" s="1"/>
  <c r="AJ907" i="3"/>
  <c r="X907" i="3"/>
  <c r="W907" i="3"/>
  <c r="AH907" i="3"/>
  <c r="V906" i="3"/>
  <c r="Y906" i="3"/>
  <c r="AT906" i="3" a="1"/>
  <c r="AT906" i="3" s="1"/>
  <c r="AS906" i="3" a="1"/>
  <c r="AS906" i="3" s="1"/>
  <c r="X906" i="3"/>
  <c r="AH906" i="3"/>
  <c r="W906" i="3"/>
  <c r="AJ906" i="3"/>
  <c r="Y905" i="3"/>
  <c r="W905" i="3"/>
  <c r="V905" i="3"/>
  <c r="AS905" i="3" a="1"/>
  <c r="AS905" i="3" s="1"/>
  <c r="AH905" i="3"/>
  <c r="AT905" i="3" a="1"/>
  <c r="AT905" i="3" s="1"/>
  <c r="X905" i="3"/>
  <c r="Z904" i="3"/>
  <c r="Y904" i="3"/>
  <c r="X904" i="3"/>
  <c r="AS904" i="3" a="1"/>
  <c r="AS904" i="3" s="1"/>
  <c r="AT904" i="3" a="1"/>
  <c r="AT904" i="3" s="1"/>
  <c r="Y903" i="3"/>
  <c r="AH904" i="3"/>
  <c r="W904" i="3"/>
  <c r="AT903" i="3" a="1"/>
  <c r="AT903" i="3" s="1"/>
  <c r="AS903" i="3" a="1"/>
  <c r="AS903" i="3" s="1"/>
  <c r="AS902" i="3" a="1"/>
  <c r="AS902" i="3" s="1"/>
  <c r="Y902" i="3"/>
  <c r="Z903" i="3"/>
  <c r="AJ903" i="3"/>
  <c r="X903" i="3"/>
  <c r="AH903" i="3"/>
  <c r="W903" i="3"/>
  <c r="AT902" i="3" a="1"/>
  <c r="AT902" i="3" s="1"/>
  <c r="V902" i="3"/>
  <c r="AH902" i="3"/>
  <c r="W902" i="3"/>
  <c r="Z902" i="3"/>
  <c r="Z901" i="3"/>
  <c r="X901" i="3"/>
  <c r="W901" i="3"/>
  <c r="Y901" i="3"/>
  <c r="V901" i="3"/>
  <c r="AT901" i="3" a="1"/>
  <c r="AT901" i="3" s="1"/>
  <c r="AS901" i="3" a="1"/>
  <c r="AS901" i="3" s="1"/>
  <c r="AJ901" i="3"/>
  <c r="Y900" i="3"/>
  <c r="AT900" i="3" a="1"/>
  <c r="AT900" i="3" s="1"/>
  <c r="AS900" i="3" a="1"/>
  <c r="AS900" i="3" s="1"/>
  <c r="Z900" i="3"/>
  <c r="X900" i="3"/>
  <c r="AH900" i="3"/>
  <c r="W900" i="3"/>
  <c r="Y899" i="3"/>
  <c r="Y898" i="3"/>
  <c r="AT899" i="3" a="1"/>
  <c r="AT899" i="3" s="1"/>
  <c r="AS899" i="3" a="1"/>
  <c r="AS899" i="3" s="1"/>
  <c r="Z899" i="3"/>
  <c r="AJ899" i="3"/>
  <c r="X899" i="3"/>
  <c r="AH899" i="3"/>
  <c r="W899" i="3"/>
  <c r="AJ898" i="3"/>
  <c r="X898" i="3"/>
  <c r="AH898" i="3"/>
  <c r="W898" i="3"/>
  <c r="V898" i="3"/>
  <c r="AT898" i="3" a="1"/>
  <c r="AT898" i="3" s="1"/>
  <c r="AS898" i="3" a="1"/>
  <c r="AS898" i="3" s="1"/>
  <c r="AJ893" i="3"/>
  <c r="Y897" i="3"/>
  <c r="AJ897" i="3"/>
  <c r="AH897" i="3"/>
  <c r="W897" i="3"/>
  <c r="X897" i="3"/>
  <c r="V897" i="3"/>
  <c r="AT897" i="3" a="1"/>
  <c r="AT897" i="3" s="1"/>
  <c r="AS897" i="3" a="1"/>
  <c r="AS897" i="3" s="1"/>
  <c r="Y896" i="3"/>
  <c r="X896" i="3"/>
  <c r="V896" i="3"/>
  <c r="AT896" i="3" a="1"/>
  <c r="AT896" i="3" s="1"/>
  <c r="AS896" i="3" a="1"/>
  <c r="AS896" i="3" s="1"/>
  <c r="Z896" i="3"/>
  <c r="AH896" i="3"/>
  <c r="AS895" i="3" a="1"/>
  <c r="AS895" i="3" s="1"/>
  <c r="AH895" i="3"/>
  <c r="W895" i="3"/>
  <c r="Z895" i="3"/>
  <c r="Y895" i="3"/>
  <c r="AT895" i="3" a="1"/>
  <c r="AT895" i="3" s="1"/>
  <c r="X895" i="3"/>
  <c r="AS894" i="3" a="1"/>
  <c r="AS894" i="3" s="1"/>
  <c r="Z894" i="3"/>
  <c r="AH894" i="3"/>
  <c r="W894" i="3"/>
  <c r="AJ894" i="3"/>
  <c r="Y894" i="3"/>
  <c r="V894" i="3"/>
  <c r="AT894" i="3" a="1"/>
  <c r="AT894" i="3" s="1"/>
  <c r="Y893" i="3"/>
  <c r="X893" i="3"/>
  <c r="AH893" i="3"/>
  <c r="W893" i="3"/>
  <c r="V893" i="3"/>
  <c r="AT893" i="3" a="1"/>
  <c r="AT893" i="3" s="1"/>
  <c r="AS893" i="3" a="1"/>
  <c r="AS893" i="3" s="1"/>
  <c r="X892" i="3"/>
  <c r="Z892" i="3"/>
  <c r="Y892" i="3"/>
  <c r="W892" i="3"/>
  <c r="V892" i="3"/>
  <c r="AS892" i="3" a="1"/>
  <c r="AS892" i="3" s="1"/>
  <c r="AV892" i="3" s="1"/>
  <c r="AH892" i="3"/>
  <c r="AJ891" i="3"/>
  <c r="Y891" i="3"/>
  <c r="V891" i="3"/>
  <c r="AT891" i="3" a="1"/>
  <c r="AT891" i="3" s="1"/>
  <c r="AS891" i="3" a="1"/>
  <c r="AS891" i="3" s="1"/>
  <c r="Z891" i="3"/>
  <c r="AH891" i="3"/>
  <c r="W891" i="3"/>
  <c r="Y890" i="3"/>
  <c r="AJ888" i="3"/>
  <c r="AJ890" i="3"/>
  <c r="AH890" i="3"/>
  <c r="W890" i="3"/>
  <c r="V890" i="3"/>
  <c r="AT890" i="3" a="1"/>
  <c r="AT890" i="3" s="1"/>
  <c r="AS890" i="3" a="1"/>
  <c r="AS890" i="3" s="1"/>
  <c r="Z890" i="3"/>
  <c r="Z889" i="3"/>
  <c r="Y889" i="3"/>
  <c r="X889" i="3"/>
  <c r="V889" i="3"/>
  <c r="AT889" i="3" a="1"/>
  <c r="AT889" i="3" s="1"/>
  <c r="AS889" i="3" a="1"/>
  <c r="AS889" i="3" s="1"/>
  <c r="AJ889" i="3"/>
  <c r="AH889" i="3"/>
  <c r="Z888" i="3"/>
  <c r="Y888" i="3"/>
  <c r="X888" i="3"/>
  <c r="AT888" i="3" a="1"/>
  <c r="AT888" i="3" s="1"/>
  <c r="W888" i="3"/>
  <c r="AS888" i="3" a="1"/>
  <c r="AS888" i="3" s="1"/>
  <c r="V888" i="3"/>
  <c r="AH887" i="3"/>
  <c r="Y887" i="3"/>
  <c r="Z887" i="3"/>
  <c r="AT887" i="3" a="1"/>
  <c r="AT887" i="3" s="1"/>
  <c r="X887" i="3"/>
  <c r="AS887" i="3" a="1"/>
  <c r="AS887" i="3" s="1"/>
  <c r="AJ887" i="3"/>
  <c r="W887" i="3"/>
  <c r="Z886" i="3"/>
  <c r="Y886" i="3"/>
  <c r="V886" i="3"/>
  <c r="AT886" i="3" a="1"/>
  <c r="AT886" i="3" s="1"/>
  <c r="W886" i="3"/>
  <c r="AS886" i="3" a="1"/>
  <c r="AS886" i="3" s="1"/>
  <c r="AH886" i="3"/>
  <c r="AS885" i="3" a="1"/>
  <c r="AS885" i="3" s="1"/>
  <c r="AT885" i="3" a="1"/>
  <c r="AT885" i="3" s="1"/>
  <c r="Y885" i="3"/>
  <c r="W885" i="3"/>
  <c r="AH885" i="3"/>
  <c r="Z885" i="3"/>
  <c r="AJ886" i="3"/>
  <c r="X885" i="3"/>
  <c r="AJ885" i="3"/>
  <c r="AS884" i="3" a="1"/>
  <c r="AS884" i="3" s="1"/>
  <c r="AV884" i="3" s="1"/>
  <c r="Z884" i="3"/>
  <c r="AJ884" i="3"/>
  <c r="X884" i="3"/>
  <c r="AH884" i="3"/>
  <c r="W884" i="3"/>
  <c r="V884" i="3"/>
  <c r="Y884" i="3"/>
  <c r="V883" i="3"/>
  <c r="Z883" i="3"/>
  <c r="AS883" i="3" a="1"/>
  <c r="AS883" i="3" s="1"/>
  <c r="Y883" i="3"/>
  <c r="AT883" i="3" a="1"/>
  <c r="AT883" i="3" s="1"/>
  <c r="X883" i="3"/>
  <c r="AJ883" i="3"/>
  <c r="Y882" i="3"/>
  <c r="AH883" i="3"/>
  <c r="AH882" i="3"/>
  <c r="V882" i="3"/>
  <c r="AT882" i="3" a="1"/>
  <c r="AT882" i="3" s="1"/>
  <c r="W882" i="3"/>
  <c r="X882" i="3"/>
  <c r="AS882" i="3" a="1"/>
  <c r="AS882" i="3" s="1"/>
  <c r="AJ880" i="3"/>
  <c r="Y881" i="3"/>
  <c r="X881" i="3"/>
  <c r="AT881" i="3" a="1"/>
  <c r="AT881" i="3" s="1"/>
  <c r="W881" i="3"/>
  <c r="V881" i="3"/>
  <c r="AS881" i="3" a="1"/>
  <c r="AS881" i="3" s="1"/>
  <c r="AH881" i="3"/>
  <c r="AJ881" i="3"/>
  <c r="AT880" i="3" a="1"/>
  <c r="AT880" i="3" s="1"/>
  <c r="Y880" i="3"/>
  <c r="X880" i="3"/>
  <c r="AS879" i="3" a="1"/>
  <c r="AS879" i="3" s="1"/>
  <c r="AV879" i="3" s="1"/>
  <c r="AS880" i="3" a="1"/>
  <c r="AS880" i="3" s="1"/>
  <c r="Z880" i="3"/>
  <c r="AH880" i="3"/>
  <c r="W880" i="3"/>
  <c r="Y879" i="3"/>
  <c r="Z879" i="3"/>
  <c r="X879" i="3"/>
  <c r="W879" i="3"/>
  <c r="AH879" i="3"/>
  <c r="V879" i="3"/>
  <c r="V878" i="3"/>
  <c r="AT878" i="3" a="1"/>
  <c r="AT878" i="3" s="1"/>
  <c r="AH878" i="3"/>
  <c r="Z878" i="3"/>
  <c r="Y878" i="3"/>
  <c r="AS878" i="3" a="1"/>
  <c r="AS878" i="3" s="1"/>
  <c r="W878" i="3"/>
  <c r="AJ878" i="3"/>
  <c r="Y877" i="3"/>
  <c r="X877" i="3"/>
  <c r="AH877" i="3"/>
  <c r="W877" i="3"/>
  <c r="V877" i="3"/>
  <c r="AT877" i="3" a="1"/>
  <c r="AT877" i="3" s="1"/>
  <c r="AS877" i="3" a="1"/>
  <c r="AS877" i="3" s="1"/>
  <c r="AS876" i="3" a="1"/>
  <c r="AS876" i="3" s="1"/>
  <c r="AV876" i="3" s="1"/>
  <c r="Z876" i="3"/>
  <c r="Y876" i="3"/>
  <c r="AH876" i="3"/>
  <c r="W876" i="3"/>
  <c r="AJ876" i="3"/>
  <c r="AS875" i="3" a="1"/>
  <c r="AS875" i="3" s="1"/>
  <c r="X876" i="3"/>
  <c r="V876" i="3"/>
  <c r="AT875" i="3" a="1"/>
  <c r="AT875" i="3" s="1"/>
  <c r="Y875" i="3"/>
  <c r="Z875" i="3"/>
  <c r="AJ875" i="3"/>
  <c r="X874" i="3"/>
  <c r="X875" i="3"/>
  <c r="V874" i="3"/>
  <c r="AH875" i="3"/>
  <c r="W875" i="3"/>
  <c r="Y874" i="3"/>
  <c r="AT874" i="3" a="1"/>
  <c r="AT874" i="3" s="1"/>
  <c r="AS874" i="3" a="1"/>
  <c r="AS874" i="3" s="1"/>
  <c r="AH874" i="3"/>
  <c r="W874" i="3"/>
  <c r="AJ874" i="3"/>
  <c r="AJ864" i="3"/>
  <c r="AJ862" i="3"/>
  <c r="Z873" i="3"/>
  <c r="Y873" i="3"/>
  <c r="X873" i="3"/>
  <c r="AS873" i="3" a="1"/>
  <c r="AS873" i="3" s="1"/>
  <c r="AV873" i="3" s="1"/>
  <c r="AJ873" i="3"/>
  <c r="AH873" i="3"/>
  <c r="W873" i="3"/>
  <c r="V873" i="3"/>
  <c r="Z872" i="3"/>
  <c r="Y872" i="3"/>
  <c r="X872" i="3"/>
  <c r="AT872" i="3" a="1"/>
  <c r="AT872" i="3" s="1"/>
  <c r="W872" i="3"/>
  <c r="V872" i="3"/>
  <c r="AS872" i="3" a="1"/>
  <c r="AS872" i="3" s="1"/>
  <c r="AJ872" i="3"/>
  <c r="Y871" i="3"/>
  <c r="AJ871" i="3"/>
  <c r="AT871" i="3" a="1"/>
  <c r="AT871" i="3" s="1"/>
  <c r="AS871" i="3" a="1"/>
  <c r="AS871" i="3" s="1"/>
  <c r="Z871" i="3"/>
  <c r="X871" i="3"/>
  <c r="AH871" i="3"/>
  <c r="W871" i="3"/>
  <c r="Y870" i="3"/>
  <c r="X870" i="3"/>
  <c r="AS870" i="3" a="1"/>
  <c r="AS870" i="3" s="1"/>
  <c r="AV870" i="3" s="1"/>
  <c r="AJ870" i="3"/>
  <c r="Z870" i="3"/>
  <c r="AH870" i="3"/>
  <c r="W870" i="3"/>
  <c r="V870" i="3"/>
  <c r="Z869" i="3"/>
  <c r="AS869" i="3" a="1"/>
  <c r="AS869" i="3" s="1"/>
  <c r="AV869" i="3" s="1"/>
  <c r="Y869" i="3"/>
  <c r="V869" i="3"/>
  <c r="AX869" i="3"/>
  <c r="AJ869" i="3"/>
  <c r="X869" i="3"/>
  <c r="AH869" i="3"/>
  <c r="W869" i="3"/>
  <c r="Y868" i="3"/>
  <c r="X868" i="3"/>
  <c r="AX868" i="3"/>
  <c r="V868" i="3"/>
  <c r="AT868" i="3" a="1"/>
  <c r="AT868" i="3" s="1"/>
  <c r="AJ868" i="3"/>
  <c r="AS868" i="3" a="1"/>
  <c r="AS868" i="3" s="1"/>
  <c r="Z868" i="3"/>
  <c r="AH868" i="3"/>
  <c r="AS867" i="3" a="1"/>
  <c r="AS867" i="3" s="1"/>
  <c r="Z867" i="3"/>
  <c r="Y867" i="3"/>
  <c r="X867" i="3"/>
  <c r="V867" i="3"/>
  <c r="AT867" i="3" a="1"/>
  <c r="AT867" i="3" s="1"/>
  <c r="X866" i="3"/>
  <c r="AH867" i="3"/>
  <c r="AT866" i="3" a="1"/>
  <c r="AT866" i="3" s="1"/>
  <c r="AS866" i="3" a="1"/>
  <c r="AS866" i="3" s="1"/>
  <c r="Y866" i="3"/>
  <c r="AJ866" i="3"/>
  <c r="Z866" i="3"/>
  <c r="AH866" i="3"/>
  <c r="W866" i="3"/>
  <c r="X865" i="3"/>
  <c r="Y865" i="3"/>
  <c r="AT865" i="3" a="1"/>
  <c r="AT865" i="3" s="1"/>
  <c r="AS865" i="3" a="1"/>
  <c r="AS865" i="3" s="1"/>
  <c r="W865" i="3"/>
  <c r="AH865" i="3"/>
  <c r="V865" i="3"/>
  <c r="AT864" i="3" a="1"/>
  <c r="AT864" i="3" s="1"/>
  <c r="Y864" i="3"/>
  <c r="AS864" i="3" a="1"/>
  <c r="AS864" i="3" s="1"/>
  <c r="Z864" i="3"/>
  <c r="X864" i="3"/>
  <c r="AH864" i="3"/>
  <c r="W864" i="3"/>
  <c r="Z863" i="3"/>
  <c r="AH863" i="3"/>
  <c r="X862" i="3"/>
  <c r="Y863" i="3"/>
  <c r="AT863" i="3" a="1"/>
  <c r="AT863" i="3" s="1"/>
  <c r="X863" i="3"/>
  <c r="AS863" i="3" a="1"/>
  <c r="AS863" i="3" s="1"/>
  <c r="AJ863" i="3"/>
  <c r="W863" i="3"/>
  <c r="Y862" i="3"/>
  <c r="AH862" i="3"/>
  <c r="W862" i="3"/>
  <c r="V862" i="3"/>
  <c r="AT862" i="3" a="1"/>
  <c r="AT862" i="3" s="1"/>
  <c r="AS862" i="3" a="1"/>
  <c r="AS862" i="3" s="1"/>
  <c r="Y861" i="3"/>
  <c r="W861" i="3"/>
  <c r="V861" i="3"/>
  <c r="AS861" i="3" a="1"/>
  <c r="AS861" i="3" s="1"/>
  <c r="AH861" i="3"/>
  <c r="AT861" i="3" a="1"/>
  <c r="AT861" i="3" s="1"/>
  <c r="X861" i="3"/>
  <c r="AS860" i="3" a="1"/>
  <c r="AS860" i="3" s="1"/>
  <c r="Z860" i="3"/>
  <c r="Y860" i="3"/>
  <c r="X860" i="3"/>
  <c r="AT860" i="3" a="1"/>
  <c r="AT860" i="3" s="1"/>
  <c r="V860" i="3"/>
  <c r="AX860" i="3"/>
  <c r="AJ860" i="3"/>
  <c r="AH860" i="3"/>
  <c r="V859" i="3"/>
  <c r="AS859" i="3" a="1"/>
  <c r="AS859" i="3" s="1"/>
  <c r="Z859" i="3"/>
  <c r="AT859" i="3" a="1"/>
  <c r="AT859" i="3" s="1"/>
  <c r="Y859" i="3"/>
  <c r="X859" i="3"/>
  <c r="W858" i="3"/>
  <c r="V858" i="3"/>
  <c r="AH859" i="3"/>
  <c r="Y858" i="3"/>
  <c r="X858" i="3"/>
  <c r="AT858" i="3" a="1"/>
  <c r="AT858" i="3" s="1"/>
  <c r="AH858" i="3"/>
  <c r="AJ858" i="3"/>
  <c r="AS858" i="3" a="1"/>
  <c r="AS858" i="3" s="1"/>
  <c r="Z857" i="3"/>
  <c r="Y857" i="3"/>
  <c r="AT857" i="3" a="1"/>
  <c r="AT857" i="3" s="1"/>
  <c r="X857" i="3"/>
  <c r="W857" i="3"/>
  <c r="AS857" i="3" a="1"/>
  <c r="AS857" i="3" s="1"/>
  <c r="AH857" i="3"/>
  <c r="AJ857" i="3"/>
  <c r="AT856" i="3" a="1"/>
  <c r="AT856" i="3" s="1"/>
  <c r="Y856" i="3"/>
  <c r="X856" i="3"/>
  <c r="W856" i="3"/>
  <c r="Z856" i="3"/>
  <c r="V856" i="3"/>
  <c r="AS856" i="3" a="1"/>
  <c r="AS856" i="3" s="1"/>
  <c r="AJ856" i="3"/>
  <c r="X855" i="3"/>
  <c r="Z855" i="3"/>
  <c r="Y855" i="3"/>
  <c r="AS855" i="3" a="1"/>
  <c r="AS855" i="3" s="1"/>
  <c r="AH855" i="3"/>
  <c r="AT855" i="3" a="1"/>
  <c r="AT855" i="3" s="1"/>
  <c r="AJ855" i="3"/>
  <c r="W855" i="3"/>
  <c r="W854" i="3"/>
  <c r="Y854" i="3"/>
  <c r="Z854" i="3"/>
  <c r="AS854" i="3" a="1"/>
  <c r="AS854" i="3" s="1"/>
  <c r="AH854" i="3"/>
  <c r="V854" i="3"/>
  <c r="AT854" i="3" a="1"/>
  <c r="AT854" i="3" s="1"/>
  <c r="AJ854" i="3"/>
  <c r="AJ853" i="3"/>
  <c r="AT852" i="3" a="1"/>
  <c r="AT852" i="3" s="1"/>
  <c r="Z852" i="3"/>
  <c r="V852" i="3"/>
  <c r="AS852" i="3" a="1"/>
  <c r="AS852" i="3" s="1"/>
  <c r="Y852" i="3"/>
  <c r="X852" i="3"/>
  <c r="AH852" i="3"/>
  <c r="V851" i="3"/>
  <c r="AS851" i="3" a="1"/>
  <c r="AS851" i="3" s="1"/>
  <c r="AJ851" i="3"/>
  <c r="Z851" i="3"/>
  <c r="AT851" i="3" a="1"/>
  <c r="AT851" i="3" s="1"/>
  <c r="X851" i="3"/>
  <c r="Y851" i="3"/>
  <c r="AH851" i="3"/>
  <c r="Z849" i="3"/>
  <c r="W849" i="3"/>
  <c r="AJ850" i="3"/>
  <c r="AH846" i="3"/>
  <c r="X849" i="3"/>
  <c r="AT849" i="3" a="1"/>
  <c r="AT849" i="3" s="1"/>
  <c r="V849" i="3"/>
  <c r="AS849" i="3" a="1"/>
  <c r="AS849" i="3" s="1"/>
  <c r="AJ849" i="3"/>
  <c r="AH849" i="3"/>
  <c r="Z848" i="3"/>
  <c r="Y848" i="3"/>
  <c r="AT848" i="3" a="1"/>
  <c r="AT848" i="3" s="1"/>
  <c r="V848" i="3"/>
  <c r="AS848" i="3" a="1"/>
  <c r="AS848" i="3" s="1"/>
  <c r="AJ848" i="3"/>
  <c r="X848" i="3"/>
  <c r="AH848" i="3"/>
  <c r="Y847" i="3"/>
  <c r="Y846" i="3"/>
  <c r="W846" i="3"/>
  <c r="AT847" i="3" a="1"/>
  <c r="AT847" i="3" s="1"/>
  <c r="AT846" i="3" a="1"/>
  <c r="AT846" i="3" s="1"/>
  <c r="AS847" i="3" a="1"/>
  <c r="AS847" i="3" s="1"/>
  <c r="Z847" i="3"/>
  <c r="AJ847" i="3"/>
  <c r="X847" i="3"/>
  <c r="V846" i="3"/>
  <c r="AH847" i="3"/>
  <c r="W847" i="3"/>
  <c r="Z846" i="3"/>
  <c r="AS846" i="3" a="1"/>
  <c r="AS846" i="3" s="1"/>
  <c r="AJ846" i="3"/>
  <c r="Y845" i="3"/>
  <c r="W845" i="3"/>
  <c r="AH845" i="3"/>
  <c r="AT845" i="3" a="1"/>
  <c r="AT845" i="3" s="1"/>
  <c r="X845" i="3"/>
  <c r="AS845" i="3" a="1"/>
  <c r="AS845" i="3" s="1"/>
  <c r="V845" i="3"/>
  <c r="AS844" i="3" a="1"/>
  <c r="AS844" i="3" s="1"/>
  <c r="AS840" i="3" a="1"/>
  <c r="AS840" i="3" s="1"/>
  <c r="AS838" i="3" a="1"/>
  <c r="AS838" i="3" s="1"/>
  <c r="V843" i="3"/>
  <c r="AS843" i="3" a="1"/>
  <c r="AS843" i="3" s="1"/>
  <c r="AT843" i="3" a="1"/>
  <c r="AT843" i="3" s="1"/>
  <c r="AT841" i="3" a="1"/>
  <c r="AT841" i="3" s="1"/>
  <c r="Z837" i="3"/>
  <c r="AS837" i="3" a="1"/>
  <c r="AS837" i="3" s="1"/>
  <c r="W839" i="3"/>
  <c r="AS839" i="3" a="1"/>
  <c r="AS839" i="3" s="1"/>
  <c r="Z842" i="3"/>
  <c r="AT842" i="3" a="1"/>
  <c r="AT842" i="3" s="1"/>
  <c r="AT844" i="3" a="1"/>
  <c r="AT844" i="3" s="1"/>
  <c r="V840" i="3"/>
  <c r="Z841" i="3"/>
  <c r="Z844" i="3"/>
  <c r="Z843" i="3"/>
  <c r="Z838" i="3"/>
  <c r="Z840" i="3"/>
  <c r="Z839" i="3"/>
  <c r="AJ844" i="3"/>
  <c r="Y844" i="3"/>
  <c r="X844" i="3"/>
  <c r="AH844" i="3"/>
  <c r="W844" i="3"/>
  <c r="Y843" i="3"/>
  <c r="AJ843" i="3"/>
  <c r="X843" i="3"/>
  <c r="AH843" i="3"/>
  <c r="W843" i="3"/>
  <c r="V841" i="3"/>
  <c r="Y841" i="3"/>
  <c r="AH842" i="3"/>
  <c r="W842" i="3"/>
  <c r="Y842" i="3"/>
  <c r="X842" i="3"/>
  <c r="V842" i="3"/>
  <c r="AJ841" i="3"/>
  <c r="X841" i="3"/>
  <c r="AH841" i="3"/>
  <c r="W841" i="3"/>
  <c r="Y840" i="3"/>
  <c r="X840" i="3"/>
  <c r="AJ840" i="3"/>
  <c r="AH840" i="3"/>
  <c r="W840" i="3"/>
  <c r="AJ839" i="3"/>
  <c r="Y839" i="3"/>
  <c r="V839" i="3"/>
  <c r="X839" i="3"/>
  <c r="AH839" i="3"/>
  <c r="W838" i="3"/>
  <c r="Y838" i="3"/>
  <c r="AH838" i="3"/>
  <c r="X838" i="3"/>
  <c r="V838" i="3"/>
  <c r="AJ838" i="3"/>
  <c r="V837" i="3"/>
  <c r="Y837" i="3"/>
  <c r="X837" i="3"/>
  <c r="AH837" i="3"/>
  <c r="W837" i="3"/>
  <c r="O3" i="2" a="1"/>
  <c r="O3" i="2" s="1"/>
  <c r="P2" i="2"/>
  <c r="AV937" i="3" l="1"/>
  <c r="AV931" i="3"/>
  <c r="AV935" i="3"/>
  <c r="AV934" i="3"/>
  <c r="AV933" i="3"/>
  <c r="AV932" i="3"/>
  <c r="AV928" i="3"/>
  <c r="AV929" i="3"/>
  <c r="AV927" i="3"/>
  <c r="AV926" i="3"/>
  <c r="AV925" i="3"/>
  <c r="AV923" i="3"/>
  <c r="AV922" i="3"/>
  <c r="AV921" i="3"/>
  <c r="AV920" i="3"/>
  <c r="AV919" i="3"/>
  <c r="AV918" i="3"/>
  <c r="AV917" i="3"/>
  <c r="AV915" i="3"/>
  <c r="AV914" i="3"/>
  <c r="AV911" i="3"/>
  <c r="AV913" i="3"/>
  <c r="AV912" i="3"/>
  <c r="AV910" i="3"/>
  <c r="AV909" i="3"/>
  <c r="AV908" i="3"/>
  <c r="AV907" i="3"/>
  <c r="AV906" i="3"/>
  <c r="AV905" i="3"/>
  <c r="AV904" i="3"/>
  <c r="AV903" i="3"/>
  <c r="AV902" i="3"/>
  <c r="AV901" i="3"/>
  <c r="AV900" i="3"/>
  <c r="AV899" i="3"/>
  <c r="AV898" i="3"/>
  <c r="AV897" i="3"/>
  <c r="AV896" i="3"/>
  <c r="AV895" i="3"/>
  <c r="AV894" i="3"/>
  <c r="P3" i="2"/>
  <c r="AV893" i="3"/>
  <c r="AV891" i="3"/>
  <c r="AV890" i="3"/>
  <c r="AV889" i="3"/>
  <c r="AV888" i="3"/>
  <c r="AV887" i="3"/>
  <c r="AV886" i="3"/>
  <c r="AV885" i="3"/>
  <c r="AV883" i="3"/>
  <c r="AV882" i="3"/>
  <c r="AV880" i="3"/>
  <c r="AV881" i="3"/>
  <c r="AV878" i="3"/>
  <c r="AV877" i="3"/>
  <c r="AV875" i="3"/>
  <c r="AV874" i="3"/>
  <c r="AV872" i="3"/>
  <c r="AV871" i="3"/>
  <c r="AV868" i="3"/>
  <c r="AV867" i="3"/>
  <c r="AV866" i="3"/>
  <c r="AV865" i="3"/>
  <c r="AV864" i="3"/>
  <c r="AV860" i="3"/>
  <c r="AV863" i="3"/>
  <c r="AV862" i="3"/>
  <c r="AV859" i="3"/>
  <c r="AV861" i="3"/>
  <c r="AV858" i="3"/>
  <c r="AV857" i="3"/>
  <c r="AV856" i="3"/>
  <c r="AV855" i="3"/>
  <c r="AV854" i="3"/>
  <c r="AV852" i="3"/>
  <c r="AV851" i="3"/>
  <c r="AV848" i="3"/>
  <c r="AV849" i="3"/>
  <c r="AV846" i="3"/>
  <c r="AV847" i="3"/>
  <c r="AV845" i="3"/>
  <c r="AV838" i="3"/>
  <c r="AV837" i="3"/>
  <c r="AV844" i="3"/>
  <c r="AV843" i="3"/>
  <c r="AV841" i="3"/>
  <c r="AV842" i="3"/>
  <c r="AV840" i="3"/>
  <c r="AV839" i="3"/>
  <c r="O4" i="2" a="1"/>
  <c r="O4" i="2" s="1"/>
  <c r="P4" i="2" s="1"/>
  <c r="O5" i="2" l="1" a="1"/>
  <c r="O5" i="2" s="1"/>
  <c r="P5" i="2" s="1"/>
  <c r="O6" i="2" l="1" a="1"/>
  <c r="O6" i="2" s="1"/>
  <c r="P6" i="2" s="1"/>
  <c r="O7" i="2" l="1" a="1"/>
  <c r="O7" i="2" s="1"/>
  <c r="P7" i="2" s="1"/>
  <c r="O8" i="2" l="1" a="1"/>
  <c r="O8" i="2" s="1"/>
  <c r="P8" i="2" s="1"/>
  <c r="O9" i="2" l="1" a="1"/>
  <c r="O9" i="2" s="1"/>
  <c r="O10" i="2" s="1" a="1"/>
  <c r="O10" i="2" s="1"/>
  <c r="P9" i="2" l="1"/>
  <c r="O11" i="2" a="1"/>
  <c r="O11" i="2" s="1"/>
  <c r="P10" i="2"/>
  <c r="O12" i="2" l="1" a="1"/>
  <c r="O12" i="2" s="1"/>
  <c r="P11" i="2"/>
  <c r="O13" i="2" l="1" a="1"/>
  <c r="O13" i="2" s="1"/>
  <c r="P13" i="2" s="1"/>
  <c r="P12" i="2"/>
  <c r="O14" i="2" l="1" a="1"/>
  <c r="O14" i="2" s="1"/>
  <c r="O15" i="2" s="1" a="1"/>
  <c r="O15" i="2" s="1"/>
  <c r="P14" i="2" l="1"/>
  <c r="O16" i="2" a="1"/>
  <c r="O16" i="2" s="1"/>
  <c r="P15" i="2"/>
  <c r="O17" i="2" l="1" a="1"/>
  <c r="O17" i="2" s="1"/>
  <c r="P16" i="2"/>
  <c r="O18" i="2" l="1" a="1"/>
  <c r="O18" i="2" s="1"/>
  <c r="P17" i="2"/>
  <c r="O19" i="2" l="1" a="1"/>
  <c r="O19" i="2" s="1"/>
  <c r="P18" i="2"/>
  <c r="O20" i="2" l="1" a="1"/>
  <c r="O20" i="2" s="1"/>
  <c r="P19" i="2"/>
  <c r="O21" i="2" l="1" a="1"/>
  <c r="O21" i="2" s="1"/>
  <c r="P20" i="2"/>
  <c r="P21" i="2" l="1"/>
  <c r="O22" i="2" a="1"/>
  <c r="O22" i="2" s="1"/>
  <c r="O23" i="2" l="1" a="1"/>
  <c r="O23" i="2" s="1"/>
  <c r="P22" i="2"/>
  <c r="O24" i="2" l="1" a="1"/>
  <c r="O24" i="2" s="1"/>
  <c r="P23" i="2"/>
  <c r="O25" i="2" l="1" a="1"/>
  <c r="O25" i="2" s="1"/>
  <c r="P24" i="2"/>
  <c r="O26" i="2" l="1" a="1"/>
  <c r="O26" i="2" s="1"/>
  <c r="P25" i="2"/>
  <c r="O27" i="2" l="1" a="1"/>
  <c r="O27" i="2" s="1"/>
  <c r="P26" i="2"/>
  <c r="O28" i="2" l="1" a="1"/>
  <c r="O28" i="2" s="1"/>
  <c r="P27" i="2"/>
  <c r="O29" i="2" l="1" a="1"/>
  <c r="O29" i="2" s="1"/>
  <c r="P28" i="2"/>
  <c r="O30" i="2" l="1" a="1"/>
  <c r="O30" i="2" s="1"/>
  <c r="P29" i="2"/>
  <c r="O31" i="2" l="1" a="1"/>
  <c r="O31" i="2" s="1"/>
  <c r="P30" i="2"/>
  <c r="O32" i="2" l="1" a="1"/>
  <c r="O32" i="2" s="1"/>
  <c r="P31" i="2"/>
  <c r="O33" i="2" l="1" a="1"/>
  <c r="O33" i="2" s="1"/>
  <c r="P32" i="2"/>
  <c r="P33" i="2" l="1"/>
  <c r="O34" i="2" a="1"/>
  <c r="O34" i="2" s="1"/>
  <c r="P34" i="2" l="1"/>
  <c r="O35" i="2" a="1"/>
  <c r="O35" i="2" s="1"/>
  <c r="P35" i="2" l="1"/>
  <c r="O36" i="2" a="1"/>
  <c r="O36" i="2" s="1"/>
  <c r="P36" i="2" l="1"/>
  <c r="O37" i="2" a="1"/>
  <c r="O37" i="2" s="1"/>
  <c r="P37" i="2" l="1"/>
  <c r="O38" i="2" a="1"/>
  <c r="O38" i="2" s="1"/>
  <c r="P38" i="2" l="1"/>
  <c r="O39" i="2" a="1"/>
  <c r="O39" i="2" s="1"/>
  <c r="P39" i="2" l="1"/>
  <c r="O40" i="2" a="1"/>
  <c r="O40" i="2" s="1"/>
  <c r="P40" i="2" l="1"/>
  <c r="O41" i="2" a="1"/>
  <c r="O41" i="2" s="1"/>
  <c r="P41" i="2" l="1"/>
  <c r="O42" i="2" a="1"/>
  <c r="O42" i="2" s="1"/>
  <c r="O43" i="2" l="1" a="1"/>
  <c r="O43" i="2" s="1"/>
  <c r="P42" i="2"/>
  <c r="P43" i="2" l="1"/>
  <c r="O44" i="2" a="1"/>
  <c r="O44" i="2" s="1"/>
  <c r="O45" i="2" l="1" a="1"/>
  <c r="O45" i="2" s="1"/>
  <c r="P44" i="2"/>
  <c r="O46" i="2" l="1" a="1"/>
  <c r="O46" i="2" s="1"/>
  <c r="P45" i="2"/>
  <c r="O47" i="2" l="1" a="1"/>
  <c r="O47" i="2" s="1"/>
  <c r="P46" i="2"/>
  <c r="O48" i="2" l="1" a="1"/>
  <c r="O48" i="2" s="1"/>
  <c r="P47" i="2"/>
  <c r="O49" i="2" l="1" a="1"/>
  <c r="O49" i="2" s="1"/>
  <c r="P48" i="2"/>
  <c r="O50" i="2" l="1" a="1"/>
  <c r="O50" i="2" s="1"/>
  <c r="P49" i="2"/>
  <c r="O51" i="2" l="1" a="1"/>
  <c r="O51" i="2" s="1"/>
  <c r="P50" i="2"/>
  <c r="O52" i="2" l="1" a="1"/>
  <c r="O52" i="2" s="1"/>
  <c r="P51" i="2"/>
  <c r="O53" i="2" l="1" a="1"/>
  <c r="O53" i="2" s="1"/>
  <c r="P52" i="2"/>
  <c r="O54" i="2" l="1" a="1"/>
  <c r="O54" i="2" s="1"/>
  <c r="P53" i="2"/>
  <c r="O55" i="2" l="1" a="1"/>
  <c r="O55" i="2" s="1"/>
  <c r="P54" i="2"/>
  <c r="O56" i="2" l="1" a="1"/>
  <c r="O56" i="2" s="1"/>
  <c r="P55" i="2"/>
  <c r="O57" i="2" l="1" a="1"/>
  <c r="O57" i="2" s="1"/>
  <c r="P56" i="2"/>
  <c r="O58" i="2" l="1" a="1"/>
  <c r="O58" i="2" s="1"/>
  <c r="P57" i="2"/>
  <c r="O59" i="2" l="1" a="1"/>
  <c r="O59" i="2" s="1"/>
  <c r="P58" i="2"/>
  <c r="O60" i="2" l="1" a="1"/>
  <c r="O60" i="2" s="1"/>
  <c r="P59" i="2"/>
  <c r="O61" i="2" l="1" a="1"/>
  <c r="O61" i="2" s="1"/>
  <c r="P60" i="2"/>
  <c r="O62" i="2" l="1" a="1"/>
  <c r="O62" i="2" s="1"/>
  <c r="P61" i="2"/>
  <c r="O63" i="2" l="1" a="1"/>
  <c r="O63" i="2" s="1"/>
  <c r="P62" i="2"/>
  <c r="O64" i="2" l="1" a="1"/>
  <c r="O64" i="2" s="1"/>
  <c r="P63" i="2"/>
  <c r="O65" i="2" l="1" a="1"/>
  <c r="O65" i="2" s="1"/>
  <c r="P64" i="2"/>
  <c r="O66" i="2" l="1" a="1"/>
  <c r="O66" i="2" s="1"/>
  <c r="P65" i="2"/>
  <c r="O67" i="2" l="1" a="1"/>
  <c r="O67" i="2" s="1"/>
  <c r="P66" i="2"/>
  <c r="O68" i="2" l="1" a="1"/>
  <c r="O68" i="2" s="1"/>
  <c r="P67" i="2"/>
  <c r="O69" i="2" l="1" a="1"/>
  <c r="O69" i="2" s="1"/>
  <c r="P68" i="2"/>
  <c r="O70" i="2" l="1" a="1"/>
  <c r="O70" i="2" s="1"/>
  <c r="P69" i="2"/>
  <c r="O71" i="2" l="1" a="1"/>
  <c r="O71" i="2" s="1"/>
  <c r="P70" i="2"/>
  <c r="O72" i="2" l="1" a="1"/>
  <c r="O72" i="2" s="1"/>
  <c r="P71" i="2"/>
  <c r="O73" i="2" l="1" a="1"/>
  <c r="O73" i="2" s="1"/>
  <c r="P72" i="2"/>
  <c r="O74" i="2" l="1" a="1"/>
  <c r="O74" i="2" s="1"/>
  <c r="P73" i="2"/>
  <c r="O75" i="2" l="1" a="1"/>
  <c r="O75" i="2" s="1"/>
  <c r="P74" i="2"/>
  <c r="O76" i="2" l="1" a="1"/>
  <c r="O76" i="2" s="1"/>
  <c r="P75" i="2"/>
  <c r="O77" i="2" l="1" a="1"/>
  <c r="O77" i="2" s="1"/>
  <c r="P76" i="2"/>
  <c r="O78" i="2" l="1" a="1"/>
  <c r="O78" i="2" s="1"/>
  <c r="P77" i="2"/>
  <c r="O79" i="2" l="1" a="1"/>
  <c r="O79" i="2" s="1"/>
  <c r="P78" i="2"/>
  <c r="O80" i="2" l="1" a="1"/>
  <c r="O80" i="2" s="1"/>
  <c r="P79" i="2"/>
  <c r="O81" i="2" l="1" a="1"/>
  <c r="O81" i="2" s="1"/>
  <c r="P80" i="2"/>
  <c r="O82" i="2" l="1" a="1"/>
  <c r="O82" i="2" s="1"/>
  <c r="P81" i="2"/>
  <c r="O83" i="2" l="1" a="1"/>
  <c r="O83" i="2" s="1"/>
  <c r="P82" i="2"/>
  <c r="O84" i="2" l="1" a="1"/>
  <c r="O84" i="2" s="1"/>
  <c r="P83" i="2"/>
  <c r="O85" i="2" l="1" a="1"/>
  <c r="O85" i="2" s="1"/>
  <c r="P84" i="2"/>
  <c r="O86" i="2" l="1" a="1"/>
  <c r="O86" i="2" s="1"/>
  <c r="P85" i="2"/>
  <c r="O87" i="2" l="1" a="1"/>
  <c r="O87" i="2" s="1"/>
  <c r="P86" i="2"/>
  <c r="O88" i="2" l="1" a="1"/>
  <c r="O88" i="2" s="1"/>
  <c r="P87" i="2"/>
  <c r="O89" i="2" l="1" a="1"/>
  <c r="O89" i="2" s="1"/>
  <c r="P88" i="2"/>
  <c r="O90" i="2" l="1" a="1"/>
  <c r="O90" i="2" s="1"/>
  <c r="P89" i="2"/>
  <c r="O91" i="2" l="1" a="1"/>
  <c r="O91" i="2" s="1"/>
  <c r="O92" i="2" s="1" a="1"/>
  <c r="O92" i="2" s="1"/>
  <c r="O93" i="2" s="1" a="1"/>
  <c r="O93" i="2" s="1"/>
  <c r="O94" i="2" s="1" a="1"/>
  <c r="O94" i="2" s="1"/>
  <c r="O95" i="2" s="1" a="1"/>
  <c r="O95" i="2" s="1"/>
  <c r="O96" i="2" s="1" a="1"/>
  <c r="O96" i="2" s="1"/>
  <c r="O97" i="2" s="1" a="1"/>
  <c r="O97" i="2" s="1"/>
  <c r="O98" i="2" s="1" a="1"/>
  <c r="O98" i="2" s="1"/>
  <c r="O99" i="2" s="1" a="1"/>
  <c r="O99" i="2" s="1"/>
  <c r="O100" i="2" s="1" a="1"/>
  <c r="O100" i="2" s="1"/>
  <c r="O101" i="2" s="1" a="1"/>
  <c r="O101" i="2" s="1"/>
  <c r="O102" i="2" s="1" a="1"/>
  <c r="O102" i="2" s="1"/>
  <c r="O103" i="2" s="1" a="1"/>
  <c r="O103" i="2" s="1"/>
  <c r="O104" i="2" s="1" a="1"/>
  <c r="O104" i="2" s="1"/>
  <c r="O105" i="2" s="1" a="1"/>
  <c r="O105" i="2" s="1"/>
  <c r="O106" i="2" s="1" a="1"/>
  <c r="O106" i="2" s="1"/>
  <c r="O107" i="2" s="1" a="1"/>
  <c r="O107" i="2" s="1"/>
  <c r="O108" i="2" s="1" a="1"/>
  <c r="O108" i="2" s="1"/>
  <c r="O109" i="2" s="1" a="1"/>
  <c r="O109" i="2" s="1"/>
  <c r="O110" i="2" s="1" a="1"/>
  <c r="O110" i="2" s="1"/>
  <c r="O111" i="2" s="1" a="1"/>
  <c r="O111" i="2" s="1"/>
  <c r="O112" i="2" s="1" a="1"/>
  <c r="O112" i="2" s="1"/>
  <c r="O113" i="2" s="1" a="1"/>
  <c r="O113" i="2" s="1"/>
  <c r="O114" i="2" s="1" a="1"/>
  <c r="O114" i="2" s="1"/>
  <c r="O115" i="2" s="1" a="1"/>
  <c r="O115" i="2" s="1"/>
  <c r="O116" i="2" s="1" a="1"/>
  <c r="O116" i="2" s="1"/>
  <c r="O117" i="2" s="1" a="1"/>
  <c r="O117" i="2" s="1"/>
  <c r="O118" i="2" s="1" a="1"/>
  <c r="O118" i="2" s="1"/>
  <c r="O119" i="2" s="1" a="1"/>
  <c r="O119" i="2" s="1"/>
  <c r="O120" i="2" s="1" a="1"/>
  <c r="O120" i="2" s="1"/>
  <c r="O121" i="2" s="1" a="1"/>
  <c r="O121" i="2" s="1"/>
  <c r="O122" i="2" s="1" a="1"/>
  <c r="O122" i="2" s="1"/>
  <c r="O123" i="2" s="1" a="1"/>
  <c r="O123" i="2" s="1"/>
  <c r="O124" i="2" s="1" a="1"/>
  <c r="O124" i="2" s="1"/>
  <c r="O125" i="2" s="1" a="1"/>
  <c r="O125" i="2" s="1"/>
  <c r="O126" i="2" s="1" a="1"/>
  <c r="O126" i="2" s="1"/>
  <c r="O127" i="2" s="1" a="1"/>
  <c r="O127" i="2" s="1"/>
  <c r="P90" i="2"/>
  <c r="P127" i="2" l="1"/>
  <c r="O128" i="2" a="1"/>
  <c r="O128" i="2" s="1"/>
  <c r="P91" i="2"/>
  <c r="P128" i="2" l="1"/>
  <c r="O129" i="2" a="1"/>
  <c r="O129" i="2" s="1"/>
  <c r="P92" i="2"/>
  <c r="P129" i="2" l="1"/>
  <c r="O130" i="2" a="1"/>
  <c r="O130" i="2" s="1"/>
  <c r="P93" i="2"/>
  <c r="P130" i="2" l="1"/>
  <c r="O131" i="2" a="1"/>
  <c r="O131" i="2" s="1"/>
  <c r="P94" i="2"/>
  <c r="P131" i="2" l="1"/>
  <c r="O132" i="2" a="1"/>
  <c r="O132" i="2" s="1"/>
  <c r="P95" i="2"/>
  <c r="P132" i="2" l="1"/>
  <c r="O133" i="2" a="1"/>
  <c r="O133" i="2" s="1"/>
  <c r="P133" i="2" s="1"/>
  <c r="P96" i="2"/>
  <c r="P97" i="2" l="1"/>
  <c r="P98" i="2" l="1"/>
  <c r="P99" i="2" l="1"/>
  <c r="P100" i="2" l="1"/>
  <c r="P101" i="2" l="1"/>
  <c r="P102" i="2" l="1"/>
  <c r="P103" i="2" l="1"/>
  <c r="P104" i="2" l="1"/>
  <c r="P105" i="2" l="1"/>
  <c r="P106" i="2" l="1"/>
  <c r="P107" i="2" l="1"/>
  <c r="P108" i="2" l="1"/>
  <c r="P109" i="2" l="1"/>
  <c r="P110" i="2" l="1"/>
  <c r="P111" i="2" l="1"/>
  <c r="P112" i="2" l="1"/>
  <c r="P113" i="2" l="1"/>
  <c r="P114" i="2" l="1"/>
  <c r="P115" i="2" l="1"/>
  <c r="P116" i="2" l="1"/>
  <c r="P117" i="2" l="1"/>
  <c r="P118" i="2" l="1"/>
  <c r="P119" i="2" l="1"/>
  <c r="P120" i="2" l="1"/>
  <c r="P121" i="2" l="1"/>
  <c r="P122" i="2" l="1"/>
  <c r="AP3" i="3"/>
  <c r="AQ3" i="3"/>
  <c r="AP4" i="3"/>
  <c r="AQ4" i="3"/>
  <c r="AP5" i="3"/>
  <c r="AQ5" i="3"/>
  <c r="AP6" i="3"/>
  <c r="AQ6" i="3"/>
  <c r="AP7" i="3"/>
  <c r="AQ7" i="3"/>
  <c r="AP8" i="3"/>
  <c r="AQ8" i="3"/>
  <c r="AP9" i="3"/>
  <c r="AQ9" i="3"/>
  <c r="AP10" i="3"/>
  <c r="AQ10" i="3"/>
  <c r="AP11" i="3"/>
  <c r="AQ11" i="3"/>
  <c r="AP12" i="3"/>
  <c r="AQ12" i="3"/>
  <c r="AP13" i="3"/>
  <c r="AQ13" i="3"/>
  <c r="AP14" i="3"/>
  <c r="AQ14" i="3"/>
  <c r="AP15" i="3"/>
  <c r="AQ15" i="3"/>
  <c r="AP16" i="3"/>
  <c r="AQ16" i="3"/>
  <c r="AP17" i="3"/>
  <c r="AQ17" i="3"/>
  <c r="AP18" i="3"/>
  <c r="AQ18" i="3"/>
  <c r="AP19" i="3"/>
  <c r="AQ19" i="3"/>
  <c r="AP20" i="3"/>
  <c r="AQ20" i="3"/>
  <c r="AP21" i="3"/>
  <c r="AQ21" i="3"/>
  <c r="AP22" i="3"/>
  <c r="AQ22" i="3"/>
  <c r="AP23" i="3"/>
  <c r="AQ23" i="3"/>
  <c r="AP24" i="3"/>
  <c r="AQ24" i="3"/>
  <c r="AP25" i="3"/>
  <c r="AQ25" i="3"/>
  <c r="AP26" i="3"/>
  <c r="AQ26" i="3"/>
  <c r="AP27" i="3"/>
  <c r="AQ27" i="3"/>
  <c r="AP28" i="3"/>
  <c r="AQ28" i="3"/>
  <c r="AP29" i="3"/>
  <c r="AQ29" i="3"/>
  <c r="AP30" i="3"/>
  <c r="AQ30" i="3"/>
  <c r="AP31" i="3"/>
  <c r="AQ31" i="3"/>
  <c r="AP32" i="3"/>
  <c r="AQ32" i="3"/>
  <c r="AP33" i="3"/>
  <c r="AQ33" i="3"/>
  <c r="AP34" i="3"/>
  <c r="AQ34" i="3"/>
  <c r="AP35" i="3"/>
  <c r="AQ35" i="3"/>
  <c r="AP36" i="3"/>
  <c r="AQ36" i="3"/>
  <c r="AP37" i="3"/>
  <c r="AQ37" i="3"/>
  <c r="AP38" i="3"/>
  <c r="AQ38" i="3"/>
  <c r="AP39" i="3"/>
  <c r="AQ39" i="3"/>
  <c r="AP40" i="3"/>
  <c r="AQ40" i="3"/>
  <c r="AP41" i="3"/>
  <c r="AQ41" i="3"/>
  <c r="AP42" i="3"/>
  <c r="AQ42" i="3"/>
  <c r="AP43" i="3"/>
  <c r="AQ43" i="3"/>
  <c r="AP44" i="3"/>
  <c r="AQ44" i="3"/>
  <c r="AP45" i="3"/>
  <c r="AQ45" i="3"/>
  <c r="AP46" i="3"/>
  <c r="AQ46" i="3"/>
  <c r="AP47" i="3"/>
  <c r="AQ47" i="3"/>
  <c r="AP48" i="3"/>
  <c r="AQ48" i="3"/>
  <c r="AP49" i="3"/>
  <c r="AQ49" i="3"/>
  <c r="AP50" i="3"/>
  <c r="AQ50" i="3"/>
  <c r="AP51" i="3"/>
  <c r="AQ51" i="3"/>
  <c r="AP52" i="3"/>
  <c r="AQ52" i="3"/>
  <c r="AP53" i="3"/>
  <c r="AQ53" i="3"/>
  <c r="AP54" i="3"/>
  <c r="AQ54" i="3"/>
  <c r="AP55" i="3"/>
  <c r="AQ55" i="3"/>
  <c r="AP56" i="3"/>
  <c r="AQ56" i="3"/>
  <c r="AP57" i="3"/>
  <c r="AQ57" i="3"/>
  <c r="AP58" i="3"/>
  <c r="AQ58" i="3"/>
  <c r="AP59" i="3"/>
  <c r="AQ59" i="3"/>
  <c r="AP60" i="3"/>
  <c r="AQ60" i="3"/>
  <c r="AP61" i="3"/>
  <c r="AQ61" i="3"/>
  <c r="AP62" i="3"/>
  <c r="AQ62" i="3"/>
  <c r="AP63" i="3"/>
  <c r="AQ63" i="3"/>
  <c r="AP64" i="3"/>
  <c r="AQ64" i="3"/>
  <c r="AP65" i="3"/>
  <c r="AQ65" i="3"/>
  <c r="AP66" i="3"/>
  <c r="AQ66" i="3"/>
  <c r="AP67" i="3"/>
  <c r="AQ67" i="3"/>
  <c r="AP68" i="3"/>
  <c r="AQ68" i="3"/>
  <c r="AP69" i="3"/>
  <c r="AQ69" i="3"/>
  <c r="AP70" i="3"/>
  <c r="AQ70" i="3"/>
  <c r="AP71" i="3"/>
  <c r="AQ71" i="3"/>
  <c r="AP72" i="3"/>
  <c r="AQ72" i="3"/>
  <c r="AP73" i="3"/>
  <c r="AQ73" i="3"/>
  <c r="AP74" i="3"/>
  <c r="AQ74" i="3"/>
  <c r="AP75" i="3"/>
  <c r="AQ75" i="3"/>
  <c r="AP76" i="3"/>
  <c r="AQ76" i="3"/>
  <c r="AP77" i="3"/>
  <c r="AQ77" i="3"/>
  <c r="AP78" i="3"/>
  <c r="AQ78" i="3"/>
  <c r="AP79" i="3"/>
  <c r="AQ79" i="3"/>
  <c r="AP80" i="3"/>
  <c r="AQ80" i="3"/>
  <c r="AP81" i="3"/>
  <c r="AQ81" i="3"/>
  <c r="AP82" i="3"/>
  <c r="AQ82" i="3"/>
  <c r="AP83" i="3"/>
  <c r="AQ83" i="3"/>
  <c r="AP84" i="3"/>
  <c r="AQ84" i="3"/>
  <c r="AP85" i="3"/>
  <c r="AQ85" i="3"/>
  <c r="AP86" i="3"/>
  <c r="AQ86" i="3"/>
  <c r="AP87" i="3"/>
  <c r="AQ87" i="3"/>
  <c r="AP88" i="3"/>
  <c r="AQ88" i="3"/>
  <c r="AP89" i="3"/>
  <c r="AQ89" i="3"/>
  <c r="AP90" i="3"/>
  <c r="AQ90" i="3"/>
  <c r="AP91" i="3"/>
  <c r="AQ91" i="3"/>
  <c r="AP92" i="3"/>
  <c r="AQ92" i="3"/>
  <c r="AP93" i="3"/>
  <c r="AQ93" i="3"/>
  <c r="AP94" i="3"/>
  <c r="AQ94" i="3"/>
  <c r="AP95" i="3"/>
  <c r="AQ95" i="3"/>
  <c r="AP96" i="3"/>
  <c r="AQ96" i="3"/>
  <c r="AP97" i="3"/>
  <c r="AQ97" i="3"/>
  <c r="AP98" i="3"/>
  <c r="AQ98" i="3"/>
  <c r="AP99" i="3"/>
  <c r="AQ99" i="3"/>
  <c r="AP100" i="3"/>
  <c r="AQ100" i="3"/>
  <c r="AP101" i="3"/>
  <c r="AQ101" i="3"/>
  <c r="AP102" i="3"/>
  <c r="AQ102" i="3"/>
  <c r="AP103" i="3"/>
  <c r="AQ103" i="3"/>
  <c r="AP104" i="3"/>
  <c r="AQ104" i="3"/>
  <c r="AP105" i="3"/>
  <c r="AQ105" i="3"/>
  <c r="AP106" i="3"/>
  <c r="AQ106" i="3"/>
  <c r="AP107" i="3"/>
  <c r="AQ107" i="3"/>
  <c r="AP108" i="3"/>
  <c r="AQ108" i="3"/>
  <c r="AP109" i="3"/>
  <c r="AQ109" i="3"/>
  <c r="AP110" i="3"/>
  <c r="AQ110" i="3"/>
  <c r="AP111" i="3"/>
  <c r="AQ111" i="3"/>
  <c r="AP112" i="3"/>
  <c r="AQ112" i="3"/>
  <c r="AP113" i="3"/>
  <c r="AQ113" i="3"/>
  <c r="AP114" i="3"/>
  <c r="AQ114" i="3"/>
  <c r="AP115" i="3"/>
  <c r="AQ115" i="3"/>
  <c r="AP116" i="3"/>
  <c r="AQ116" i="3"/>
  <c r="AP117" i="3"/>
  <c r="AQ117" i="3"/>
  <c r="AP118" i="3"/>
  <c r="AQ118" i="3"/>
  <c r="AP119" i="3"/>
  <c r="AQ119" i="3"/>
  <c r="AP120" i="3"/>
  <c r="AQ120" i="3"/>
  <c r="AP121" i="3"/>
  <c r="AQ121" i="3"/>
  <c r="AP122" i="3"/>
  <c r="AQ122" i="3"/>
  <c r="AP123" i="3"/>
  <c r="AQ123" i="3"/>
  <c r="AP124" i="3"/>
  <c r="AQ124" i="3"/>
  <c r="AP125" i="3"/>
  <c r="AQ125" i="3"/>
  <c r="AP126" i="3"/>
  <c r="AQ126" i="3"/>
  <c r="AP127" i="3"/>
  <c r="AQ127" i="3"/>
  <c r="AP128" i="3"/>
  <c r="AQ128" i="3"/>
  <c r="AP129" i="3"/>
  <c r="AQ129" i="3"/>
  <c r="AP130" i="3"/>
  <c r="AQ130" i="3"/>
  <c r="AP131" i="3"/>
  <c r="AQ131" i="3"/>
  <c r="AP132" i="3"/>
  <c r="AQ132" i="3"/>
  <c r="AP133" i="3"/>
  <c r="AQ133" i="3"/>
  <c r="AP134" i="3"/>
  <c r="AQ134" i="3"/>
  <c r="AP135" i="3"/>
  <c r="AQ135" i="3"/>
  <c r="AP136" i="3"/>
  <c r="AQ136" i="3"/>
  <c r="AP137" i="3"/>
  <c r="AQ137" i="3"/>
  <c r="AP138" i="3"/>
  <c r="AQ138" i="3"/>
  <c r="AP139" i="3"/>
  <c r="AQ139" i="3"/>
  <c r="AP140" i="3"/>
  <c r="AQ140" i="3"/>
  <c r="AP141" i="3"/>
  <c r="AQ141" i="3"/>
  <c r="AP142" i="3"/>
  <c r="AQ142" i="3"/>
  <c r="AP143" i="3"/>
  <c r="AQ143" i="3"/>
  <c r="AP144" i="3"/>
  <c r="AQ144" i="3"/>
  <c r="AP145" i="3"/>
  <c r="AQ145" i="3"/>
  <c r="AP146" i="3"/>
  <c r="AQ146" i="3"/>
  <c r="AP147" i="3"/>
  <c r="AQ147" i="3"/>
  <c r="AP148" i="3"/>
  <c r="AQ148" i="3"/>
  <c r="AP149" i="3"/>
  <c r="AQ149" i="3"/>
  <c r="AP150" i="3"/>
  <c r="AQ150" i="3"/>
  <c r="AP151" i="3"/>
  <c r="AQ151" i="3"/>
  <c r="AP152" i="3"/>
  <c r="AQ152" i="3"/>
  <c r="AP153" i="3"/>
  <c r="AQ153" i="3"/>
  <c r="AP154" i="3"/>
  <c r="AQ154" i="3"/>
  <c r="AP155" i="3"/>
  <c r="AQ155" i="3"/>
  <c r="AP156" i="3"/>
  <c r="AQ156" i="3"/>
  <c r="AP157" i="3"/>
  <c r="AQ157" i="3"/>
  <c r="AP158" i="3"/>
  <c r="AQ158" i="3"/>
  <c r="AP159" i="3"/>
  <c r="AQ159" i="3"/>
  <c r="AP160" i="3"/>
  <c r="AQ160" i="3"/>
  <c r="AP161" i="3"/>
  <c r="AQ161" i="3"/>
  <c r="AP162" i="3"/>
  <c r="AQ162" i="3"/>
  <c r="AP163" i="3"/>
  <c r="AQ163" i="3"/>
  <c r="AP164" i="3"/>
  <c r="AQ164" i="3"/>
  <c r="AP165" i="3"/>
  <c r="AQ165" i="3"/>
  <c r="AP166" i="3"/>
  <c r="AQ166" i="3"/>
  <c r="AP167" i="3"/>
  <c r="AQ167" i="3"/>
  <c r="AP168" i="3"/>
  <c r="AQ168" i="3"/>
  <c r="AP169" i="3"/>
  <c r="AQ169" i="3"/>
  <c r="AP170" i="3"/>
  <c r="AQ170" i="3"/>
  <c r="AP171" i="3"/>
  <c r="AQ171" i="3"/>
  <c r="AP172" i="3"/>
  <c r="AQ172" i="3"/>
  <c r="AP173" i="3"/>
  <c r="AQ173" i="3"/>
  <c r="AP174" i="3"/>
  <c r="AQ174" i="3"/>
  <c r="AP175" i="3"/>
  <c r="AQ175" i="3"/>
  <c r="AP176" i="3"/>
  <c r="AQ176" i="3"/>
  <c r="AP177" i="3"/>
  <c r="AQ177" i="3"/>
  <c r="AP178" i="3"/>
  <c r="AQ178" i="3"/>
  <c r="AP179" i="3"/>
  <c r="AQ179" i="3"/>
  <c r="AP180" i="3"/>
  <c r="AQ180" i="3"/>
  <c r="AP181" i="3"/>
  <c r="AQ181" i="3"/>
  <c r="AP182" i="3"/>
  <c r="AQ182" i="3"/>
  <c r="AP183" i="3"/>
  <c r="AQ183" i="3"/>
  <c r="AP184" i="3"/>
  <c r="AQ184" i="3"/>
  <c r="AP185" i="3"/>
  <c r="AQ185" i="3"/>
  <c r="AP186" i="3"/>
  <c r="AQ186" i="3"/>
  <c r="AP187" i="3"/>
  <c r="AQ187" i="3"/>
  <c r="AP188" i="3"/>
  <c r="AQ188" i="3"/>
  <c r="AP189" i="3"/>
  <c r="AQ189" i="3"/>
  <c r="AP190" i="3"/>
  <c r="AQ190" i="3"/>
  <c r="AP191" i="3"/>
  <c r="AQ191" i="3"/>
  <c r="AP192" i="3"/>
  <c r="AQ192" i="3"/>
  <c r="AP193" i="3"/>
  <c r="AQ193" i="3"/>
  <c r="AP194" i="3"/>
  <c r="AQ194" i="3"/>
  <c r="AP195" i="3"/>
  <c r="AQ195" i="3"/>
  <c r="AP196" i="3"/>
  <c r="AQ196" i="3"/>
  <c r="AP197" i="3"/>
  <c r="AQ197" i="3"/>
  <c r="AP198" i="3"/>
  <c r="AQ198" i="3"/>
  <c r="AP199" i="3"/>
  <c r="AQ199" i="3"/>
  <c r="AP200" i="3"/>
  <c r="AQ200" i="3"/>
  <c r="AP201" i="3"/>
  <c r="AQ201" i="3"/>
  <c r="AP202" i="3"/>
  <c r="AQ202" i="3"/>
  <c r="AP203" i="3"/>
  <c r="AQ203" i="3"/>
  <c r="AP204" i="3"/>
  <c r="AQ204" i="3"/>
  <c r="AP205" i="3"/>
  <c r="AQ205" i="3"/>
  <c r="AP206" i="3"/>
  <c r="AQ206" i="3"/>
  <c r="AP207" i="3"/>
  <c r="AQ207" i="3"/>
  <c r="AP208" i="3"/>
  <c r="AQ208" i="3"/>
  <c r="AP209" i="3"/>
  <c r="AQ209" i="3"/>
  <c r="AP210" i="3"/>
  <c r="AQ210" i="3"/>
  <c r="AP211" i="3"/>
  <c r="AQ211" i="3"/>
  <c r="AP212" i="3"/>
  <c r="AQ212" i="3"/>
  <c r="AP213" i="3"/>
  <c r="AQ213" i="3"/>
  <c r="AP214" i="3"/>
  <c r="AQ214" i="3"/>
  <c r="AP215" i="3"/>
  <c r="AQ215" i="3"/>
  <c r="AP216" i="3"/>
  <c r="AQ216" i="3"/>
  <c r="AP217" i="3"/>
  <c r="AQ217" i="3"/>
  <c r="AP218" i="3"/>
  <c r="AQ218" i="3"/>
  <c r="AP219" i="3"/>
  <c r="AQ219" i="3"/>
  <c r="AP220" i="3"/>
  <c r="AQ220" i="3"/>
  <c r="AP221" i="3"/>
  <c r="AQ221" i="3"/>
  <c r="AP222" i="3"/>
  <c r="AQ222" i="3"/>
  <c r="AP223" i="3"/>
  <c r="AQ223" i="3"/>
  <c r="AP224" i="3"/>
  <c r="AQ224" i="3"/>
  <c r="AP225" i="3"/>
  <c r="AQ225" i="3"/>
  <c r="AP226" i="3"/>
  <c r="AQ226" i="3"/>
  <c r="AP227" i="3"/>
  <c r="AQ227" i="3"/>
  <c r="AP228" i="3"/>
  <c r="AQ228" i="3"/>
  <c r="AP229" i="3"/>
  <c r="AQ229" i="3"/>
  <c r="AP230" i="3"/>
  <c r="AQ230" i="3"/>
  <c r="AP231" i="3"/>
  <c r="AQ231" i="3"/>
  <c r="AP232" i="3"/>
  <c r="AQ232" i="3"/>
  <c r="AP233" i="3"/>
  <c r="AQ233" i="3"/>
  <c r="AP234" i="3"/>
  <c r="AQ234" i="3"/>
  <c r="AP235" i="3"/>
  <c r="AQ235" i="3"/>
  <c r="AP236" i="3"/>
  <c r="AQ236" i="3"/>
  <c r="AP237" i="3"/>
  <c r="AQ237" i="3"/>
  <c r="AP238" i="3"/>
  <c r="AQ238" i="3"/>
  <c r="AP239" i="3"/>
  <c r="AQ239" i="3"/>
  <c r="AP240" i="3"/>
  <c r="AQ240" i="3"/>
  <c r="AP241" i="3"/>
  <c r="AQ241" i="3"/>
  <c r="AP242" i="3"/>
  <c r="AQ242" i="3"/>
  <c r="AP243" i="3"/>
  <c r="AQ243" i="3"/>
  <c r="AP244" i="3"/>
  <c r="AQ244" i="3"/>
  <c r="AP245" i="3"/>
  <c r="AQ245" i="3"/>
  <c r="AP246" i="3"/>
  <c r="AQ246" i="3"/>
  <c r="AP247" i="3"/>
  <c r="AQ247" i="3"/>
  <c r="AP248" i="3"/>
  <c r="AQ248" i="3"/>
  <c r="AP249" i="3"/>
  <c r="AQ249" i="3"/>
  <c r="AP250" i="3"/>
  <c r="AQ250" i="3"/>
  <c r="AP251" i="3"/>
  <c r="AQ251" i="3"/>
  <c r="AP252" i="3"/>
  <c r="AQ252" i="3"/>
  <c r="AP253" i="3"/>
  <c r="AQ253" i="3"/>
  <c r="AP254" i="3"/>
  <c r="AQ254" i="3"/>
  <c r="AP255" i="3"/>
  <c r="AQ255" i="3"/>
  <c r="AP256" i="3"/>
  <c r="AQ256" i="3"/>
  <c r="AP257" i="3"/>
  <c r="AQ257" i="3"/>
  <c r="AP258" i="3"/>
  <c r="AQ258" i="3"/>
  <c r="AP259" i="3"/>
  <c r="AQ259" i="3"/>
  <c r="AP260" i="3"/>
  <c r="AQ260" i="3"/>
  <c r="AP261" i="3"/>
  <c r="AQ261" i="3"/>
  <c r="AP262" i="3"/>
  <c r="AQ262" i="3"/>
  <c r="AP263" i="3"/>
  <c r="AQ263" i="3"/>
  <c r="AP264" i="3"/>
  <c r="AQ264" i="3"/>
  <c r="AP265" i="3"/>
  <c r="AQ265" i="3"/>
  <c r="AP266" i="3"/>
  <c r="AQ266" i="3"/>
  <c r="AP267" i="3"/>
  <c r="AQ267" i="3"/>
  <c r="AP268" i="3"/>
  <c r="AQ268" i="3"/>
  <c r="AP269" i="3"/>
  <c r="AQ269" i="3"/>
  <c r="AP270" i="3"/>
  <c r="AQ270" i="3"/>
  <c r="AP271" i="3"/>
  <c r="AQ271" i="3"/>
  <c r="AP272" i="3"/>
  <c r="AQ272" i="3"/>
  <c r="AP273" i="3"/>
  <c r="AQ273" i="3"/>
  <c r="AP274" i="3"/>
  <c r="AQ274" i="3"/>
  <c r="AP275" i="3"/>
  <c r="AQ275" i="3"/>
  <c r="AP276" i="3"/>
  <c r="AQ276" i="3"/>
  <c r="AP277" i="3"/>
  <c r="AQ277" i="3"/>
  <c r="AP278" i="3"/>
  <c r="AQ278" i="3"/>
  <c r="AP279" i="3"/>
  <c r="AQ279" i="3"/>
  <c r="AP280" i="3"/>
  <c r="AQ280" i="3"/>
  <c r="AP281" i="3"/>
  <c r="AQ281" i="3"/>
  <c r="AP282" i="3"/>
  <c r="AQ282" i="3"/>
  <c r="AP283" i="3"/>
  <c r="AQ283" i="3"/>
  <c r="AP284" i="3"/>
  <c r="AQ284" i="3"/>
  <c r="AP285" i="3"/>
  <c r="AQ285" i="3"/>
  <c r="AP286" i="3"/>
  <c r="AQ286" i="3"/>
  <c r="AP287" i="3"/>
  <c r="AQ287" i="3"/>
  <c r="AP288" i="3"/>
  <c r="AQ288" i="3"/>
  <c r="AP289" i="3"/>
  <c r="AQ289" i="3"/>
  <c r="AP290" i="3"/>
  <c r="AQ290" i="3"/>
  <c r="AP291" i="3"/>
  <c r="AQ291" i="3"/>
  <c r="AP292" i="3"/>
  <c r="AQ292" i="3"/>
  <c r="AP293" i="3"/>
  <c r="AQ293" i="3"/>
  <c r="AP294" i="3"/>
  <c r="AQ294" i="3"/>
  <c r="AP295" i="3"/>
  <c r="AQ295" i="3"/>
  <c r="AP296" i="3"/>
  <c r="AQ296" i="3"/>
  <c r="AP297" i="3"/>
  <c r="AQ297" i="3"/>
  <c r="AP298" i="3"/>
  <c r="AQ298" i="3"/>
  <c r="AP299" i="3"/>
  <c r="AQ299" i="3"/>
  <c r="AP300" i="3"/>
  <c r="AQ300" i="3"/>
  <c r="AP301" i="3"/>
  <c r="AQ301" i="3"/>
  <c r="AP302" i="3"/>
  <c r="AQ302" i="3"/>
  <c r="AP303" i="3"/>
  <c r="AQ303" i="3"/>
  <c r="AP304" i="3"/>
  <c r="AQ304" i="3"/>
  <c r="AP305" i="3"/>
  <c r="AQ305" i="3"/>
  <c r="AP306" i="3"/>
  <c r="AQ306" i="3"/>
  <c r="AP307" i="3"/>
  <c r="AQ307" i="3"/>
  <c r="AP308" i="3"/>
  <c r="AQ308" i="3"/>
  <c r="AP309" i="3"/>
  <c r="AQ309" i="3"/>
  <c r="AP310" i="3"/>
  <c r="AQ310" i="3"/>
  <c r="AP311" i="3"/>
  <c r="AQ311" i="3"/>
  <c r="AP312" i="3"/>
  <c r="AQ312" i="3"/>
  <c r="AP313" i="3"/>
  <c r="AQ313" i="3"/>
  <c r="AP314" i="3"/>
  <c r="AQ314" i="3"/>
  <c r="AP315" i="3"/>
  <c r="AQ315" i="3"/>
  <c r="AP316" i="3"/>
  <c r="AQ316" i="3"/>
  <c r="AP317" i="3"/>
  <c r="AQ317" i="3"/>
  <c r="AP318" i="3"/>
  <c r="AQ318" i="3"/>
  <c r="AP319" i="3"/>
  <c r="AQ319" i="3"/>
  <c r="AP320" i="3"/>
  <c r="AQ320" i="3"/>
  <c r="AP321" i="3"/>
  <c r="AQ321" i="3"/>
  <c r="AP322" i="3"/>
  <c r="AQ322" i="3"/>
  <c r="AP323" i="3"/>
  <c r="AQ323" i="3"/>
  <c r="AP324" i="3"/>
  <c r="AQ324" i="3"/>
  <c r="AP325" i="3"/>
  <c r="AQ325" i="3"/>
  <c r="AP326" i="3"/>
  <c r="AQ326" i="3"/>
  <c r="AP327" i="3"/>
  <c r="AQ327" i="3"/>
  <c r="AP328" i="3"/>
  <c r="AQ328" i="3"/>
  <c r="AP329" i="3"/>
  <c r="AQ329" i="3"/>
  <c r="AP330" i="3"/>
  <c r="AQ330" i="3"/>
  <c r="AP331" i="3"/>
  <c r="AQ331" i="3"/>
  <c r="AP332" i="3"/>
  <c r="AQ332" i="3"/>
  <c r="AP333" i="3"/>
  <c r="AQ333" i="3"/>
  <c r="AP334" i="3"/>
  <c r="AQ334" i="3"/>
  <c r="AP335" i="3"/>
  <c r="AQ335" i="3"/>
  <c r="AP336" i="3"/>
  <c r="AQ336" i="3"/>
  <c r="AP337" i="3"/>
  <c r="AQ337" i="3"/>
  <c r="AP338" i="3"/>
  <c r="AQ338" i="3"/>
  <c r="AP339" i="3"/>
  <c r="AQ339" i="3"/>
  <c r="AP340" i="3"/>
  <c r="AQ340" i="3"/>
  <c r="AP341" i="3"/>
  <c r="AQ341" i="3"/>
  <c r="AP342" i="3"/>
  <c r="AQ342" i="3"/>
  <c r="AP343" i="3"/>
  <c r="AQ343" i="3"/>
  <c r="AP344" i="3"/>
  <c r="AQ344" i="3"/>
  <c r="AP345" i="3"/>
  <c r="AQ345" i="3"/>
  <c r="AP346" i="3"/>
  <c r="AQ346" i="3"/>
  <c r="AP347" i="3"/>
  <c r="AQ347" i="3"/>
  <c r="AP348" i="3"/>
  <c r="AQ348" i="3"/>
  <c r="AP349" i="3"/>
  <c r="AQ349" i="3"/>
  <c r="AP350" i="3"/>
  <c r="AQ350" i="3"/>
  <c r="AP351" i="3"/>
  <c r="AQ351" i="3"/>
  <c r="AP352" i="3"/>
  <c r="AQ352" i="3"/>
  <c r="AP353" i="3"/>
  <c r="AQ353" i="3"/>
  <c r="AP354" i="3"/>
  <c r="AQ354" i="3"/>
  <c r="AP355" i="3"/>
  <c r="AQ355" i="3"/>
  <c r="AP356" i="3"/>
  <c r="AQ356" i="3"/>
  <c r="AP357" i="3"/>
  <c r="AQ357" i="3"/>
  <c r="AP358" i="3"/>
  <c r="AQ358" i="3"/>
  <c r="AP359" i="3"/>
  <c r="AQ359" i="3"/>
  <c r="AP360" i="3"/>
  <c r="AQ360" i="3"/>
  <c r="AP361" i="3"/>
  <c r="AQ361" i="3"/>
  <c r="AP362" i="3"/>
  <c r="AQ362" i="3"/>
  <c r="AP363" i="3"/>
  <c r="AQ363" i="3"/>
  <c r="AP364" i="3"/>
  <c r="AQ364" i="3"/>
  <c r="AP365" i="3"/>
  <c r="AQ365" i="3"/>
  <c r="AP366" i="3"/>
  <c r="AQ366" i="3"/>
  <c r="AP367" i="3"/>
  <c r="AQ367" i="3"/>
  <c r="AP368" i="3"/>
  <c r="AQ368" i="3"/>
  <c r="AP369" i="3"/>
  <c r="AQ369" i="3"/>
  <c r="AP370" i="3"/>
  <c r="AQ370" i="3"/>
  <c r="AP371" i="3"/>
  <c r="AQ371" i="3"/>
  <c r="AP372" i="3"/>
  <c r="AQ372" i="3"/>
  <c r="AP373" i="3"/>
  <c r="AQ373" i="3"/>
  <c r="AP374" i="3"/>
  <c r="AQ374" i="3"/>
  <c r="AP375" i="3"/>
  <c r="AQ375" i="3"/>
  <c r="AP376" i="3"/>
  <c r="AQ376" i="3"/>
  <c r="AP377" i="3"/>
  <c r="AQ377" i="3"/>
  <c r="AP378" i="3"/>
  <c r="AQ378" i="3"/>
  <c r="AP379" i="3"/>
  <c r="AQ379" i="3"/>
  <c r="AP380" i="3"/>
  <c r="AQ380" i="3"/>
  <c r="AP381" i="3"/>
  <c r="AQ381" i="3"/>
  <c r="AP382" i="3"/>
  <c r="AQ382" i="3"/>
  <c r="AP383" i="3"/>
  <c r="AQ383" i="3"/>
  <c r="AP384" i="3"/>
  <c r="AQ384" i="3"/>
  <c r="AP385" i="3"/>
  <c r="AQ385" i="3"/>
  <c r="AP386" i="3"/>
  <c r="AQ386" i="3"/>
  <c r="AP387" i="3"/>
  <c r="AQ387" i="3"/>
  <c r="AP388" i="3"/>
  <c r="AQ388" i="3"/>
  <c r="AP389" i="3"/>
  <c r="AQ389" i="3"/>
  <c r="AP390" i="3"/>
  <c r="AQ390" i="3"/>
  <c r="AP391" i="3"/>
  <c r="AQ391" i="3"/>
  <c r="AP392" i="3"/>
  <c r="AQ392" i="3"/>
  <c r="AP393" i="3"/>
  <c r="AQ393" i="3"/>
  <c r="AP394" i="3"/>
  <c r="AQ394" i="3"/>
  <c r="AP395" i="3"/>
  <c r="AQ395" i="3"/>
  <c r="AP396" i="3"/>
  <c r="AQ396" i="3"/>
  <c r="AP397" i="3"/>
  <c r="AQ397" i="3"/>
  <c r="AP398" i="3"/>
  <c r="AQ398" i="3"/>
  <c r="AP399" i="3"/>
  <c r="AQ399" i="3"/>
  <c r="AP400" i="3"/>
  <c r="AQ400" i="3"/>
  <c r="AP401" i="3"/>
  <c r="AQ401" i="3"/>
  <c r="AP402" i="3"/>
  <c r="AQ402" i="3"/>
  <c r="AP403" i="3"/>
  <c r="AQ403" i="3"/>
  <c r="AP404" i="3"/>
  <c r="AQ404" i="3"/>
  <c r="AP405" i="3"/>
  <c r="AQ405" i="3"/>
  <c r="AP406" i="3"/>
  <c r="AQ406" i="3"/>
  <c r="AP407" i="3"/>
  <c r="AQ407" i="3"/>
  <c r="AP408" i="3"/>
  <c r="AQ408" i="3"/>
  <c r="AP409" i="3"/>
  <c r="AQ409" i="3"/>
  <c r="AP410" i="3"/>
  <c r="AQ410" i="3"/>
  <c r="AP411" i="3"/>
  <c r="AQ411" i="3"/>
  <c r="AP412" i="3"/>
  <c r="AQ412" i="3"/>
  <c r="AP413" i="3"/>
  <c r="AQ413" i="3"/>
  <c r="AP414" i="3"/>
  <c r="AQ414" i="3"/>
  <c r="AP415" i="3"/>
  <c r="AQ415" i="3"/>
  <c r="AP416" i="3"/>
  <c r="AQ416" i="3"/>
  <c r="AP417" i="3"/>
  <c r="AQ417" i="3"/>
  <c r="AP418" i="3"/>
  <c r="AQ418" i="3"/>
  <c r="AP419" i="3"/>
  <c r="AQ419" i="3"/>
  <c r="AP420" i="3"/>
  <c r="AQ420" i="3"/>
  <c r="AP421" i="3"/>
  <c r="AQ421" i="3"/>
  <c r="AP422" i="3"/>
  <c r="AQ422" i="3"/>
  <c r="AP423" i="3"/>
  <c r="AQ423" i="3"/>
  <c r="AP424" i="3"/>
  <c r="AQ424" i="3"/>
  <c r="AP425" i="3"/>
  <c r="AQ425" i="3"/>
  <c r="AP426" i="3"/>
  <c r="AQ426" i="3"/>
  <c r="AP427" i="3"/>
  <c r="AQ427" i="3"/>
  <c r="AP428" i="3"/>
  <c r="AQ428" i="3"/>
  <c r="AP429" i="3"/>
  <c r="AQ429" i="3"/>
  <c r="AP430" i="3"/>
  <c r="AQ430" i="3"/>
  <c r="AP431" i="3"/>
  <c r="AQ431" i="3"/>
  <c r="AP432" i="3"/>
  <c r="AQ432" i="3"/>
  <c r="AP433" i="3"/>
  <c r="AQ433" i="3"/>
  <c r="AP434" i="3"/>
  <c r="AQ434" i="3"/>
  <c r="AP435" i="3"/>
  <c r="AQ435" i="3"/>
  <c r="AP436" i="3"/>
  <c r="AQ436" i="3"/>
  <c r="AP437" i="3"/>
  <c r="AQ437" i="3"/>
  <c r="AP438" i="3"/>
  <c r="AQ438" i="3"/>
  <c r="AP439" i="3"/>
  <c r="AQ439" i="3"/>
  <c r="AP440" i="3"/>
  <c r="AQ440" i="3"/>
  <c r="AP441" i="3"/>
  <c r="AQ441" i="3"/>
  <c r="AP442" i="3"/>
  <c r="AQ442" i="3"/>
  <c r="AP443" i="3"/>
  <c r="AQ443" i="3"/>
  <c r="AP444" i="3"/>
  <c r="AQ444" i="3"/>
  <c r="AP445" i="3"/>
  <c r="AQ445" i="3"/>
  <c r="AP446" i="3"/>
  <c r="AQ446" i="3"/>
  <c r="AP447" i="3"/>
  <c r="AQ447" i="3"/>
  <c r="AP448" i="3"/>
  <c r="AQ448" i="3"/>
  <c r="AP449" i="3"/>
  <c r="AQ449" i="3"/>
  <c r="AP450" i="3"/>
  <c r="AQ450" i="3"/>
  <c r="AP451" i="3"/>
  <c r="AQ451" i="3"/>
  <c r="AP452" i="3"/>
  <c r="AQ452" i="3"/>
  <c r="AP453" i="3"/>
  <c r="AQ453" i="3"/>
  <c r="AP454" i="3"/>
  <c r="AQ454" i="3"/>
  <c r="AP455" i="3"/>
  <c r="AQ455" i="3"/>
  <c r="AP456" i="3"/>
  <c r="AQ456" i="3"/>
  <c r="AP457" i="3"/>
  <c r="AQ457" i="3"/>
  <c r="AP458" i="3"/>
  <c r="AQ458" i="3"/>
  <c r="AP459" i="3"/>
  <c r="AQ459" i="3"/>
  <c r="AP460" i="3"/>
  <c r="AQ460" i="3"/>
  <c r="AP461" i="3"/>
  <c r="AQ461" i="3"/>
  <c r="AP462" i="3"/>
  <c r="AQ462" i="3"/>
  <c r="AP463" i="3"/>
  <c r="AQ463" i="3"/>
  <c r="AP464" i="3"/>
  <c r="AQ464" i="3"/>
  <c r="AP465" i="3"/>
  <c r="AQ465" i="3"/>
  <c r="AP466" i="3"/>
  <c r="AQ466" i="3"/>
  <c r="AP467" i="3"/>
  <c r="AQ467" i="3"/>
  <c r="AP468" i="3"/>
  <c r="AQ468" i="3"/>
  <c r="AP469" i="3"/>
  <c r="AQ469" i="3"/>
  <c r="AP470" i="3"/>
  <c r="AQ470" i="3"/>
  <c r="AP471" i="3"/>
  <c r="AQ471" i="3"/>
  <c r="AP472" i="3"/>
  <c r="AQ472" i="3"/>
  <c r="AP473" i="3"/>
  <c r="AQ473" i="3"/>
  <c r="AP474" i="3"/>
  <c r="AQ474" i="3"/>
  <c r="AP475" i="3"/>
  <c r="AQ475" i="3"/>
  <c r="AP476" i="3"/>
  <c r="AQ476" i="3"/>
  <c r="AP477" i="3"/>
  <c r="AQ477" i="3"/>
  <c r="AP478" i="3"/>
  <c r="AQ478" i="3"/>
  <c r="AP479" i="3"/>
  <c r="AQ479" i="3"/>
  <c r="AP480" i="3"/>
  <c r="AQ480" i="3"/>
  <c r="AP481" i="3"/>
  <c r="AQ481" i="3"/>
  <c r="AP482" i="3"/>
  <c r="AQ482" i="3"/>
  <c r="AP483" i="3"/>
  <c r="AQ483" i="3"/>
  <c r="AP484" i="3"/>
  <c r="AQ484" i="3"/>
  <c r="AP485" i="3"/>
  <c r="AQ485" i="3"/>
  <c r="AP486" i="3"/>
  <c r="AQ486" i="3"/>
  <c r="AP487" i="3"/>
  <c r="AQ487" i="3"/>
  <c r="AP488" i="3"/>
  <c r="AQ488" i="3"/>
  <c r="AP489" i="3"/>
  <c r="AQ489" i="3"/>
  <c r="AP490" i="3"/>
  <c r="AQ490" i="3"/>
  <c r="AP491" i="3"/>
  <c r="AQ491" i="3"/>
  <c r="AP492" i="3"/>
  <c r="AQ492" i="3"/>
  <c r="AP493" i="3"/>
  <c r="AQ493" i="3"/>
  <c r="AP494" i="3"/>
  <c r="AQ494" i="3"/>
  <c r="AP495" i="3"/>
  <c r="AQ495" i="3"/>
  <c r="AP496" i="3"/>
  <c r="AQ496" i="3"/>
  <c r="AP497" i="3"/>
  <c r="AQ497" i="3"/>
  <c r="AP498" i="3"/>
  <c r="AQ498" i="3"/>
  <c r="AP499" i="3"/>
  <c r="AQ499" i="3"/>
  <c r="AP500" i="3"/>
  <c r="AQ500" i="3"/>
  <c r="AP501" i="3"/>
  <c r="AQ501" i="3"/>
  <c r="AP502" i="3"/>
  <c r="AQ502" i="3"/>
  <c r="AP503" i="3"/>
  <c r="AQ503" i="3"/>
  <c r="AP504" i="3"/>
  <c r="AQ504" i="3"/>
  <c r="AP505" i="3"/>
  <c r="AQ505" i="3"/>
  <c r="AP506" i="3"/>
  <c r="AQ506" i="3"/>
  <c r="AP507" i="3"/>
  <c r="AQ507" i="3"/>
  <c r="AP508" i="3"/>
  <c r="AQ508" i="3"/>
  <c r="AP509" i="3"/>
  <c r="AQ509" i="3"/>
  <c r="AP510" i="3"/>
  <c r="AQ510" i="3"/>
  <c r="AP511" i="3"/>
  <c r="AQ511" i="3"/>
  <c r="AP512" i="3"/>
  <c r="AQ512" i="3"/>
  <c r="AP513" i="3"/>
  <c r="AQ513" i="3"/>
  <c r="AP514" i="3"/>
  <c r="AQ514" i="3"/>
  <c r="AP515" i="3"/>
  <c r="AQ515" i="3"/>
  <c r="AP516" i="3"/>
  <c r="AQ516" i="3"/>
  <c r="AP517" i="3"/>
  <c r="AQ517" i="3"/>
  <c r="AP518" i="3"/>
  <c r="AQ518" i="3"/>
  <c r="AP519" i="3"/>
  <c r="AQ519" i="3"/>
  <c r="AP520" i="3"/>
  <c r="AQ520" i="3"/>
  <c r="AP521" i="3"/>
  <c r="AQ521" i="3"/>
  <c r="AP522" i="3"/>
  <c r="AQ522" i="3"/>
  <c r="AP523" i="3"/>
  <c r="AQ523" i="3"/>
  <c r="AP524" i="3"/>
  <c r="AQ524" i="3"/>
  <c r="AP525" i="3"/>
  <c r="AQ525" i="3"/>
  <c r="AP526" i="3"/>
  <c r="AQ526" i="3"/>
  <c r="AP527" i="3"/>
  <c r="AQ527" i="3"/>
  <c r="AP528" i="3"/>
  <c r="AQ528" i="3"/>
  <c r="AP529" i="3"/>
  <c r="AQ529" i="3"/>
  <c r="AP530" i="3"/>
  <c r="AQ530" i="3"/>
  <c r="AP531" i="3"/>
  <c r="AQ531" i="3"/>
  <c r="AP532" i="3"/>
  <c r="AQ532" i="3"/>
  <c r="AP533" i="3"/>
  <c r="AQ533" i="3"/>
  <c r="AP534" i="3"/>
  <c r="AQ534" i="3"/>
  <c r="AP535" i="3"/>
  <c r="AQ535" i="3"/>
  <c r="AP536" i="3"/>
  <c r="AQ536" i="3"/>
  <c r="AP537" i="3"/>
  <c r="AQ537" i="3"/>
  <c r="AP538" i="3"/>
  <c r="AQ538" i="3"/>
  <c r="AP539" i="3"/>
  <c r="AQ539" i="3"/>
  <c r="AP540" i="3"/>
  <c r="AQ540" i="3"/>
  <c r="AP541" i="3"/>
  <c r="AQ541" i="3"/>
  <c r="AP542" i="3"/>
  <c r="AQ542" i="3"/>
  <c r="AP543" i="3"/>
  <c r="AQ543" i="3"/>
  <c r="AP544" i="3"/>
  <c r="AQ544" i="3"/>
  <c r="AP545" i="3"/>
  <c r="AQ545" i="3"/>
  <c r="AP546" i="3"/>
  <c r="AQ546" i="3"/>
  <c r="AP547" i="3"/>
  <c r="AQ547" i="3"/>
  <c r="AP548" i="3"/>
  <c r="AQ548" i="3"/>
  <c r="AP549" i="3"/>
  <c r="AQ549" i="3"/>
  <c r="AP550" i="3"/>
  <c r="AQ550" i="3"/>
  <c r="AP551" i="3"/>
  <c r="AQ551" i="3"/>
  <c r="AP552" i="3"/>
  <c r="AQ552" i="3"/>
  <c r="AP553" i="3"/>
  <c r="AQ553" i="3"/>
  <c r="AP554" i="3"/>
  <c r="AQ554" i="3"/>
  <c r="AP555" i="3"/>
  <c r="AQ555" i="3"/>
  <c r="AP556" i="3"/>
  <c r="AQ556" i="3"/>
  <c r="AP557" i="3"/>
  <c r="AQ557" i="3"/>
  <c r="AP558" i="3"/>
  <c r="AQ558" i="3"/>
  <c r="AP559" i="3"/>
  <c r="AQ559" i="3"/>
  <c r="AP560" i="3"/>
  <c r="AQ560" i="3"/>
  <c r="AP561" i="3"/>
  <c r="AQ561" i="3"/>
  <c r="AP562" i="3"/>
  <c r="AQ562" i="3"/>
  <c r="AP563" i="3"/>
  <c r="AQ563" i="3"/>
  <c r="AP564" i="3"/>
  <c r="AQ564" i="3"/>
  <c r="AP565" i="3"/>
  <c r="AQ565" i="3"/>
  <c r="AP566" i="3"/>
  <c r="AQ566" i="3"/>
  <c r="AP567" i="3"/>
  <c r="AQ567" i="3"/>
  <c r="AP568" i="3"/>
  <c r="AQ568" i="3"/>
  <c r="AP569" i="3"/>
  <c r="AQ569" i="3"/>
  <c r="AP570" i="3"/>
  <c r="AQ570" i="3"/>
  <c r="AP571" i="3"/>
  <c r="AQ571" i="3"/>
  <c r="AP572" i="3"/>
  <c r="AQ572" i="3"/>
  <c r="AP573" i="3"/>
  <c r="AQ573" i="3"/>
  <c r="AP574" i="3"/>
  <c r="AQ574" i="3"/>
  <c r="AP575" i="3"/>
  <c r="AQ575" i="3"/>
  <c r="AP576" i="3"/>
  <c r="AQ576" i="3"/>
  <c r="AP577" i="3"/>
  <c r="AQ577" i="3"/>
  <c r="AP578" i="3"/>
  <c r="AQ578" i="3"/>
  <c r="AP579" i="3"/>
  <c r="AQ579" i="3"/>
  <c r="AP580" i="3"/>
  <c r="AQ580" i="3"/>
  <c r="AP581" i="3"/>
  <c r="AQ581" i="3"/>
  <c r="AP582" i="3"/>
  <c r="AQ582" i="3"/>
  <c r="AP583" i="3"/>
  <c r="AQ583" i="3"/>
  <c r="AP584" i="3"/>
  <c r="AQ584" i="3"/>
  <c r="AP585" i="3"/>
  <c r="AQ585" i="3"/>
  <c r="AP586" i="3"/>
  <c r="AQ586" i="3"/>
  <c r="AP587" i="3"/>
  <c r="AQ587" i="3"/>
  <c r="AP588" i="3"/>
  <c r="AQ588" i="3"/>
  <c r="AP589" i="3"/>
  <c r="AQ589" i="3"/>
  <c r="AP590" i="3"/>
  <c r="AQ590" i="3"/>
  <c r="AP591" i="3"/>
  <c r="AQ591" i="3"/>
  <c r="AP592" i="3"/>
  <c r="AQ592" i="3"/>
  <c r="AP593" i="3"/>
  <c r="AQ593" i="3"/>
  <c r="AP594" i="3"/>
  <c r="AQ594" i="3"/>
  <c r="AP595" i="3"/>
  <c r="AQ595" i="3"/>
  <c r="AP596" i="3"/>
  <c r="AQ596" i="3"/>
  <c r="AP597" i="3"/>
  <c r="AQ597" i="3"/>
  <c r="AP598" i="3"/>
  <c r="AQ598" i="3"/>
  <c r="AP599" i="3"/>
  <c r="AQ599" i="3"/>
  <c r="AP600" i="3"/>
  <c r="AQ600" i="3"/>
  <c r="AP601" i="3"/>
  <c r="AQ601" i="3"/>
  <c r="AP602" i="3"/>
  <c r="AQ602" i="3"/>
  <c r="AP603" i="3"/>
  <c r="AQ603" i="3"/>
  <c r="AP604" i="3"/>
  <c r="AQ604" i="3"/>
  <c r="AP605" i="3"/>
  <c r="AQ605" i="3"/>
  <c r="AP606" i="3"/>
  <c r="AQ606" i="3"/>
  <c r="AP607" i="3"/>
  <c r="AQ607" i="3"/>
  <c r="AP608" i="3"/>
  <c r="AQ608" i="3"/>
  <c r="AP609" i="3"/>
  <c r="AQ609" i="3"/>
  <c r="AP610" i="3"/>
  <c r="AQ610" i="3"/>
  <c r="AP611" i="3"/>
  <c r="AQ611" i="3"/>
  <c r="AP612" i="3"/>
  <c r="AQ612" i="3"/>
  <c r="AP613" i="3"/>
  <c r="AQ613" i="3"/>
  <c r="AP614" i="3"/>
  <c r="AQ614" i="3"/>
  <c r="AP615" i="3"/>
  <c r="AQ615" i="3"/>
  <c r="AP616" i="3"/>
  <c r="AQ616" i="3"/>
  <c r="AP617" i="3"/>
  <c r="AQ617" i="3"/>
  <c r="AP618" i="3"/>
  <c r="AQ618" i="3"/>
  <c r="AP619" i="3"/>
  <c r="AQ619" i="3"/>
  <c r="AP620" i="3"/>
  <c r="AQ620" i="3"/>
  <c r="AP621" i="3"/>
  <c r="AQ621" i="3"/>
  <c r="AP622" i="3"/>
  <c r="AQ622" i="3"/>
  <c r="AP623" i="3"/>
  <c r="AQ623" i="3"/>
  <c r="AP624" i="3"/>
  <c r="AQ624" i="3"/>
  <c r="AP625" i="3"/>
  <c r="AQ625" i="3"/>
  <c r="AP626" i="3"/>
  <c r="AQ626" i="3"/>
  <c r="AP627" i="3"/>
  <c r="AQ627" i="3"/>
  <c r="AP628" i="3"/>
  <c r="AQ628" i="3"/>
  <c r="AP629" i="3"/>
  <c r="AQ629" i="3"/>
  <c r="AP630" i="3"/>
  <c r="AQ630" i="3"/>
  <c r="AP631" i="3"/>
  <c r="AQ631" i="3"/>
  <c r="AP632" i="3"/>
  <c r="AQ632" i="3"/>
  <c r="AP633" i="3"/>
  <c r="AQ633" i="3"/>
  <c r="AP634" i="3"/>
  <c r="AQ634" i="3"/>
  <c r="AP635" i="3"/>
  <c r="AQ635" i="3"/>
  <c r="AP636" i="3"/>
  <c r="AQ636" i="3"/>
  <c r="AP637" i="3"/>
  <c r="AQ637" i="3"/>
  <c r="AP638" i="3"/>
  <c r="AQ638" i="3"/>
  <c r="AP639" i="3"/>
  <c r="AQ639" i="3"/>
  <c r="AP640" i="3"/>
  <c r="AQ640" i="3"/>
  <c r="AP641" i="3"/>
  <c r="AQ641" i="3"/>
  <c r="AP642" i="3"/>
  <c r="AQ642" i="3"/>
  <c r="AP643" i="3"/>
  <c r="AQ643" i="3"/>
  <c r="AP644" i="3"/>
  <c r="AQ644" i="3"/>
  <c r="AP645" i="3"/>
  <c r="AQ645" i="3"/>
  <c r="AP646" i="3"/>
  <c r="AQ646" i="3"/>
  <c r="AP647" i="3"/>
  <c r="AQ647" i="3"/>
  <c r="AP648" i="3"/>
  <c r="AQ648" i="3"/>
  <c r="AP649" i="3"/>
  <c r="AQ649" i="3"/>
  <c r="AP650" i="3"/>
  <c r="AQ650" i="3"/>
  <c r="AP651" i="3"/>
  <c r="AQ651" i="3"/>
  <c r="AP652" i="3"/>
  <c r="AQ652" i="3"/>
  <c r="AP653" i="3"/>
  <c r="AQ653" i="3"/>
  <c r="AP654" i="3"/>
  <c r="AQ654" i="3"/>
  <c r="AP655" i="3"/>
  <c r="AQ655" i="3"/>
  <c r="AP656" i="3"/>
  <c r="AQ656" i="3"/>
  <c r="AP657" i="3"/>
  <c r="AQ657" i="3"/>
  <c r="AP658" i="3"/>
  <c r="AQ658" i="3"/>
  <c r="AP659" i="3"/>
  <c r="AQ659" i="3"/>
  <c r="AP660" i="3"/>
  <c r="AQ660" i="3"/>
  <c r="AP661" i="3"/>
  <c r="AQ661" i="3"/>
  <c r="AP662" i="3"/>
  <c r="AQ662" i="3"/>
  <c r="AP663" i="3"/>
  <c r="AQ663" i="3"/>
  <c r="AP664" i="3"/>
  <c r="AQ664" i="3"/>
  <c r="AP665" i="3"/>
  <c r="AQ665" i="3"/>
  <c r="AP666" i="3"/>
  <c r="AQ666" i="3"/>
  <c r="AP667" i="3"/>
  <c r="AQ667" i="3"/>
  <c r="AP668" i="3"/>
  <c r="AQ668" i="3"/>
  <c r="AP669" i="3"/>
  <c r="AQ669" i="3"/>
  <c r="AP670" i="3"/>
  <c r="AQ670" i="3"/>
  <c r="AP671" i="3"/>
  <c r="AQ671" i="3"/>
  <c r="AP672" i="3"/>
  <c r="AQ672" i="3"/>
  <c r="AP673" i="3"/>
  <c r="AQ673" i="3"/>
  <c r="AP674" i="3"/>
  <c r="AQ674" i="3"/>
  <c r="AP675" i="3"/>
  <c r="AQ675" i="3"/>
  <c r="AP676" i="3"/>
  <c r="AQ676" i="3"/>
  <c r="AP677" i="3"/>
  <c r="AQ677" i="3"/>
  <c r="AP678" i="3"/>
  <c r="AQ678" i="3"/>
  <c r="AP679" i="3"/>
  <c r="AQ679" i="3"/>
  <c r="AP680" i="3"/>
  <c r="AQ680" i="3"/>
  <c r="AP681" i="3"/>
  <c r="AQ681" i="3"/>
  <c r="AP682" i="3"/>
  <c r="AQ682" i="3"/>
  <c r="AP683" i="3"/>
  <c r="AQ683" i="3"/>
  <c r="AP684" i="3"/>
  <c r="AQ684" i="3"/>
  <c r="AP685" i="3"/>
  <c r="AQ685" i="3"/>
  <c r="AP686" i="3"/>
  <c r="AQ686" i="3"/>
  <c r="AP687" i="3"/>
  <c r="AQ687" i="3"/>
  <c r="AP688" i="3"/>
  <c r="AQ688" i="3"/>
  <c r="AP689" i="3"/>
  <c r="AQ689" i="3"/>
  <c r="AP690" i="3"/>
  <c r="AQ690" i="3"/>
  <c r="AP691" i="3"/>
  <c r="AQ691" i="3"/>
  <c r="AP692" i="3"/>
  <c r="AQ692" i="3"/>
  <c r="AP693" i="3"/>
  <c r="AQ693" i="3"/>
  <c r="AP694" i="3"/>
  <c r="AQ694" i="3"/>
  <c r="AP695" i="3"/>
  <c r="AQ695" i="3"/>
  <c r="AP696" i="3"/>
  <c r="AQ696" i="3"/>
  <c r="AP697" i="3"/>
  <c r="AQ697" i="3"/>
  <c r="AP698" i="3"/>
  <c r="AQ698" i="3"/>
  <c r="AP699" i="3"/>
  <c r="AQ699" i="3"/>
  <c r="AP700" i="3"/>
  <c r="AQ700" i="3"/>
  <c r="AP701" i="3"/>
  <c r="AQ701" i="3"/>
  <c r="AP702" i="3"/>
  <c r="AQ702" i="3"/>
  <c r="AP703" i="3"/>
  <c r="AQ703" i="3"/>
  <c r="AP704" i="3"/>
  <c r="AQ704" i="3"/>
  <c r="AP705" i="3"/>
  <c r="AQ705" i="3"/>
  <c r="AP706" i="3"/>
  <c r="AQ706" i="3"/>
  <c r="AP707" i="3"/>
  <c r="AQ707" i="3"/>
  <c r="AP708" i="3"/>
  <c r="AQ708" i="3"/>
  <c r="AP709" i="3"/>
  <c r="AQ709" i="3"/>
  <c r="AP710" i="3"/>
  <c r="AQ710" i="3"/>
  <c r="AP711" i="3"/>
  <c r="AQ711" i="3"/>
  <c r="AP712" i="3"/>
  <c r="AQ712" i="3"/>
  <c r="AP713" i="3"/>
  <c r="AQ713" i="3"/>
  <c r="AP714" i="3"/>
  <c r="AQ714" i="3"/>
  <c r="AP715" i="3"/>
  <c r="AQ715" i="3"/>
  <c r="AP716" i="3"/>
  <c r="AQ716" i="3"/>
  <c r="AP717" i="3"/>
  <c r="AQ717" i="3"/>
  <c r="AP718" i="3"/>
  <c r="AQ718" i="3"/>
  <c r="AP719" i="3"/>
  <c r="AQ719" i="3"/>
  <c r="AP720" i="3"/>
  <c r="AQ720" i="3"/>
  <c r="AP721" i="3"/>
  <c r="AQ721" i="3"/>
  <c r="AP722" i="3"/>
  <c r="AQ722" i="3"/>
  <c r="AP723" i="3"/>
  <c r="AQ723" i="3"/>
  <c r="AP724" i="3"/>
  <c r="AQ724" i="3"/>
  <c r="AP725" i="3"/>
  <c r="AQ725" i="3"/>
  <c r="AP726" i="3"/>
  <c r="AQ726" i="3"/>
  <c r="AP727" i="3"/>
  <c r="AQ727" i="3"/>
  <c r="AP728" i="3"/>
  <c r="AQ728" i="3"/>
  <c r="AP729" i="3"/>
  <c r="AQ729" i="3"/>
  <c r="AP730" i="3"/>
  <c r="AQ730" i="3"/>
  <c r="AP731" i="3"/>
  <c r="AQ731" i="3"/>
  <c r="AP732" i="3"/>
  <c r="AQ732" i="3"/>
  <c r="AP733" i="3"/>
  <c r="AQ733" i="3"/>
  <c r="AP734" i="3"/>
  <c r="AQ734" i="3"/>
  <c r="AP735" i="3"/>
  <c r="AQ735" i="3"/>
  <c r="AP736" i="3"/>
  <c r="AQ736" i="3"/>
  <c r="AP737" i="3"/>
  <c r="AQ737" i="3"/>
  <c r="AP738" i="3"/>
  <c r="AQ738" i="3"/>
  <c r="AP739" i="3"/>
  <c r="AQ739" i="3"/>
  <c r="AP740" i="3"/>
  <c r="AQ740" i="3"/>
  <c r="AP741" i="3"/>
  <c r="AQ741" i="3"/>
  <c r="AP742" i="3"/>
  <c r="AQ742" i="3"/>
  <c r="AP743" i="3"/>
  <c r="AQ743" i="3"/>
  <c r="AP744" i="3"/>
  <c r="AQ744" i="3"/>
  <c r="AP745" i="3"/>
  <c r="AQ745" i="3"/>
  <c r="AP746" i="3"/>
  <c r="AQ746" i="3"/>
  <c r="AP747" i="3"/>
  <c r="AQ747" i="3"/>
  <c r="AP748" i="3"/>
  <c r="AQ748" i="3"/>
  <c r="AP749" i="3"/>
  <c r="AQ749" i="3"/>
  <c r="AP750" i="3"/>
  <c r="AQ750" i="3"/>
  <c r="AP751" i="3"/>
  <c r="AQ751" i="3"/>
  <c r="AP752" i="3"/>
  <c r="AQ752" i="3"/>
  <c r="AP753" i="3"/>
  <c r="AQ753" i="3"/>
  <c r="AP754" i="3"/>
  <c r="AQ754" i="3"/>
  <c r="AP755" i="3"/>
  <c r="AQ755" i="3"/>
  <c r="AP756" i="3"/>
  <c r="AQ756" i="3"/>
  <c r="AP757" i="3"/>
  <c r="AQ757" i="3"/>
  <c r="AP758" i="3"/>
  <c r="AQ758" i="3"/>
  <c r="AP759" i="3"/>
  <c r="AQ759" i="3"/>
  <c r="AP760" i="3"/>
  <c r="AQ760" i="3"/>
  <c r="AP761" i="3"/>
  <c r="AQ761" i="3"/>
  <c r="AP762" i="3"/>
  <c r="AQ762" i="3"/>
  <c r="AP763" i="3"/>
  <c r="AQ763" i="3"/>
  <c r="AP764" i="3"/>
  <c r="AQ764" i="3"/>
  <c r="AP765" i="3"/>
  <c r="AQ765" i="3"/>
  <c r="AP766" i="3"/>
  <c r="AQ766" i="3"/>
  <c r="AP767" i="3"/>
  <c r="AQ767" i="3"/>
  <c r="AP768" i="3"/>
  <c r="AQ768" i="3"/>
  <c r="AP769" i="3"/>
  <c r="AQ769" i="3"/>
  <c r="AP770" i="3"/>
  <c r="AQ770" i="3"/>
  <c r="AP771" i="3"/>
  <c r="AQ771" i="3"/>
  <c r="AP772" i="3"/>
  <c r="AQ772" i="3"/>
  <c r="AP773" i="3"/>
  <c r="AQ773" i="3"/>
  <c r="AP774" i="3"/>
  <c r="AQ774" i="3"/>
  <c r="AP775" i="3"/>
  <c r="AQ775" i="3"/>
  <c r="AP776" i="3"/>
  <c r="AQ776" i="3"/>
  <c r="AP777" i="3"/>
  <c r="AQ777" i="3"/>
  <c r="AP778" i="3"/>
  <c r="AQ778" i="3"/>
  <c r="AP779" i="3"/>
  <c r="AQ779" i="3"/>
  <c r="AP780" i="3"/>
  <c r="AQ780" i="3"/>
  <c r="AP781" i="3"/>
  <c r="AQ781" i="3"/>
  <c r="AP782" i="3"/>
  <c r="AQ782" i="3"/>
  <c r="AP783" i="3"/>
  <c r="AQ783" i="3"/>
  <c r="AP784" i="3"/>
  <c r="AQ784" i="3"/>
  <c r="AP785" i="3"/>
  <c r="AQ785" i="3"/>
  <c r="AP786" i="3"/>
  <c r="AQ786" i="3"/>
  <c r="AP787" i="3"/>
  <c r="AQ787" i="3"/>
  <c r="AP788" i="3"/>
  <c r="AQ788" i="3"/>
  <c r="AP789" i="3"/>
  <c r="AQ789" i="3"/>
  <c r="AP790" i="3"/>
  <c r="AQ790" i="3"/>
  <c r="AP791" i="3"/>
  <c r="AQ791" i="3"/>
  <c r="AP792" i="3"/>
  <c r="AQ792" i="3"/>
  <c r="AP793" i="3"/>
  <c r="AQ793" i="3"/>
  <c r="AP794" i="3"/>
  <c r="AQ794" i="3"/>
  <c r="AP795" i="3"/>
  <c r="AQ795" i="3"/>
  <c r="AP796" i="3"/>
  <c r="AQ796" i="3"/>
  <c r="AP797" i="3"/>
  <c r="AQ797" i="3"/>
  <c r="AP798" i="3"/>
  <c r="AQ798" i="3"/>
  <c r="AP799" i="3"/>
  <c r="AQ799" i="3"/>
  <c r="AP800" i="3"/>
  <c r="AQ800" i="3"/>
  <c r="AP801" i="3"/>
  <c r="AQ801" i="3"/>
  <c r="AP802" i="3"/>
  <c r="AQ802" i="3"/>
  <c r="AP803" i="3"/>
  <c r="AQ803" i="3"/>
  <c r="AP804" i="3"/>
  <c r="AQ804" i="3"/>
  <c r="AP805" i="3"/>
  <c r="AQ805" i="3"/>
  <c r="AP806" i="3"/>
  <c r="AQ806" i="3"/>
  <c r="AP807" i="3"/>
  <c r="AQ807" i="3"/>
  <c r="AP808" i="3"/>
  <c r="AQ808" i="3"/>
  <c r="AP809" i="3"/>
  <c r="AQ809" i="3"/>
  <c r="AP810" i="3"/>
  <c r="AQ810" i="3"/>
  <c r="AP811" i="3"/>
  <c r="AQ811" i="3"/>
  <c r="AP812" i="3"/>
  <c r="AQ812" i="3"/>
  <c r="AP813" i="3"/>
  <c r="AQ813" i="3"/>
  <c r="AP814" i="3"/>
  <c r="AQ814" i="3"/>
  <c r="AP815" i="3"/>
  <c r="AQ815" i="3"/>
  <c r="AP816" i="3"/>
  <c r="AQ816" i="3"/>
  <c r="AP817" i="3"/>
  <c r="AQ817" i="3"/>
  <c r="AP818" i="3"/>
  <c r="AQ818" i="3"/>
  <c r="AP819" i="3"/>
  <c r="AQ819" i="3"/>
  <c r="AP820" i="3"/>
  <c r="AQ820" i="3"/>
  <c r="AP821" i="3"/>
  <c r="AQ821" i="3"/>
  <c r="AP822" i="3"/>
  <c r="AQ822" i="3"/>
  <c r="AP823" i="3"/>
  <c r="AQ823" i="3"/>
  <c r="AP824" i="3"/>
  <c r="AQ824" i="3"/>
  <c r="AP825" i="3"/>
  <c r="AQ825" i="3"/>
  <c r="AP826" i="3"/>
  <c r="AQ826" i="3"/>
  <c r="AP827" i="3"/>
  <c r="AQ827" i="3"/>
  <c r="AP828" i="3"/>
  <c r="AQ828" i="3"/>
  <c r="AP829" i="3"/>
  <c r="AQ829" i="3"/>
  <c r="AP830" i="3"/>
  <c r="AQ830" i="3"/>
  <c r="AP831" i="3"/>
  <c r="AQ831" i="3"/>
  <c r="AP832" i="3"/>
  <c r="AQ832" i="3"/>
  <c r="AP833" i="3"/>
  <c r="AQ833" i="3"/>
  <c r="AP834" i="3"/>
  <c r="AQ834" i="3"/>
  <c r="AP835" i="3"/>
  <c r="AQ835" i="3"/>
  <c r="AP836" i="3"/>
  <c r="AQ836" i="3"/>
  <c r="AQ2" i="3"/>
  <c r="AP2" i="3"/>
  <c r="AU2" i="3"/>
  <c r="AN2" i="3"/>
  <c r="AN3" i="3"/>
  <c r="AN4" i="3"/>
  <c r="AN5" i="3"/>
  <c r="AN6" i="3"/>
  <c r="AN7" i="3"/>
  <c r="AN8" i="3"/>
  <c r="AN9" i="3"/>
  <c r="AN10" i="3"/>
  <c r="AN11" i="3"/>
  <c r="AN12" i="3"/>
  <c r="AN13" i="3"/>
  <c r="AN14" i="3"/>
  <c r="AN15" i="3"/>
  <c r="AN16" i="3"/>
  <c r="AN17" i="3"/>
  <c r="AN18" i="3"/>
  <c r="AN19" i="3"/>
  <c r="AN20" i="3"/>
  <c r="AN21" i="3"/>
  <c r="AN22" i="3"/>
  <c r="AN23" i="3"/>
  <c r="AN24" i="3"/>
  <c r="AN25" i="3"/>
  <c r="AN26" i="3"/>
  <c r="AN27" i="3"/>
  <c r="AN28" i="3"/>
  <c r="AN29" i="3"/>
  <c r="AN30" i="3"/>
  <c r="AN31" i="3"/>
  <c r="AN32" i="3"/>
  <c r="AN33" i="3"/>
  <c r="AN34" i="3"/>
  <c r="AN35" i="3"/>
  <c r="AN36" i="3"/>
  <c r="AN37" i="3"/>
  <c r="AN38" i="3"/>
  <c r="AN39" i="3"/>
  <c r="AN40" i="3"/>
  <c r="AN41" i="3"/>
  <c r="AN42" i="3"/>
  <c r="AN43" i="3"/>
  <c r="AN44" i="3"/>
  <c r="AN45" i="3"/>
  <c r="AN46" i="3"/>
  <c r="AN47" i="3"/>
  <c r="AN48" i="3"/>
  <c r="AN49" i="3"/>
  <c r="AN50" i="3"/>
  <c r="AN51" i="3"/>
  <c r="AN52" i="3"/>
  <c r="AN53" i="3"/>
  <c r="AN54" i="3"/>
  <c r="AN55" i="3"/>
  <c r="AN56" i="3"/>
  <c r="AN57" i="3"/>
  <c r="AN58" i="3"/>
  <c r="AN59" i="3"/>
  <c r="AN60" i="3"/>
  <c r="AN61" i="3"/>
  <c r="AN62" i="3"/>
  <c r="AN63" i="3"/>
  <c r="AN64" i="3"/>
  <c r="AN65" i="3"/>
  <c r="AN66" i="3"/>
  <c r="AN67" i="3"/>
  <c r="AN68" i="3"/>
  <c r="AN69" i="3"/>
  <c r="AN70" i="3"/>
  <c r="AN71" i="3"/>
  <c r="AN72" i="3"/>
  <c r="AN73" i="3"/>
  <c r="AN74" i="3"/>
  <c r="AN75" i="3"/>
  <c r="AN76" i="3"/>
  <c r="AN77" i="3"/>
  <c r="AN78" i="3"/>
  <c r="AN79" i="3"/>
  <c r="AN80" i="3"/>
  <c r="AN81" i="3"/>
  <c r="AN82" i="3"/>
  <c r="AN83" i="3"/>
  <c r="AN84" i="3"/>
  <c r="AN85" i="3"/>
  <c r="AN86" i="3"/>
  <c r="AN87" i="3"/>
  <c r="AN88" i="3"/>
  <c r="AN89" i="3"/>
  <c r="AN90" i="3"/>
  <c r="AN91" i="3"/>
  <c r="AN92" i="3"/>
  <c r="AN93" i="3"/>
  <c r="AN94" i="3"/>
  <c r="AN95" i="3"/>
  <c r="AN96" i="3"/>
  <c r="AN97" i="3"/>
  <c r="AN98" i="3"/>
  <c r="AN99" i="3"/>
  <c r="AN100" i="3"/>
  <c r="AN101" i="3"/>
  <c r="AN102" i="3"/>
  <c r="AN103" i="3"/>
  <c r="AN104" i="3"/>
  <c r="AN105" i="3"/>
  <c r="AN106" i="3"/>
  <c r="AN107" i="3"/>
  <c r="AN108" i="3"/>
  <c r="AN109" i="3"/>
  <c r="AN110" i="3"/>
  <c r="AN111" i="3"/>
  <c r="AN112" i="3"/>
  <c r="AN113" i="3"/>
  <c r="AN114" i="3"/>
  <c r="AN115" i="3"/>
  <c r="AN116" i="3"/>
  <c r="AN117" i="3"/>
  <c r="AN118" i="3"/>
  <c r="AN119" i="3"/>
  <c r="AN120" i="3"/>
  <c r="AN121" i="3"/>
  <c r="AN122" i="3"/>
  <c r="AN123" i="3"/>
  <c r="AN124" i="3"/>
  <c r="AN125" i="3"/>
  <c r="AN126" i="3"/>
  <c r="AN127" i="3"/>
  <c r="AN128" i="3"/>
  <c r="AN129" i="3"/>
  <c r="AN130" i="3"/>
  <c r="AN131" i="3"/>
  <c r="AN132" i="3"/>
  <c r="AN133" i="3"/>
  <c r="AN134" i="3"/>
  <c r="AN135" i="3"/>
  <c r="AN136" i="3"/>
  <c r="AN137" i="3"/>
  <c r="AN138" i="3"/>
  <c r="AN139" i="3"/>
  <c r="AN140" i="3"/>
  <c r="AN141" i="3"/>
  <c r="AN142" i="3"/>
  <c r="AN143" i="3"/>
  <c r="AN144" i="3"/>
  <c r="AN145" i="3"/>
  <c r="AN146" i="3"/>
  <c r="AN147" i="3"/>
  <c r="AN148" i="3"/>
  <c r="AN149" i="3"/>
  <c r="AN150" i="3"/>
  <c r="AN151" i="3"/>
  <c r="AN152" i="3"/>
  <c r="AN153" i="3"/>
  <c r="AN154" i="3"/>
  <c r="AN155" i="3"/>
  <c r="AN156" i="3"/>
  <c r="AN157" i="3"/>
  <c r="AN158" i="3"/>
  <c r="AN159" i="3"/>
  <c r="AN160" i="3"/>
  <c r="AN161" i="3"/>
  <c r="AN162" i="3"/>
  <c r="AN163" i="3"/>
  <c r="AN164" i="3"/>
  <c r="AN165" i="3"/>
  <c r="AN166" i="3"/>
  <c r="AN167" i="3"/>
  <c r="AN168" i="3"/>
  <c r="AN169" i="3"/>
  <c r="AN170" i="3"/>
  <c r="AN171" i="3"/>
  <c r="AN172" i="3"/>
  <c r="AN173" i="3"/>
  <c r="AN174" i="3"/>
  <c r="AN175" i="3"/>
  <c r="AN176" i="3"/>
  <c r="AN177" i="3"/>
  <c r="AN178" i="3"/>
  <c r="AN179" i="3"/>
  <c r="AN180" i="3"/>
  <c r="AN181" i="3"/>
  <c r="AN182" i="3"/>
  <c r="AN183" i="3"/>
  <c r="AN184" i="3"/>
  <c r="AN185" i="3"/>
  <c r="AN186" i="3"/>
  <c r="AN187" i="3"/>
  <c r="AN188" i="3"/>
  <c r="AN189" i="3"/>
  <c r="AN190" i="3"/>
  <c r="AN191" i="3"/>
  <c r="AN192" i="3"/>
  <c r="AN193" i="3"/>
  <c r="AN194" i="3"/>
  <c r="AN195" i="3"/>
  <c r="AN196" i="3"/>
  <c r="AN197" i="3"/>
  <c r="AN198" i="3"/>
  <c r="AN199" i="3"/>
  <c r="AN200" i="3"/>
  <c r="AN201" i="3"/>
  <c r="AN202" i="3"/>
  <c r="AN203" i="3"/>
  <c r="AN204" i="3"/>
  <c r="AN205" i="3"/>
  <c r="AN206" i="3"/>
  <c r="AN207" i="3"/>
  <c r="AN208" i="3"/>
  <c r="AN209" i="3"/>
  <c r="AN210" i="3"/>
  <c r="AN211" i="3"/>
  <c r="AN212" i="3"/>
  <c r="AN213" i="3"/>
  <c r="AN214" i="3"/>
  <c r="AN215" i="3"/>
  <c r="AN216" i="3"/>
  <c r="AN217" i="3"/>
  <c r="AN218" i="3"/>
  <c r="AN219" i="3"/>
  <c r="AN220" i="3"/>
  <c r="AN221" i="3"/>
  <c r="AN222" i="3"/>
  <c r="AN223" i="3"/>
  <c r="AN224" i="3"/>
  <c r="AN225" i="3"/>
  <c r="AN226" i="3"/>
  <c r="AN227" i="3"/>
  <c r="AN228" i="3"/>
  <c r="AN229" i="3"/>
  <c r="AN230" i="3"/>
  <c r="AN231" i="3"/>
  <c r="AN232" i="3"/>
  <c r="AN233" i="3"/>
  <c r="AN234" i="3"/>
  <c r="AN235" i="3"/>
  <c r="AN236" i="3"/>
  <c r="AN237" i="3"/>
  <c r="AN238" i="3"/>
  <c r="AN239" i="3"/>
  <c r="AN240" i="3"/>
  <c r="AN241" i="3"/>
  <c r="AN242" i="3"/>
  <c r="AN243" i="3"/>
  <c r="AN244" i="3"/>
  <c r="AN245" i="3"/>
  <c r="AN246" i="3"/>
  <c r="AN247" i="3"/>
  <c r="AN248" i="3"/>
  <c r="AN249" i="3"/>
  <c r="AN250" i="3"/>
  <c r="AN251" i="3"/>
  <c r="AN252" i="3"/>
  <c r="AN253" i="3"/>
  <c r="AN254" i="3"/>
  <c r="AN255" i="3"/>
  <c r="AN256" i="3"/>
  <c r="AN257" i="3"/>
  <c r="AN258" i="3"/>
  <c r="AN259" i="3"/>
  <c r="AN260" i="3"/>
  <c r="AN261" i="3"/>
  <c r="AN262" i="3"/>
  <c r="AN263" i="3"/>
  <c r="AN264" i="3"/>
  <c r="AN265" i="3"/>
  <c r="AN266" i="3"/>
  <c r="AN267" i="3"/>
  <c r="AN268" i="3"/>
  <c r="AN269" i="3"/>
  <c r="AN270" i="3"/>
  <c r="AN271" i="3"/>
  <c r="AN272" i="3"/>
  <c r="AN273" i="3"/>
  <c r="AN274" i="3"/>
  <c r="AN275" i="3"/>
  <c r="AN276" i="3"/>
  <c r="AN277" i="3"/>
  <c r="AN278" i="3"/>
  <c r="AN279" i="3"/>
  <c r="AN280" i="3"/>
  <c r="AN281" i="3"/>
  <c r="AN282" i="3"/>
  <c r="AN283" i="3"/>
  <c r="AN284" i="3"/>
  <c r="AN285" i="3"/>
  <c r="AN286" i="3"/>
  <c r="AN287" i="3"/>
  <c r="AN288" i="3"/>
  <c r="AN289" i="3"/>
  <c r="AN290" i="3"/>
  <c r="AN291" i="3"/>
  <c r="AN292" i="3"/>
  <c r="AN293" i="3"/>
  <c r="AN294" i="3"/>
  <c r="AN295" i="3"/>
  <c r="AN296" i="3"/>
  <c r="AN297" i="3"/>
  <c r="AN298" i="3"/>
  <c r="AN299" i="3"/>
  <c r="AN300" i="3"/>
  <c r="AN301" i="3"/>
  <c r="AN302" i="3"/>
  <c r="AN303" i="3"/>
  <c r="AN304" i="3"/>
  <c r="AN305" i="3"/>
  <c r="AN306" i="3"/>
  <c r="AN307" i="3"/>
  <c r="AN308" i="3"/>
  <c r="AN309" i="3"/>
  <c r="AN310" i="3"/>
  <c r="AN311" i="3"/>
  <c r="AN312" i="3"/>
  <c r="AN313" i="3"/>
  <c r="AN314" i="3"/>
  <c r="AN315" i="3"/>
  <c r="AN316" i="3"/>
  <c r="AN317" i="3"/>
  <c r="AN318" i="3"/>
  <c r="AN319" i="3"/>
  <c r="AN320" i="3"/>
  <c r="AN321" i="3"/>
  <c r="AN322" i="3"/>
  <c r="AN323" i="3"/>
  <c r="AN324" i="3"/>
  <c r="AN325" i="3"/>
  <c r="AN326" i="3"/>
  <c r="AN327" i="3"/>
  <c r="AN328" i="3"/>
  <c r="AN329" i="3"/>
  <c r="AN330" i="3"/>
  <c r="AN331" i="3"/>
  <c r="AN332" i="3"/>
  <c r="AN333" i="3"/>
  <c r="AN334" i="3"/>
  <c r="AN335" i="3"/>
  <c r="AN336" i="3"/>
  <c r="AN337" i="3"/>
  <c r="AN338" i="3"/>
  <c r="AN339" i="3"/>
  <c r="AN340" i="3"/>
  <c r="AN341" i="3"/>
  <c r="AN342" i="3"/>
  <c r="AN343" i="3"/>
  <c r="AN344" i="3"/>
  <c r="AN345" i="3"/>
  <c r="AN346" i="3"/>
  <c r="AN347" i="3"/>
  <c r="AN348" i="3"/>
  <c r="AN349" i="3"/>
  <c r="AN350" i="3"/>
  <c r="AN351" i="3"/>
  <c r="AN352" i="3"/>
  <c r="AN353" i="3"/>
  <c r="AN354" i="3"/>
  <c r="AN355" i="3"/>
  <c r="AN356" i="3"/>
  <c r="AN357" i="3"/>
  <c r="AN358" i="3"/>
  <c r="AN359" i="3"/>
  <c r="AN360" i="3"/>
  <c r="AN361" i="3"/>
  <c r="AN362" i="3"/>
  <c r="AN363" i="3"/>
  <c r="AN364" i="3"/>
  <c r="AN365" i="3"/>
  <c r="AN366" i="3"/>
  <c r="AN367" i="3"/>
  <c r="AN368" i="3"/>
  <c r="AN369" i="3"/>
  <c r="AN370" i="3"/>
  <c r="AN371" i="3"/>
  <c r="AN372" i="3"/>
  <c r="AN373" i="3"/>
  <c r="AN374" i="3"/>
  <c r="AN375" i="3"/>
  <c r="AN376" i="3"/>
  <c r="AN377" i="3"/>
  <c r="AN378" i="3"/>
  <c r="AN379" i="3"/>
  <c r="AN380" i="3"/>
  <c r="AN381" i="3"/>
  <c r="AN382" i="3"/>
  <c r="AN383" i="3"/>
  <c r="AN384" i="3"/>
  <c r="AN385" i="3"/>
  <c r="AN386" i="3"/>
  <c r="AN387" i="3"/>
  <c r="AN388" i="3"/>
  <c r="AN389" i="3"/>
  <c r="AN390" i="3"/>
  <c r="AN391" i="3"/>
  <c r="AN392" i="3"/>
  <c r="AN393" i="3"/>
  <c r="AN394" i="3"/>
  <c r="AN395" i="3"/>
  <c r="AN396" i="3"/>
  <c r="AN397" i="3"/>
  <c r="AN398" i="3"/>
  <c r="AN399" i="3"/>
  <c r="AN400" i="3"/>
  <c r="AN401" i="3"/>
  <c r="AN402" i="3"/>
  <c r="AN403" i="3"/>
  <c r="AN404" i="3"/>
  <c r="AN405" i="3"/>
  <c r="AN406" i="3"/>
  <c r="AN407" i="3"/>
  <c r="AN408" i="3"/>
  <c r="AN409" i="3"/>
  <c r="AN410" i="3"/>
  <c r="AN411" i="3"/>
  <c r="AN412" i="3"/>
  <c r="AN413" i="3"/>
  <c r="AN414" i="3"/>
  <c r="AN415" i="3"/>
  <c r="AN416" i="3"/>
  <c r="AN417" i="3"/>
  <c r="AN418" i="3"/>
  <c r="AN419" i="3"/>
  <c r="AN420" i="3"/>
  <c r="AN421" i="3"/>
  <c r="AN422" i="3"/>
  <c r="AN423" i="3"/>
  <c r="AN424" i="3"/>
  <c r="AN425" i="3"/>
  <c r="AN426" i="3"/>
  <c r="AN427" i="3"/>
  <c r="AN428" i="3"/>
  <c r="AN429" i="3"/>
  <c r="AN430" i="3"/>
  <c r="AN431" i="3"/>
  <c r="AN432" i="3"/>
  <c r="AN433" i="3"/>
  <c r="AN434" i="3"/>
  <c r="AN435" i="3"/>
  <c r="AN436" i="3"/>
  <c r="AN437" i="3"/>
  <c r="AN438" i="3"/>
  <c r="AN439" i="3"/>
  <c r="AN440" i="3"/>
  <c r="AN441" i="3"/>
  <c r="AN442" i="3"/>
  <c r="AN443" i="3"/>
  <c r="AN444" i="3"/>
  <c r="AN445" i="3"/>
  <c r="AN446" i="3"/>
  <c r="AN447" i="3"/>
  <c r="AN448" i="3"/>
  <c r="AN449" i="3"/>
  <c r="AN450" i="3"/>
  <c r="AN451" i="3"/>
  <c r="AN452" i="3"/>
  <c r="AN453" i="3"/>
  <c r="AN454" i="3"/>
  <c r="AN455" i="3"/>
  <c r="AN456" i="3"/>
  <c r="AN457" i="3"/>
  <c r="AN458" i="3"/>
  <c r="AN459" i="3"/>
  <c r="AN460" i="3"/>
  <c r="AN461" i="3"/>
  <c r="AN462" i="3"/>
  <c r="AN463" i="3"/>
  <c r="AN464" i="3"/>
  <c r="AN465" i="3"/>
  <c r="AN466" i="3"/>
  <c r="AN467" i="3"/>
  <c r="AN468" i="3"/>
  <c r="AN469" i="3"/>
  <c r="AN470" i="3"/>
  <c r="AN471" i="3"/>
  <c r="AN472" i="3"/>
  <c r="AN473" i="3"/>
  <c r="AN474" i="3"/>
  <c r="AN475" i="3"/>
  <c r="AN476" i="3"/>
  <c r="AN477" i="3"/>
  <c r="AN478" i="3"/>
  <c r="AN479" i="3"/>
  <c r="AN480" i="3"/>
  <c r="AN481" i="3"/>
  <c r="AN482" i="3"/>
  <c r="AN483" i="3"/>
  <c r="AN484" i="3"/>
  <c r="AN485" i="3"/>
  <c r="AN486" i="3"/>
  <c r="AN487" i="3"/>
  <c r="AN488" i="3"/>
  <c r="AN489" i="3"/>
  <c r="AN490" i="3"/>
  <c r="AN491" i="3"/>
  <c r="AN492" i="3"/>
  <c r="AN493" i="3"/>
  <c r="AN494" i="3"/>
  <c r="AN495" i="3"/>
  <c r="AN496" i="3"/>
  <c r="AN497" i="3"/>
  <c r="AN498" i="3"/>
  <c r="AN499" i="3"/>
  <c r="AN500" i="3"/>
  <c r="AN501" i="3"/>
  <c r="AN502" i="3"/>
  <c r="AN503" i="3"/>
  <c r="AN504" i="3"/>
  <c r="AN505" i="3"/>
  <c r="AN506" i="3"/>
  <c r="AN507" i="3"/>
  <c r="AN508" i="3"/>
  <c r="AN509" i="3"/>
  <c r="AN510" i="3"/>
  <c r="AN511" i="3"/>
  <c r="AN512" i="3"/>
  <c r="AN513" i="3"/>
  <c r="AN514" i="3"/>
  <c r="AN515" i="3"/>
  <c r="AN516" i="3"/>
  <c r="AN517" i="3"/>
  <c r="AN518" i="3"/>
  <c r="AN519" i="3"/>
  <c r="AN520" i="3"/>
  <c r="AN521" i="3"/>
  <c r="AN522" i="3"/>
  <c r="AN523" i="3"/>
  <c r="AN524" i="3"/>
  <c r="AN525" i="3"/>
  <c r="AN526" i="3"/>
  <c r="AN527" i="3"/>
  <c r="AN528" i="3"/>
  <c r="AN529" i="3"/>
  <c r="AN530" i="3"/>
  <c r="AN531" i="3"/>
  <c r="AN532" i="3"/>
  <c r="AN533" i="3"/>
  <c r="AN534" i="3"/>
  <c r="AN535" i="3"/>
  <c r="AN536" i="3"/>
  <c r="AN537" i="3"/>
  <c r="AN538" i="3"/>
  <c r="AN539" i="3"/>
  <c r="AN540" i="3"/>
  <c r="AN541" i="3"/>
  <c r="AN542" i="3"/>
  <c r="AN543" i="3"/>
  <c r="AN544" i="3"/>
  <c r="AN545" i="3"/>
  <c r="AN546" i="3"/>
  <c r="AN547" i="3"/>
  <c r="AN548" i="3"/>
  <c r="AN549" i="3"/>
  <c r="AN550" i="3"/>
  <c r="AN551" i="3"/>
  <c r="AN552" i="3"/>
  <c r="AN553" i="3"/>
  <c r="AN554" i="3"/>
  <c r="AN555" i="3"/>
  <c r="AN556" i="3"/>
  <c r="AN557" i="3"/>
  <c r="AN558" i="3"/>
  <c r="AN559" i="3"/>
  <c r="AN560" i="3"/>
  <c r="AN561" i="3"/>
  <c r="AN562" i="3"/>
  <c r="AN563" i="3"/>
  <c r="AN564" i="3"/>
  <c r="AN565" i="3"/>
  <c r="AN566" i="3"/>
  <c r="AN567" i="3"/>
  <c r="AN568" i="3"/>
  <c r="AN569" i="3"/>
  <c r="AN570" i="3"/>
  <c r="AN571" i="3"/>
  <c r="AN572" i="3"/>
  <c r="AN573" i="3"/>
  <c r="AN574" i="3"/>
  <c r="AN575" i="3"/>
  <c r="AN576" i="3"/>
  <c r="AN577" i="3"/>
  <c r="AN578" i="3"/>
  <c r="AN579" i="3"/>
  <c r="AN580" i="3"/>
  <c r="AN581" i="3"/>
  <c r="AN582" i="3"/>
  <c r="AN583" i="3"/>
  <c r="AN584" i="3"/>
  <c r="AN585" i="3"/>
  <c r="AN586" i="3"/>
  <c r="AN587" i="3"/>
  <c r="AN588" i="3"/>
  <c r="AN589" i="3"/>
  <c r="AN590" i="3"/>
  <c r="AN591" i="3"/>
  <c r="AN592" i="3"/>
  <c r="AN593" i="3"/>
  <c r="AN594" i="3"/>
  <c r="AN595" i="3"/>
  <c r="AN596" i="3"/>
  <c r="AN597" i="3"/>
  <c r="AN598" i="3"/>
  <c r="AN599" i="3"/>
  <c r="AN600" i="3"/>
  <c r="AN601" i="3"/>
  <c r="AN602" i="3"/>
  <c r="AN603" i="3"/>
  <c r="AN604" i="3"/>
  <c r="AN605" i="3"/>
  <c r="AN606" i="3"/>
  <c r="AN607" i="3"/>
  <c r="AN608" i="3"/>
  <c r="AN609" i="3"/>
  <c r="AN610" i="3"/>
  <c r="AN611" i="3"/>
  <c r="AN612" i="3"/>
  <c r="AN613" i="3"/>
  <c r="AN614" i="3"/>
  <c r="AN615" i="3"/>
  <c r="AN616" i="3"/>
  <c r="AN617" i="3"/>
  <c r="AN618" i="3"/>
  <c r="AN619" i="3"/>
  <c r="AN620" i="3"/>
  <c r="AN621" i="3"/>
  <c r="AN622" i="3"/>
  <c r="AN623" i="3"/>
  <c r="AN624" i="3"/>
  <c r="AN625" i="3"/>
  <c r="AN626" i="3"/>
  <c r="AN627" i="3"/>
  <c r="AN628" i="3"/>
  <c r="AN629" i="3"/>
  <c r="AN630" i="3"/>
  <c r="AN631" i="3"/>
  <c r="AN632" i="3"/>
  <c r="AN633" i="3"/>
  <c r="AN634" i="3"/>
  <c r="AN635" i="3"/>
  <c r="AN636" i="3"/>
  <c r="AN637" i="3"/>
  <c r="AN638" i="3"/>
  <c r="AN639" i="3"/>
  <c r="AN640" i="3"/>
  <c r="AN641" i="3"/>
  <c r="AN642" i="3"/>
  <c r="AN643" i="3"/>
  <c r="AN644" i="3"/>
  <c r="AN645" i="3"/>
  <c r="AN646" i="3"/>
  <c r="AN647" i="3"/>
  <c r="AN648" i="3"/>
  <c r="AN649" i="3"/>
  <c r="AN650" i="3"/>
  <c r="AN651" i="3"/>
  <c r="AN652" i="3"/>
  <c r="AN653" i="3"/>
  <c r="AN654" i="3"/>
  <c r="AN655" i="3"/>
  <c r="AN656" i="3"/>
  <c r="AN657" i="3"/>
  <c r="AN658" i="3"/>
  <c r="AN659" i="3"/>
  <c r="AN660" i="3"/>
  <c r="AN661" i="3"/>
  <c r="AN662" i="3"/>
  <c r="AN663" i="3"/>
  <c r="AN664" i="3"/>
  <c r="AN665" i="3"/>
  <c r="AN666" i="3"/>
  <c r="AN667" i="3"/>
  <c r="AN668" i="3"/>
  <c r="AN669" i="3"/>
  <c r="AN670" i="3"/>
  <c r="AN671" i="3"/>
  <c r="AN672" i="3"/>
  <c r="AN673" i="3"/>
  <c r="AN674" i="3"/>
  <c r="AN675" i="3"/>
  <c r="AN676" i="3"/>
  <c r="AN677" i="3"/>
  <c r="AN678" i="3"/>
  <c r="AN679" i="3"/>
  <c r="AN680" i="3"/>
  <c r="AN681" i="3"/>
  <c r="AN682" i="3"/>
  <c r="AN683" i="3"/>
  <c r="AN684" i="3"/>
  <c r="AN685" i="3"/>
  <c r="AN686" i="3"/>
  <c r="AN687" i="3"/>
  <c r="AN688" i="3"/>
  <c r="AN689" i="3"/>
  <c r="AN690" i="3"/>
  <c r="AN691" i="3"/>
  <c r="AN692" i="3"/>
  <c r="AN693" i="3"/>
  <c r="AN694" i="3"/>
  <c r="AN695" i="3"/>
  <c r="AN696" i="3"/>
  <c r="AN697" i="3"/>
  <c r="AN698" i="3"/>
  <c r="AN699" i="3"/>
  <c r="AN700" i="3"/>
  <c r="AN701" i="3"/>
  <c r="AN702" i="3"/>
  <c r="AN703" i="3"/>
  <c r="AN704" i="3"/>
  <c r="AN705" i="3"/>
  <c r="AN706" i="3"/>
  <c r="AN707" i="3"/>
  <c r="AN708" i="3"/>
  <c r="AN709" i="3"/>
  <c r="AN710" i="3"/>
  <c r="AN711" i="3"/>
  <c r="AN712" i="3"/>
  <c r="AN713" i="3"/>
  <c r="AN714" i="3"/>
  <c r="AN715" i="3"/>
  <c r="AN716" i="3"/>
  <c r="AN717" i="3"/>
  <c r="AN718" i="3"/>
  <c r="AN719" i="3"/>
  <c r="AN720" i="3"/>
  <c r="AN721" i="3"/>
  <c r="AN722" i="3"/>
  <c r="AN723" i="3"/>
  <c r="AN724" i="3"/>
  <c r="AN725" i="3"/>
  <c r="AN726" i="3"/>
  <c r="AN727" i="3"/>
  <c r="AN728" i="3"/>
  <c r="AN729" i="3"/>
  <c r="AN730" i="3"/>
  <c r="AN731" i="3"/>
  <c r="AN732" i="3"/>
  <c r="AN733" i="3"/>
  <c r="AN734" i="3"/>
  <c r="AN735" i="3"/>
  <c r="AN736" i="3"/>
  <c r="AN737" i="3"/>
  <c r="AN738" i="3"/>
  <c r="AN739" i="3"/>
  <c r="AN740" i="3"/>
  <c r="AN741" i="3"/>
  <c r="AN742" i="3"/>
  <c r="AN743" i="3"/>
  <c r="AN744" i="3"/>
  <c r="AN745" i="3"/>
  <c r="AN746" i="3"/>
  <c r="AN747" i="3"/>
  <c r="AN748" i="3"/>
  <c r="AN749" i="3"/>
  <c r="AN750" i="3"/>
  <c r="AN751" i="3"/>
  <c r="AN752" i="3"/>
  <c r="AN753" i="3"/>
  <c r="AN754" i="3"/>
  <c r="AN755" i="3"/>
  <c r="AN756" i="3"/>
  <c r="AN757" i="3"/>
  <c r="AN758" i="3"/>
  <c r="AN759" i="3"/>
  <c r="AN760" i="3"/>
  <c r="AN761" i="3"/>
  <c r="AN762" i="3"/>
  <c r="AN763" i="3"/>
  <c r="AN764" i="3"/>
  <c r="AN765" i="3"/>
  <c r="AN766" i="3"/>
  <c r="AN767" i="3"/>
  <c r="AN768" i="3"/>
  <c r="AN769" i="3"/>
  <c r="AN770" i="3"/>
  <c r="AN771" i="3"/>
  <c r="AN772" i="3"/>
  <c r="AN773" i="3"/>
  <c r="AN774" i="3"/>
  <c r="AN775" i="3"/>
  <c r="AN776" i="3"/>
  <c r="AN777" i="3"/>
  <c r="AN778" i="3"/>
  <c r="AN779" i="3"/>
  <c r="AN780" i="3"/>
  <c r="AN781" i="3"/>
  <c r="AN782" i="3"/>
  <c r="AN783" i="3"/>
  <c r="AN784" i="3"/>
  <c r="AN785" i="3"/>
  <c r="AN786" i="3"/>
  <c r="AN787" i="3"/>
  <c r="AN788" i="3"/>
  <c r="AN789" i="3"/>
  <c r="AN790" i="3"/>
  <c r="AN791" i="3"/>
  <c r="AN792" i="3"/>
  <c r="AN793" i="3"/>
  <c r="AN794" i="3"/>
  <c r="AN795" i="3"/>
  <c r="AN796" i="3"/>
  <c r="AN797" i="3"/>
  <c r="AN798" i="3"/>
  <c r="AN799" i="3"/>
  <c r="AN800" i="3"/>
  <c r="AN801" i="3"/>
  <c r="AN802" i="3"/>
  <c r="AN803" i="3"/>
  <c r="AN804" i="3"/>
  <c r="AN805" i="3"/>
  <c r="AN806" i="3"/>
  <c r="AN807" i="3"/>
  <c r="AN808" i="3"/>
  <c r="AN809" i="3"/>
  <c r="AN810" i="3"/>
  <c r="AN811" i="3"/>
  <c r="AN812" i="3"/>
  <c r="AN813" i="3"/>
  <c r="AN814" i="3"/>
  <c r="AN815" i="3"/>
  <c r="AN816" i="3"/>
  <c r="AN817" i="3"/>
  <c r="AN818" i="3"/>
  <c r="AN819" i="3"/>
  <c r="AN820" i="3"/>
  <c r="AN821" i="3"/>
  <c r="AN822" i="3"/>
  <c r="AN823" i="3"/>
  <c r="AN824" i="3"/>
  <c r="AN825" i="3"/>
  <c r="AN826" i="3"/>
  <c r="AN827" i="3"/>
  <c r="AN828" i="3"/>
  <c r="AN829" i="3"/>
  <c r="AN830" i="3"/>
  <c r="AN831" i="3"/>
  <c r="AN832" i="3"/>
  <c r="AN833" i="3"/>
  <c r="AN834" i="3"/>
  <c r="AN835" i="3"/>
  <c r="AN836" i="3"/>
  <c r="AK2" i="3"/>
  <c r="AK3" i="3"/>
  <c r="AK4" i="3"/>
  <c r="AK5" i="3"/>
  <c r="AK6" i="3"/>
  <c r="AK7" i="3"/>
  <c r="AK8" i="3"/>
  <c r="AK9" i="3"/>
  <c r="AK10" i="3"/>
  <c r="AK11" i="3"/>
  <c r="AK12" i="3"/>
  <c r="AK13" i="3"/>
  <c r="AK14" i="3"/>
  <c r="AK15" i="3"/>
  <c r="AK16" i="3"/>
  <c r="AK17" i="3"/>
  <c r="AK18" i="3"/>
  <c r="AK19" i="3"/>
  <c r="AK20" i="3"/>
  <c r="AK21" i="3"/>
  <c r="AK22" i="3"/>
  <c r="AK23" i="3"/>
  <c r="AK24" i="3"/>
  <c r="AK25" i="3"/>
  <c r="AK26" i="3"/>
  <c r="AK27" i="3"/>
  <c r="AK28" i="3"/>
  <c r="AK29" i="3"/>
  <c r="AK30" i="3"/>
  <c r="AK31" i="3"/>
  <c r="AK32" i="3"/>
  <c r="AK33" i="3"/>
  <c r="AK34" i="3"/>
  <c r="AK35" i="3"/>
  <c r="AK36" i="3"/>
  <c r="AK37" i="3"/>
  <c r="AK38" i="3"/>
  <c r="AK39" i="3"/>
  <c r="AK40" i="3"/>
  <c r="AK41" i="3"/>
  <c r="AK42" i="3"/>
  <c r="AK43" i="3"/>
  <c r="AK44" i="3"/>
  <c r="AK45" i="3"/>
  <c r="AK46" i="3"/>
  <c r="AK47" i="3"/>
  <c r="AK48" i="3"/>
  <c r="AK49" i="3"/>
  <c r="AK50" i="3"/>
  <c r="AK51" i="3"/>
  <c r="AK52" i="3"/>
  <c r="AK53" i="3"/>
  <c r="AK54" i="3"/>
  <c r="AK55" i="3"/>
  <c r="AK56" i="3"/>
  <c r="AK57" i="3"/>
  <c r="AK58" i="3"/>
  <c r="AK59" i="3"/>
  <c r="AK60" i="3"/>
  <c r="AK61" i="3"/>
  <c r="AK62" i="3"/>
  <c r="AK63" i="3"/>
  <c r="AK64" i="3"/>
  <c r="AK65" i="3"/>
  <c r="AK66" i="3"/>
  <c r="AK67" i="3"/>
  <c r="AK68" i="3"/>
  <c r="AK69" i="3"/>
  <c r="AK70" i="3"/>
  <c r="AK71" i="3"/>
  <c r="AK72" i="3"/>
  <c r="AK73" i="3"/>
  <c r="AK74" i="3"/>
  <c r="AK75" i="3"/>
  <c r="AK76" i="3"/>
  <c r="AK77" i="3"/>
  <c r="AK78" i="3"/>
  <c r="AK79" i="3"/>
  <c r="AK80" i="3"/>
  <c r="AK81" i="3"/>
  <c r="AK82" i="3"/>
  <c r="AK83" i="3"/>
  <c r="AK84" i="3"/>
  <c r="AK85" i="3"/>
  <c r="AK86" i="3"/>
  <c r="AK87" i="3"/>
  <c r="AK88" i="3"/>
  <c r="AK89" i="3"/>
  <c r="AK90" i="3"/>
  <c r="AK91" i="3"/>
  <c r="AK92" i="3"/>
  <c r="AK93" i="3"/>
  <c r="AK94" i="3"/>
  <c r="AK95" i="3"/>
  <c r="AK96" i="3"/>
  <c r="AK97" i="3"/>
  <c r="AK98" i="3"/>
  <c r="AK99" i="3"/>
  <c r="AK100" i="3"/>
  <c r="AK101" i="3"/>
  <c r="AK102" i="3"/>
  <c r="AK103" i="3"/>
  <c r="AK104" i="3"/>
  <c r="AK105" i="3"/>
  <c r="AK106" i="3"/>
  <c r="AK107" i="3"/>
  <c r="AK108" i="3"/>
  <c r="AK109" i="3"/>
  <c r="AK110" i="3"/>
  <c r="AK111" i="3"/>
  <c r="AK112" i="3"/>
  <c r="AK113" i="3"/>
  <c r="AK114" i="3"/>
  <c r="AK115" i="3"/>
  <c r="AK116" i="3"/>
  <c r="AK117" i="3"/>
  <c r="AK118" i="3"/>
  <c r="AK119" i="3"/>
  <c r="AK120" i="3"/>
  <c r="AK121" i="3"/>
  <c r="AK122" i="3"/>
  <c r="AK123" i="3"/>
  <c r="AK124" i="3"/>
  <c r="AK125" i="3"/>
  <c r="AK126" i="3"/>
  <c r="AK127" i="3"/>
  <c r="AK128" i="3"/>
  <c r="AK129" i="3"/>
  <c r="AK130" i="3"/>
  <c r="AK131" i="3"/>
  <c r="AK132" i="3"/>
  <c r="AK133" i="3"/>
  <c r="AK134" i="3"/>
  <c r="AK135" i="3"/>
  <c r="AK136" i="3"/>
  <c r="AK137" i="3"/>
  <c r="AK138" i="3"/>
  <c r="AK139" i="3"/>
  <c r="AK140" i="3"/>
  <c r="AK141" i="3"/>
  <c r="AK142" i="3"/>
  <c r="AK143" i="3"/>
  <c r="AK144" i="3"/>
  <c r="AK145" i="3"/>
  <c r="AK146" i="3"/>
  <c r="AK147" i="3"/>
  <c r="AK148" i="3"/>
  <c r="AK149" i="3"/>
  <c r="AK150" i="3"/>
  <c r="AK151" i="3"/>
  <c r="AK152" i="3"/>
  <c r="AK153" i="3"/>
  <c r="AK154" i="3"/>
  <c r="AK155" i="3"/>
  <c r="AK156" i="3"/>
  <c r="AK157" i="3"/>
  <c r="AK158" i="3"/>
  <c r="AK159" i="3"/>
  <c r="AK160" i="3"/>
  <c r="AK161" i="3"/>
  <c r="AK162" i="3"/>
  <c r="AK163" i="3"/>
  <c r="AK164" i="3"/>
  <c r="AK165" i="3"/>
  <c r="AK166" i="3"/>
  <c r="AK167" i="3"/>
  <c r="AK168" i="3"/>
  <c r="AK169" i="3"/>
  <c r="AK170" i="3"/>
  <c r="AK171" i="3"/>
  <c r="AK172" i="3"/>
  <c r="AK173" i="3"/>
  <c r="AK174" i="3"/>
  <c r="AK175" i="3"/>
  <c r="AK176" i="3"/>
  <c r="AK177" i="3"/>
  <c r="AK178" i="3"/>
  <c r="AK179" i="3"/>
  <c r="AK180" i="3"/>
  <c r="AK181" i="3"/>
  <c r="AK182" i="3"/>
  <c r="AK183" i="3"/>
  <c r="AK184" i="3"/>
  <c r="AK185" i="3"/>
  <c r="AK186" i="3"/>
  <c r="AK187" i="3"/>
  <c r="AK188" i="3"/>
  <c r="AK189" i="3"/>
  <c r="AK190" i="3"/>
  <c r="AK191" i="3"/>
  <c r="AK192" i="3"/>
  <c r="AK193" i="3"/>
  <c r="AK194" i="3"/>
  <c r="AK195" i="3"/>
  <c r="AK196" i="3"/>
  <c r="AK197" i="3"/>
  <c r="AK198" i="3"/>
  <c r="AK199" i="3"/>
  <c r="AK200" i="3"/>
  <c r="AK201" i="3"/>
  <c r="AK202" i="3"/>
  <c r="AK203" i="3"/>
  <c r="AK204" i="3"/>
  <c r="AK205" i="3"/>
  <c r="AK206" i="3"/>
  <c r="AK207" i="3"/>
  <c r="AK208" i="3"/>
  <c r="AK209" i="3"/>
  <c r="AK210" i="3"/>
  <c r="AK211" i="3"/>
  <c r="AK212" i="3"/>
  <c r="AK213" i="3"/>
  <c r="AK214" i="3"/>
  <c r="AK215" i="3"/>
  <c r="AK216" i="3"/>
  <c r="AK217" i="3"/>
  <c r="AK218" i="3"/>
  <c r="AK219" i="3"/>
  <c r="AK220" i="3"/>
  <c r="AK221" i="3"/>
  <c r="AK222" i="3"/>
  <c r="AK223" i="3"/>
  <c r="AK224" i="3"/>
  <c r="AK225" i="3"/>
  <c r="AK226" i="3"/>
  <c r="AK227" i="3"/>
  <c r="AK228" i="3"/>
  <c r="AK229" i="3"/>
  <c r="AK230" i="3"/>
  <c r="AK231" i="3"/>
  <c r="AK232" i="3"/>
  <c r="AK233" i="3"/>
  <c r="AK234" i="3"/>
  <c r="AK235" i="3"/>
  <c r="AK236" i="3"/>
  <c r="AK237" i="3"/>
  <c r="AK238" i="3"/>
  <c r="AK239" i="3"/>
  <c r="AK240" i="3"/>
  <c r="AK241" i="3"/>
  <c r="AK242" i="3"/>
  <c r="AK243" i="3"/>
  <c r="AK244" i="3"/>
  <c r="AK245" i="3"/>
  <c r="AK246" i="3"/>
  <c r="AK247" i="3"/>
  <c r="AK248" i="3"/>
  <c r="AK249" i="3"/>
  <c r="AK250" i="3"/>
  <c r="AK251" i="3"/>
  <c r="AK252" i="3"/>
  <c r="AK253" i="3"/>
  <c r="AK254" i="3"/>
  <c r="AK255" i="3"/>
  <c r="AK256" i="3"/>
  <c r="AK257" i="3"/>
  <c r="AK258" i="3"/>
  <c r="AK259" i="3"/>
  <c r="AK260" i="3"/>
  <c r="AK261" i="3"/>
  <c r="AK262" i="3"/>
  <c r="AK263" i="3"/>
  <c r="AK264" i="3"/>
  <c r="AK265" i="3"/>
  <c r="AK266" i="3"/>
  <c r="AK267" i="3"/>
  <c r="AK268" i="3"/>
  <c r="AK269" i="3"/>
  <c r="AK270" i="3"/>
  <c r="AK271" i="3"/>
  <c r="AK272" i="3"/>
  <c r="AK273" i="3"/>
  <c r="AK274" i="3"/>
  <c r="AK275" i="3"/>
  <c r="AK276" i="3"/>
  <c r="AK277" i="3"/>
  <c r="AK278" i="3"/>
  <c r="AK279" i="3"/>
  <c r="AK280" i="3"/>
  <c r="AK281" i="3"/>
  <c r="AK282" i="3"/>
  <c r="AK283" i="3"/>
  <c r="AK284" i="3"/>
  <c r="AK285" i="3"/>
  <c r="AK286" i="3"/>
  <c r="AK287" i="3"/>
  <c r="AK288" i="3"/>
  <c r="AK289" i="3"/>
  <c r="AK290" i="3"/>
  <c r="AK291" i="3"/>
  <c r="AK292" i="3"/>
  <c r="AK293" i="3"/>
  <c r="AK294" i="3"/>
  <c r="AK295" i="3"/>
  <c r="AK296" i="3"/>
  <c r="AK297" i="3"/>
  <c r="AK298" i="3"/>
  <c r="AK299" i="3"/>
  <c r="AK300" i="3"/>
  <c r="AK301" i="3"/>
  <c r="AK302" i="3"/>
  <c r="AK303" i="3"/>
  <c r="AK304" i="3"/>
  <c r="AK305" i="3"/>
  <c r="AK306" i="3"/>
  <c r="AK307" i="3"/>
  <c r="AK308" i="3"/>
  <c r="AK309" i="3"/>
  <c r="AK310" i="3"/>
  <c r="AK311" i="3"/>
  <c r="AK312" i="3"/>
  <c r="AK313" i="3"/>
  <c r="AK314" i="3"/>
  <c r="AK315" i="3"/>
  <c r="AK316" i="3"/>
  <c r="AK317" i="3"/>
  <c r="AK318" i="3"/>
  <c r="AK319" i="3"/>
  <c r="AK320" i="3"/>
  <c r="AK321" i="3"/>
  <c r="AK322" i="3"/>
  <c r="AK323" i="3"/>
  <c r="AK324" i="3"/>
  <c r="AK325" i="3"/>
  <c r="AK326" i="3"/>
  <c r="AK327" i="3"/>
  <c r="AK328" i="3"/>
  <c r="AK329" i="3"/>
  <c r="AK330" i="3"/>
  <c r="AK331" i="3"/>
  <c r="AK332" i="3"/>
  <c r="AK333" i="3"/>
  <c r="AK334" i="3"/>
  <c r="AK335" i="3"/>
  <c r="AK336" i="3"/>
  <c r="AK337" i="3"/>
  <c r="AK338" i="3"/>
  <c r="AK339" i="3"/>
  <c r="AK340" i="3"/>
  <c r="AK341" i="3"/>
  <c r="AK342" i="3"/>
  <c r="AK343" i="3"/>
  <c r="AK344" i="3"/>
  <c r="AK345" i="3"/>
  <c r="AK346" i="3"/>
  <c r="AK347" i="3"/>
  <c r="AK348" i="3"/>
  <c r="AK349" i="3"/>
  <c r="AK350" i="3"/>
  <c r="AK351" i="3"/>
  <c r="AK352" i="3"/>
  <c r="AK353" i="3"/>
  <c r="AK354" i="3"/>
  <c r="AK355" i="3"/>
  <c r="AK356" i="3"/>
  <c r="AK357" i="3"/>
  <c r="AK358" i="3"/>
  <c r="AK359" i="3"/>
  <c r="AK360" i="3"/>
  <c r="AK361" i="3"/>
  <c r="AK362" i="3"/>
  <c r="AK363" i="3"/>
  <c r="AK364" i="3"/>
  <c r="AK365" i="3"/>
  <c r="AK366" i="3"/>
  <c r="AK367" i="3"/>
  <c r="AK368" i="3"/>
  <c r="AK369" i="3"/>
  <c r="AK370" i="3"/>
  <c r="AK371" i="3"/>
  <c r="AK372" i="3"/>
  <c r="AK373" i="3"/>
  <c r="AK374" i="3"/>
  <c r="AK375" i="3"/>
  <c r="AK376" i="3"/>
  <c r="AK377" i="3"/>
  <c r="AK378" i="3"/>
  <c r="AK379" i="3"/>
  <c r="AK380" i="3"/>
  <c r="AK381" i="3"/>
  <c r="AK382" i="3"/>
  <c r="AK383" i="3"/>
  <c r="AK384" i="3"/>
  <c r="AK385" i="3"/>
  <c r="AK386" i="3"/>
  <c r="AK387" i="3"/>
  <c r="AK388" i="3"/>
  <c r="AK389" i="3"/>
  <c r="AK390" i="3"/>
  <c r="AK391" i="3"/>
  <c r="AK392" i="3"/>
  <c r="AK393" i="3"/>
  <c r="AK394" i="3"/>
  <c r="AK395" i="3"/>
  <c r="AK396" i="3"/>
  <c r="AK397" i="3"/>
  <c r="AK398" i="3"/>
  <c r="AK399" i="3"/>
  <c r="AK400" i="3"/>
  <c r="AK401" i="3"/>
  <c r="AK402" i="3"/>
  <c r="AK403" i="3"/>
  <c r="AK404" i="3"/>
  <c r="AK405" i="3"/>
  <c r="AK406" i="3"/>
  <c r="AK407" i="3"/>
  <c r="AK408" i="3"/>
  <c r="AK409" i="3"/>
  <c r="AK410" i="3"/>
  <c r="AK411" i="3"/>
  <c r="AK412" i="3"/>
  <c r="AK413" i="3"/>
  <c r="AK414" i="3"/>
  <c r="AK415" i="3"/>
  <c r="AK416" i="3"/>
  <c r="AK417" i="3"/>
  <c r="AK418" i="3"/>
  <c r="AK419" i="3"/>
  <c r="AK420" i="3"/>
  <c r="AK421" i="3"/>
  <c r="AK422" i="3"/>
  <c r="AK423" i="3"/>
  <c r="AK424" i="3"/>
  <c r="AK425" i="3"/>
  <c r="AK426" i="3"/>
  <c r="AK427" i="3"/>
  <c r="AK428" i="3"/>
  <c r="AK429" i="3"/>
  <c r="AK430" i="3"/>
  <c r="AK431" i="3"/>
  <c r="AK432" i="3"/>
  <c r="AK433" i="3"/>
  <c r="AK434" i="3"/>
  <c r="AK435" i="3"/>
  <c r="AK436" i="3"/>
  <c r="AK437" i="3"/>
  <c r="AK438" i="3"/>
  <c r="AK439" i="3"/>
  <c r="AK440" i="3"/>
  <c r="AK441" i="3"/>
  <c r="AK442" i="3"/>
  <c r="AK443" i="3"/>
  <c r="AK444" i="3"/>
  <c r="AK445" i="3"/>
  <c r="AK446" i="3"/>
  <c r="AK447" i="3"/>
  <c r="AK448" i="3"/>
  <c r="AK449" i="3"/>
  <c r="AK450" i="3"/>
  <c r="AK451" i="3"/>
  <c r="AK452" i="3"/>
  <c r="AK453" i="3"/>
  <c r="AK454" i="3"/>
  <c r="AK455" i="3"/>
  <c r="AK456" i="3"/>
  <c r="AK457" i="3"/>
  <c r="AK458" i="3"/>
  <c r="AK459" i="3"/>
  <c r="AK460" i="3"/>
  <c r="AK461" i="3"/>
  <c r="AK462" i="3"/>
  <c r="AK463" i="3"/>
  <c r="AK464" i="3"/>
  <c r="AK465" i="3"/>
  <c r="AK466" i="3"/>
  <c r="AK467" i="3"/>
  <c r="AK468" i="3"/>
  <c r="AK469" i="3"/>
  <c r="AK470" i="3"/>
  <c r="AK471" i="3"/>
  <c r="AK472" i="3"/>
  <c r="AK473" i="3"/>
  <c r="AK474" i="3"/>
  <c r="AK475" i="3"/>
  <c r="AK476" i="3"/>
  <c r="AK477" i="3"/>
  <c r="AK478" i="3"/>
  <c r="AK479" i="3"/>
  <c r="AK480" i="3"/>
  <c r="AK481" i="3"/>
  <c r="AK482" i="3"/>
  <c r="AK483" i="3"/>
  <c r="AK484" i="3"/>
  <c r="AK485" i="3"/>
  <c r="AK486" i="3"/>
  <c r="AK487" i="3"/>
  <c r="AK488" i="3"/>
  <c r="AK489" i="3"/>
  <c r="AK490" i="3"/>
  <c r="AK491" i="3"/>
  <c r="AK492" i="3"/>
  <c r="AK493" i="3"/>
  <c r="AK494" i="3"/>
  <c r="AK495" i="3"/>
  <c r="AK496" i="3"/>
  <c r="AK497" i="3"/>
  <c r="AK498" i="3"/>
  <c r="AK499" i="3"/>
  <c r="AK500" i="3"/>
  <c r="AK501" i="3"/>
  <c r="AK502" i="3"/>
  <c r="AK503" i="3"/>
  <c r="AK504" i="3"/>
  <c r="AK505" i="3"/>
  <c r="AK506" i="3"/>
  <c r="AK507" i="3"/>
  <c r="AK508" i="3"/>
  <c r="AK509" i="3"/>
  <c r="AK510" i="3"/>
  <c r="AK511" i="3"/>
  <c r="AK512" i="3"/>
  <c r="AK513" i="3"/>
  <c r="AK514" i="3"/>
  <c r="AK515" i="3"/>
  <c r="AK516" i="3"/>
  <c r="AK517" i="3"/>
  <c r="AK518" i="3"/>
  <c r="AK519" i="3"/>
  <c r="AK520" i="3"/>
  <c r="AK521" i="3"/>
  <c r="AK522" i="3"/>
  <c r="AK523" i="3"/>
  <c r="AK524" i="3"/>
  <c r="AK525" i="3"/>
  <c r="AK526" i="3"/>
  <c r="AK527" i="3"/>
  <c r="AK528" i="3"/>
  <c r="AK529" i="3"/>
  <c r="AK530" i="3"/>
  <c r="AK531" i="3"/>
  <c r="AK532" i="3"/>
  <c r="AK533" i="3"/>
  <c r="AK534" i="3"/>
  <c r="AK535" i="3"/>
  <c r="AK536" i="3"/>
  <c r="AK537" i="3"/>
  <c r="AK538" i="3"/>
  <c r="AK539" i="3"/>
  <c r="AK540" i="3"/>
  <c r="AK541" i="3"/>
  <c r="AK542" i="3"/>
  <c r="AK543" i="3"/>
  <c r="AK544" i="3"/>
  <c r="AK545" i="3"/>
  <c r="AK546" i="3"/>
  <c r="AK547" i="3"/>
  <c r="AK548" i="3"/>
  <c r="AK549" i="3"/>
  <c r="AK550" i="3"/>
  <c r="AK551" i="3"/>
  <c r="AK552" i="3"/>
  <c r="AK553" i="3"/>
  <c r="AK554" i="3"/>
  <c r="AK555" i="3"/>
  <c r="AK556" i="3"/>
  <c r="AK557" i="3"/>
  <c r="AK558" i="3"/>
  <c r="AK559" i="3"/>
  <c r="AK560" i="3"/>
  <c r="AK561" i="3"/>
  <c r="AK562" i="3"/>
  <c r="AK563" i="3"/>
  <c r="AK564" i="3"/>
  <c r="AK565" i="3"/>
  <c r="AK566" i="3"/>
  <c r="AK567" i="3"/>
  <c r="AK568" i="3"/>
  <c r="AK569" i="3"/>
  <c r="AK570" i="3"/>
  <c r="AK571" i="3"/>
  <c r="AK572" i="3"/>
  <c r="AK573" i="3"/>
  <c r="AK574" i="3"/>
  <c r="AK575" i="3"/>
  <c r="AK576" i="3"/>
  <c r="AK577" i="3"/>
  <c r="AK578" i="3"/>
  <c r="AK579" i="3"/>
  <c r="AK580" i="3"/>
  <c r="AK581" i="3"/>
  <c r="AK582" i="3"/>
  <c r="AK583" i="3"/>
  <c r="AK584" i="3"/>
  <c r="AK585" i="3"/>
  <c r="AK586" i="3"/>
  <c r="AK587" i="3"/>
  <c r="AK588" i="3"/>
  <c r="AK589" i="3"/>
  <c r="AK590" i="3"/>
  <c r="AK591" i="3"/>
  <c r="AK592" i="3"/>
  <c r="AK593" i="3"/>
  <c r="AK594" i="3"/>
  <c r="AK595" i="3"/>
  <c r="AK596" i="3"/>
  <c r="AK597" i="3"/>
  <c r="AK598" i="3"/>
  <c r="AK599" i="3"/>
  <c r="AK600" i="3"/>
  <c r="AK601" i="3"/>
  <c r="AK602" i="3"/>
  <c r="AK603" i="3"/>
  <c r="AK604" i="3"/>
  <c r="AK605" i="3"/>
  <c r="AK606" i="3"/>
  <c r="AK607" i="3"/>
  <c r="AK608" i="3"/>
  <c r="AK609" i="3"/>
  <c r="AK610" i="3"/>
  <c r="AK611" i="3"/>
  <c r="AK612" i="3"/>
  <c r="AK613" i="3"/>
  <c r="AK614" i="3"/>
  <c r="AK615" i="3"/>
  <c r="AK616" i="3"/>
  <c r="AK617" i="3"/>
  <c r="AK618" i="3"/>
  <c r="AK619" i="3"/>
  <c r="AK620" i="3"/>
  <c r="AK621" i="3"/>
  <c r="AK622" i="3"/>
  <c r="AK623" i="3"/>
  <c r="AK624" i="3"/>
  <c r="AK625" i="3"/>
  <c r="AK626" i="3"/>
  <c r="AK627" i="3"/>
  <c r="AK628" i="3"/>
  <c r="AK629" i="3"/>
  <c r="AK630" i="3"/>
  <c r="AK631" i="3"/>
  <c r="AK632" i="3"/>
  <c r="AK633" i="3"/>
  <c r="AK634" i="3"/>
  <c r="AK635" i="3"/>
  <c r="AK636" i="3"/>
  <c r="AK637" i="3"/>
  <c r="AK638" i="3"/>
  <c r="AK639" i="3"/>
  <c r="AK640" i="3"/>
  <c r="AK641" i="3"/>
  <c r="AK642" i="3"/>
  <c r="AK643" i="3"/>
  <c r="AK644" i="3"/>
  <c r="AK645" i="3"/>
  <c r="AK646" i="3"/>
  <c r="AK647" i="3"/>
  <c r="AK648" i="3"/>
  <c r="AK649" i="3"/>
  <c r="AK650" i="3"/>
  <c r="AK651" i="3"/>
  <c r="AK652" i="3"/>
  <c r="AK653" i="3"/>
  <c r="AK654" i="3"/>
  <c r="AK655" i="3"/>
  <c r="AK656" i="3"/>
  <c r="AK657" i="3"/>
  <c r="AK658" i="3"/>
  <c r="AK659" i="3"/>
  <c r="AK660" i="3"/>
  <c r="AK661" i="3"/>
  <c r="AK662" i="3"/>
  <c r="AK663" i="3"/>
  <c r="AK664" i="3"/>
  <c r="AK665" i="3"/>
  <c r="AK666" i="3"/>
  <c r="AK667" i="3"/>
  <c r="AK668" i="3"/>
  <c r="AK669" i="3"/>
  <c r="AK670" i="3"/>
  <c r="AK671" i="3"/>
  <c r="AK672" i="3"/>
  <c r="AK673" i="3"/>
  <c r="AK674" i="3"/>
  <c r="AK675" i="3"/>
  <c r="AK676" i="3"/>
  <c r="AK677" i="3"/>
  <c r="AK678" i="3"/>
  <c r="AK679" i="3"/>
  <c r="AK680" i="3"/>
  <c r="AK681" i="3"/>
  <c r="AK682" i="3"/>
  <c r="AK683" i="3"/>
  <c r="AK684" i="3"/>
  <c r="AK685" i="3"/>
  <c r="AK686" i="3"/>
  <c r="AK687" i="3"/>
  <c r="AK688" i="3"/>
  <c r="AK689" i="3"/>
  <c r="AK690" i="3"/>
  <c r="AK691" i="3"/>
  <c r="AK692" i="3"/>
  <c r="AK693" i="3"/>
  <c r="AK694" i="3"/>
  <c r="AK695" i="3"/>
  <c r="AK696" i="3"/>
  <c r="AK697" i="3"/>
  <c r="AK698" i="3"/>
  <c r="AK699" i="3"/>
  <c r="AK700" i="3"/>
  <c r="AK701" i="3"/>
  <c r="AK702" i="3"/>
  <c r="AK703" i="3"/>
  <c r="AK704" i="3"/>
  <c r="AK705" i="3"/>
  <c r="AK706" i="3"/>
  <c r="AK707" i="3"/>
  <c r="AK708" i="3"/>
  <c r="AK709" i="3"/>
  <c r="AK710" i="3"/>
  <c r="AK711" i="3"/>
  <c r="AK712" i="3"/>
  <c r="AK713" i="3"/>
  <c r="AK714" i="3"/>
  <c r="AK715" i="3"/>
  <c r="AK716" i="3"/>
  <c r="AK717" i="3"/>
  <c r="AK718" i="3"/>
  <c r="AK719" i="3"/>
  <c r="AK720" i="3"/>
  <c r="AK721" i="3"/>
  <c r="AK722" i="3"/>
  <c r="AK723" i="3"/>
  <c r="AK724" i="3"/>
  <c r="AK725" i="3"/>
  <c r="AK726" i="3"/>
  <c r="AK727" i="3"/>
  <c r="AK728" i="3"/>
  <c r="AK729" i="3"/>
  <c r="AK730" i="3"/>
  <c r="AK731" i="3"/>
  <c r="AK732" i="3"/>
  <c r="AK733" i="3"/>
  <c r="AK734" i="3"/>
  <c r="AK735" i="3"/>
  <c r="AK736" i="3"/>
  <c r="AK737" i="3"/>
  <c r="AK738" i="3"/>
  <c r="AK739" i="3"/>
  <c r="AK740" i="3"/>
  <c r="AK741" i="3"/>
  <c r="AK742" i="3"/>
  <c r="AK743" i="3"/>
  <c r="AK744" i="3"/>
  <c r="AK745" i="3"/>
  <c r="AK746" i="3"/>
  <c r="AK747" i="3"/>
  <c r="AK748" i="3"/>
  <c r="AK749" i="3"/>
  <c r="AK750" i="3"/>
  <c r="AK751" i="3"/>
  <c r="AK752" i="3"/>
  <c r="AK753" i="3"/>
  <c r="AK754" i="3"/>
  <c r="AK755" i="3"/>
  <c r="AK756" i="3"/>
  <c r="AK757" i="3"/>
  <c r="AK758" i="3"/>
  <c r="AK759" i="3"/>
  <c r="AK760" i="3"/>
  <c r="AK761" i="3"/>
  <c r="AK762" i="3"/>
  <c r="AK763" i="3"/>
  <c r="AK764" i="3"/>
  <c r="AK765" i="3"/>
  <c r="AK766" i="3"/>
  <c r="AK767" i="3"/>
  <c r="AK768" i="3"/>
  <c r="AK769" i="3"/>
  <c r="AK770" i="3"/>
  <c r="AK771" i="3"/>
  <c r="AK772" i="3"/>
  <c r="AK773" i="3"/>
  <c r="AK774" i="3"/>
  <c r="AK775" i="3"/>
  <c r="AK776" i="3"/>
  <c r="AK777" i="3"/>
  <c r="AK778" i="3"/>
  <c r="AK779" i="3"/>
  <c r="AK780" i="3"/>
  <c r="AK781" i="3"/>
  <c r="AK782" i="3"/>
  <c r="AK783" i="3"/>
  <c r="AK784" i="3"/>
  <c r="AK785" i="3"/>
  <c r="AK786" i="3"/>
  <c r="AK787" i="3"/>
  <c r="AK788" i="3"/>
  <c r="AK789" i="3"/>
  <c r="AK790" i="3"/>
  <c r="AK791" i="3"/>
  <c r="AK792" i="3"/>
  <c r="AK793" i="3"/>
  <c r="AK794" i="3"/>
  <c r="AK795" i="3"/>
  <c r="AK796" i="3"/>
  <c r="AK797" i="3"/>
  <c r="AK798" i="3"/>
  <c r="AK799" i="3"/>
  <c r="AK800" i="3"/>
  <c r="AK801" i="3"/>
  <c r="AK802" i="3"/>
  <c r="AK803" i="3"/>
  <c r="AK804" i="3"/>
  <c r="AK805" i="3"/>
  <c r="AK806" i="3"/>
  <c r="AK807" i="3"/>
  <c r="AK808" i="3"/>
  <c r="AK809" i="3"/>
  <c r="AK810" i="3"/>
  <c r="AK811" i="3"/>
  <c r="AK812" i="3"/>
  <c r="AK813" i="3"/>
  <c r="AK814" i="3"/>
  <c r="AK815" i="3"/>
  <c r="AK816" i="3"/>
  <c r="AK817" i="3"/>
  <c r="AK818" i="3"/>
  <c r="AK819" i="3"/>
  <c r="AK820" i="3"/>
  <c r="AK821" i="3"/>
  <c r="AK822" i="3"/>
  <c r="AK823" i="3"/>
  <c r="AK824" i="3"/>
  <c r="AK825" i="3"/>
  <c r="AK826" i="3"/>
  <c r="AK827" i="3"/>
  <c r="AK828" i="3"/>
  <c r="AK829" i="3"/>
  <c r="AK830" i="3"/>
  <c r="AK831" i="3"/>
  <c r="AK832" i="3"/>
  <c r="AK833" i="3"/>
  <c r="AK834" i="3"/>
  <c r="AK835" i="3"/>
  <c r="AK836" i="3"/>
  <c r="AI2" i="3"/>
  <c r="AI3" i="3"/>
  <c r="AI4" i="3"/>
  <c r="AI5" i="3"/>
  <c r="AI6" i="3"/>
  <c r="AI7" i="3"/>
  <c r="AI8" i="3"/>
  <c r="AI9" i="3"/>
  <c r="AI10" i="3"/>
  <c r="AI11" i="3"/>
  <c r="AI12" i="3"/>
  <c r="AI13" i="3"/>
  <c r="AI14" i="3"/>
  <c r="AI15" i="3"/>
  <c r="AI16" i="3"/>
  <c r="AI17" i="3"/>
  <c r="AI18" i="3"/>
  <c r="AI19" i="3"/>
  <c r="AI20" i="3"/>
  <c r="AI21" i="3"/>
  <c r="AI22" i="3"/>
  <c r="AI23" i="3"/>
  <c r="AI24" i="3"/>
  <c r="AI25" i="3"/>
  <c r="AI26" i="3"/>
  <c r="AI27" i="3"/>
  <c r="AI28" i="3"/>
  <c r="AI29" i="3"/>
  <c r="AI30" i="3"/>
  <c r="AI31" i="3"/>
  <c r="AI32" i="3"/>
  <c r="AI33" i="3"/>
  <c r="AI34" i="3"/>
  <c r="AI35" i="3"/>
  <c r="AI36" i="3"/>
  <c r="AI37" i="3"/>
  <c r="AI38" i="3"/>
  <c r="AI39" i="3"/>
  <c r="AI40" i="3"/>
  <c r="AI41" i="3"/>
  <c r="AI42" i="3"/>
  <c r="AI43" i="3"/>
  <c r="AI44" i="3"/>
  <c r="AI45" i="3"/>
  <c r="AI46" i="3"/>
  <c r="AI47" i="3"/>
  <c r="AI48" i="3"/>
  <c r="AI49" i="3"/>
  <c r="AI50" i="3"/>
  <c r="AI51" i="3"/>
  <c r="AI52" i="3"/>
  <c r="AI53" i="3"/>
  <c r="AI54" i="3"/>
  <c r="AI55" i="3"/>
  <c r="AI56" i="3"/>
  <c r="AI57" i="3"/>
  <c r="AI58" i="3"/>
  <c r="AI59" i="3"/>
  <c r="AI60" i="3"/>
  <c r="AI61" i="3"/>
  <c r="AI62" i="3"/>
  <c r="AI63" i="3"/>
  <c r="AI64" i="3"/>
  <c r="AI65" i="3"/>
  <c r="AI66" i="3"/>
  <c r="AI67" i="3"/>
  <c r="AI68" i="3"/>
  <c r="AI69" i="3"/>
  <c r="AI70" i="3"/>
  <c r="AI71" i="3"/>
  <c r="AI72" i="3"/>
  <c r="AI73" i="3"/>
  <c r="AI74" i="3"/>
  <c r="AI75" i="3"/>
  <c r="AI76" i="3"/>
  <c r="AI77" i="3"/>
  <c r="AI78" i="3"/>
  <c r="AI79" i="3"/>
  <c r="AI80" i="3"/>
  <c r="AI81" i="3"/>
  <c r="AI82" i="3"/>
  <c r="AI83" i="3"/>
  <c r="AI84" i="3"/>
  <c r="AI85" i="3"/>
  <c r="AI86" i="3"/>
  <c r="AI87" i="3"/>
  <c r="AI88" i="3"/>
  <c r="AI89" i="3"/>
  <c r="AI90" i="3"/>
  <c r="AI91" i="3"/>
  <c r="AI92" i="3"/>
  <c r="AI93" i="3"/>
  <c r="AI94" i="3"/>
  <c r="AI95" i="3"/>
  <c r="AI96" i="3"/>
  <c r="AI97" i="3"/>
  <c r="AI98" i="3"/>
  <c r="AI99" i="3"/>
  <c r="AI100" i="3"/>
  <c r="AI101" i="3"/>
  <c r="AI102" i="3"/>
  <c r="AI103" i="3"/>
  <c r="AI104" i="3"/>
  <c r="AI105" i="3"/>
  <c r="AI106" i="3"/>
  <c r="AI107" i="3"/>
  <c r="AI108" i="3"/>
  <c r="AI109" i="3"/>
  <c r="AI110" i="3"/>
  <c r="AI111" i="3"/>
  <c r="AI112" i="3"/>
  <c r="AI113" i="3"/>
  <c r="AI114" i="3"/>
  <c r="AI115" i="3"/>
  <c r="AI116" i="3"/>
  <c r="AI117" i="3"/>
  <c r="AI118" i="3"/>
  <c r="AI119" i="3"/>
  <c r="AI120" i="3"/>
  <c r="AI121" i="3"/>
  <c r="AI122" i="3"/>
  <c r="AI123" i="3"/>
  <c r="AI124" i="3"/>
  <c r="AI125" i="3"/>
  <c r="AI126" i="3"/>
  <c r="AI127" i="3"/>
  <c r="AI128" i="3"/>
  <c r="AI129" i="3"/>
  <c r="AI130" i="3"/>
  <c r="AI131" i="3"/>
  <c r="AI132" i="3"/>
  <c r="AI133" i="3"/>
  <c r="AI134" i="3"/>
  <c r="AI135" i="3"/>
  <c r="AI136" i="3"/>
  <c r="AI137" i="3"/>
  <c r="AI138" i="3"/>
  <c r="AI139" i="3"/>
  <c r="AI140" i="3"/>
  <c r="AI141" i="3"/>
  <c r="AI142" i="3"/>
  <c r="AI143" i="3"/>
  <c r="AI144" i="3"/>
  <c r="AI145" i="3"/>
  <c r="AI146" i="3"/>
  <c r="AI147" i="3"/>
  <c r="AI148" i="3"/>
  <c r="AI149" i="3"/>
  <c r="AI150" i="3"/>
  <c r="AI151" i="3"/>
  <c r="AI152" i="3"/>
  <c r="AI153" i="3"/>
  <c r="AI154" i="3"/>
  <c r="AI155" i="3"/>
  <c r="AI156" i="3"/>
  <c r="AI157" i="3"/>
  <c r="AI158" i="3"/>
  <c r="AI159" i="3"/>
  <c r="AI160" i="3"/>
  <c r="AI161" i="3"/>
  <c r="AI162" i="3"/>
  <c r="AI163" i="3"/>
  <c r="AI164" i="3"/>
  <c r="AI165" i="3"/>
  <c r="AI166" i="3"/>
  <c r="AI167" i="3"/>
  <c r="AI168" i="3"/>
  <c r="AI169" i="3"/>
  <c r="AI170" i="3"/>
  <c r="AI171" i="3"/>
  <c r="AI172" i="3"/>
  <c r="AI173" i="3"/>
  <c r="AI174" i="3"/>
  <c r="AI175" i="3"/>
  <c r="AI176" i="3"/>
  <c r="AI177" i="3"/>
  <c r="AI178" i="3"/>
  <c r="AI179" i="3"/>
  <c r="AI180" i="3"/>
  <c r="AI181" i="3"/>
  <c r="AI182" i="3"/>
  <c r="AI183" i="3"/>
  <c r="AI184" i="3"/>
  <c r="AI185" i="3"/>
  <c r="AI186" i="3"/>
  <c r="AI187" i="3"/>
  <c r="AI188" i="3"/>
  <c r="AI189" i="3"/>
  <c r="AI190" i="3"/>
  <c r="AI191" i="3"/>
  <c r="AI192" i="3"/>
  <c r="AI193" i="3"/>
  <c r="AI194" i="3"/>
  <c r="AI195" i="3"/>
  <c r="AI196" i="3"/>
  <c r="AI197" i="3"/>
  <c r="AI198" i="3"/>
  <c r="AI199" i="3"/>
  <c r="AI200" i="3"/>
  <c r="AI201" i="3"/>
  <c r="AI202" i="3"/>
  <c r="AI203" i="3"/>
  <c r="AI204" i="3"/>
  <c r="AI205" i="3"/>
  <c r="AI206" i="3"/>
  <c r="AI207" i="3"/>
  <c r="AI208" i="3"/>
  <c r="AI209" i="3"/>
  <c r="AI210" i="3"/>
  <c r="AI211" i="3"/>
  <c r="AI212" i="3"/>
  <c r="AI213" i="3"/>
  <c r="AI214" i="3"/>
  <c r="AI215" i="3"/>
  <c r="AI216" i="3"/>
  <c r="AI217" i="3"/>
  <c r="AI218" i="3"/>
  <c r="AI219" i="3"/>
  <c r="AI220" i="3"/>
  <c r="AI221" i="3"/>
  <c r="AI222" i="3"/>
  <c r="AI223" i="3"/>
  <c r="AI224" i="3"/>
  <c r="AI225" i="3"/>
  <c r="AI226" i="3"/>
  <c r="AI227" i="3"/>
  <c r="AI228" i="3"/>
  <c r="AI229" i="3"/>
  <c r="AI230" i="3"/>
  <c r="AI231" i="3"/>
  <c r="AI232" i="3"/>
  <c r="AI233" i="3"/>
  <c r="AI234" i="3"/>
  <c r="AI235" i="3"/>
  <c r="AI236" i="3"/>
  <c r="AI237" i="3"/>
  <c r="AI238" i="3"/>
  <c r="AI239" i="3"/>
  <c r="AI240" i="3"/>
  <c r="AI241" i="3"/>
  <c r="AI242" i="3"/>
  <c r="AI243" i="3"/>
  <c r="AI244" i="3"/>
  <c r="AI245" i="3"/>
  <c r="AI246" i="3"/>
  <c r="AI247" i="3"/>
  <c r="AI248" i="3"/>
  <c r="AI249" i="3"/>
  <c r="AI250" i="3"/>
  <c r="AI251" i="3"/>
  <c r="AI252" i="3"/>
  <c r="AI253" i="3"/>
  <c r="AI254" i="3"/>
  <c r="AI255" i="3"/>
  <c r="AI256" i="3"/>
  <c r="AI257" i="3"/>
  <c r="AI258" i="3"/>
  <c r="AI259" i="3"/>
  <c r="AI260" i="3"/>
  <c r="AI261" i="3"/>
  <c r="AI262" i="3"/>
  <c r="AI263" i="3"/>
  <c r="AI264" i="3"/>
  <c r="AI265" i="3"/>
  <c r="AI266" i="3"/>
  <c r="AI267" i="3"/>
  <c r="AI268" i="3"/>
  <c r="AI269" i="3"/>
  <c r="AI270" i="3"/>
  <c r="AI271" i="3"/>
  <c r="AI272" i="3"/>
  <c r="AI273" i="3"/>
  <c r="AI274" i="3"/>
  <c r="AI275" i="3"/>
  <c r="AI276" i="3"/>
  <c r="AI277" i="3"/>
  <c r="AI278" i="3"/>
  <c r="AI279" i="3"/>
  <c r="AI280" i="3"/>
  <c r="AI281" i="3"/>
  <c r="AI282" i="3"/>
  <c r="AI283" i="3"/>
  <c r="AI284" i="3"/>
  <c r="AI285" i="3"/>
  <c r="AI286" i="3"/>
  <c r="AI287" i="3"/>
  <c r="AI288" i="3"/>
  <c r="AI289" i="3"/>
  <c r="AI290" i="3"/>
  <c r="AI291" i="3"/>
  <c r="AI292" i="3"/>
  <c r="AI293" i="3"/>
  <c r="AI294" i="3"/>
  <c r="AI295" i="3"/>
  <c r="AI296" i="3"/>
  <c r="AI297" i="3"/>
  <c r="AI298" i="3"/>
  <c r="AI299" i="3"/>
  <c r="AI300" i="3"/>
  <c r="AI301" i="3"/>
  <c r="AI302" i="3"/>
  <c r="AI303" i="3"/>
  <c r="AI304" i="3"/>
  <c r="AI305" i="3"/>
  <c r="AI306" i="3"/>
  <c r="AI307" i="3"/>
  <c r="AI308" i="3"/>
  <c r="AI309" i="3"/>
  <c r="AI310" i="3"/>
  <c r="AI311" i="3"/>
  <c r="AI312" i="3"/>
  <c r="AI313" i="3"/>
  <c r="AI314" i="3"/>
  <c r="AI315" i="3"/>
  <c r="AI316" i="3"/>
  <c r="AI317" i="3"/>
  <c r="AI318" i="3"/>
  <c r="AI319" i="3"/>
  <c r="AI320" i="3"/>
  <c r="AI321" i="3"/>
  <c r="AI322" i="3"/>
  <c r="AI323" i="3"/>
  <c r="AI324" i="3"/>
  <c r="AI325" i="3"/>
  <c r="AI326" i="3"/>
  <c r="AI327" i="3"/>
  <c r="AI328" i="3"/>
  <c r="AI329" i="3"/>
  <c r="AI330" i="3"/>
  <c r="AI331" i="3"/>
  <c r="AI332" i="3"/>
  <c r="AI333" i="3"/>
  <c r="AI334" i="3"/>
  <c r="AI335" i="3"/>
  <c r="AI336" i="3"/>
  <c r="AI337" i="3"/>
  <c r="AI338" i="3"/>
  <c r="AI339" i="3"/>
  <c r="AI340" i="3"/>
  <c r="AI341" i="3"/>
  <c r="AI342" i="3"/>
  <c r="AI343" i="3"/>
  <c r="AI344" i="3"/>
  <c r="AI345" i="3"/>
  <c r="AI346" i="3"/>
  <c r="AI347" i="3"/>
  <c r="AI348" i="3"/>
  <c r="AI349" i="3"/>
  <c r="AI350" i="3"/>
  <c r="AI351" i="3"/>
  <c r="AI352" i="3"/>
  <c r="AI353" i="3"/>
  <c r="AI354" i="3"/>
  <c r="AI355" i="3"/>
  <c r="AI356" i="3"/>
  <c r="AI357" i="3"/>
  <c r="AI358" i="3"/>
  <c r="AI359" i="3"/>
  <c r="AI360" i="3"/>
  <c r="AI361" i="3"/>
  <c r="AI362" i="3"/>
  <c r="AI363" i="3"/>
  <c r="AI364" i="3"/>
  <c r="AI365" i="3"/>
  <c r="AI366" i="3"/>
  <c r="AI367" i="3"/>
  <c r="AI368" i="3"/>
  <c r="AI369" i="3"/>
  <c r="AI370" i="3"/>
  <c r="AI371" i="3"/>
  <c r="AI372" i="3"/>
  <c r="AI373" i="3"/>
  <c r="AI374" i="3"/>
  <c r="AI375" i="3"/>
  <c r="AI376" i="3"/>
  <c r="AI377" i="3"/>
  <c r="AI378" i="3"/>
  <c r="AI379" i="3"/>
  <c r="AI380" i="3"/>
  <c r="AI381" i="3"/>
  <c r="AI382" i="3"/>
  <c r="AI383" i="3"/>
  <c r="AI384" i="3"/>
  <c r="AI385" i="3"/>
  <c r="AI386" i="3"/>
  <c r="AI387" i="3"/>
  <c r="AI388" i="3"/>
  <c r="AI389" i="3"/>
  <c r="AI390" i="3"/>
  <c r="AI391" i="3"/>
  <c r="AI392" i="3"/>
  <c r="AI393" i="3"/>
  <c r="AI394" i="3"/>
  <c r="AI395" i="3"/>
  <c r="AI396" i="3"/>
  <c r="AI397" i="3"/>
  <c r="AI398" i="3"/>
  <c r="AI399" i="3"/>
  <c r="AI400" i="3"/>
  <c r="AI401" i="3"/>
  <c r="AI402" i="3"/>
  <c r="AI403" i="3"/>
  <c r="AI404" i="3"/>
  <c r="AI405" i="3"/>
  <c r="AI406" i="3"/>
  <c r="AI407" i="3"/>
  <c r="AI408" i="3"/>
  <c r="AI409" i="3"/>
  <c r="AI410" i="3"/>
  <c r="AI411" i="3"/>
  <c r="AI412" i="3"/>
  <c r="AI413" i="3"/>
  <c r="AI414" i="3"/>
  <c r="AI415" i="3"/>
  <c r="AI416" i="3"/>
  <c r="AI417" i="3"/>
  <c r="AI418" i="3"/>
  <c r="AI419" i="3"/>
  <c r="AI420" i="3"/>
  <c r="AI421" i="3"/>
  <c r="AI422" i="3"/>
  <c r="AI423" i="3"/>
  <c r="AI424" i="3"/>
  <c r="AI425" i="3"/>
  <c r="AI426" i="3"/>
  <c r="AI427" i="3"/>
  <c r="AI428" i="3"/>
  <c r="AI429" i="3"/>
  <c r="AI430" i="3"/>
  <c r="AI431" i="3"/>
  <c r="AI432" i="3"/>
  <c r="AI433" i="3"/>
  <c r="AI434" i="3"/>
  <c r="AI435" i="3"/>
  <c r="AI436" i="3"/>
  <c r="AI437" i="3"/>
  <c r="AI438" i="3"/>
  <c r="AI439" i="3"/>
  <c r="AI440" i="3"/>
  <c r="AI441" i="3"/>
  <c r="AI442" i="3"/>
  <c r="AI443" i="3"/>
  <c r="AI444" i="3"/>
  <c r="AI445" i="3"/>
  <c r="AI446" i="3"/>
  <c r="AI447" i="3"/>
  <c r="AI448" i="3"/>
  <c r="AI449" i="3"/>
  <c r="AI450" i="3"/>
  <c r="AI451" i="3"/>
  <c r="AI452" i="3"/>
  <c r="AI453" i="3"/>
  <c r="AI454" i="3"/>
  <c r="AI455" i="3"/>
  <c r="AI456" i="3"/>
  <c r="AI457" i="3"/>
  <c r="AI458" i="3"/>
  <c r="AI459" i="3"/>
  <c r="AI460" i="3"/>
  <c r="AI461" i="3"/>
  <c r="AI462" i="3"/>
  <c r="AI463" i="3"/>
  <c r="AI464" i="3"/>
  <c r="AI465" i="3"/>
  <c r="AI466" i="3"/>
  <c r="AI467" i="3"/>
  <c r="AI468" i="3"/>
  <c r="AI469" i="3"/>
  <c r="AI470" i="3"/>
  <c r="AI471" i="3"/>
  <c r="AI472" i="3"/>
  <c r="AI473" i="3"/>
  <c r="AI474" i="3"/>
  <c r="AI475" i="3"/>
  <c r="AI476" i="3"/>
  <c r="AI477" i="3"/>
  <c r="AI478" i="3"/>
  <c r="AI479" i="3"/>
  <c r="AI480" i="3"/>
  <c r="AI481" i="3"/>
  <c r="AI482" i="3"/>
  <c r="AI483" i="3"/>
  <c r="AI484" i="3"/>
  <c r="AI485" i="3"/>
  <c r="AI486" i="3"/>
  <c r="AI487" i="3"/>
  <c r="AI488" i="3"/>
  <c r="AI489" i="3"/>
  <c r="AI490" i="3"/>
  <c r="AI491" i="3"/>
  <c r="AI492" i="3"/>
  <c r="AI493" i="3"/>
  <c r="AI494" i="3"/>
  <c r="AI495" i="3"/>
  <c r="AI496" i="3"/>
  <c r="AI497" i="3"/>
  <c r="AI498" i="3"/>
  <c r="AI499" i="3"/>
  <c r="AI500" i="3"/>
  <c r="AI501" i="3"/>
  <c r="AI502" i="3"/>
  <c r="AI503" i="3"/>
  <c r="AI504" i="3"/>
  <c r="AI505" i="3"/>
  <c r="AI506" i="3"/>
  <c r="AI507" i="3"/>
  <c r="AI508" i="3"/>
  <c r="AI509" i="3"/>
  <c r="AI510" i="3"/>
  <c r="AI511" i="3"/>
  <c r="AI512" i="3"/>
  <c r="AI513" i="3"/>
  <c r="AI514" i="3"/>
  <c r="AI515" i="3"/>
  <c r="AI516" i="3"/>
  <c r="AI517" i="3"/>
  <c r="AI518" i="3"/>
  <c r="AI519" i="3"/>
  <c r="AI520" i="3"/>
  <c r="AI521" i="3"/>
  <c r="AI522" i="3"/>
  <c r="AI523" i="3"/>
  <c r="AI524" i="3"/>
  <c r="AI525" i="3"/>
  <c r="AI526" i="3"/>
  <c r="AI527" i="3"/>
  <c r="AI528" i="3"/>
  <c r="AI529" i="3"/>
  <c r="AI530" i="3"/>
  <c r="AI531" i="3"/>
  <c r="AI532" i="3"/>
  <c r="AI533" i="3"/>
  <c r="AI534" i="3"/>
  <c r="AI535" i="3"/>
  <c r="AI536" i="3"/>
  <c r="AI537" i="3"/>
  <c r="AI538" i="3"/>
  <c r="AI539" i="3"/>
  <c r="AI540" i="3"/>
  <c r="AI541" i="3"/>
  <c r="AI542" i="3"/>
  <c r="AI543" i="3"/>
  <c r="AI544" i="3"/>
  <c r="AI545" i="3"/>
  <c r="AI546" i="3"/>
  <c r="AI547" i="3"/>
  <c r="AI548" i="3"/>
  <c r="AI549" i="3"/>
  <c r="AI550" i="3"/>
  <c r="AI551" i="3"/>
  <c r="AI552" i="3"/>
  <c r="AI553" i="3"/>
  <c r="AI554" i="3"/>
  <c r="AI555" i="3"/>
  <c r="AI556" i="3"/>
  <c r="AI557" i="3"/>
  <c r="AI558" i="3"/>
  <c r="AI559" i="3"/>
  <c r="AI560" i="3"/>
  <c r="AI561" i="3"/>
  <c r="AI562" i="3"/>
  <c r="AI563" i="3"/>
  <c r="AI564" i="3"/>
  <c r="AI565" i="3"/>
  <c r="AI566" i="3"/>
  <c r="AI567" i="3"/>
  <c r="AI568" i="3"/>
  <c r="AI569" i="3"/>
  <c r="AI570" i="3"/>
  <c r="AI571" i="3"/>
  <c r="AI572" i="3"/>
  <c r="AI573" i="3"/>
  <c r="AI574" i="3"/>
  <c r="AI575" i="3"/>
  <c r="AI576" i="3"/>
  <c r="AI577" i="3"/>
  <c r="AI578" i="3"/>
  <c r="AI579" i="3"/>
  <c r="AI580" i="3"/>
  <c r="AI581" i="3"/>
  <c r="AI582" i="3"/>
  <c r="AI583" i="3"/>
  <c r="AI584" i="3"/>
  <c r="AI585" i="3"/>
  <c r="AI586" i="3"/>
  <c r="AI587" i="3"/>
  <c r="AI588" i="3"/>
  <c r="AI589" i="3"/>
  <c r="AI590" i="3"/>
  <c r="AI591" i="3"/>
  <c r="AI592" i="3"/>
  <c r="AI593" i="3"/>
  <c r="AI594" i="3"/>
  <c r="AI595" i="3"/>
  <c r="AI596" i="3"/>
  <c r="AI597" i="3"/>
  <c r="AI598" i="3"/>
  <c r="AI599" i="3"/>
  <c r="AI600" i="3"/>
  <c r="AI601" i="3"/>
  <c r="AI602" i="3"/>
  <c r="AI603" i="3"/>
  <c r="AI604" i="3"/>
  <c r="AI605" i="3"/>
  <c r="AI606" i="3"/>
  <c r="AI607" i="3"/>
  <c r="AI608" i="3"/>
  <c r="AI609" i="3"/>
  <c r="AI610" i="3"/>
  <c r="AI611" i="3"/>
  <c r="AI612" i="3"/>
  <c r="AI613" i="3"/>
  <c r="AI614" i="3"/>
  <c r="AI615" i="3"/>
  <c r="AI616" i="3"/>
  <c r="AI617" i="3"/>
  <c r="AI618" i="3"/>
  <c r="AI619" i="3"/>
  <c r="AI620" i="3"/>
  <c r="AI621" i="3"/>
  <c r="AI622" i="3"/>
  <c r="AI623" i="3"/>
  <c r="AI624" i="3"/>
  <c r="AI625" i="3"/>
  <c r="AI626" i="3"/>
  <c r="AI627" i="3"/>
  <c r="AI628" i="3"/>
  <c r="AI629" i="3"/>
  <c r="AI630" i="3"/>
  <c r="AI631" i="3"/>
  <c r="AI632" i="3"/>
  <c r="AI633" i="3"/>
  <c r="AI634" i="3"/>
  <c r="AI635" i="3"/>
  <c r="AI636" i="3"/>
  <c r="AI637" i="3"/>
  <c r="AI638" i="3"/>
  <c r="AI639" i="3"/>
  <c r="AI640" i="3"/>
  <c r="AI641" i="3"/>
  <c r="AI642" i="3"/>
  <c r="AI643" i="3"/>
  <c r="AI644" i="3"/>
  <c r="AI645" i="3"/>
  <c r="AI646" i="3"/>
  <c r="AI647" i="3"/>
  <c r="AI648" i="3"/>
  <c r="AI649" i="3"/>
  <c r="AI650" i="3"/>
  <c r="AI651" i="3"/>
  <c r="AI652" i="3"/>
  <c r="AI653" i="3"/>
  <c r="AI654" i="3"/>
  <c r="AI655" i="3"/>
  <c r="AI656" i="3"/>
  <c r="AI657" i="3"/>
  <c r="AI658" i="3"/>
  <c r="AI659" i="3"/>
  <c r="AI660" i="3"/>
  <c r="AI661" i="3"/>
  <c r="AI662" i="3"/>
  <c r="AI663" i="3"/>
  <c r="AI664" i="3"/>
  <c r="AI665" i="3"/>
  <c r="AI666" i="3"/>
  <c r="AI667" i="3"/>
  <c r="AI668" i="3"/>
  <c r="AI669" i="3"/>
  <c r="AI670" i="3"/>
  <c r="AI671" i="3"/>
  <c r="AI672" i="3"/>
  <c r="AI673" i="3"/>
  <c r="AI674" i="3"/>
  <c r="AI675" i="3"/>
  <c r="AI676" i="3"/>
  <c r="AI677" i="3"/>
  <c r="AI678" i="3"/>
  <c r="AI679" i="3"/>
  <c r="AI680" i="3"/>
  <c r="AI681" i="3"/>
  <c r="AI682" i="3"/>
  <c r="AI683" i="3"/>
  <c r="AI684" i="3"/>
  <c r="AI685" i="3"/>
  <c r="AI686" i="3"/>
  <c r="AI687" i="3"/>
  <c r="AI688" i="3"/>
  <c r="AI689" i="3"/>
  <c r="AI690" i="3"/>
  <c r="AI691" i="3"/>
  <c r="AI692" i="3"/>
  <c r="AI693" i="3"/>
  <c r="AI694" i="3"/>
  <c r="AI695" i="3"/>
  <c r="AI696" i="3"/>
  <c r="AI697" i="3"/>
  <c r="AI698" i="3"/>
  <c r="AI699" i="3"/>
  <c r="AI700" i="3"/>
  <c r="AI701" i="3"/>
  <c r="AI702" i="3"/>
  <c r="AI703" i="3"/>
  <c r="AI704" i="3"/>
  <c r="AI705" i="3"/>
  <c r="AI706" i="3"/>
  <c r="AI707" i="3"/>
  <c r="AI708" i="3"/>
  <c r="AI709" i="3"/>
  <c r="AI710" i="3"/>
  <c r="AI711" i="3"/>
  <c r="AI712" i="3"/>
  <c r="AI713" i="3"/>
  <c r="AI714" i="3"/>
  <c r="AI715" i="3"/>
  <c r="AI716" i="3"/>
  <c r="AI717" i="3"/>
  <c r="AI718" i="3"/>
  <c r="AI719" i="3"/>
  <c r="AI720" i="3"/>
  <c r="AI721" i="3"/>
  <c r="AI722" i="3"/>
  <c r="AI723" i="3"/>
  <c r="AI724" i="3"/>
  <c r="AI725" i="3"/>
  <c r="AI726" i="3"/>
  <c r="AI727" i="3"/>
  <c r="AI728" i="3"/>
  <c r="AI729" i="3"/>
  <c r="AI730" i="3"/>
  <c r="AI731" i="3"/>
  <c r="AI732" i="3"/>
  <c r="AI733" i="3"/>
  <c r="AI734" i="3"/>
  <c r="AI735" i="3"/>
  <c r="AI736" i="3"/>
  <c r="AI737" i="3"/>
  <c r="AI738" i="3"/>
  <c r="AI739" i="3"/>
  <c r="AI740" i="3"/>
  <c r="AI741" i="3"/>
  <c r="AI742" i="3"/>
  <c r="AI743" i="3"/>
  <c r="AI744" i="3"/>
  <c r="AI745" i="3"/>
  <c r="AI746" i="3"/>
  <c r="AI747" i="3"/>
  <c r="AI748" i="3"/>
  <c r="AI749" i="3"/>
  <c r="AI750" i="3"/>
  <c r="AI751" i="3"/>
  <c r="AI752" i="3"/>
  <c r="AI753" i="3"/>
  <c r="AI754" i="3"/>
  <c r="AI755" i="3"/>
  <c r="AI756" i="3"/>
  <c r="AI757" i="3"/>
  <c r="AI758" i="3"/>
  <c r="AI759" i="3"/>
  <c r="AI760" i="3"/>
  <c r="AI761" i="3"/>
  <c r="AI762" i="3"/>
  <c r="AI763" i="3"/>
  <c r="AI764" i="3"/>
  <c r="AI765" i="3"/>
  <c r="AI766" i="3"/>
  <c r="AI767" i="3"/>
  <c r="AI768" i="3"/>
  <c r="AI769" i="3"/>
  <c r="AI770" i="3"/>
  <c r="AI771" i="3"/>
  <c r="AI772" i="3"/>
  <c r="AI773" i="3"/>
  <c r="AI774" i="3"/>
  <c r="AI775" i="3"/>
  <c r="AI776" i="3"/>
  <c r="AI777" i="3"/>
  <c r="AI778" i="3"/>
  <c r="AI779" i="3"/>
  <c r="AI780" i="3"/>
  <c r="AI781" i="3"/>
  <c r="AI782" i="3"/>
  <c r="AI783" i="3"/>
  <c r="AI784" i="3"/>
  <c r="AI785" i="3"/>
  <c r="AI786" i="3"/>
  <c r="AI787" i="3"/>
  <c r="AI788" i="3"/>
  <c r="AI789" i="3"/>
  <c r="AI790" i="3"/>
  <c r="AI791" i="3"/>
  <c r="AI792" i="3"/>
  <c r="AI793" i="3"/>
  <c r="AI794" i="3"/>
  <c r="AI795" i="3"/>
  <c r="AI796" i="3"/>
  <c r="AI797" i="3"/>
  <c r="AI798" i="3"/>
  <c r="AI799" i="3"/>
  <c r="AI800" i="3"/>
  <c r="AI801" i="3"/>
  <c r="AI802" i="3"/>
  <c r="AI803" i="3"/>
  <c r="AI804" i="3"/>
  <c r="AI805" i="3"/>
  <c r="AI806" i="3"/>
  <c r="AI807" i="3"/>
  <c r="AI808" i="3"/>
  <c r="AI809" i="3"/>
  <c r="AI810" i="3"/>
  <c r="AI811" i="3"/>
  <c r="AI812" i="3"/>
  <c r="AI813" i="3"/>
  <c r="AI814" i="3"/>
  <c r="AI815" i="3"/>
  <c r="AI816" i="3"/>
  <c r="AI817" i="3"/>
  <c r="AI818" i="3"/>
  <c r="AI819" i="3"/>
  <c r="AI820" i="3"/>
  <c r="AI821" i="3"/>
  <c r="AI822" i="3"/>
  <c r="AI823" i="3"/>
  <c r="AI824" i="3"/>
  <c r="AI825" i="3"/>
  <c r="AI826" i="3"/>
  <c r="AI827" i="3"/>
  <c r="AI828" i="3"/>
  <c r="AI829" i="3"/>
  <c r="AI830" i="3"/>
  <c r="AI831" i="3"/>
  <c r="AI832" i="3"/>
  <c r="AI833" i="3"/>
  <c r="AI834" i="3"/>
  <c r="AI835" i="3"/>
  <c r="AI836" i="3"/>
  <c r="AE2" i="3"/>
  <c r="AE3" i="3"/>
  <c r="AX3" i="3" s="1"/>
  <c r="AE4" i="3"/>
  <c r="AX4" i="3" s="1"/>
  <c r="AE5" i="3"/>
  <c r="AX5" i="3" s="1"/>
  <c r="AE6" i="3"/>
  <c r="AX6" i="3" s="1"/>
  <c r="AE7" i="3"/>
  <c r="AX7" i="3" s="1"/>
  <c r="AE8" i="3"/>
  <c r="AE9" i="3"/>
  <c r="AX9" i="3" s="1"/>
  <c r="AE10" i="3"/>
  <c r="AE11" i="3"/>
  <c r="AX11" i="3" s="1"/>
  <c r="AE12" i="3"/>
  <c r="AX12" i="3" s="1"/>
  <c r="AE13" i="3"/>
  <c r="AX13" i="3" s="1"/>
  <c r="AE14" i="3"/>
  <c r="AX14" i="3" s="1"/>
  <c r="AE15" i="3"/>
  <c r="AX15" i="3" s="1"/>
  <c r="AE16" i="3"/>
  <c r="AX16" i="3" s="1"/>
  <c r="AE17" i="3"/>
  <c r="AX17" i="3" s="1"/>
  <c r="AE18" i="3"/>
  <c r="AX18" i="3" s="1"/>
  <c r="AE19" i="3"/>
  <c r="AX19" i="3" s="1"/>
  <c r="AE20" i="3"/>
  <c r="AX20" i="3" s="1"/>
  <c r="AE21" i="3"/>
  <c r="AX21" i="3" s="1"/>
  <c r="AE22" i="3"/>
  <c r="AX22" i="3" s="1"/>
  <c r="AE23" i="3"/>
  <c r="AX23" i="3" s="1"/>
  <c r="AE24" i="3"/>
  <c r="AE25" i="3"/>
  <c r="AX25" i="3" s="1"/>
  <c r="AE26" i="3"/>
  <c r="AX26" i="3" s="1"/>
  <c r="AE27" i="3"/>
  <c r="AX27" i="3" s="1"/>
  <c r="AE28" i="3"/>
  <c r="AX28" i="3" s="1"/>
  <c r="AE29" i="3"/>
  <c r="AX29" i="3" s="1"/>
  <c r="AE30" i="3"/>
  <c r="AX30" i="3" s="1"/>
  <c r="AE31" i="3"/>
  <c r="AE32" i="3"/>
  <c r="AX32" i="3" s="1"/>
  <c r="AE33" i="3"/>
  <c r="AX33" i="3" s="1"/>
  <c r="AE34" i="3"/>
  <c r="AX34" i="3" s="1"/>
  <c r="AE35" i="3"/>
  <c r="AX35" i="3" s="1"/>
  <c r="AE36" i="3"/>
  <c r="AX36" i="3" s="1"/>
  <c r="AE37" i="3"/>
  <c r="AX37" i="3" s="1"/>
  <c r="AE38" i="3"/>
  <c r="AX38" i="3" s="1"/>
  <c r="AE39" i="3"/>
  <c r="AX39" i="3" s="1"/>
  <c r="AE40" i="3"/>
  <c r="AX40" i="3" s="1"/>
  <c r="AE41" i="3"/>
  <c r="AX41" i="3" s="1"/>
  <c r="AE42" i="3"/>
  <c r="AX42" i="3" s="1"/>
  <c r="AE43" i="3"/>
  <c r="AX43" i="3" s="1"/>
  <c r="AE44" i="3"/>
  <c r="AX44" i="3" s="1"/>
  <c r="AE45" i="3"/>
  <c r="AX45" i="3" s="1"/>
  <c r="AE46" i="3"/>
  <c r="AX46" i="3" s="1"/>
  <c r="AE47" i="3"/>
  <c r="AX47" i="3" s="1"/>
  <c r="AE48" i="3"/>
  <c r="AX48" i="3" s="1"/>
  <c r="AE49" i="3"/>
  <c r="AX49" i="3" s="1"/>
  <c r="AE50" i="3"/>
  <c r="AX50" i="3" s="1"/>
  <c r="AE51" i="3"/>
  <c r="AX51" i="3" s="1"/>
  <c r="AE52" i="3"/>
  <c r="AX52" i="3" s="1"/>
  <c r="AE53" i="3"/>
  <c r="AX53" i="3" s="1"/>
  <c r="AE54" i="3"/>
  <c r="AX54" i="3" s="1"/>
  <c r="AE55" i="3"/>
  <c r="AX55" i="3" s="1"/>
  <c r="AE56" i="3"/>
  <c r="AX56" i="3" s="1"/>
  <c r="AE57" i="3"/>
  <c r="AX57" i="3" s="1"/>
  <c r="AE58" i="3"/>
  <c r="AX58" i="3" s="1"/>
  <c r="AE59" i="3"/>
  <c r="AX59" i="3" s="1"/>
  <c r="AE60" i="3"/>
  <c r="AX60" i="3" s="1"/>
  <c r="AE61" i="3"/>
  <c r="AX61" i="3" s="1"/>
  <c r="AE62" i="3"/>
  <c r="AX62" i="3" s="1"/>
  <c r="AE63" i="3"/>
  <c r="AX63" i="3" s="1"/>
  <c r="AE64" i="3"/>
  <c r="AX64" i="3" s="1"/>
  <c r="AE65" i="3"/>
  <c r="AX65" i="3" s="1"/>
  <c r="AE66" i="3"/>
  <c r="AX66" i="3" s="1"/>
  <c r="AE67" i="3"/>
  <c r="AX67" i="3" s="1"/>
  <c r="AE68" i="3"/>
  <c r="AX68" i="3" s="1"/>
  <c r="AE69" i="3"/>
  <c r="AX69" i="3" s="1"/>
  <c r="AE70" i="3"/>
  <c r="AX70" i="3" s="1"/>
  <c r="AE71" i="3"/>
  <c r="AX71" i="3" s="1"/>
  <c r="AE72" i="3"/>
  <c r="AX72" i="3" s="1"/>
  <c r="AE73" i="3"/>
  <c r="AX73" i="3" s="1"/>
  <c r="AE74" i="3"/>
  <c r="AX74" i="3" s="1"/>
  <c r="AE75" i="3"/>
  <c r="AX75" i="3" s="1"/>
  <c r="AE76" i="3"/>
  <c r="AX76" i="3" s="1"/>
  <c r="AE77" i="3"/>
  <c r="AX77" i="3" s="1"/>
  <c r="AE78" i="3"/>
  <c r="AX78" i="3" s="1"/>
  <c r="AE79" i="3"/>
  <c r="AX79" i="3" s="1"/>
  <c r="AE80" i="3"/>
  <c r="AX80" i="3" s="1"/>
  <c r="AE81" i="3"/>
  <c r="AX81" i="3" s="1"/>
  <c r="AE82" i="3"/>
  <c r="AX82" i="3" s="1"/>
  <c r="AE83" i="3"/>
  <c r="AX83" i="3" s="1"/>
  <c r="AE84" i="3"/>
  <c r="AX84" i="3" s="1"/>
  <c r="AE85" i="3"/>
  <c r="AX85" i="3" s="1"/>
  <c r="AE86" i="3"/>
  <c r="AX86" i="3" s="1"/>
  <c r="AE87" i="3"/>
  <c r="AX87" i="3" s="1"/>
  <c r="AE88" i="3"/>
  <c r="AX88" i="3" s="1"/>
  <c r="AE89" i="3"/>
  <c r="AX89" i="3" s="1"/>
  <c r="AE90" i="3"/>
  <c r="AX90" i="3" s="1"/>
  <c r="AE91" i="3"/>
  <c r="AX91" i="3" s="1"/>
  <c r="AE92" i="3"/>
  <c r="AX92" i="3" s="1"/>
  <c r="AE93" i="3"/>
  <c r="AX93" i="3" s="1"/>
  <c r="AE94" i="3"/>
  <c r="AX94" i="3" s="1"/>
  <c r="AE95" i="3"/>
  <c r="AX95" i="3" s="1"/>
  <c r="AE96" i="3"/>
  <c r="AX96" i="3" s="1"/>
  <c r="AE97" i="3"/>
  <c r="AX97" i="3" s="1"/>
  <c r="AE98" i="3"/>
  <c r="AX98" i="3" s="1"/>
  <c r="AE99" i="3"/>
  <c r="AX99" i="3" s="1"/>
  <c r="AE100" i="3"/>
  <c r="AX100" i="3" s="1"/>
  <c r="AE101" i="3"/>
  <c r="AX101" i="3" s="1"/>
  <c r="AE102" i="3"/>
  <c r="AX102" i="3" s="1"/>
  <c r="AE103" i="3"/>
  <c r="AX103" i="3" s="1"/>
  <c r="AE104" i="3"/>
  <c r="AX104" i="3" s="1"/>
  <c r="AE105" i="3"/>
  <c r="AX105" i="3" s="1"/>
  <c r="AE106" i="3"/>
  <c r="AX106" i="3" s="1"/>
  <c r="AE107" i="3"/>
  <c r="AX107" i="3" s="1"/>
  <c r="AE108" i="3"/>
  <c r="AX108" i="3" s="1"/>
  <c r="AE109" i="3"/>
  <c r="AX109" i="3" s="1"/>
  <c r="AE110" i="3"/>
  <c r="AX110" i="3" s="1"/>
  <c r="AE111" i="3"/>
  <c r="AX111" i="3" s="1"/>
  <c r="AE112" i="3"/>
  <c r="AX112" i="3" s="1"/>
  <c r="AE113" i="3"/>
  <c r="AX113" i="3" s="1"/>
  <c r="AE114" i="3"/>
  <c r="AX114" i="3" s="1"/>
  <c r="AE115" i="3"/>
  <c r="AX115" i="3" s="1"/>
  <c r="AE116" i="3"/>
  <c r="AX116" i="3" s="1"/>
  <c r="AE117" i="3"/>
  <c r="AX117" i="3" s="1"/>
  <c r="AE118" i="3"/>
  <c r="AX118" i="3" s="1"/>
  <c r="AE119" i="3"/>
  <c r="AX119" i="3" s="1"/>
  <c r="AE120" i="3"/>
  <c r="AX120" i="3" s="1"/>
  <c r="AE121" i="3"/>
  <c r="AX121" i="3" s="1"/>
  <c r="AE122" i="3"/>
  <c r="AX122" i="3" s="1"/>
  <c r="AE123" i="3"/>
  <c r="AX123" i="3" s="1"/>
  <c r="AE124" i="3"/>
  <c r="AX124" i="3" s="1"/>
  <c r="AE125" i="3"/>
  <c r="AX125" i="3" s="1"/>
  <c r="AE126" i="3"/>
  <c r="AX126" i="3" s="1"/>
  <c r="AE127" i="3"/>
  <c r="AX127" i="3" s="1"/>
  <c r="AE128" i="3"/>
  <c r="AX128" i="3" s="1"/>
  <c r="AE129" i="3"/>
  <c r="AX129" i="3" s="1"/>
  <c r="AE130" i="3"/>
  <c r="AX130" i="3" s="1"/>
  <c r="AE131" i="3"/>
  <c r="AX131" i="3" s="1"/>
  <c r="AE132" i="3"/>
  <c r="AX132" i="3" s="1"/>
  <c r="AE133" i="3"/>
  <c r="AX133" i="3" s="1"/>
  <c r="AE134" i="3"/>
  <c r="AX134" i="3" s="1"/>
  <c r="AE135" i="3"/>
  <c r="AX135" i="3" s="1"/>
  <c r="AE136" i="3"/>
  <c r="AX136" i="3" s="1"/>
  <c r="AE137" i="3"/>
  <c r="AX137" i="3" s="1"/>
  <c r="AE138" i="3"/>
  <c r="AX138" i="3" s="1"/>
  <c r="AE139" i="3"/>
  <c r="AX139" i="3" s="1"/>
  <c r="AE140" i="3"/>
  <c r="AX140" i="3" s="1"/>
  <c r="AE141" i="3"/>
  <c r="AX141" i="3" s="1"/>
  <c r="AE142" i="3"/>
  <c r="AX142" i="3" s="1"/>
  <c r="AE143" i="3"/>
  <c r="AX143" i="3" s="1"/>
  <c r="AE144" i="3"/>
  <c r="AX144" i="3" s="1"/>
  <c r="AE145" i="3"/>
  <c r="AX145" i="3" s="1"/>
  <c r="AE146" i="3"/>
  <c r="AX146" i="3" s="1"/>
  <c r="AE147" i="3"/>
  <c r="AX147" i="3" s="1"/>
  <c r="AE148" i="3"/>
  <c r="AX148" i="3" s="1"/>
  <c r="AE149" i="3"/>
  <c r="AX149" i="3" s="1"/>
  <c r="AE150" i="3"/>
  <c r="AX150" i="3" s="1"/>
  <c r="AE151" i="3"/>
  <c r="AX151" i="3" s="1"/>
  <c r="AE152" i="3"/>
  <c r="AX152" i="3" s="1"/>
  <c r="AE153" i="3"/>
  <c r="AX153" i="3" s="1"/>
  <c r="AE154" i="3"/>
  <c r="AX154" i="3" s="1"/>
  <c r="AE155" i="3"/>
  <c r="AX155" i="3" s="1"/>
  <c r="AE156" i="3"/>
  <c r="AX156" i="3" s="1"/>
  <c r="AE157" i="3"/>
  <c r="AX157" i="3" s="1"/>
  <c r="AE158" i="3"/>
  <c r="AX158" i="3" s="1"/>
  <c r="AE159" i="3"/>
  <c r="AX159" i="3" s="1"/>
  <c r="AE160" i="3"/>
  <c r="AX160" i="3" s="1"/>
  <c r="AE161" i="3"/>
  <c r="AX161" i="3" s="1"/>
  <c r="AE162" i="3"/>
  <c r="AX162" i="3" s="1"/>
  <c r="AE163" i="3"/>
  <c r="AX163" i="3" s="1"/>
  <c r="AE164" i="3"/>
  <c r="AX164" i="3" s="1"/>
  <c r="AE165" i="3"/>
  <c r="AX165" i="3" s="1"/>
  <c r="AE166" i="3"/>
  <c r="AX166" i="3" s="1"/>
  <c r="AE167" i="3"/>
  <c r="AX167" i="3" s="1"/>
  <c r="AE168" i="3"/>
  <c r="AX168" i="3" s="1"/>
  <c r="AE169" i="3"/>
  <c r="AX169" i="3" s="1"/>
  <c r="AE170" i="3"/>
  <c r="AX170" i="3" s="1"/>
  <c r="AE171" i="3"/>
  <c r="AX171" i="3" s="1"/>
  <c r="AE172" i="3"/>
  <c r="AX172" i="3" s="1"/>
  <c r="AE173" i="3"/>
  <c r="AX173" i="3" s="1"/>
  <c r="AE174" i="3"/>
  <c r="AX174" i="3" s="1"/>
  <c r="AE175" i="3"/>
  <c r="AX175" i="3" s="1"/>
  <c r="AE176" i="3"/>
  <c r="AX176" i="3" s="1"/>
  <c r="AE177" i="3"/>
  <c r="AX177" i="3" s="1"/>
  <c r="AE178" i="3"/>
  <c r="AX178" i="3" s="1"/>
  <c r="AE179" i="3"/>
  <c r="AX179" i="3" s="1"/>
  <c r="AE180" i="3"/>
  <c r="AX180" i="3" s="1"/>
  <c r="AE181" i="3"/>
  <c r="AX181" i="3" s="1"/>
  <c r="AE182" i="3"/>
  <c r="AX182" i="3" s="1"/>
  <c r="AE183" i="3"/>
  <c r="AX183" i="3" s="1"/>
  <c r="AE184" i="3"/>
  <c r="AX184" i="3" s="1"/>
  <c r="AE185" i="3"/>
  <c r="AX185" i="3" s="1"/>
  <c r="AE186" i="3"/>
  <c r="AX186" i="3" s="1"/>
  <c r="AE187" i="3"/>
  <c r="AX187" i="3" s="1"/>
  <c r="AE188" i="3"/>
  <c r="AX188" i="3" s="1"/>
  <c r="AE189" i="3"/>
  <c r="AX189" i="3" s="1"/>
  <c r="AE190" i="3"/>
  <c r="AX190" i="3" s="1"/>
  <c r="AE191" i="3"/>
  <c r="AX191" i="3" s="1"/>
  <c r="AE192" i="3"/>
  <c r="AX192" i="3" s="1"/>
  <c r="AE193" i="3"/>
  <c r="AX193" i="3" s="1"/>
  <c r="AE194" i="3"/>
  <c r="AX194" i="3" s="1"/>
  <c r="AE195" i="3"/>
  <c r="AX195" i="3" s="1"/>
  <c r="AE196" i="3"/>
  <c r="AX196" i="3" s="1"/>
  <c r="AE197" i="3"/>
  <c r="AX197" i="3" s="1"/>
  <c r="AE198" i="3"/>
  <c r="AX198" i="3" s="1"/>
  <c r="AE199" i="3"/>
  <c r="AX199" i="3" s="1"/>
  <c r="AE200" i="3"/>
  <c r="AX200" i="3" s="1"/>
  <c r="AE201" i="3"/>
  <c r="AX201" i="3" s="1"/>
  <c r="AE202" i="3"/>
  <c r="AX202" i="3" s="1"/>
  <c r="AE203" i="3"/>
  <c r="AX203" i="3" s="1"/>
  <c r="AE204" i="3"/>
  <c r="AX204" i="3" s="1"/>
  <c r="AE205" i="3"/>
  <c r="AX205" i="3" s="1"/>
  <c r="AE206" i="3"/>
  <c r="AX206" i="3" s="1"/>
  <c r="AE207" i="3"/>
  <c r="AX207" i="3" s="1"/>
  <c r="AE208" i="3"/>
  <c r="AX208" i="3" s="1"/>
  <c r="AE209" i="3"/>
  <c r="AX209" i="3" s="1"/>
  <c r="AE210" i="3"/>
  <c r="AX210" i="3" s="1"/>
  <c r="AE211" i="3"/>
  <c r="AX211" i="3" s="1"/>
  <c r="AE212" i="3"/>
  <c r="AX212" i="3" s="1"/>
  <c r="AE213" i="3"/>
  <c r="AX213" i="3" s="1"/>
  <c r="AE214" i="3"/>
  <c r="AX214" i="3" s="1"/>
  <c r="AE215" i="3"/>
  <c r="AX215" i="3" s="1"/>
  <c r="AE216" i="3"/>
  <c r="AX216" i="3" s="1"/>
  <c r="AE217" i="3"/>
  <c r="AX217" i="3" s="1"/>
  <c r="AE218" i="3"/>
  <c r="AX218" i="3" s="1"/>
  <c r="AE219" i="3"/>
  <c r="AX219" i="3" s="1"/>
  <c r="AE220" i="3"/>
  <c r="AX220" i="3" s="1"/>
  <c r="AE221" i="3"/>
  <c r="AX221" i="3" s="1"/>
  <c r="AE222" i="3"/>
  <c r="AX222" i="3" s="1"/>
  <c r="AE223" i="3"/>
  <c r="AX223" i="3" s="1"/>
  <c r="AE224" i="3"/>
  <c r="AX224" i="3" s="1"/>
  <c r="AE225" i="3"/>
  <c r="AX225" i="3" s="1"/>
  <c r="AE226" i="3"/>
  <c r="AX226" i="3" s="1"/>
  <c r="AE227" i="3"/>
  <c r="AX227" i="3" s="1"/>
  <c r="AE228" i="3"/>
  <c r="AX228" i="3" s="1"/>
  <c r="AE229" i="3"/>
  <c r="AX229" i="3" s="1"/>
  <c r="AE230" i="3"/>
  <c r="AX230" i="3" s="1"/>
  <c r="AE231" i="3"/>
  <c r="AX231" i="3" s="1"/>
  <c r="AE232" i="3"/>
  <c r="AX232" i="3" s="1"/>
  <c r="AE233" i="3"/>
  <c r="AX233" i="3" s="1"/>
  <c r="AE234" i="3"/>
  <c r="AX234" i="3" s="1"/>
  <c r="AE235" i="3"/>
  <c r="AX235" i="3" s="1"/>
  <c r="AE236" i="3"/>
  <c r="AX236" i="3" s="1"/>
  <c r="AE237" i="3"/>
  <c r="AX237" i="3" s="1"/>
  <c r="AE238" i="3"/>
  <c r="AX238" i="3" s="1"/>
  <c r="AE239" i="3"/>
  <c r="AX239" i="3" s="1"/>
  <c r="AE240" i="3"/>
  <c r="AX240" i="3" s="1"/>
  <c r="AE241" i="3"/>
  <c r="AX241" i="3" s="1"/>
  <c r="AE242" i="3"/>
  <c r="AX242" i="3" s="1"/>
  <c r="AE243" i="3"/>
  <c r="AX243" i="3" s="1"/>
  <c r="AE244" i="3"/>
  <c r="AX244" i="3" s="1"/>
  <c r="AE245" i="3"/>
  <c r="AX245" i="3" s="1"/>
  <c r="AE246" i="3"/>
  <c r="AX246" i="3" s="1"/>
  <c r="AE247" i="3"/>
  <c r="AX247" i="3" s="1"/>
  <c r="AE248" i="3"/>
  <c r="AX248" i="3" s="1"/>
  <c r="AE249" i="3"/>
  <c r="AX249" i="3" s="1"/>
  <c r="AE250" i="3"/>
  <c r="AX250" i="3" s="1"/>
  <c r="AE251" i="3"/>
  <c r="AX251" i="3" s="1"/>
  <c r="AE252" i="3"/>
  <c r="AX252" i="3" s="1"/>
  <c r="AE253" i="3"/>
  <c r="AX253" i="3" s="1"/>
  <c r="AE254" i="3"/>
  <c r="AX254" i="3" s="1"/>
  <c r="AE255" i="3"/>
  <c r="AX255" i="3" s="1"/>
  <c r="AE256" i="3"/>
  <c r="AX256" i="3" s="1"/>
  <c r="AE257" i="3"/>
  <c r="AX257" i="3" s="1"/>
  <c r="AE258" i="3"/>
  <c r="AX258" i="3" s="1"/>
  <c r="AE259" i="3"/>
  <c r="AX259" i="3" s="1"/>
  <c r="AE260" i="3"/>
  <c r="AX260" i="3" s="1"/>
  <c r="AE261" i="3"/>
  <c r="AX261" i="3" s="1"/>
  <c r="AE262" i="3"/>
  <c r="AX262" i="3" s="1"/>
  <c r="AE263" i="3"/>
  <c r="AX263" i="3" s="1"/>
  <c r="AE264" i="3"/>
  <c r="AX264" i="3" s="1"/>
  <c r="AE265" i="3"/>
  <c r="AX265" i="3" s="1"/>
  <c r="AE266" i="3"/>
  <c r="AX266" i="3" s="1"/>
  <c r="AE267" i="3"/>
  <c r="AX267" i="3" s="1"/>
  <c r="AE268" i="3"/>
  <c r="AX268" i="3" s="1"/>
  <c r="AE269" i="3"/>
  <c r="AX269" i="3" s="1"/>
  <c r="AE270" i="3"/>
  <c r="AX270" i="3" s="1"/>
  <c r="AE271" i="3"/>
  <c r="AX271" i="3" s="1"/>
  <c r="AE272" i="3"/>
  <c r="AX272" i="3" s="1"/>
  <c r="AE273" i="3"/>
  <c r="AX273" i="3" s="1"/>
  <c r="AE274" i="3"/>
  <c r="AX274" i="3" s="1"/>
  <c r="AE275" i="3"/>
  <c r="AX275" i="3" s="1"/>
  <c r="AE276" i="3"/>
  <c r="AX276" i="3" s="1"/>
  <c r="AE277" i="3"/>
  <c r="AX277" i="3" s="1"/>
  <c r="AE278" i="3"/>
  <c r="AX278" i="3" s="1"/>
  <c r="AE279" i="3"/>
  <c r="AX279" i="3" s="1"/>
  <c r="AE280" i="3"/>
  <c r="AX280" i="3" s="1"/>
  <c r="AE281" i="3"/>
  <c r="AX281" i="3" s="1"/>
  <c r="AE282" i="3"/>
  <c r="AX282" i="3" s="1"/>
  <c r="AE283" i="3"/>
  <c r="AX283" i="3" s="1"/>
  <c r="AE284" i="3"/>
  <c r="AX284" i="3" s="1"/>
  <c r="AE285" i="3"/>
  <c r="AX285" i="3" s="1"/>
  <c r="AE286" i="3"/>
  <c r="AX286" i="3" s="1"/>
  <c r="AE287" i="3"/>
  <c r="AX287" i="3" s="1"/>
  <c r="AE288" i="3"/>
  <c r="AX288" i="3" s="1"/>
  <c r="AE289" i="3"/>
  <c r="AX289" i="3" s="1"/>
  <c r="AE290" i="3"/>
  <c r="AX290" i="3" s="1"/>
  <c r="AE291" i="3"/>
  <c r="AX291" i="3" s="1"/>
  <c r="AE292" i="3"/>
  <c r="AX292" i="3" s="1"/>
  <c r="AE293" i="3"/>
  <c r="AX293" i="3" s="1"/>
  <c r="AE294" i="3"/>
  <c r="AX294" i="3" s="1"/>
  <c r="AE295" i="3"/>
  <c r="AX295" i="3" s="1"/>
  <c r="AE296" i="3"/>
  <c r="AX296" i="3" s="1"/>
  <c r="AE297" i="3"/>
  <c r="AX297" i="3" s="1"/>
  <c r="AE298" i="3"/>
  <c r="AX298" i="3" s="1"/>
  <c r="AE299" i="3"/>
  <c r="AX299" i="3" s="1"/>
  <c r="AE300" i="3"/>
  <c r="AX300" i="3" s="1"/>
  <c r="AE301" i="3"/>
  <c r="AX301" i="3" s="1"/>
  <c r="AE302" i="3"/>
  <c r="AX302" i="3" s="1"/>
  <c r="AE303" i="3"/>
  <c r="AX303" i="3" s="1"/>
  <c r="AE304" i="3"/>
  <c r="AX304" i="3" s="1"/>
  <c r="AE305" i="3"/>
  <c r="AX305" i="3" s="1"/>
  <c r="AE306" i="3"/>
  <c r="AX306" i="3" s="1"/>
  <c r="AE307" i="3"/>
  <c r="AX307" i="3" s="1"/>
  <c r="AE308" i="3"/>
  <c r="AX308" i="3" s="1"/>
  <c r="AE309" i="3"/>
  <c r="AX309" i="3" s="1"/>
  <c r="AE310" i="3"/>
  <c r="AX310" i="3" s="1"/>
  <c r="AE311" i="3"/>
  <c r="AX311" i="3" s="1"/>
  <c r="AE312" i="3"/>
  <c r="AX312" i="3" s="1"/>
  <c r="AE313" i="3"/>
  <c r="AX313" i="3" s="1"/>
  <c r="AE314" i="3"/>
  <c r="AX314" i="3" s="1"/>
  <c r="AE315" i="3"/>
  <c r="AX315" i="3" s="1"/>
  <c r="AE316" i="3"/>
  <c r="AX316" i="3" s="1"/>
  <c r="AE317" i="3"/>
  <c r="AX317" i="3" s="1"/>
  <c r="AE318" i="3"/>
  <c r="AX318" i="3" s="1"/>
  <c r="AE319" i="3"/>
  <c r="AX319" i="3" s="1"/>
  <c r="AE320" i="3"/>
  <c r="AX320" i="3" s="1"/>
  <c r="AE321" i="3"/>
  <c r="AX321" i="3" s="1"/>
  <c r="AE322" i="3"/>
  <c r="AX322" i="3" s="1"/>
  <c r="AE323" i="3"/>
  <c r="AX323" i="3" s="1"/>
  <c r="AE324" i="3"/>
  <c r="AX324" i="3" s="1"/>
  <c r="AE325" i="3"/>
  <c r="AX325" i="3" s="1"/>
  <c r="AE326" i="3"/>
  <c r="AX326" i="3" s="1"/>
  <c r="AE327" i="3"/>
  <c r="AX327" i="3" s="1"/>
  <c r="AE328" i="3"/>
  <c r="AX328" i="3" s="1"/>
  <c r="AE329" i="3"/>
  <c r="AX329" i="3" s="1"/>
  <c r="AE330" i="3"/>
  <c r="AX330" i="3" s="1"/>
  <c r="AE331" i="3"/>
  <c r="AX331" i="3" s="1"/>
  <c r="AE332" i="3"/>
  <c r="AX332" i="3" s="1"/>
  <c r="AE333" i="3"/>
  <c r="AX333" i="3" s="1"/>
  <c r="AE334" i="3"/>
  <c r="AX334" i="3" s="1"/>
  <c r="AE335" i="3"/>
  <c r="AX335" i="3" s="1"/>
  <c r="AE336" i="3"/>
  <c r="AX336" i="3" s="1"/>
  <c r="AE337" i="3"/>
  <c r="AX337" i="3" s="1"/>
  <c r="AE338" i="3"/>
  <c r="AX338" i="3" s="1"/>
  <c r="AE339" i="3"/>
  <c r="AX339" i="3" s="1"/>
  <c r="AE340" i="3"/>
  <c r="AX340" i="3" s="1"/>
  <c r="AE341" i="3"/>
  <c r="AX341" i="3" s="1"/>
  <c r="AE342" i="3"/>
  <c r="AX342" i="3" s="1"/>
  <c r="AE343" i="3"/>
  <c r="AX343" i="3" s="1"/>
  <c r="AE344" i="3"/>
  <c r="AX344" i="3" s="1"/>
  <c r="AE345" i="3"/>
  <c r="AX345" i="3" s="1"/>
  <c r="AE346" i="3"/>
  <c r="AX346" i="3" s="1"/>
  <c r="AE347" i="3"/>
  <c r="AX347" i="3" s="1"/>
  <c r="AE348" i="3"/>
  <c r="AX348" i="3" s="1"/>
  <c r="AE349" i="3"/>
  <c r="AX349" i="3" s="1"/>
  <c r="AE350" i="3"/>
  <c r="AX350" i="3" s="1"/>
  <c r="AE351" i="3"/>
  <c r="AX351" i="3" s="1"/>
  <c r="AE352" i="3"/>
  <c r="AX352" i="3" s="1"/>
  <c r="AE353" i="3"/>
  <c r="AX353" i="3" s="1"/>
  <c r="AE354" i="3"/>
  <c r="AX354" i="3" s="1"/>
  <c r="AE355" i="3"/>
  <c r="AX355" i="3" s="1"/>
  <c r="AE356" i="3"/>
  <c r="AX356" i="3" s="1"/>
  <c r="AE357" i="3"/>
  <c r="AX357" i="3" s="1"/>
  <c r="AE358" i="3"/>
  <c r="AX358" i="3" s="1"/>
  <c r="AE359" i="3"/>
  <c r="AX359" i="3" s="1"/>
  <c r="AE360" i="3"/>
  <c r="AX360" i="3" s="1"/>
  <c r="AE361" i="3"/>
  <c r="AX361" i="3" s="1"/>
  <c r="AE362" i="3"/>
  <c r="AX362" i="3" s="1"/>
  <c r="AE363" i="3"/>
  <c r="AX363" i="3" s="1"/>
  <c r="AE364" i="3"/>
  <c r="AX364" i="3" s="1"/>
  <c r="AE365" i="3"/>
  <c r="AX365" i="3" s="1"/>
  <c r="AE366" i="3"/>
  <c r="AX366" i="3" s="1"/>
  <c r="AE367" i="3"/>
  <c r="AX367" i="3" s="1"/>
  <c r="AE368" i="3"/>
  <c r="AX368" i="3" s="1"/>
  <c r="AE369" i="3"/>
  <c r="AX369" i="3" s="1"/>
  <c r="AE370" i="3"/>
  <c r="AX370" i="3" s="1"/>
  <c r="AE371" i="3"/>
  <c r="AX371" i="3" s="1"/>
  <c r="AE372" i="3"/>
  <c r="AX372" i="3" s="1"/>
  <c r="AE373" i="3"/>
  <c r="AX373" i="3" s="1"/>
  <c r="AE374" i="3"/>
  <c r="AX374" i="3" s="1"/>
  <c r="AE375" i="3"/>
  <c r="AX375" i="3" s="1"/>
  <c r="AE376" i="3"/>
  <c r="AX376" i="3" s="1"/>
  <c r="AE377" i="3"/>
  <c r="AX377" i="3" s="1"/>
  <c r="AE378" i="3"/>
  <c r="AX378" i="3" s="1"/>
  <c r="AE379" i="3"/>
  <c r="AX379" i="3" s="1"/>
  <c r="AE380" i="3"/>
  <c r="AX380" i="3" s="1"/>
  <c r="AE381" i="3"/>
  <c r="AX381" i="3" s="1"/>
  <c r="AE382" i="3"/>
  <c r="AX382" i="3" s="1"/>
  <c r="AE383" i="3"/>
  <c r="AX383" i="3" s="1"/>
  <c r="AE384" i="3"/>
  <c r="AX384" i="3" s="1"/>
  <c r="AE385" i="3"/>
  <c r="AX385" i="3" s="1"/>
  <c r="AE386" i="3"/>
  <c r="AX386" i="3" s="1"/>
  <c r="AE387" i="3"/>
  <c r="AX387" i="3" s="1"/>
  <c r="AE388" i="3"/>
  <c r="AX388" i="3" s="1"/>
  <c r="AE389" i="3"/>
  <c r="AX389" i="3" s="1"/>
  <c r="AE390" i="3"/>
  <c r="AX390" i="3" s="1"/>
  <c r="AE391" i="3"/>
  <c r="AX391" i="3" s="1"/>
  <c r="AE392" i="3"/>
  <c r="AX392" i="3" s="1"/>
  <c r="AE393" i="3"/>
  <c r="AX393" i="3" s="1"/>
  <c r="AE394" i="3"/>
  <c r="AX394" i="3" s="1"/>
  <c r="AE395" i="3"/>
  <c r="AX395" i="3" s="1"/>
  <c r="AE396" i="3"/>
  <c r="AX396" i="3" s="1"/>
  <c r="AE397" i="3"/>
  <c r="AX397" i="3" s="1"/>
  <c r="AE398" i="3"/>
  <c r="AX398" i="3" s="1"/>
  <c r="AE399" i="3"/>
  <c r="AX399" i="3" s="1"/>
  <c r="AE400" i="3"/>
  <c r="AX400" i="3" s="1"/>
  <c r="AE401" i="3"/>
  <c r="AX401" i="3" s="1"/>
  <c r="AE402" i="3"/>
  <c r="AX402" i="3" s="1"/>
  <c r="AE403" i="3"/>
  <c r="AX403" i="3" s="1"/>
  <c r="AE404" i="3"/>
  <c r="AX404" i="3" s="1"/>
  <c r="AE405" i="3"/>
  <c r="AX405" i="3" s="1"/>
  <c r="AE406" i="3"/>
  <c r="AX406" i="3" s="1"/>
  <c r="AE407" i="3"/>
  <c r="AX407" i="3" s="1"/>
  <c r="AE408" i="3"/>
  <c r="AX408" i="3" s="1"/>
  <c r="AE409" i="3"/>
  <c r="AX409" i="3" s="1"/>
  <c r="AE410" i="3"/>
  <c r="AX410" i="3" s="1"/>
  <c r="AE411" i="3"/>
  <c r="AX411" i="3" s="1"/>
  <c r="AE412" i="3"/>
  <c r="AX412" i="3" s="1"/>
  <c r="AE413" i="3"/>
  <c r="AX413" i="3" s="1"/>
  <c r="AE414" i="3"/>
  <c r="AX414" i="3" s="1"/>
  <c r="AE415" i="3"/>
  <c r="AX415" i="3" s="1"/>
  <c r="AE416" i="3"/>
  <c r="AX416" i="3" s="1"/>
  <c r="AE417" i="3"/>
  <c r="AX417" i="3" s="1"/>
  <c r="AE418" i="3"/>
  <c r="AX418" i="3" s="1"/>
  <c r="AE419" i="3"/>
  <c r="AX419" i="3" s="1"/>
  <c r="AE420" i="3"/>
  <c r="AX420" i="3" s="1"/>
  <c r="AE421" i="3"/>
  <c r="AX421" i="3" s="1"/>
  <c r="AE422" i="3"/>
  <c r="AX422" i="3" s="1"/>
  <c r="AE423" i="3"/>
  <c r="AX423" i="3" s="1"/>
  <c r="AE424" i="3"/>
  <c r="AX424" i="3" s="1"/>
  <c r="AE425" i="3"/>
  <c r="AX425" i="3" s="1"/>
  <c r="AE426" i="3"/>
  <c r="AX426" i="3" s="1"/>
  <c r="AE427" i="3"/>
  <c r="AX427" i="3" s="1"/>
  <c r="AE428" i="3"/>
  <c r="AX428" i="3" s="1"/>
  <c r="AE429" i="3"/>
  <c r="AX429" i="3" s="1"/>
  <c r="AE430" i="3"/>
  <c r="AX430" i="3" s="1"/>
  <c r="AE431" i="3"/>
  <c r="AX431" i="3" s="1"/>
  <c r="AE432" i="3"/>
  <c r="AX432" i="3" s="1"/>
  <c r="AE433" i="3"/>
  <c r="AX433" i="3" s="1"/>
  <c r="AE434" i="3"/>
  <c r="AX434" i="3" s="1"/>
  <c r="AE435" i="3"/>
  <c r="AX435" i="3" s="1"/>
  <c r="AE436" i="3"/>
  <c r="AX436" i="3" s="1"/>
  <c r="AE437" i="3"/>
  <c r="AX437" i="3" s="1"/>
  <c r="AE438" i="3"/>
  <c r="AX438" i="3" s="1"/>
  <c r="AE439" i="3"/>
  <c r="AX439" i="3" s="1"/>
  <c r="AE440" i="3"/>
  <c r="AX440" i="3" s="1"/>
  <c r="AE441" i="3"/>
  <c r="AX441" i="3" s="1"/>
  <c r="AE442" i="3"/>
  <c r="AX442" i="3" s="1"/>
  <c r="AE443" i="3"/>
  <c r="AX443" i="3" s="1"/>
  <c r="AE444" i="3"/>
  <c r="AX444" i="3" s="1"/>
  <c r="AE445" i="3"/>
  <c r="AX445" i="3" s="1"/>
  <c r="AE446" i="3"/>
  <c r="AX446" i="3" s="1"/>
  <c r="AE447" i="3"/>
  <c r="AX447" i="3" s="1"/>
  <c r="AE448" i="3"/>
  <c r="AX448" i="3" s="1"/>
  <c r="AE449" i="3"/>
  <c r="AX449" i="3" s="1"/>
  <c r="AE450" i="3"/>
  <c r="AX450" i="3" s="1"/>
  <c r="AE451" i="3"/>
  <c r="AX451" i="3" s="1"/>
  <c r="AE452" i="3"/>
  <c r="AX452" i="3" s="1"/>
  <c r="AE453" i="3"/>
  <c r="AX453" i="3" s="1"/>
  <c r="AE454" i="3"/>
  <c r="AX454" i="3" s="1"/>
  <c r="AE455" i="3"/>
  <c r="AX455" i="3" s="1"/>
  <c r="AE456" i="3"/>
  <c r="AX456" i="3" s="1"/>
  <c r="AE457" i="3"/>
  <c r="AX457" i="3" s="1"/>
  <c r="AE458" i="3"/>
  <c r="AX458" i="3" s="1"/>
  <c r="AE459" i="3"/>
  <c r="AX459" i="3" s="1"/>
  <c r="AE460" i="3"/>
  <c r="AX460" i="3" s="1"/>
  <c r="AE461" i="3"/>
  <c r="AX461" i="3" s="1"/>
  <c r="AE462" i="3"/>
  <c r="AX462" i="3" s="1"/>
  <c r="AE463" i="3"/>
  <c r="AX463" i="3" s="1"/>
  <c r="AE464" i="3"/>
  <c r="AX464" i="3" s="1"/>
  <c r="AE465" i="3"/>
  <c r="AX465" i="3" s="1"/>
  <c r="AE466" i="3"/>
  <c r="AX466" i="3" s="1"/>
  <c r="AE467" i="3"/>
  <c r="AX467" i="3" s="1"/>
  <c r="AE468" i="3"/>
  <c r="AX468" i="3" s="1"/>
  <c r="AE469" i="3"/>
  <c r="AX469" i="3" s="1"/>
  <c r="AE470" i="3"/>
  <c r="AX470" i="3" s="1"/>
  <c r="AE471" i="3"/>
  <c r="AX471" i="3" s="1"/>
  <c r="AE472" i="3"/>
  <c r="AX472" i="3" s="1"/>
  <c r="AE473" i="3"/>
  <c r="AX473" i="3" s="1"/>
  <c r="AE474" i="3"/>
  <c r="AX474" i="3" s="1"/>
  <c r="AE475" i="3"/>
  <c r="AX475" i="3" s="1"/>
  <c r="AE476" i="3"/>
  <c r="AX476" i="3" s="1"/>
  <c r="AE477" i="3"/>
  <c r="AX477" i="3" s="1"/>
  <c r="AE478" i="3"/>
  <c r="AX478" i="3" s="1"/>
  <c r="AE479" i="3"/>
  <c r="AX479" i="3" s="1"/>
  <c r="AE480" i="3"/>
  <c r="AX480" i="3" s="1"/>
  <c r="AE481" i="3"/>
  <c r="AX481" i="3" s="1"/>
  <c r="AE482" i="3"/>
  <c r="AX482" i="3" s="1"/>
  <c r="AE483" i="3"/>
  <c r="AX483" i="3" s="1"/>
  <c r="AE484" i="3"/>
  <c r="AX484" i="3" s="1"/>
  <c r="AE485" i="3"/>
  <c r="AX485" i="3" s="1"/>
  <c r="AE486" i="3"/>
  <c r="AX486" i="3" s="1"/>
  <c r="AE487" i="3"/>
  <c r="AX487" i="3" s="1"/>
  <c r="AE488" i="3"/>
  <c r="AX488" i="3" s="1"/>
  <c r="AE489" i="3"/>
  <c r="AX489" i="3" s="1"/>
  <c r="AE490" i="3"/>
  <c r="AX490" i="3" s="1"/>
  <c r="AE491" i="3"/>
  <c r="AX491" i="3" s="1"/>
  <c r="AE492" i="3"/>
  <c r="AX492" i="3" s="1"/>
  <c r="AE493" i="3"/>
  <c r="AX493" i="3" s="1"/>
  <c r="AE494" i="3"/>
  <c r="AX494" i="3" s="1"/>
  <c r="AE495" i="3"/>
  <c r="AX495" i="3" s="1"/>
  <c r="AE496" i="3"/>
  <c r="AX496" i="3" s="1"/>
  <c r="AE497" i="3"/>
  <c r="AX497" i="3" s="1"/>
  <c r="AE498" i="3"/>
  <c r="AX498" i="3" s="1"/>
  <c r="AE499" i="3"/>
  <c r="AX499" i="3" s="1"/>
  <c r="AE500" i="3"/>
  <c r="AX500" i="3" s="1"/>
  <c r="AE501" i="3"/>
  <c r="AX501" i="3" s="1"/>
  <c r="AE502" i="3"/>
  <c r="AX502" i="3" s="1"/>
  <c r="AE503" i="3"/>
  <c r="AX503" i="3" s="1"/>
  <c r="AE504" i="3"/>
  <c r="AX504" i="3" s="1"/>
  <c r="AE505" i="3"/>
  <c r="AX505" i="3" s="1"/>
  <c r="AE506" i="3"/>
  <c r="AX506" i="3" s="1"/>
  <c r="AE507" i="3"/>
  <c r="AX507" i="3" s="1"/>
  <c r="AE508" i="3"/>
  <c r="AX508" i="3" s="1"/>
  <c r="AE509" i="3"/>
  <c r="AX509" i="3" s="1"/>
  <c r="AE510" i="3"/>
  <c r="AX510" i="3" s="1"/>
  <c r="AE511" i="3"/>
  <c r="AX511" i="3" s="1"/>
  <c r="AE512" i="3"/>
  <c r="AX512" i="3" s="1"/>
  <c r="AE513" i="3"/>
  <c r="AX513" i="3" s="1"/>
  <c r="AE514" i="3"/>
  <c r="AX514" i="3" s="1"/>
  <c r="AE515" i="3"/>
  <c r="AX515" i="3" s="1"/>
  <c r="AE516" i="3"/>
  <c r="AX516" i="3" s="1"/>
  <c r="AE517" i="3"/>
  <c r="AX517" i="3" s="1"/>
  <c r="AE518" i="3"/>
  <c r="AX518" i="3" s="1"/>
  <c r="AE519" i="3"/>
  <c r="AX519" i="3" s="1"/>
  <c r="AE520" i="3"/>
  <c r="AX520" i="3" s="1"/>
  <c r="AE521" i="3"/>
  <c r="AX521" i="3" s="1"/>
  <c r="AE522" i="3"/>
  <c r="AX522" i="3" s="1"/>
  <c r="AE523" i="3"/>
  <c r="AX523" i="3" s="1"/>
  <c r="AE524" i="3"/>
  <c r="AX524" i="3" s="1"/>
  <c r="AE525" i="3"/>
  <c r="AX525" i="3" s="1"/>
  <c r="AE526" i="3"/>
  <c r="AX526" i="3" s="1"/>
  <c r="AE527" i="3"/>
  <c r="AX527" i="3" s="1"/>
  <c r="AE528" i="3"/>
  <c r="AX528" i="3" s="1"/>
  <c r="AE529" i="3"/>
  <c r="AX529" i="3" s="1"/>
  <c r="AE530" i="3"/>
  <c r="AX530" i="3" s="1"/>
  <c r="AE531" i="3"/>
  <c r="AX531" i="3" s="1"/>
  <c r="AE532" i="3"/>
  <c r="AX532" i="3" s="1"/>
  <c r="AE533" i="3"/>
  <c r="AX533" i="3" s="1"/>
  <c r="AE534" i="3"/>
  <c r="AX534" i="3" s="1"/>
  <c r="AE535" i="3"/>
  <c r="AX535" i="3" s="1"/>
  <c r="AE536" i="3"/>
  <c r="AX536" i="3" s="1"/>
  <c r="AE537" i="3"/>
  <c r="AX537" i="3" s="1"/>
  <c r="AE538" i="3"/>
  <c r="AX538" i="3" s="1"/>
  <c r="AE539" i="3"/>
  <c r="AX539" i="3" s="1"/>
  <c r="AE540" i="3"/>
  <c r="AX540" i="3" s="1"/>
  <c r="AE541" i="3"/>
  <c r="AX541" i="3" s="1"/>
  <c r="AE542" i="3"/>
  <c r="AX542" i="3" s="1"/>
  <c r="AE543" i="3"/>
  <c r="AX543" i="3" s="1"/>
  <c r="AE544" i="3"/>
  <c r="AX544" i="3" s="1"/>
  <c r="AE545" i="3"/>
  <c r="AX545" i="3" s="1"/>
  <c r="AE546" i="3"/>
  <c r="AX546" i="3" s="1"/>
  <c r="AE547" i="3"/>
  <c r="AX547" i="3" s="1"/>
  <c r="AE548" i="3"/>
  <c r="AX548" i="3" s="1"/>
  <c r="AE549" i="3"/>
  <c r="AX549" i="3" s="1"/>
  <c r="AE550" i="3"/>
  <c r="AX550" i="3" s="1"/>
  <c r="AE551" i="3"/>
  <c r="AX551" i="3" s="1"/>
  <c r="AE552" i="3"/>
  <c r="AX552" i="3" s="1"/>
  <c r="AE553" i="3"/>
  <c r="AX553" i="3" s="1"/>
  <c r="AE554" i="3"/>
  <c r="AX554" i="3" s="1"/>
  <c r="AE555" i="3"/>
  <c r="AX555" i="3" s="1"/>
  <c r="AE556" i="3"/>
  <c r="AX556" i="3" s="1"/>
  <c r="AE557" i="3"/>
  <c r="AX557" i="3" s="1"/>
  <c r="AE558" i="3"/>
  <c r="AX558" i="3" s="1"/>
  <c r="AE559" i="3"/>
  <c r="AX559" i="3" s="1"/>
  <c r="AE560" i="3"/>
  <c r="AX560" i="3" s="1"/>
  <c r="AE561" i="3"/>
  <c r="AX561" i="3" s="1"/>
  <c r="AE562" i="3"/>
  <c r="AX562" i="3" s="1"/>
  <c r="AE563" i="3"/>
  <c r="AX563" i="3" s="1"/>
  <c r="AE564" i="3"/>
  <c r="AX564" i="3" s="1"/>
  <c r="AE565" i="3"/>
  <c r="AX565" i="3" s="1"/>
  <c r="AE566" i="3"/>
  <c r="AX566" i="3" s="1"/>
  <c r="AE567" i="3"/>
  <c r="AX567" i="3" s="1"/>
  <c r="AE568" i="3"/>
  <c r="AX568" i="3" s="1"/>
  <c r="AE569" i="3"/>
  <c r="AX569" i="3" s="1"/>
  <c r="AE570" i="3"/>
  <c r="AX570" i="3" s="1"/>
  <c r="AE571" i="3"/>
  <c r="AX571" i="3" s="1"/>
  <c r="AE572" i="3"/>
  <c r="AX572" i="3" s="1"/>
  <c r="AE573" i="3"/>
  <c r="AX573" i="3" s="1"/>
  <c r="AE574" i="3"/>
  <c r="AX574" i="3" s="1"/>
  <c r="AE575" i="3"/>
  <c r="AX575" i="3" s="1"/>
  <c r="AE576" i="3"/>
  <c r="AX576" i="3" s="1"/>
  <c r="AE577" i="3"/>
  <c r="AX577" i="3" s="1"/>
  <c r="AE578" i="3"/>
  <c r="AX578" i="3" s="1"/>
  <c r="AE579" i="3"/>
  <c r="AX579" i="3" s="1"/>
  <c r="AE580" i="3"/>
  <c r="AX580" i="3" s="1"/>
  <c r="AE581" i="3"/>
  <c r="AX581" i="3" s="1"/>
  <c r="AE582" i="3"/>
  <c r="AX582" i="3" s="1"/>
  <c r="AE583" i="3"/>
  <c r="AX583" i="3" s="1"/>
  <c r="AE584" i="3"/>
  <c r="AX584" i="3" s="1"/>
  <c r="AE585" i="3"/>
  <c r="AX585" i="3" s="1"/>
  <c r="AE586" i="3"/>
  <c r="AX586" i="3" s="1"/>
  <c r="AE587" i="3"/>
  <c r="AX587" i="3" s="1"/>
  <c r="AE588" i="3"/>
  <c r="AX588" i="3" s="1"/>
  <c r="AE589" i="3"/>
  <c r="AX589" i="3" s="1"/>
  <c r="AE590" i="3"/>
  <c r="AX590" i="3" s="1"/>
  <c r="AE591" i="3"/>
  <c r="AX591" i="3" s="1"/>
  <c r="AE592" i="3"/>
  <c r="AX592" i="3" s="1"/>
  <c r="AE593" i="3"/>
  <c r="AX593" i="3" s="1"/>
  <c r="AE594" i="3"/>
  <c r="AX594" i="3" s="1"/>
  <c r="AE595" i="3"/>
  <c r="AX595" i="3" s="1"/>
  <c r="AE596" i="3"/>
  <c r="AX596" i="3" s="1"/>
  <c r="AE597" i="3"/>
  <c r="AX597" i="3" s="1"/>
  <c r="AE598" i="3"/>
  <c r="AX598" i="3" s="1"/>
  <c r="AE599" i="3"/>
  <c r="AX599" i="3" s="1"/>
  <c r="AE600" i="3"/>
  <c r="AX600" i="3" s="1"/>
  <c r="AE601" i="3"/>
  <c r="AX601" i="3" s="1"/>
  <c r="AE602" i="3"/>
  <c r="AX602" i="3" s="1"/>
  <c r="AE603" i="3"/>
  <c r="AX603" i="3" s="1"/>
  <c r="AE604" i="3"/>
  <c r="AX604" i="3" s="1"/>
  <c r="AE605" i="3"/>
  <c r="AX605" i="3" s="1"/>
  <c r="AE606" i="3"/>
  <c r="AX606" i="3" s="1"/>
  <c r="AE607" i="3"/>
  <c r="AX607" i="3" s="1"/>
  <c r="AE608" i="3"/>
  <c r="AX608" i="3" s="1"/>
  <c r="AE609" i="3"/>
  <c r="AX609" i="3" s="1"/>
  <c r="AE610" i="3"/>
  <c r="AX610" i="3" s="1"/>
  <c r="AE611" i="3"/>
  <c r="AX611" i="3" s="1"/>
  <c r="AE612" i="3"/>
  <c r="AX612" i="3" s="1"/>
  <c r="AE613" i="3"/>
  <c r="AX613" i="3" s="1"/>
  <c r="AE614" i="3"/>
  <c r="AX614" i="3" s="1"/>
  <c r="AE615" i="3"/>
  <c r="AX615" i="3" s="1"/>
  <c r="AE616" i="3"/>
  <c r="AX616" i="3" s="1"/>
  <c r="AE617" i="3"/>
  <c r="AX617" i="3" s="1"/>
  <c r="AE618" i="3"/>
  <c r="AX618" i="3" s="1"/>
  <c r="AE619" i="3"/>
  <c r="AX619" i="3" s="1"/>
  <c r="AE620" i="3"/>
  <c r="AX620" i="3" s="1"/>
  <c r="AE621" i="3"/>
  <c r="AX621" i="3" s="1"/>
  <c r="AE622" i="3"/>
  <c r="AX622" i="3" s="1"/>
  <c r="AE623" i="3"/>
  <c r="AX623" i="3" s="1"/>
  <c r="AE624" i="3"/>
  <c r="AX624" i="3" s="1"/>
  <c r="AE625" i="3"/>
  <c r="AX625" i="3" s="1"/>
  <c r="AE626" i="3"/>
  <c r="AX626" i="3" s="1"/>
  <c r="AE627" i="3"/>
  <c r="AX627" i="3" s="1"/>
  <c r="AE628" i="3"/>
  <c r="AX628" i="3" s="1"/>
  <c r="AE629" i="3"/>
  <c r="AX629" i="3" s="1"/>
  <c r="AE630" i="3"/>
  <c r="AX630" i="3" s="1"/>
  <c r="AE631" i="3"/>
  <c r="AX631" i="3" s="1"/>
  <c r="AE632" i="3"/>
  <c r="AX632" i="3" s="1"/>
  <c r="AE633" i="3"/>
  <c r="AX633" i="3" s="1"/>
  <c r="AE634" i="3"/>
  <c r="AX634" i="3" s="1"/>
  <c r="AE635" i="3"/>
  <c r="AX635" i="3" s="1"/>
  <c r="AE636" i="3"/>
  <c r="AX636" i="3" s="1"/>
  <c r="AE637" i="3"/>
  <c r="AX637" i="3" s="1"/>
  <c r="AE638" i="3"/>
  <c r="AX638" i="3" s="1"/>
  <c r="AE639" i="3"/>
  <c r="AX639" i="3" s="1"/>
  <c r="AE640" i="3"/>
  <c r="AX640" i="3" s="1"/>
  <c r="AE641" i="3"/>
  <c r="AX641" i="3" s="1"/>
  <c r="AE642" i="3"/>
  <c r="AX642" i="3" s="1"/>
  <c r="AE643" i="3"/>
  <c r="AX643" i="3" s="1"/>
  <c r="AE644" i="3"/>
  <c r="AX644" i="3" s="1"/>
  <c r="AE645" i="3"/>
  <c r="AX645" i="3" s="1"/>
  <c r="AE646" i="3"/>
  <c r="AX646" i="3" s="1"/>
  <c r="AE647" i="3"/>
  <c r="AX647" i="3" s="1"/>
  <c r="AE648" i="3"/>
  <c r="AX648" i="3" s="1"/>
  <c r="AE649" i="3"/>
  <c r="AX649" i="3" s="1"/>
  <c r="AE650" i="3"/>
  <c r="AX650" i="3" s="1"/>
  <c r="AE651" i="3"/>
  <c r="AX651" i="3" s="1"/>
  <c r="AE652" i="3"/>
  <c r="AX652" i="3" s="1"/>
  <c r="AE653" i="3"/>
  <c r="AX653" i="3" s="1"/>
  <c r="AE654" i="3"/>
  <c r="AX654" i="3" s="1"/>
  <c r="AE655" i="3"/>
  <c r="AX655" i="3" s="1"/>
  <c r="AE656" i="3"/>
  <c r="AX656" i="3" s="1"/>
  <c r="AE657" i="3"/>
  <c r="AX657" i="3" s="1"/>
  <c r="AE658" i="3"/>
  <c r="AX658" i="3" s="1"/>
  <c r="AE659" i="3"/>
  <c r="AX659" i="3" s="1"/>
  <c r="AE660" i="3"/>
  <c r="AX660" i="3" s="1"/>
  <c r="AE661" i="3"/>
  <c r="AX661" i="3" s="1"/>
  <c r="AE662" i="3"/>
  <c r="AX662" i="3" s="1"/>
  <c r="AE663" i="3"/>
  <c r="AX663" i="3" s="1"/>
  <c r="AE664" i="3"/>
  <c r="AX664" i="3" s="1"/>
  <c r="AE665" i="3"/>
  <c r="AX665" i="3" s="1"/>
  <c r="AE666" i="3"/>
  <c r="AX666" i="3" s="1"/>
  <c r="AE667" i="3"/>
  <c r="AX667" i="3" s="1"/>
  <c r="AE668" i="3"/>
  <c r="AX668" i="3" s="1"/>
  <c r="AE669" i="3"/>
  <c r="AX669" i="3" s="1"/>
  <c r="AE670" i="3"/>
  <c r="AX670" i="3" s="1"/>
  <c r="AE671" i="3"/>
  <c r="AX671" i="3" s="1"/>
  <c r="AE672" i="3"/>
  <c r="AX672" i="3" s="1"/>
  <c r="AE673" i="3"/>
  <c r="AX673" i="3" s="1"/>
  <c r="AE674" i="3"/>
  <c r="AX674" i="3" s="1"/>
  <c r="AE675" i="3"/>
  <c r="AX675" i="3" s="1"/>
  <c r="AE676" i="3"/>
  <c r="AX676" i="3" s="1"/>
  <c r="AE677" i="3"/>
  <c r="AX677" i="3" s="1"/>
  <c r="AE678" i="3"/>
  <c r="AX678" i="3" s="1"/>
  <c r="AE679" i="3"/>
  <c r="AX679" i="3" s="1"/>
  <c r="AE680" i="3"/>
  <c r="AX680" i="3" s="1"/>
  <c r="AE681" i="3"/>
  <c r="AX681" i="3" s="1"/>
  <c r="AE682" i="3"/>
  <c r="AX682" i="3" s="1"/>
  <c r="AE683" i="3"/>
  <c r="AX683" i="3" s="1"/>
  <c r="AE684" i="3"/>
  <c r="AX684" i="3" s="1"/>
  <c r="AE685" i="3"/>
  <c r="AX685" i="3" s="1"/>
  <c r="AE686" i="3"/>
  <c r="AX686" i="3" s="1"/>
  <c r="AE687" i="3"/>
  <c r="AX687" i="3" s="1"/>
  <c r="AE688" i="3"/>
  <c r="AX688" i="3" s="1"/>
  <c r="AE689" i="3"/>
  <c r="AX689" i="3" s="1"/>
  <c r="AE690" i="3"/>
  <c r="AX690" i="3" s="1"/>
  <c r="AE691" i="3"/>
  <c r="AX691" i="3" s="1"/>
  <c r="AE692" i="3"/>
  <c r="AX692" i="3" s="1"/>
  <c r="AE693" i="3"/>
  <c r="AX693" i="3" s="1"/>
  <c r="AE694" i="3"/>
  <c r="AX694" i="3" s="1"/>
  <c r="AE695" i="3"/>
  <c r="AX695" i="3" s="1"/>
  <c r="AE696" i="3"/>
  <c r="AX696" i="3" s="1"/>
  <c r="AE697" i="3"/>
  <c r="AX697" i="3" s="1"/>
  <c r="AE698" i="3"/>
  <c r="AX698" i="3" s="1"/>
  <c r="AE699" i="3"/>
  <c r="AX699" i="3" s="1"/>
  <c r="AE700" i="3"/>
  <c r="AX700" i="3" s="1"/>
  <c r="AE701" i="3"/>
  <c r="AX701" i="3" s="1"/>
  <c r="AE702" i="3"/>
  <c r="AX702" i="3" s="1"/>
  <c r="AE703" i="3"/>
  <c r="AX703" i="3" s="1"/>
  <c r="AE704" i="3"/>
  <c r="AX704" i="3" s="1"/>
  <c r="AE705" i="3"/>
  <c r="AX705" i="3" s="1"/>
  <c r="AE706" i="3"/>
  <c r="AX706" i="3" s="1"/>
  <c r="AE707" i="3"/>
  <c r="AX707" i="3" s="1"/>
  <c r="AE708" i="3"/>
  <c r="AX708" i="3" s="1"/>
  <c r="AE709" i="3"/>
  <c r="AX709" i="3" s="1"/>
  <c r="AE710" i="3"/>
  <c r="AX710" i="3" s="1"/>
  <c r="AE711" i="3"/>
  <c r="AX711" i="3" s="1"/>
  <c r="AE712" i="3"/>
  <c r="AX712" i="3" s="1"/>
  <c r="AE713" i="3"/>
  <c r="AX713" i="3" s="1"/>
  <c r="AE714" i="3"/>
  <c r="AX714" i="3" s="1"/>
  <c r="AE715" i="3"/>
  <c r="AX715" i="3" s="1"/>
  <c r="AE716" i="3"/>
  <c r="AX716" i="3" s="1"/>
  <c r="AE717" i="3"/>
  <c r="AX717" i="3" s="1"/>
  <c r="AE718" i="3"/>
  <c r="AX718" i="3" s="1"/>
  <c r="AE719" i="3"/>
  <c r="AX719" i="3" s="1"/>
  <c r="AE720" i="3"/>
  <c r="AX720" i="3" s="1"/>
  <c r="AE721" i="3"/>
  <c r="AX721" i="3" s="1"/>
  <c r="AE722" i="3"/>
  <c r="AX722" i="3" s="1"/>
  <c r="AE723" i="3"/>
  <c r="AX723" i="3" s="1"/>
  <c r="AE724" i="3"/>
  <c r="AX724" i="3" s="1"/>
  <c r="AE725" i="3"/>
  <c r="AX725" i="3" s="1"/>
  <c r="AE726" i="3"/>
  <c r="AX726" i="3" s="1"/>
  <c r="AE727" i="3"/>
  <c r="AX727" i="3" s="1"/>
  <c r="AE728" i="3"/>
  <c r="AX728" i="3" s="1"/>
  <c r="AE729" i="3"/>
  <c r="AX729" i="3" s="1"/>
  <c r="AE730" i="3"/>
  <c r="AX730" i="3" s="1"/>
  <c r="AE731" i="3"/>
  <c r="AX731" i="3" s="1"/>
  <c r="AE732" i="3"/>
  <c r="AX732" i="3" s="1"/>
  <c r="AE733" i="3"/>
  <c r="AX733" i="3" s="1"/>
  <c r="AE734" i="3"/>
  <c r="AX734" i="3" s="1"/>
  <c r="AE735" i="3"/>
  <c r="AX735" i="3" s="1"/>
  <c r="AE736" i="3"/>
  <c r="AX736" i="3" s="1"/>
  <c r="AE737" i="3"/>
  <c r="AX737" i="3" s="1"/>
  <c r="AE738" i="3"/>
  <c r="AX738" i="3" s="1"/>
  <c r="AE739" i="3"/>
  <c r="AX739" i="3" s="1"/>
  <c r="AE740" i="3"/>
  <c r="AX740" i="3" s="1"/>
  <c r="AE741" i="3"/>
  <c r="AX741" i="3" s="1"/>
  <c r="AE742" i="3"/>
  <c r="AX742" i="3" s="1"/>
  <c r="AE743" i="3"/>
  <c r="AX743" i="3" s="1"/>
  <c r="AE744" i="3"/>
  <c r="AX744" i="3" s="1"/>
  <c r="AE745" i="3"/>
  <c r="AX745" i="3" s="1"/>
  <c r="AE746" i="3"/>
  <c r="AX746" i="3" s="1"/>
  <c r="AE747" i="3"/>
  <c r="AX747" i="3" s="1"/>
  <c r="AE748" i="3"/>
  <c r="AX748" i="3" s="1"/>
  <c r="AE749" i="3"/>
  <c r="AX749" i="3" s="1"/>
  <c r="AE750" i="3"/>
  <c r="AX750" i="3" s="1"/>
  <c r="AE751" i="3"/>
  <c r="AX751" i="3" s="1"/>
  <c r="AE752" i="3"/>
  <c r="AX752" i="3" s="1"/>
  <c r="AE753" i="3"/>
  <c r="AX753" i="3" s="1"/>
  <c r="AE754" i="3"/>
  <c r="AX754" i="3" s="1"/>
  <c r="AE755" i="3"/>
  <c r="AX755" i="3" s="1"/>
  <c r="AE756" i="3"/>
  <c r="AX756" i="3" s="1"/>
  <c r="AE757" i="3"/>
  <c r="AX757" i="3" s="1"/>
  <c r="AE758" i="3"/>
  <c r="AX758" i="3" s="1"/>
  <c r="AE759" i="3"/>
  <c r="AX759" i="3" s="1"/>
  <c r="AE760" i="3"/>
  <c r="AX760" i="3" s="1"/>
  <c r="AE761" i="3"/>
  <c r="AX761" i="3" s="1"/>
  <c r="AE762" i="3"/>
  <c r="AX762" i="3" s="1"/>
  <c r="AE763" i="3"/>
  <c r="AX763" i="3" s="1"/>
  <c r="AE764" i="3"/>
  <c r="AX764" i="3" s="1"/>
  <c r="AE765" i="3"/>
  <c r="AX765" i="3" s="1"/>
  <c r="AE766" i="3"/>
  <c r="AX766" i="3" s="1"/>
  <c r="AE767" i="3"/>
  <c r="AX767" i="3" s="1"/>
  <c r="AE768" i="3"/>
  <c r="AX768" i="3" s="1"/>
  <c r="AE769" i="3"/>
  <c r="AX769" i="3" s="1"/>
  <c r="AE770" i="3"/>
  <c r="AX770" i="3" s="1"/>
  <c r="AE771" i="3"/>
  <c r="AX771" i="3" s="1"/>
  <c r="AE772" i="3"/>
  <c r="AX772" i="3" s="1"/>
  <c r="AE773" i="3"/>
  <c r="AX773" i="3" s="1"/>
  <c r="AE774" i="3"/>
  <c r="AX774" i="3" s="1"/>
  <c r="AE775" i="3"/>
  <c r="AX775" i="3" s="1"/>
  <c r="AE776" i="3"/>
  <c r="AX776" i="3" s="1"/>
  <c r="AE777" i="3"/>
  <c r="AX777" i="3" s="1"/>
  <c r="AE778" i="3"/>
  <c r="AX778" i="3" s="1"/>
  <c r="AE779" i="3"/>
  <c r="AX779" i="3" s="1"/>
  <c r="AE780" i="3"/>
  <c r="AX780" i="3" s="1"/>
  <c r="AE781" i="3"/>
  <c r="AX781" i="3" s="1"/>
  <c r="AE782" i="3"/>
  <c r="AX782" i="3" s="1"/>
  <c r="AE783" i="3"/>
  <c r="AX783" i="3" s="1"/>
  <c r="AE784" i="3"/>
  <c r="AX784" i="3" s="1"/>
  <c r="AE785" i="3"/>
  <c r="AX785" i="3" s="1"/>
  <c r="AE786" i="3"/>
  <c r="AX786" i="3" s="1"/>
  <c r="AE787" i="3"/>
  <c r="AX787" i="3" s="1"/>
  <c r="AE788" i="3"/>
  <c r="AX788" i="3" s="1"/>
  <c r="AE789" i="3"/>
  <c r="AX789" i="3" s="1"/>
  <c r="AE790" i="3"/>
  <c r="AX790" i="3" s="1"/>
  <c r="AE791" i="3"/>
  <c r="AX791" i="3" s="1"/>
  <c r="AE792" i="3"/>
  <c r="AX792" i="3" s="1"/>
  <c r="AE793" i="3"/>
  <c r="AX793" i="3" s="1"/>
  <c r="AE794" i="3"/>
  <c r="AX794" i="3" s="1"/>
  <c r="AE795" i="3"/>
  <c r="AX795" i="3" s="1"/>
  <c r="AE796" i="3"/>
  <c r="AX796" i="3" s="1"/>
  <c r="AE797" i="3"/>
  <c r="AX797" i="3" s="1"/>
  <c r="AE798" i="3"/>
  <c r="AX798" i="3" s="1"/>
  <c r="AE799" i="3"/>
  <c r="AX799" i="3" s="1"/>
  <c r="AE800" i="3"/>
  <c r="AX800" i="3" s="1"/>
  <c r="AE801" i="3"/>
  <c r="AX801" i="3" s="1"/>
  <c r="AE802" i="3"/>
  <c r="AX802" i="3" s="1"/>
  <c r="AE803" i="3"/>
  <c r="AX803" i="3" s="1"/>
  <c r="AE804" i="3"/>
  <c r="AX804" i="3" s="1"/>
  <c r="AE805" i="3"/>
  <c r="AX805" i="3" s="1"/>
  <c r="AE806" i="3"/>
  <c r="AX806" i="3" s="1"/>
  <c r="AE807" i="3"/>
  <c r="AX807" i="3" s="1"/>
  <c r="AE808" i="3"/>
  <c r="AX808" i="3" s="1"/>
  <c r="AE809" i="3"/>
  <c r="AX809" i="3" s="1"/>
  <c r="AE810" i="3"/>
  <c r="AX810" i="3" s="1"/>
  <c r="AE811" i="3"/>
  <c r="AX811" i="3" s="1"/>
  <c r="AE812" i="3"/>
  <c r="AX812" i="3" s="1"/>
  <c r="AE813" i="3"/>
  <c r="AX813" i="3" s="1"/>
  <c r="AE814" i="3"/>
  <c r="AX814" i="3" s="1"/>
  <c r="AE815" i="3"/>
  <c r="AX815" i="3" s="1"/>
  <c r="AE816" i="3"/>
  <c r="AX816" i="3" s="1"/>
  <c r="AE817" i="3"/>
  <c r="AX817" i="3" s="1"/>
  <c r="AE818" i="3"/>
  <c r="AX818" i="3" s="1"/>
  <c r="AE819" i="3"/>
  <c r="AX819" i="3" s="1"/>
  <c r="AE820" i="3"/>
  <c r="AX820" i="3" s="1"/>
  <c r="AE821" i="3"/>
  <c r="AX821" i="3" s="1"/>
  <c r="AE822" i="3"/>
  <c r="AX822" i="3" s="1"/>
  <c r="AE823" i="3"/>
  <c r="AX823" i="3" s="1"/>
  <c r="AE824" i="3"/>
  <c r="AX824" i="3" s="1"/>
  <c r="AE825" i="3"/>
  <c r="AX825" i="3" s="1"/>
  <c r="AE826" i="3"/>
  <c r="AX826" i="3" s="1"/>
  <c r="AE827" i="3"/>
  <c r="AX827" i="3" s="1"/>
  <c r="AE828" i="3"/>
  <c r="AX828" i="3" s="1"/>
  <c r="AE829" i="3"/>
  <c r="AX829" i="3" s="1"/>
  <c r="AE830" i="3"/>
  <c r="AX830" i="3" s="1"/>
  <c r="AE831" i="3"/>
  <c r="AX831" i="3" s="1"/>
  <c r="AE832" i="3"/>
  <c r="AX832" i="3" s="1"/>
  <c r="AE833" i="3"/>
  <c r="AX833" i="3" s="1"/>
  <c r="AE834" i="3"/>
  <c r="AX834" i="3" s="1"/>
  <c r="AE835" i="3"/>
  <c r="AX835" i="3" s="1"/>
  <c r="AE836" i="3"/>
  <c r="AX836" i="3" s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" i="2"/>
  <c r="D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U836" i="3"/>
  <c r="T836" i="3"/>
  <c r="R836" i="3"/>
  <c r="AJ836" i="3" s="1"/>
  <c r="Q836" i="3"/>
  <c r="U835" i="3"/>
  <c r="T835" i="3"/>
  <c r="R835" i="3"/>
  <c r="AJ835" i="3" s="1"/>
  <c r="Q835" i="3"/>
  <c r="U834" i="3"/>
  <c r="T834" i="3"/>
  <c r="R834" i="3"/>
  <c r="AJ834" i="3" s="1"/>
  <c r="Q834" i="3"/>
  <c r="U833" i="3"/>
  <c r="T833" i="3"/>
  <c r="R833" i="3"/>
  <c r="AJ833" i="3" s="1"/>
  <c r="Q833" i="3"/>
  <c r="U832" i="3"/>
  <c r="T832" i="3"/>
  <c r="R832" i="3"/>
  <c r="AJ832" i="3" s="1"/>
  <c r="Q832" i="3"/>
  <c r="U831" i="3"/>
  <c r="T831" i="3"/>
  <c r="R831" i="3"/>
  <c r="AJ831" i="3" s="1"/>
  <c r="Q831" i="3"/>
  <c r="U830" i="3"/>
  <c r="T830" i="3"/>
  <c r="R830" i="3"/>
  <c r="AJ830" i="3" s="1"/>
  <c r="Q830" i="3"/>
  <c r="U829" i="3"/>
  <c r="T829" i="3"/>
  <c r="R829" i="3"/>
  <c r="AJ829" i="3" s="1"/>
  <c r="Q829" i="3"/>
  <c r="U828" i="3"/>
  <c r="T828" i="3"/>
  <c r="R828" i="3"/>
  <c r="AJ828" i="3" s="1"/>
  <c r="Q828" i="3"/>
  <c r="U827" i="3"/>
  <c r="T827" i="3"/>
  <c r="R827" i="3"/>
  <c r="AJ827" i="3" s="1"/>
  <c r="Q827" i="3"/>
  <c r="U826" i="3"/>
  <c r="T826" i="3"/>
  <c r="R826" i="3"/>
  <c r="AJ826" i="3" s="1"/>
  <c r="Q826" i="3"/>
  <c r="U825" i="3"/>
  <c r="T825" i="3"/>
  <c r="R825" i="3"/>
  <c r="AJ825" i="3" s="1"/>
  <c r="Q825" i="3"/>
  <c r="U824" i="3"/>
  <c r="T824" i="3"/>
  <c r="R824" i="3"/>
  <c r="AJ824" i="3" s="1"/>
  <c r="Q824" i="3"/>
  <c r="U823" i="3"/>
  <c r="T823" i="3"/>
  <c r="R823" i="3"/>
  <c r="AJ823" i="3" s="1"/>
  <c r="Q823" i="3"/>
  <c r="U822" i="3"/>
  <c r="T822" i="3"/>
  <c r="R822" i="3"/>
  <c r="AJ822" i="3" s="1"/>
  <c r="Q822" i="3"/>
  <c r="U821" i="3"/>
  <c r="T821" i="3"/>
  <c r="R821" i="3"/>
  <c r="AJ821" i="3" s="1"/>
  <c r="Q821" i="3"/>
  <c r="U820" i="3"/>
  <c r="T820" i="3"/>
  <c r="R820" i="3"/>
  <c r="AJ820" i="3" s="1"/>
  <c r="Q820" i="3"/>
  <c r="U819" i="3"/>
  <c r="T819" i="3"/>
  <c r="R819" i="3"/>
  <c r="AJ819" i="3" s="1"/>
  <c r="Q819" i="3"/>
  <c r="U818" i="3"/>
  <c r="T818" i="3"/>
  <c r="R818" i="3"/>
  <c r="AJ818" i="3" s="1"/>
  <c r="Q818" i="3"/>
  <c r="U817" i="3"/>
  <c r="T817" i="3"/>
  <c r="R817" i="3"/>
  <c r="AJ817" i="3" s="1"/>
  <c r="Q817" i="3"/>
  <c r="U816" i="3"/>
  <c r="T816" i="3"/>
  <c r="R816" i="3"/>
  <c r="AJ816" i="3" s="1"/>
  <c r="Q816" i="3"/>
  <c r="U815" i="3"/>
  <c r="T815" i="3"/>
  <c r="R815" i="3"/>
  <c r="AJ815" i="3" s="1"/>
  <c r="Q815" i="3"/>
  <c r="U814" i="3"/>
  <c r="T814" i="3"/>
  <c r="R814" i="3"/>
  <c r="AJ814" i="3" s="1"/>
  <c r="Q814" i="3"/>
  <c r="U813" i="3"/>
  <c r="T813" i="3"/>
  <c r="R813" i="3"/>
  <c r="AJ813" i="3" s="1"/>
  <c r="Q813" i="3"/>
  <c r="U812" i="3"/>
  <c r="T812" i="3"/>
  <c r="R812" i="3"/>
  <c r="AJ812" i="3" s="1"/>
  <c r="Q812" i="3"/>
  <c r="U811" i="3"/>
  <c r="T811" i="3"/>
  <c r="R811" i="3"/>
  <c r="AJ811" i="3" s="1"/>
  <c r="Q811" i="3"/>
  <c r="U810" i="3"/>
  <c r="T810" i="3"/>
  <c r="R810" i="3"/>
  <c r="AJ810" i="3" s="1"/>
  <c r="Q810" i="3"/>
  <c r="U809" i="3"/>
  <c r="T809" i="3"/>
  <c r="R809" i="3"/>
  <c r="AJ809" i="3" s="1"/>
  <c r="Q809" i="3"/>
  <c r="U808" i="3"/>
  <c r="T808" i="3"/>
  <c r="R808" i="3"/>
  <c r="AJ808" i="3" s="1"/>
  <c r="Q808" i="3"/>
  <c r="U807" i="3"/>
  <c r="T807" i="3"/>
  <c r="R807" i="3"/>
  <c r="AJ807" i="3" s="1"/>
  <c r="Q807" i="3"/>
  <c r="U806" i="3"/>
  <c r="T806" i="3"/>
  <c r="R806" i="3"/>
  <c r="AJ806" i="3" s="1"/>
  <c r="Q806" i="3"/>
  <c r="U805" i="3"/>
  <c r="T805" i="3"/>
  <c r="R805" i="3"/>
  <c r="AJ805" i="3" s="1"/>
  <c r="Q805" i="3"/>
  <c r="U804" i="3"/>
  <c r="T804" i="3"/>
  <c r="R804" i="3"/>
  <c r="AJ804" i="3" s="1"/>
  <c r="Q804" i="3"/>
  <c r="U803" i="3"/>
  <c r="T803" i="3"/>
  <c r="R803" i="3"/>
  <c r="AJ803" i="3" s="1"/>
  <c r="Q803" i="3"/>
  <c r="U802" i="3"/>
  <c r="T802" i="3"/>
  <c r="R802" i="3"/>
  <c r="AJ802" i="3" s="1"/>
  <c r="Q802" i="3"/>
  <c r="U801" i="3"/>
  <c r="T801" i="3"/>
  <c r="R801" i="3"/>
  <c r="AJ801" i="3" s="1"/>
  <c r="Q801" i="3"/>
  <c r="U800" i="3"/>
  <c r="T800" i="3"/>
  <c r="R800" i="3"/>
  <c r="AJ800" i="3" s="1"/>
  <c r="Q800" i="3"/>
  <c r="U799" i="3"/>
  <c r="T799" i="3"/>
  <c r="R799" i="3"/>
  <c r="AJ799" i="3" s="1"/>
  <c r="Q799" i="3"/>
  <c r="U798" i="3"/>
  <c r="T798" i="3"/>
  <c r="R798" i="3"/>
  <c r="AJ798" i="3" s="1"/>
  <c r="Q798" i="3"/>
  <c r="U797" i="3"/>
  <c r="T797" i="3"/>
  <c r="R797" i="3"/>
  <c r="AJ797" i="3" s="1"/>
  <c r="Q797" i="3"/>
  <c r="U796" i="3"/>
  <c r="T796" i="3"/>
  <c r="R796" i="3"/>
  <c r="AJ796" i="3" s="1"/>
  <c r="Q796" i="3"/>
  <c r="U795" i="3"/>
  <c r="T795" i="3"/>
  <c r="R795" i="3"/>
  <c r="AJ795" i="3" s="1"/>
  <c r="Q795" i="3"/>
  <c r="U794" i="3"/>
  <c r="T794" i="3"/>
  <c r="R794" i="3"/>
  <c r="AJ794" i="3" s="1"/>
  <c r="Q794" i="3"/>
  <c r="U793" i="3"/>
  <c r="T793" i="3"/>
  <c r="R793" i="3"/>
  <c r="AJ793" i="3" s="1"/>
  <c r="Q793" i="3"/>
  <c r="U792" i="3"/>
  <c r="T792" i="3"/>
  <c r="R792" i="3"/>
  <c r="AJ792" i="3" s="1"/>
  <c r="Q792" i="3"/>
  <c r="U791" i="3"/>
  <c r="T791" i="3"/>
  <c r="R791" i="3"/>
  <c r="AJ791" i="3" s="1"/>
  <c r="Q791" i="3"/>
  <c r="U790" i="3"/>
  <c r="T790" i="3"/>
  <c r="R790" i="3"/>
  <c r="AJ790" i="3" s="1"/>
  <c r="Q790" i="3"/>
  <c r="U789" i="3"/>
  <c r="T789" i="3"/>
  <c r="R789" i="3"/>
  <c r="AJ789" i="3" s="1"/>
  <c r="Q789" i="3"/>
  <c r="U788" i="3"/>
  <c r="T788" i="3"/>
  <c r="R788" i="3"/>
  <c r="AJ788" i="3" s="1"/>
  <c r="Q788" i="3"/>
  <c r="U787" i="3"/>
  <c r="T787" i="3"/>
  <c r="R787" i="3"/>
  <c r="AJ787" i="3" s="1"/>
  <c r="Q787" i="3"/>
  <c r="U786" i="3"/>
  <c r="T786" i="3"/>
  <c r="R786" i="3"/>
  <c r="AJ786" i="3" s="1"/>
  <c r="Q786" i="3"/>
  <c r="U785" i="3"/>
  <c r="T785" i="3"/>
  <c r="R785" i="3"/>
  <c r="AJ785" i="3" s="1"/>
  <c r="Q785" i="3"/>
  <c r="U784" i="3"/>
  <c r="T784" i="3"/>
  <c r="R784" i="3"/>
  <c r="AJ784" i="3" s="1"/>
  <c r="Q784" i="3"/>
  <c r="U783" i="3"/>
  <c r="T783" i="3"/>
  <c r="R783" i="3"/>
  <c r="AJ783" i="3" s="1"/>
  <c r="Q783" i="3"/>
  <c r="U782" i="3"/>
  <c r="T782" i="3"/>
  <c r="R782" i="3"/>
  <c r="AJ782" i="3" s="1"/>
  <c r="Q782" i="3"/>
  <c r="U781" i="3"/>
  <c r="T781" i="3"/>
  <c r="R781" i="3"/>
  <c r="AJ781" i="3" s="1"/>
  <c r="Q781" i="3"/>
  <c r="U780" i="3"/>
  <c r="T780" i="3"/>
  <c r="R780" i="3"/>
  <c r="AJ780" i="3" s="1"/>
  <c r="Q780" i="3"/>
  <c r="U779" i="3"/>
  <c r="T779" i="3"/>
  <c r="R779" i="3"/>
  <c r="AJ779" i="3" s="1"/>
  <c r="Q779" i="3"/>
  <c r="U778" i="3"/>
  <c r="T778" i="3"/>
  <c r="R778" i="3"/>
  <c r="AJ778" i="3" s="1"/>
  <c r="Q778" i="3"/>
  <c r="U777" i="3"/>
  <c r="T777" i="3"/>
  <c r="R777" i="3"/>
  <c r="AJ777" i="3" s="1"/>
  <c r="Q777" i="3"/>
  <c r="U776" i="3"/>
  <c r="T776" i="3"/>
  <c r="R776" i="3"/>
  <c r="AJ776" i="3" s="1"/>
  <c r="Q776" i="3"/>
  <c r="U775" i="3"/>
  <c r="T775" i="3"/>
  <c r="R775" i="3"/>
  <c r="AJ775" i="3" s="1"/>
  <c r="Q775" i="3"/>
  <c r="U774" i="3"/>
  <c r="T774" i="3"/>
  <c r="R774" i="3"/>
  <c r="AJ774" i="3" s="1"/>
  <c r="Q774" i="3"/>
  <c r="U773" i="3"/>
  <c r="T773" i="3"/>
  <c r="R773" i="3"/>
  <c r="AJ773" i="3" s="1"/>
  <c r="Q773" i="3"/>
  <c r="U772" i="3"/>
  <c r="T772" i="3"/>
  <c r="R772" i="3"/>
  <c r="AJ772" i="3" s="1"/>
  <c r="Q772" i="3"/>
  <c r="U771" i="3"/>
  <c r="T771" i="3"/>
  <c r="R771" i="3"/>
  <c r="AJ771" i="3" s="1"/>
  <c r="Q771" i="3"/>
  <c r="U770" i="3"/>
  <c r="T770" i="3"/>
  <c r="R770" i="3"/>
  <c r="AJ770" i="3" s="1"/>
  <c r="Q770" i="3"/>
  <c r="U769" i="3"/>
  <c r="T769" i="3"/>
  <c r="R769" i="3"/>
  <c r="AJ769" i="3" s="1"/>
  <c r="Q769" i="3"/>
  <c r="U768" i="3"/>
  <c r="T768" i="3"/>
  <c r="R768" i="3"/>
  <c r="AJ768" i="3" s="1"/>
  <c r="Q768" i="3"/>
  <c r="U767" i="3"/>
  <c r="T767" i="3"/>
  <c r="R767" i="3"/>
  <c r="AJ767" i="3" s="1"/>
  <c r="Q767" i="3"/>
  <c r="U766" i="3"/>
  <c r="T766" i="3"/>
  <c r="R766" i="3"/>
  <c r="AJ766" i="3" s="1"/>
  <c r="Q766" i="3"/>
  <c r="U765" i="3"/>
  <c r="T765" i="3"/>
  <c r="R765" i="3"/>
  <c r="AJ765" i="3" s="1"/>
  <c r="Q765" i="3"/>
  <c r="U764" i="3"/>
  <c r="T764" i="3"/>
  <c r="R764" i="3"/>
  <c r="AJ764" i="3" s="1"/>
  <c r="Q764" i="3"/>
  <c r="U763" i="3"/>
  <c r="T763" i="3"/>
  <c r="R763" i="3"/>
  <c r="AJ763" i="3" s="1"/>
  <c r="Q763" i="3"/>
  <c r="U762" i="3"/>
  <c r="T762" i="3"/>
  <c r="R762" i="3"/>
  <c r="AJ762" i="3" s="1"/>
  <c r="Q762" i="3"/>
  <c r="U761" i="3"/>
  <c r="T761" i="3"/>
  <c r="R761" i="3"/>
  <c r="AJ761" i="3" s="1"/>
  <c r="Q761" i="3"/>
  <c r="U760" i="3"/>
  <c r="T760" i="3"/>
  <c r="R760" i="3"/>
  <c r="AJ760" i="3" s="1"/>
  <c r="Q760" i="3"/>
  <c r="U759" i="3"/>
  <c r="T759" i="3"/>
  <c r="R759" i="3"/>
  <c r="AJ759" i="3" s="1"/>
  <c r="Q759" i="3"/>
  <c r="U758" i="3"/>
  <c r="T758" i="3"/>
  <c r="R758" i="3"/>
  <c r="AJ758" i="3" s="1"/>
  <c r="Q758" i="3"/>
  <c r="U757" i="3"/>
  <c r="T757" i="3"/>
  <c r="R757" i="3"/>
  <c r="AJ757" i="3" s="1"/>
  <c r="Q757" i="3"/>
  <c r="U756" i="3"/>
  <c r="T756" i="3"/>
  <c r="R756" i="3"/>
  <c r="AJ756" i="3" s="1"/>
  <c r="Q756" i="3"/>
  <c r="U755" i="3"/>
  <c r="T755" i="3"/>
  <c r="R755" i="3"/>
  <c r="AJ755" i="3" s="1"/>
  <c r="Q755" i="3"/>
  <c r="U754" i="3"/>
  <c r="T754" i="3"/>
  <c r="R754" i="3"/>
  <c r="AJ754" i="3" s="1"/>
  <c r="Q754" i="3"/>
  <c r="U753" i="3"/>
  <c r="T753" i="3"/>
  <c r="R753" i="3"/>
  <c r="AJ753" i="3" s="1"/>
  <c r="Q753" i="3"/>
  <c r="U752" i="3"/>
  <c r="T752" i="3"/>
  <c r="R752" i="3"/>
  <c r="AJ752" i="3" s="1"/>
  <c r="Q752" i="3"/>
  <c r="U751" i="3"/>
  <c r="T751" i="3"/>
  <c r="R751" i="3"/>
  <c r="AJ751" i="3" s="1"/>
  <c r="Q751" i="3"/>
  <c r="U750" i="3"/>
  <c r="T750" i="3"/>
  <c r="R750" i="3"/>
  <c r="AJ750" i="3" s="1"/>
  <c r="Q750" i="3"/>
  <c r="U749" i="3"/>
  <c r="T749" i="3"/>
  <c r="R749" i="3"/>
  <c r="AJ749" i="3" s="1"/>
  <c r="Q749" i="3"/>
  <c r="U748" i="3"/>
  <c r="T748" i="3"/>
  <c r="R748" i="3"/>
  <c r="AJ748" i="3" s="1"/>
  <c r="Q748" i="3"/>
  <c r="U747" i="3"/>
  <c r="T747" i="3"/>
  <c r="R747" i="3"/>
  <c r="AJ747" i="3" s="1"/>
  <c r="Q747" i="3"/>
  <c r="U746" i="3"/>
  <c r="T746" i="3"/>
  <c r="R746" i="3"/>
  <c r="AJ746" i="3" s="1"/>
  <c r="Q746" i="3"/>
  <c r="U745" i="3"/>
  <c r="T745" i="3"/>
  <c r="R745" i="3"/>
  <c r="AJ745" i="3" s="1"/>
  <c r="Q745" i="3"/>
  <c r="U744" i="3"/>
  <c r="T744" i="3"/>
  <c r="R744" i="3"/>
  <c r="AJ744" i="3" s="1"/>
  <c r="Q744" i="3"/>
  <c r="U743" i="3"/>
  <c r="T743" i="3"/>
  <c r="R743" i="3"/>
  <c r="AJ743" i="3" s="1"/>
  <c r="Q743" i="3"/>
  <c r="U742" i="3"/>
  <c r="T742" i="3"/>
  <c r="R742" i="3"/>
  <c r="AJ742" i="3" s="1"/>
  <c r="Q742" i="3"/>
  <c r="U741" i="3"/>
  <c r="T741" i="3"/>
  <c r="R741" i="3"/>
  <c r="AJ741" i="3" s="1"/>
  <c r="Q741" i="3"/>
  <c r="U740" i="3"/>
  <c r="T740" i="3"/>
  <c r="R740" i="3"/>
  <c r="AJ740" i="3" s="1"/>
  <c r="Q740" i="3"/>
  <c r="U739" i="3"/>
  <c r="T739" i="3"/>
  <c r="R739" i="3"/>
  <c r="AJ739" i="3" s="1"/>
  <c r="Q739" i="3"/>
  <c r="U738" i="3"/>
  <c r="T738" i="3"/>
  <c r="R738" i="3"/>
  <c r="AJ738" i="3" s="1"/>
  <c r="Q738" i="3"/>
  <c r="U737" i="3"/>
  <c r="T737" i="3"/>
  <c r="R737" i="3"/>
  <c r="AJ737" i="3" s="1"/>
  <c r="Q737" i="3"/>
  <c r="U736" i="3"/>
  <c r="T736" i="3"/>
  <c r="R736" i="3"/>
  <c r="AJ736" i="3" s="1"/>
  <c r="Q736" i="3"/>
  <c r="U735" i="3"/>
  <c r="T735" i="3"/>
  <c r="R735" i="3"/>
  <c r="AJ735" i="3" s="1"/>
  <c r="Q735" i="3"/>
  <c r="U734" i="3"/>
  <c r="T734" i="3"/>
  <c r="R734" i="3"/>
  <c r="AJ734" i="3" s="1"/>
  <c r="Q734" i="3"/>
  <c r="U733" i="3"/>
  <c r="T733" i="3"/>
  <c r="R733" i="3"/>
  <c r="AJ733" i="3" s="1"/>
  <c r="Q733" i="3"/>
  <c r="U732" i="3"/>
  <c r="T732" i="3"/>
  <c r="R732" i="3"/>
  <c r="AJ732" i="3" s="1"/>
  <c r="Q732" i="3"/>
  <c r="U731" i="3"/>
  <c r="T731" i="3"/>
  <c r="R731" i="3"/>
  <c r="AJ731" i="3" s="1"/>
  <c r="Q731" i="3"/>
  <c r="U730" i="3"/>
  <c r="T730" i="3"/>
  <c r="R730" i="3"/>
  <c r="AJ730" i="3" s="1"/>
  <c r="Q730" i="3"/>
  <c r="U729" i="3"/>
  <c r="T729" i="3"/>
  <c r="R729" i="3"/>
  <c r="AJ729" i="3" s="1"/>
  <c r="Q729" i="3"/>
  <c r="U728" i="3"/>
  <c r="T728" i="3"/>
  <c r="R728" i="3"/>
  <c r="AJ728" i="3" s="1"/>
  <c r="Q728" i="3"/>
  <c r="U727" i="3"/>
  <c r="T727" i="3"/>
  <c r="R727" i="3"/>
  <c r="AJ727" i="3" s="1"/>
  <c r="Q727" i="3"/>
  <c r="U726" i="3"/>
  <c r="T726" i="3"/>
  <c r="R726" i="3"/>
  <c r="AJ726" i="3" s="1"/>
  <c r="Q726" i="3"/>
  <c r="U725" i="3"/>
  <c r="T725" i="3"/>
  <c r="R725" i="3"/>
  <c r="AJ725" i="3" s="1"/>
  <c r="Q725" i="3"/>
  <c r="U724" i="3"/>
  <c r="T724" i="3"/>
  <c r="R724" i="3"/>
  <c r="AJ724" i="3" s="1"/>
  <c r="Q724" i="3"/>
  <c r="U723" i="3"/>
  <c r="T723" i="3"/>
  <c r="R723" i="3"/>
  <c r="AJ723" i="3" s="1"/>
  <c r="Q723" i="3"/>
  <c r="U722" i="3"/>
  <c r="T722" i="3"/>
  <c r="R722" i="3"/>
  <c r="AJ722" i="3" s="1"/>
  <c r="Q722" i="3"/>
  <c r="U721" i="3"/>
  <c r="T721" i="3"/>
  <c r="R721" i="3"/>
  <c r="AJ721" i="3" s="1"/>
  <c r="Q721" i="3"/>
  <c r="U720" i="3"/>
  <c r="T720" i="3"/>
  <c r="R720" i="3"/>
  <c r="AJ720" i="3" s="1"/>
  <c r="Q720" i="3"/>
  <c r="U719" i="3"/>
  <c r="T719" i="3"/>
  <c r="R719" i="3"/>
  <c r="AJ719" i="3" s="1"/>
  <c r="Q719" i="3"/>
  <c r="U718" i="3"/>
  <c r="T718" i="3"/>
  <c r="R718" i="3"/>
  <c r="AJ718" i="3" s="1"/>
  <c r="Q718" i="3"/>
  <c r="U717" i="3"/>
  <c r="T717" i="3"/>
  <c r="R717" i="3"/>
  <c r="AJ717" i="3" s="1"/>
  <c r="Q717" i="3"/>
  <c r="U716" i="3"/>
  <c r="T716" i="3"/>
  <c r="R716" i="3"/>
  <c r="AJ716" i="3" s="1"/>
  <c r="Q716" i="3"/>
  <c r="U715" i="3"/>
  <c r="T715" i="3"/>
  <c r="R715" i="3"/>
  <c r="AJ715" i="3" s="1"/>
  <c r="Q715" i="3"/>
  <c r="U714" i="3"/>
  <c r="T714" i="3"/>
  <c r="R714" i="3"/>
  <c r="AJ714" i="3" s="1"/>
  <c r="Q714" i="3"/>
  <c r="U713" i="3"/>
  <c r="T713" i="3"/>
  <c r="R713" i="3"/>
  <c r="AJ713" i="3" s="1"/>
  <c r="Q713" i="3"/>
  <c r="U712" i="3"/>
  <c r="T712" i="3"/>
  <c r="R712" i="3"/>
  <c r="AJ712" i="3" s="1"/>
  <c r="Q712" i="3"/>
  <c r="U711" i="3"/>
  <c r="T711" i="3"/>
  <c r="R711" i="3"/>
  <c r="AJ711" i="3" s="1"/>
  <c r="Q711" i="3"/>
  <c r="U710" i="3"/>
  <c r="T710" i="3"/>
  <c r="R710" i="3"/>
  <c r="AJ710" i="3" s="1"/>
  <c r="Q710" i="3"/>
  <c r="U709" i="3"/>
  <c r="T709" i="3"/>
  <c r="R709" i="3"/>
  <c r="AJ709" i="3" s="1"/>
  <c r="Q709" i="3"/>
  <c r="U708" i="3"/>
  <c r="T708" i="3"/>
  <c r="R708" i="3"/>
  <c r="AJ708" i="3" s="1"/>
  <c r="Q708" i="3"/>
  <c r="U707" i="3"/>
  <c r="T707" i="3"/>
  <c r="R707" i="3"/>
  <c r="AJ707" i="3" s="1"/>
  <c r="Q707" i="3"/>
  <c r="U706" i="3"/>
  <c r="T706" i="3"/>
  <c r="R706" i="3"/>
  <c r="AJ706" i="3" s="1"/>
  <c r="Q706" i="3"/>
  <c r="U705" i="3"/>
  <c r="T705" i="3"/>
  <c r="R705" i="3"/>
  <c r="AJ705" i="3" s="1"/>
  <c r="Q705" i="3"/>
  <c r="U704" i="3"/>
  <c r="T704" i="3"/>
  <c r="R704" i="3"/>
  <c r="AJ704" i="3" s="1"/>
  <c r="Q704" i="3"/>
  <c r="U703" i="3"/>
  <c r="T703" i="3"/>
  <c r="R703" i="3"/>
  <c r="AJ703" i="3" s="1"/>
  <c r="Q703" i="3"/>
  <c r="U702" i="3"/>
  <c r="T702" i="3"/>
  <c r="R702" i="3"/>
  <c r="AJ702" i="3" s="1"/>
  <c r="Q702" i="3"/>
  <c r="U701" i="3"/>
  <c r="T701" i="3"/>
  <c r="R701" i="3"/>
  <c r="AJ701" i="3" s="1"/>
  <c r="Q701" i="3"/>
  <c r="U700" i="3"/>
  <c r="T700" i="3"/>
  <c r="R700" i="3"/>
  <c r="AJ700" i="3" s="1"/>
  <c r="Q700" i="3"/>
  <c r="U699" i="3"/>
  <c r="T699" i="3"/>
  <c r="R699" i="3"/>
  <c r="AJ699" i="3" s="1"/>
  <c r="Q699" i="3"/>
  <c r="U698" i="3"/>
  <c r="T698" i="3"/>
  <c r="R698" i="3"/>
  <c r="AJ698" i="3" s="1"/>
  <c r="Q698" i="3"/>
  <c r="U697" i="3"/>
  <c r="T697" i="3"/>
  <c r="R697" i="3"/>
  <c r="AJ697" i="3" s="1"/>
  <c r="Q697" i="3"/>
  <c r="U696" i="3"/>
  <c r="T696" i="3"/>
  <c r="R696" i="3"/>
  <c r="AJ696" i="3" s="1"/>
  <c r="Q696" i="3"/>
  <c r="U695" i="3"/>
  <c r="T695" i="3"/>
  <c r="R695" i="3"/>
  <c r="AJ695" i="3" s="1"/>
  <c r="Q695" i="3"/>
  <c r="U694" i="3"/>
  <c r="T694" i="3"/>
  <c r="R694" i="3"/>
  <c r="AJ694" i="3" s="1"/>
  <c r="Q694" i="3"/>
  <c r="U693" i="3"/>
  <c r="T693" i="3"/>
  <c r="R693" i="3"/>
  <c r="AJ693" i="3" s="1"/>
  <c r="Q693" i="3"/>
  <c r="U692" i="3"/>
  <c r="T692" i="3"/>
  <c r="R692" i="3"/>
  <c r="AJ692" i="3" s="1"/>
  <c r="Q692" i="3"/>
  <c r="U691" i="3"/>
  <c r="T691" i="3"/>
  <c r="R691" i="3"/>
  <c r="AJ691" i="3" s="1"/>
  <c r="Q691" i="3"/>
  <c r="U690" i="3"/>
  <c r="T690" i="3"/>
  <c r="R690" i="3"/>
  <c r="AJ690" i="3" s="1"/>
  <c r="Q690" i="3"/>
  <c r="U689" i="3"/>
  <c r="T689" i="3"/>
  <c r="R689" i="3"/>
  <c r="AJ689" i="3" s="1"/>
  <c r="Q689" i="3"/>
  <c r="U688" i="3"/>
  <c r="T688" i="3"/>
  <c r="R688" i="3"/>
  <c r="AJ688" i="3" s="1"/>
  <c r="Q688" i="3"/>
  <c r="U687" i="3"/>
  <c r="T687" i="3"/>
  <c r="R687" i="3"/>
  <c r="AJ687" i="3" s="1"/>
  <c r="Q687" i="3"/>
  <c r="U686" i="3"/>
  <c r="T686" i="3"/>
  <c r="R686" i="3"/>
  <c r="AJ686" i="3" s="1"/>
  <c r="Q686" i="3"/>
  <c r="U685" i="3"/>
  <c r="T685" i="3"/>
  <c r="R685" i="3"/>
  <c r="AJ685" i="3" s="1"/>
  <c r="Q685" i="3"/>
  <c r="U684" i="3"/>
  <c r="T684" i="3"/>
  <c r="R684" i="3"/>
  <c r="AJ684" i="3" s="1"/>
  <c r="Q684" i="3"/>
  <c r="U683" i="3"/>
  <c r="T683" i="3"/>
  <c r="R683" i="3"/>
  <c r="AJ683" i="3" s="1"/>
  <c r="Q683" i="3"/>
  <c r="U682" i="3"/>
  <c r="T682" i="3"/>
  <c r="R682" i="3"/>
  <c r="AJ682" i="3" s="1"/>
  <c r="Q682" i="3"/>
  <c r="U681" i="3"/>
  <c r="T681" i="3"/>
  <c r="R681" i="3"/>
  <c r="AJ681" i="3" s="1"/>
  <c r="Q681" i="3"/>
  <c r="U680" i="3"/>
  <c r="T680" i="3"/>
  <c r="R680" i="3"/>
  <c r="AJ680" i="3" s="1"/>
  <c r="Q680" i="3"/>
  <c r="U679" i="3"/>
  <c r="T679" i="3"/>
  <c r="R679" i="3"/>
  <c r="AJ679" i="3" s="1"/>
  <c r="Q679" i="3"/>
  <c r="U678" i="3"/>
  <c r="T678" i="3"/>
  <c r="R678" i="3"/>
  <c r="AJ678" i="3" s="1"/>
  <c r="Q678" i="3"/>
  <c r="U677" i="3"/>
  <c r="T677" i="3"/>
  <c r="R677" i="3"/>
  <c r="AJ677" i="3" s="1"/>
  <c r="Q677" i="3"/>
  <c r="U676" i="3"/>
  <c r="T676" i="3"/>
  <c r="R676" i="3"/>
  <c r="AJ676" i="3" s="1"/>
  <c r="Q676" i="3"/>
  <c r="U675" i="3"/>
  <c r="T675" i="3"/>
  <c r="R675" i="3"/>
  <c r="AJ675" i="3" s="1"/>
  <c r="Q675" i="3"/>
  <c r="U674" i="3"/>
  <c r="T674" i="3"/>
  <c r="R674" i="3"/>
  <c r="AJ674" i="3" s="1"/>
  <c r="Q674" i="3"/>
  <c r="U673" i="3"/>
  <c r="T673" i="3"/>
  <c r="R673" i="3"/>
  <c r="AJ673" i="3" s="1"/>
  <c r="Q673" i="3"/>
  <c r="U672" i="3"/>
  <c r="T672" i="3"/>
  <c r="R672" i="3"/>
  <c r="AJ672" i="3" s="1"/>
  <c r="Q672" i="3"/>
  <c r="U671" i="3"/>
  <c r="T671" i="3"/>
  <c r="R671" i="3"/>
  <c r="AJ671" i="3" s="1"/>
  <c r="Q671" i="3"/>
  <c r="U670" i="3"/>
  <c r="T670" i="3"/>
  <c r="R670" i="3"/>
  <c r="AJ670" i="3" s="1"/>
  <c r="Q670" i="3"/>
  <c r="U669" i="3"/>
  <c r="T669" i="3"/>
  <c r="R669" i="3"/>
  <c r="AJ669" i="3" s="1"/>
  <c r="Q669" i="3"/>
  <c r="U668" i="3"/>
  <c r="T668" i="3"/>
  <c r="R668" i="3"/>
  <c r="AJ668" i="3" s="1"/>
  <c r="Q668" i="3"/>
  <c r="U667" i="3"/>
  <c r="T667" i="3"/>
  <c r="R667" i="3"/>
  <c r="AJ667" i="3" s="1"/>
  <c r="Q667" i="3"/>
  <c r="U666" i="3"/>
  <c r="T666" i="3"/>
  <c r="R666" i="3"/>
  <c r="AJ666" i="3" s="1"/>
  <c r="Q666" i="3"/>
  <c r="U665" i="3"/>
  <c r="T665" i="3"/>
  <c r="R665" i="3"/>
  <c r="AJ665" i="3" s="1"/>
  <c r="Q665" i="3"/>
  <c r="U664" i="3"/>
  <c r="T664" i="3"/>
  <c r="R664" i="3"/>
  <c r="AJ664" i="3" s="1"/>
  <c r="Q664" i="3"/>
  <c r="U663" i="3"/>
  <c r="T663" i="3"/>
  <c r="R663" i="3"/>
  <c r="AJ663" i="3" s="1"/>
  <c r="Q663" i="3"/>
  <c r="U662" i="3"/>
  <c r="T662" i="3"/>
  <c r="R662" i="3"/>
  <c r="AJ662" i="3" s="1"/>
  <c r="Q662" i="3"/>
  <c r="U661" i="3"/>
  <c r="T661" i="3"/>
  <c r="R661" i="3"/>
  <c r="AJ661" i="3" s="1"/>
  <c r="Q661" i="3"/>
  <c r="U660" i="3"/>
  <c r="T660" i="3"/>
  <c r="R660" i="3"/>
  <c r="AJ660" i="3" s="1"/>
  <c r="Q660" i="3"/>
  <c r="U659" i="3"/>
  <c r="T659" i="3"/>
  <c r="R659" i="3"/>
  <c r="AJ659" i="3" s="1"/>
  <c r="Q659" i="3"/>
  <c r="U658" i="3"/>
  <c r="T658" i="3"/>
  <c r="R658" i="3"/>
  <c r="AJ658" i="3" s="1"/>
  <c r="Q658" i="3"/>
  <c r="U657" i="3"/>
  <c r="T657" i="3"/>
  <c r="R657" i="3"/>
  <c r="AJ657" i="3" s="1"/>
  <c r="Q657" i="3"/>
  <c r="U656" i="3"/>
  <c r="T656" i="3"/>
  <c r="R656" i="3"/>
  <c r="AJ656" i="3" s="1"/>
  <c r="Q656" i="3"/>
  <c r="U655" i="3"/>
  <c r="T655" i="3"/>
  <c r="R655" i="3"/>
  <c r="AJ655" i="3" s="1"/>
  <c r="Q655" i="3"/>
  <c r="U654" i="3"/>
  <c r="T654" i="3"/>
  <c r="R654" i="3"/>
  <c r="AJ654" i="3" s="1"/>
  <c r="Q654" i="3"/>
  <c r="U653" i="3"/>
  <c r="T653" i="3"/>
  <c r="R653" i="3"/>
  <c r="AJ653" i="3" s="1"/>
  <c r="Q653" i="3"/>
  <c r="U652" i="3"/>
  <c r="T652" i="3"/>
  <c r="R652" i="3"/>
  <c r="AJ652" i="3" s="1"/>
  <c r="Q652" i="3"/>
  <c r="U651" i="3"/>
  <c r="T651" i="3"/>
  <c r="R651" i="3"/>
  <c r="AJ651" i="3" s="1"/>
  <c r="Q651" i="3"/>
  <c r="U650" i="3"/>
  <c r="T650" i="3"/>
  <c r="R650" i="3"/>
  <c r="AJ650" i="3" s="1"/>
  <c r="Q650" i="3"/>
  <c r="U649" i="3"/>
  <c r="T649" i="3"/>
  <c r="R649" i="3"/>
  <c r="AJ649" i="3" s="1"/>
  <c r="Q649" i="3"/>
  <c r="U648" i="3"/>
  <c r="T648" i="3"/>
  <c r="R648" i="3"/>
  <c r="AJ648" i="3" s="1"/>
  <c r="Q648" i="3"/>
  <c r="U647" i="3"/>
  <c r="T647" i="3"/>
  <c r="R647" i="3"/>
  <c r="AJ647" i="3" s="1"/>
  <c r="Q647" i="3"/>
  <c r="U646" i="3"/>
  <c r="T646" i="3"/>
  <c r="R646" i="3"/>
  <c r="AJ646" i="3" s="1"/>
  <c r="Q646" i="3"/>
  <c r="U645" i="3"/>
  <c r="T645" i="3"/>
  <c r="R645" i="3"/>
  <c r="AJ645" i="3" s="1"/>
  <c r="Q645" i="3"/>
  <c r="U644" i="3"/>
  <c r="T644" i="3"/>
  <c r="R644" i="3"/>
  <c r="AJ644" i="3" s="1"/>
  <c r="Q644" i="3"/>
  <c r="U643" i="3"/>
  <c r="T643" i="3"/>
  <c r="R643" i="3"/>
  <c r="AJ643" i="3" s="1"/>
  <c r="Q643" i="3"/>
  <c r="U642" i="3"/>
  <c r="T642" i="3"/>
  <c r="R642" i="3"/>
  <c r="AJ642" i="3" s="1"/>
  <c r="Q642" i="3"/>
  <c r="U641" i="3"/>
  <c r="T641" i="3"/>
  <c r="R641" i="3"/>
  <c r="AJ641" i="3" s="1"/>
  <c r="Q641" i="3"/>
  <c r="U640" i="3"/>
  <c r="T640" i="3"/>
  <c r="R640" i="3"/>
  <c r="AJ640" i="3" s="1"/>
  <c r="Q640" i="3"/>
  <c r="U639" i="3"/>
  <c r="T639" i="3"/>
  <c r="R639" i="3"/>
  <c r="AJ639" i="3" s="1"/>
  <c r="Q639" i="3"/>
  <c r="U638" i="3"/>
  <c r="T638" i="3"/>
  <c r="R638" i="3"/>
  <c r="AJ638" i="3" s="1"/>
  <c r="Q638" i="3"/>
  <c r="U637" i="3"/>
  <c r="T637" i="3"/>
  <c r="R637" i="3"/>
  <c r="AJ637" i="3" s="1"/>
  <c r="Q637" i="3"/>
  <c r="U636" i="3"/>
  <c r="T636" i="3"/>
  <c r="R636" i="3"/>
  <c r="AJ636" i="3" s="1"/>
  <c r="Q636" i="3"/>
  <c r="U635" i="3"/>
  <c r="T635" i="3"/>
  <c r="R635" i="3"/>
  <c r="AJ635" i="3" s="1"/>
  <c r="Q635" i="3"/>
  <c r="U634" i="3"/>
  <c r="T634" i="3"/>
  <c r="R634" i="3"/>
  <c r="AJ634" i="3" s="1"/>
  <c r="Q634" i="3"/>
  <c r="U633" i="3"/>
  <c r="T633" i="3"/>
  <c r="R633" i="3"/>
  <c r="AJ633" i="3" s="1"/>
  <c r="Q633" i="3"/>
  <c r="U632" i="3"/>
  <c r="T632" i="3"/>
  <c r="R632" i="3"/>
  <c r="AJ632" i="3" s="1"/>
  <c r="Q632" i="3"/>
  <c r="U631" i="3"/>
  <c r="T631" i="3"/>
  <c r="R631" i="3"/>
  <c r="AJ631" i="3" s="1"/>
  <c r="Q631" i="3"/>
  <c r="U630" i="3"/>
  <c r="T630" i="3"/>
  <c r="R630" i="3"/>
  <c r="AJ630" i="3" s="1"/>
  <c r="Q630" i="3"/>
  <c r="U629" i="3"/>
  <c r="T629" i="3"/>
  <c r="R629" i="3"/>
  <c r="AJ629" i="3" s="1"/>
  <c r="Q629" i="3"/>
  <c r="U628" i="3"/>
  <c r="T628" i="3"/>
  <c r="R628" i="3"/>
  <c r="AJ628" i="3" s="1"/>
  <c r="Q628" i="3"/>
  <c r="U627" i="3"/>
  <c r="T627" i="3"/>
  <c r="R627" i="3"/>
  <c r="AJ627" i="3" s="1"/>
  <c r="Q627" i="3"/>
  <c r="U626" i="3"/>
  <c r="T626" i="3"/>
  <c r="R626" i="3"/>
  <c r="AJ626" i="3" s="1"/>
  <c r="Q626" i="3"/>
  <c r="U625" i="3"/>
  <c r="T625" i="3"/>
  <c r="R625" i="3"/>
  <c r="AJ625" i="3" s="1"/>
  <c r="Q625" i="3"/>
  <c r="U624" i="3"/>
  <c r="T624" i="3"/>
  <c r="R624" i="3"/>
  <c r="AJ624" i="3" s="1"/>
  <c r="Q624" i="3"/>
  <c r="U623" i="3"/>
  <c r="T623" i="3"/>
  <c r="R623" i="3"/>
  <c r="AJ623" i="3" s="1"/>
  <c r="Q623" i="3"/>
  <c r="U622" i="3"/>
  <c r="T622" i="3"/>
  <c r="R622" i="3"/>
  <c r="AJ622" i="3" s="1"/>
  <c r="Q622" i="3"/>
  <c r="U621" i="3"/>
  <c r="T621" i="3"/>
  <c r="R621" i="3"/>
  <c r="AJ621" i="3" s="1"/>
  <c r="Q621" i="3"/>
  <c r="U620" i="3"/>
  <c r="T620" i="3"/>
  <c r="R620" i="3"/>
  <c r="AJ620" i="3" s="1"/>
  <c r="Q620" i="3"/>
  <c r="U619" i="3"/>
  <c r="T619" i="3"/>
  <c r="R619" i="3"/>
  <c r="AJ619" i="3" s="1"/>
  <c r="Q619" i="3"/>
  <c r="U618" i="3"/>
  <c r="T618" i="3"/>
  <c r="R618" i="3"/>
  <c r="AJ618" i="3" s="1"/>
  <c r="Q618" i="3"/>
  <c r="U617" i="3"/>
  <c r="T617" i="3"/>
  <c r="R617" i="3"/>
  <c r="AJ617" i="3" s="1"/>
  <c r="Q617" i="3"/>
  <c r="U616" i="3"/>
  <c r="T616" i="3"/>
  <c r="R616" i="3"/>
  <c r="AJ616" i="3" s="1"/>
  <c r="Q616" i="3"/>
  <c r="U615" i="3"/>
  <c r="T615" i="3"/>
  <c r="R615" i="3"/>
  <c r="AJ615" i="3" s="1"/>
  <c r="Q615" i="3"/>
  <c r="U614" i="3"/>
  <c r="T614" i="3"/>
  <c r="R614" i="3"/>
  <c r="AJ614" i="3" s="1"/>
  <c r="Q614" i="3"/>
  <c r="U613" i="3"/>
  <c r="T613" i="3"/>
  <c r="R613" i="3"/>
  <c r="AJ613" i="3" s="1"/>
  <c r="Q613" i="3"/>
  <c r="U612" i="3"/>
  <c r="T612" i="3"/>
  <c r="R612" i="3"/>
  <c r="AJ612" i="3" s="1"/>
  <c r="Q612" i="3"/>
  <c r="U611" i="3"/>
  <c r="T611" i="3"/>
  <c r="R611" i="3"/>
  <c r="AJ611" i="3" s="1"/>
  <c r="Q611" i="3"/>
  <c r="U610" i="3"/>
  <c r="T610" i="3"/>
  <c r="R610" i="3"/>
  <c r="AJ610" i="3" s="1"/>
  <c r="Q610" i="3"/>
  <c r="U609" i="3"/>
  <c r="T609" i="3"/>
  <c r="R609" i="3"/>
  <c r="AJ609" i="3" s="1"/>
  <c r="Q609" i="3"/>
  <c r="U608" i="3"/>
  <c r="T608" i="3"/>
  <c r="R608" i="3"/>
  <c r="AJ608" i="3" s="1"/>
  <c r="Q608" i="3"/>
  <c r="U607" i="3"/>
  <c r="T607" i="3"/>
  <c r="R607" i="3"/>
  <c r="AJ607" i="3" s="1"/>
  <c r="Q607" i="3"/>
  <c r="U606" i="3"/>
  <c r="T606" i="3"/>
  <c r="R606" i="3"/>
  <c r="AJ606" i="3" s="1"/>
  <c r="Q606" i="3"/>
  <c r="U605" i="3"/>
  <c r="T605" i="3"/>
  <c r="R605" i="3"/>
  <c r="AJ605" i="3" s="1"/>
  <c r="Q605" i="3"/>
  <c r="U604" i="3"/>
  <c r="T604" i="3"/>
  <c r="R604" i="3"/>
  <c r="AJ604" i="3" s="1"/>
  <c r="Q604" i="3"/>
  <c r="U603" i="3"/>
  <c r="T603" i="3"/>
  <c r="R603" i="3"/>
  <c r="AJ603" i="3" s="1"/>
  <c r="Q603" i="3"/>
  <c r="U602" i="3"/>
  <c r="T602" i="3"/>
  <c r="R602" i="3"/>
  <c r="AJ602" i="3" s="1"/>
  <c r="Q602" i="3"/>
  <c r="U601" i="3"/>
  <c r="T601" i="3"/>
  <c r="R601" i="3"/>
  <c r="AJ601" i="3" s="1"/>
  <c r="Q601" i="3"/>
  <c r="U600" i="3"/>
  <c r="T600" i="3"/>
  <c r="R600" i="3"/>
  <c r="AJ600" i="3" s="1"/>
  <c r="Q600" i="3"/>
  <c r="U599" i="3"/>
  <c r="T599" i="3"/>
  <c r="R599" i="3"/>
  <c r="AJ599" i="3" s="1"/>
  <c r="Q599" i="3"/>
  <c r="U598" i="3"/>
  <c r="T598" i="3"/>
  <c r="R598" i="3"/>
  <c r="AJ598" i="3" s="1"/>
  <c r="Q598" i="3"/>
  <c r="U597" i="3"/>
  <c r="T597" i="3"/>
  <c r="R597" i="3"/>
  <c r="AJ597" i="3" s="1"/>
  <c r="Q597" i="3"/>
  <c r="U596" i="3"/>
  <c r="T596" i="3"/>
  <c r="R596" i="3"/>
  <c r="AJ596" i="3" s="1"/>
  <c r="Q596" i="3"/>
  <c r="U595" i="3"/>
  <c r="T595" i="3"/>
  <c r="R595" i="3"/>
  <c r="AJ595" i="3" s="1"/>
  <c r="Q595" i="3"/>
  <c r="U594" i="3"/>
  <c r="T594" i="3"/>
  <c r="R594" i="3"/>
  <c r="AJ594" i="3" s="1"/>
  <c r="Q594" i="3"/>
  <c r="U593" i="3"/>
  <c r="T593" i="3"/>
  <c r="R593" i="3"/>
  <c r="AJ593" i="3" s="1"/>
  <c r="Q593" i="3"/>
  <c r="U592" i="3"/>
  <c r="T592" i="3"/>
  <c r="R592" i="3"/>
  <c r="AJ592" i="3" s="1"/>
  <c r="Q592" i="3"/>
  <c r="U591" i="3"/>
  <c r="T591" i="3"/>
  <c r="R591" i="3"/>
  <c r="AJ591" i="3" s="1"/>
  <c r="Q591" i="3"/>
  <c r="U590" i="3"/>
  <c r="T590" i="3"/>
  <c r="R590" i="3"/>
  <c r="AJ590" i="3" s="1"/>
  <c r="Q590" i="3"/>
  <c r="U589" i="3"/>
  <c r="T589" i="3"/>
  <c r="R589" i="3"/>
  <c r="AJ589" i="3" s="1"/>
  <c r="Q589" i="3"/>
  <c r="U588" i="3"/>
  <c r="T588" i="3"/>
  <c r="R588" i="3"/>
  <c r="AJ588" i="3" s="1"/>
  <c r="Q588" i="3"/>
  <c r="U587" i="3"/>
  <c r="T587" i="3"/>
  <c r="R587" i="3"/>
  <c r="AJ587" i="3" s="1"/>
  <c r="Q587" i="3"/>
  <c r="U586" i="3"/>
  <c r="T586" i="3"/>
  <c r="R586" i="3"/>
  <c r="AJ586" i="3" s="1"/>
  <c r="Q586" i="3"/>
  <c r="U585" i="3"/>
  <c r="T585" i="3"/>
  <c r="R585" i="3"/>
  <c r="AJ585" i="3" s="1"/>
  <c r="Q585" i="3"/>
  <c r="U584" i="3"/>
  <c r="T584" i="3"/>
  <c r="R584" i="3"/>
  <c r="AJ584" i="3" s="1"/>
  <c r="Q584" i="3"/>
  <c r="U583" i="3"/>
  <c r="T583" i="3"/>
  <c r="R583" i="3"/>
  <c r="AJ583" i="3" s="1"/>
  <c r="Q583" i="3"/>
  <c r="U582" i="3"/>
  <c r="T582" i="3"/>
  <c r="R582" i="3"/>
  <c r="AJ582" i="3" s="1"/>
  <c r="Q582" i="3"/>
  <c r="U581" i="3"/>
  <c r="T581" i="3"/>
  <c r="R581" i="3"/>
  <c r="AJ581" i="3" s="1"/>
  <c r="Q581" i="3"/>
  <c r="U580" i="3"/>
  <c r="T580" i="3"/>
  <c r="R580" i="3"/>
  <c r="AJ580" i="3" s="1"/>
  <c r="Q580" i="3"/>
  <c r="U579" i="3"/>
  <c r="T579" i="3"/>
  <c r="R579" i="3"/>
  <c r="AJ579" i="3" s="1"/>
  <c r="Q579" i="3"/>
  <c r="U578" i="3"/>
  <c r="T578" i="3"/>
  <c r="R578" i="3"/>
  <c r="AJ578" i="3" s="1"/>
  <c r="Q578" i="3"/>
  <c r="U577" i="3"/>
  <c r="T577" i="3"/>
  <c r="R577" i="3"/>
  <c r="AJ577" i="3" s="1"/>
  <c r="Q577" i="3"/>
  <c r="U576" i="3"/>
  <c r="T576" i="3"/>
  <c r="R576" i="3"/>
  <c r="AJ576" i="3" s="1"/>
  <c r="Q576" i="3"/>
  <c r="U575" i="3"/>
  <c r="T575" i="3"/>
  <c r="R575" i="3"/>
  <c r="AJ575" i="3" s="1"/>
  <c r="Q575" i="3"/>
  <c r="U574" i="3"/>
  <c r="T574" i="3"/>
  <c r="R574" i="3"/>
  <c r="AJ574" i="3" s="1"/>
  <c r="Q574" i="3"/>
  <c r="U573" i="3"/>
  <c r="T573" i="3"/>
  <c r="R573" i="3"/>
  <c r="AJ573" i="3" s="1"/>
  <c r="Q573" i="3"/>
  <c r="U572" i="3"/>
  <c r="T572" i="3"/>
  <c r="R572" i="3"/>
  <c r="AJ572" i="3" s="1"/>
  <c r="Q572" i="3"/>
  <c r="U571" i="3"/>
  <c r="T571" i="3"/>
  <c r="R571" i="3"/>
  <c r="AJ571" i="3" s="1"/>
  <c r="Q571" i="3"/>
  <c r="U570" i="3"/>
  <c r="T570" i="3"/>
  <c r="R570" i="3"/>
  <c r="AJ570" i="3" s="1"/>
  <c r="Q570" i="3"/>
  <c r="U569" i="3"/>
  <c r="T569" i="3"/>
  <c r="R569" i="3"/>
  <c r="AJ569" i="3" s="1"/>
  <c r="Q569" i="3"/>
  <c r="U568" i="3"/>
  <c r="T568" i="3"/>
  <c r="R568" i="3"/>
  <c r="AJ568" i="3" s="1"/>
  <c r="Q568" i="3"/>
  <c r="U567" i="3"/>
  <c r="T567" i="3"/>
  <c r="R567" i="3"/>
  <c r="AJ567" i="3" s="1"/>
  <c r="Q567" i="3"/>
  <c r="U566" i="3"/>
  <c r="T566" i="3"/>
  <c r="R566" i="3"/>
  <c r="AJ566" i="3" s="1"/>
  <c r="Q566" i="3"/>
  <c r="U565" i="3"/>
  <c r="T565" i="3"/>
  <c r="R565" i="3"/>
  <c r="AJ565" i="3" s="1"/>
  <c r="Q565" i="3"/>
  <c r="U564" i="3"/>
  <c r="T564" i="3"/>
  <c r="R564" i="3"/>
  <c r="AJ564" i="3" s="1"/>
  <c r="Q564" i="3"/>
  <c r="U563" i="3"/>
  <c r="T563" i="3"/>
  <c r="R563" i="3"/>
  <c r="AJ563" i="3" s="1"/>
  <c r="Q563" i="3"/>
  <c r="U562" i="3"/>
  <c r="T562" i="3"/>
  <c r="R562" i="3"/>
  <c r="AJ562" i="3" s="1"/>
  <c r="Q562" i="3"/>
  <c r="U561" i="3"/>
  <c r="T561" i="3"/>
  <c r="R561" i="3"/>
  <c r="AJ561" i="3" s="1"/>
  <c r="Q561" i="3"/>
  <c r="U560" i="3"/>
  <c r="T560" i="3"/>
  <c r="R560" i="3"/>
  <c r="AJ560" i="3" s="1"/>
  <c r="Q560" i="3"/>
  <c r="U559" i="3"/>
  <c r="T559" i="3"/>
  <c r="R559" i="3"/>
  <c r="AJ559" i="3" s="1"/>
  <c r="Q559" i="3"/>
  <c r="U558" i="3"/>
  <c r="T558" i="3"/>
  <c r="R558" i="3"/>
  <c r="AJ558" i="3" s="1"/>
  <c r="Q558" i="3"/>
  <c r="U557" i="3"/>
  <c r="T557" i="3"/>
  <c r="R557" i="3"/>
  <c r="AJ557" i="3" s="1"/>
  <c r="Q557" i="3"/>
  <c r="U556" i="3"/>
  <c r="T556" i="3"/>
  <c r="R556" i="3"/>
  <c r="AJ556" i="3" s="1"/>
  <c r="Q556" i="3"/>
  <c r="U555" i="3"/>
  <c r="T555" i="3"/>
  <c r="R555" i="3"/>
  <c r="AJ555" i="3" s="1"/>
  <c r="Q555" i="3"/>
  <c r="U554" i="3"/>
  <c r="T554" i="3"/>
  <c r="R554" i="3"/>
  <c r="AJ554" i="3" s="1"/>
  <c r="Q554" i="3"/>
  <c r="U553" i="3"/>
  <c r="T553" i="3"/>
  <c r="R553" i="3"/>
  <c r="AJ553" i="3" s="1"/>
  <c r="Q553" i="3"/>
  <c r="U552" i="3"/>
  <c r="T552" i="3"/>
  <c r="R552" i="3"/>
  <c r="AJ552" i="3" s="1"/>
  <c r="Q552" i="3"/>
  <c r="U551" i="3"/>
  <c r="T551" i="3"/>
  <c r="R551" i="3"/>
  <c r="AJ551" i="3" s="1"/>
  <c r="Q551" i="3"/>
  <c r="U550" i="3"/>
  <c r="T550" i="3"/>
  <c r="R550" i="3"/>
  <c r="AJ550" i="3" s="1"/>
  <c r="Q550" i="3"/>
  <c r="U549" i="3"/>
  <c r="T549" i="3"/>
  <c r="R549" i="3"/>
  <c r="AJ549" i="3" s="1"/>
  <c r="Q549" i="3"/>
  <c r="U548" i="3"/>
  <c r="T548" i="3"/>
  <c r="R548" i="3"/>
  <c r="AJ548" i="3" s="1"/>
  <c r="Q548" i="3"/>
  <c r="U547" i="3"/>
  <c r="T547" i="3"/>
  <c r="R547" i="3"/>
  <c r="AJ547" i="3" s="1"/>
  <c r="Q547" i="3"/>
  <c r="U546" i="3"/>
  <c r="T546" i="3"/>
  <c r="R546" i="3"/>
  <c r="AJ546" i="3" s="1"/>
  <c r="Q546" i="3"/>
  <c r="U545" i="3"/>
  <c r="T545" i="3"/>
  <c r="R545" i="3"/>
  <c r="AJ545" i="3" s="1"/>
  <c r="Q545" i="3"/>
  <c r="U544" i="3"/>
  <c r="T544" i="3"/>
  <c r="R544" i="3"/>
  <c r="AJ544" i="3" s="1"/>
  <c r="Q544" i="3"/>
  <c r="U543" i="3"/>
  <c r="T543" i="3"/>
  <c r="R543" i="3"/>
  <c r="AJ543" i="3" s="1"/>
  <c r="Q543" i="3"/>
  <c r="U542" i="3"/>
  <c r="T542" i="3"/>
  <c r="R542" i="3"/>
  <c r="AJ542" i="3" s="1"/>
  <c r="Q542" i="3"/>
  <c r="U541" i="3"/>
  <c r="T541" i="3"/>
  <c r="R541" i="3"/>
  <c r="AJ541" i="3" s="1"/>
  <c r="Q541" i="3"/>
  <c r="U540" i="3"/>
  <c r="T540" i="3"/>
  <c r="R540" i="3"/>
  <c r="AJ540" i="3" s="1"/>
  <c r="Q540" i="3"/>
  <c r="U539" i="3"/>
  <c r="T539" i="3"/>
  <c r="R539" i="3"/>
  <c r="AJ539" i="3" s="1"/>
  <c r="Q539" i="3"/>
  <c r="U538" i="3"/>
  <c r="T538" i="3"/>
  <c r="R538" i="3"/>
  <c r="AJ538" i="3" s="1"/>
  <c r="Q538" i="3"/>
  <c r="U537" i="3"/>
  <c r="T537" i="3"/>
  <c r="R537" i="3"/>
  <c r="AJ537" i="3" s="1"/>
  <c r="Q537" i="3"/>
  <c r="U536" i="3"/>
  <c r="T536" i="3"/>
  <c r="R536" i="3"/>
  <c r="AJ536" i="3" s="1"/>
  <c r="Q536" i="3"/>
  <c r="U535" i="3"/>
  <c r="T535" i="3"/>
  <c r="R535" i="3"/>
  <c r="AJ535" i="3" s="1"/>
  <c r="Q535" i="3"/>
  <c r="U534" i="3"/>
  <c r="T534" i="3"/>
  <c r="R534" i="3"/>
  <c r="AJ534" i="3" s="1"/>
  <c r="Q534" i="3"/>
  <c r="U533" i="3"/>
  <c r="T533" i="3"/>
  <c r="R533" i="3"/>
  <c r="AJ533" i="3" s="1"/>
  <c r="Q533" i="3"/>
  <c r="U532" i="3"/>
  <c r="T532" i="3"/>
  <c r="R532" i="3"/>
  <c r="AJ532" i="3" s="1"/>
  <c r="Q532" i="3"/>
  <c r="U531" i="3"/>
  <c r="T531" i="3"/>
  <c r="R531" i="3"/>
  <c r="AJ531" i="3" s="1"/>
  <c r="Q531" i="3"/>
  <c r="U530" i="3"/>
  <c r="T530" i="3"/>
  <c r="R530" i="3"/>
  <c r="AJ530" i="3" s="1"/>
  <c r="Q530" i="3"/>
  <c r="U529" i="3"/>
  <c r="T529" i="3"/>
  <c r="R529" i="3"/>
  <c r="AJ529" i="3" s="1"/>
  <c r="Q529" i="3"/>
  <c r="U528" i="3"/>
  <c r="T528" i="3"/>
  <c r="R528" i="3"/>
  <c r="AJ528" i="3" s="1"/>
  <c r="Q528" i="3"/>
  <c r="U527" i="3"/>
  <c r="T527" i="3"/>
  <c r="R527" i="3"/>
  <c r="AJ527" i="3" s="1"/>
  <c r="Q527" i="3"/>
  <c r="U526" i="3"/>
  <c r="T526" i="3"/>
  <c r="R526" i="3"/>
  <c r="AJ526" i="3" s="1"/>
  <c r="Q526" i="3"/>
  <c r="U525" i="3"/>
  <c r="T525" i="3"/>
  <c r="R525" i="3"/>
  <c r="AJ525" i="3" s="1"/>
  <c r="Q525" i="3"/>
  <c r="U524" i="3"/>
  <c r="T524" i="3"/>
  <c r="R524" i="3"/>
  <c r="AJ524" i="3" s="1"/>
  <c r="Q524" i="3"/>
  <c r="U523" i="3"/>
  <c r="T523" i="3"/>
  <c r="R523" i="3"/>
  <c r="AJ523" i="3" s="1"/>
  <c r="Q523" i="3"/>
  <c r="U522" i="3"/>
  <c r="T522" i="3"/>
  <c r="R522" i="3"/>
  <c r="AJ522" i="3" s="1"/>
  <c r="Q522" i="3"/>
  <c r="U521" i="3"/>
  <c r="T521" i="3"/>
  <c r="R521" i="3"/>
  <c r="AJ521" i="3" s="1"/>
  <c r="Q521" i="3"/>
  <c r="U520" i="3"/>
  <c r="T520" i="3"/>
  <c r="R520" i="3"/>
  <c r="AJ520" i="3" s="1"/>
  <c r="Q520" i="3"/>
  <c r="U519" i="3"/>
  <c r="T519" i="3"/>
  <c r="R519" i="3"/>
  <c r="AJ519" i="3" s="1"/>
  <c r="Q519" i="3"/>
  <c r="U518" i="3"/>
  <c r="T518" i="3"/>
  <c r="R518" i="3"/>
  <c r="AJ518" i="3" s="1"/>
  <c r="Q518" i="3"/>
  <c r="U517" i="3"/>
  <c r="T517" i="3"/>
  <c r="R517" i="3"/>
  <c r="AJ517" i="3" s="1"/>
  <c r="Q517" i="3"/>
  <c r="U516" i="3"/>
  <c r="T516" i="3"/>
  <c r="R516" i="3"/>
  <c r="AJ516" i="3" s="1"/>
  <c r="Q516" i="3"/>
  <c r="U515" i="3"/>
  <c r="T515" i="3"/>
  <c r="R515" i="3"/>
  <c r="AJ515" i="3" s="1"/>
  <c r="Q515" i="3"/>
  <c r="U514" i="3"/>
  <c r="T514" i="3"/>
  <c r="R514" i="3"/>
  <c r="AJ514" i="3" s="1"/>
  <c r="Q514" i="3"/>
  <c r="U513" i="3"/>
  <c r="T513" i="3"/>
  <c r="R513" i="3"/>
  <c r="AJ513" i="3" s="1"/>
  <c r="Q513" i="3"/>
  <c r="U512" i="3"/>
  <c r="T512" i="3"/>
  <c r="R512" i="3"/>
  <c r="AJ512" i="3" s="1"/>
  <c r="Q512" i="3"/>
  <c r="U511" i="3"/>
  <c r="T511" i="3"/>
  <c r="R511" i="3"/>
  <c r="AJ511" i="3" s="1"/>
  <c r="Q511" i="3"/>
  <c r="U510" i="3"/>
  <c r="T510" i="3"/>
  <c r="R510" i="3"/>
  <c r="AJ510" i="3" s="1"/>
  <c r="Q510" i="3"/>
  <c r="U509" i="3"/>
  <c r="T509" i="3"/>
  <c r="R509" i="3"/>
  <c r="AJ509" i="3" s="1"/>
  <c r="Q509" i="3"/>
  <c r="U508" i="3"/>
  <c r="T508" i="3"/>
  <c r="R508" i="3"/>
  <c r="AJ508" i="3" s="1"/>
  <c r="Q508" i="3"/>
  <c r="U507" i="3"/>
  <c r="T507" i="3"/>
  <c r="R507" i="3"/>
  <c r="AJ507" i="3" s="1"/>
  <c r="Q507" i="3"/>
  <c r="U506" i="3"/>
  <c r="T506" i="3"/>
  <c r="R506" i="3"/>
  <c r="AJ506" i="3" s="1"/>
  <c r="Q506" i="3"/>
  <c r="U505" i="3"/>
  <c r="T505" i="3"/>
  <c r="R505" i="3"/>
  <c r="AJ505" i="3" s="1"/>
  <c r="Q505" i="3"/>
  <c r="U504" i="3"/>
  <c r="T504" i="3"/>
  <c r="R504" i="3"/>
  <c r="AJ504" i="3" s="1"/>
  <c r="Q504" i="3"/>
  <c r="U503" i="3"/>
  <c r="T503" i="3"/>
  <c r="R503" i="3"/>
  <c r="AJ503" i="3" s="1"/>
  <c r="Q503" i="3"/>
  <c r="U502" i="3"/>
  <c r="T502" i="3"/>
  <c r="R502" i="3"/>
  <c r="AJ502" i="3" s="1"/>
  <c r="Q502" i="3"/>
  <c r="U501" i="3"/>
  <c r="T501" i="3"/>
  <c r="R501" i="3"/>
  <c r="AJ501" i="3" s="1"/>
  <c r="Q501" i="3"/>
  <c r="U500" i="3"/>
  <c r="T500" i="3"/>
  <c r="R500" i="3"/>
  <c r="AJ500" i="3" s="1"/>
  <c r="Q500" i="3"/>
  <c r="U499" i="3"/>
  <c r="T499" i="3"/>
  <c r="R499" i="3"/>
  <c r="AJ499" i="3" s="1"/>
  <c r="Q499" i="3"/>
  <c r="U498" i="3"/>
  <c r="T498" i="3"/>
  <c r="R498" i="3"/>
  <c r="AJ498" i="3" s="1"/>
  <c r="Q498" i="3"/>
  <c r="U497" i="3"/>
  <c r="T497" i="3"/>
  <c r="R497" i="3"/>
  <c r="AJ497" i="3" s="1"/>
  <c r="Q497" i="3"/>
  <c r="U496" i="3"/>
  <c r="T496" i="3"/>
  <c r="R496" i="3"/>
  <c r="AJ496" i="3" s="1"/>
  <c r="Q496" i="3"/>
  <c r="U495" i="3"/>
  <c r="T495" i="3"/>
  <c r="R495" i="3"/>
  <c r="AJ495" i="3" s="1"/>
  <c r="Q495" i="3"/>
  <c r="U494" i="3"/>
  <c r="T494" i="3"/>
  <c r="R494" i="3"/>
  <c r="AJ494" i="3" s="1"/>
  <c r="Q494" i="3"/>
  <c r="U493" i="3"/>
  <c r="T493" i="3"/>
  <c r="R493" i="3"/>
  <c r="AJ493" i="3" s="1"/>
  <c r="Q493" i="3"/>
  <c r="U492" i="3"/>
  <c r="T492" i="3"/>
  <c r="R492" i="3"/>
  <c r="AJ492" i="3" s="1"/>
  <c r="Q492" i="3"/>
  <c r="U491" i="3"/>
  <c r="T491" i="3"/>
  <c r="R491" i="3"/>
  <c r="AJ491" i="3" s="1"/>
  <c r="Q491" i="3"/>
  <c r="U490" i="3"/>
  <c r="T490" i="3"/>
  <c r="R490" i="3"/>
  <c r="AJ490" i="3" s="1"/>
  <c r="Q490" i="3"/>
  <c r="U489" i="3"/>
  <c r="T489" i="3"/>
  <c r="R489" i="3"/>
  <c r="AJ489" i="3" s="1"/>
  <c r="Q489" i="3"/>
  <c r="U488" i="3"/>
  <c r="T488" i="3"/>
  <c r="R488" i="3"/>
  <c r="Q488" i="3"/>
  <c r="U487" i="3"/>
  <c r="T487" i="3"/>
  <c r="R487" i="3"/>
  <c r="AJ487" i="3" s="1"/>
  <c r="Q487" i="3"/>
  <c r="U486" i="3"/>
  <c r="T486" i="3"/>
  <c r="R486" i="3"/>
  <c r="AJ486" i="3" s="1"/>
  <c r="Q486" i="3"/>
  <c r="U485" i="3"/>
  <c r="T485" i="3"/>
  <c r="R485" i="3"/>
  <c r="AJ485" i="3" s="1"/>
  <c r="Q485" i="3"/>
  <c r="U484" i="3"/>
  <c r="T484" i="3"/>
  <c r="R484" i="3"/>
  <c r="AJ484" i="3" s="1"/>
  <c r="Q484" i="3"/>
  <c r="U483" i="3"/>
  <c r="T483" i="3"/>
  <c r="R483" i="3"/>
  <c r="AJ483" i="3" s="1"/>
  <c r="Q483" i="3"/>
  <c r="U482" i="3"/>
  <c r="T482" i="3"/>
  <c r="R482" i="3"/>
  <c r="AJ482" i="3" s="1"/>
  <c r="Q482" i="3"/>
  <c r="U481" i="3"/>
  <c r="T481" i="3"/>
  <c r="R481" i="3"/>
  <c r="AJ481" i="3" s="1"/>
  <c r="Q481" i="3"/>
  <c r="U480" i="3"/>
  <c r="T480" i="3"/>
  <c r="R480" i="3"/>
  <c r="AJ480" i="3" s="1"/>
  <c r="Q480" i="3"/>
  <c r="U479" i="3"/>
  <c r="T479" i="3"/>
  <c r="R479" i="3"/>
  <c r="AJ479" i="3" s="1"/>
  <c r="Q479" i="3"/>
  <c r="U478" i="3"/>
  <c r="T478" i="3"/>
  <c r="R478" i="3"/>
  <c r="AJ478" i="3" s="1"/>
  <c r="Q478" i="3"/>
  <c r="U477" i="3"/>
  <c r="T477" i="3"/>
  <c r="R477" i="3"/>
  <c r="AJ477" i="3" s="1"/>
  <c r="Q477" i="3"/>
  <c r="U476" i="3"/>
  <c r="T476" i="3"/>
  <c r="R476" i="3"/>
  <c r="AJ476" i="3" s="1"/>
  <c r="Q476" i="3"/>
  <c r="U475" i="3"/>
  <c r="T475" i="3"/>
  <c r="R475" i="3"/>
  <c r="AJ475" i="3" s="1"/>
  <c r="Q475" i="3"/>
  <c r="U474" i="3"/>
  <c r="T474" i="3"/>
  <c r="R474" i="3"/>
  <c r="AJ474" i="3" s="1"/>
  <c r="Q474" i="3"/>
  <c r="U473" i="3"/>
  <c r="T473" i="3"/>
  <c r="R473" i="3"/>
  <c r="AJ473" i="3" s="1"/>
  <c r="Q473" i="3"/>
  <c r="U472" i="3"/>
  <c r="T472" i="3"/>
  <c r="R472" i="3"/>
  <c r="AJ472" i="3" s="1"/>
  <c r="Q472" i="3"/>
  <c r="U471" i="3"/>
  <c r="T471" i="3"/>
  <c r="R471" i="3"/>
  <c r="AJ471" i="3" s="1"/>
  <c r="Q471" i="3"/>
  <c r="U470" i="3"/>
  <c r="T470" i="3"/>
  <c r="R470" i="3"/>
  <c r="AJ470" i="3" s="1"/>
  <c r="Q470" i="3"/>
  <c r="U469" i="3"/>
  <c r="T469" i="3"/>
  <c r="R469" i="3"/>
  <c r="AJ469" i="3" s="1"/>
  <c r="Q469" i="3"/>
  <c r="U468" i="3"/>
  <c r="T468" i="3"/>
  <c r="R468" i="3"/>
  <c r="AJ468" i="3" s="1"/>
  <c r="Q468" i="3"/>
  <c r="U467" i="3"/>
  <c r="T467" i="3"/>
  <c r="R467" i="3"/>
  <c r="AJ467" i="3" s="1"/>
  <c r="Q467" i="3"/>
  <c r="U466" i="3"/>
  <c r="T466" i="3"/>
  <c r="R466" i="3"/>
  <c r="AJ466" i="3" s="1"/>
  <c r="Q466" i="3"/>
  <c r="U465" i="3"/>
  <c r="T465" i="3"/>
  <c r="R465" i="3"/>
  <c r="AJ465" i="3" s="1"/>
  <c r="Q465" i="3"/>
  <c r="U464" i="3"/>
  <c r="T464" i="3"/>
  <c r="R464" i="3"/>
  <c r="AJ464" i="3" s="1"/>
  <c r="Q464" i="3"/>
  <c r="U463" i="3"/>
  <c r="T463" i="3"/>
  <c r="R463" i="3"/>
  <c r="AJ463" i="3" s="1"/>
  <c r="Q463" i="3"/>
  <c r="U462" i="3"/>
  <c r="T462" i="3"/>
  <c r="R462" i="3"/>
  <c r="AJ462" i="3" s="1"/>
  <c r="Q462" i="3"/>
  <c r="U461" i="3"/>
  <c r="T461" i="3"/>
  <c r="R461" i="3"/>
  <c r="AJ461" i="3" s="1"/>
  <c r="Q461" i="3"/>
  <c r="U460" i="3"/>
  <c r="T460" i="3"/>
  <c r="R460" i="3"/>
  <c r="AJ460" i="3" s="1"/>
  <c r="Q460" i="3"/>
  <c r="U459" i="3"/>
  <c r="T459" i="3"/>
  <c r="R459" i="3"/>
  <c r="AJ459" i="3" s="1"/>
  <c r="Q459" i="3"/>
  <c r="U458" i="3"/>
  <c r="T458" i="3"/>
  <c r="R458" i="3"/>
  <c r="AJ458" i="3" s="1"/>
  <c r="Q458" i="3"/>
  <c r="U457" i="3"/>
  <c r="T457" i="3"/>
  <c r="R457" i="3"/>
  <c r="AJ457" i="3" s="1"/>
  <c r="Q457" i="3"/>
  <c r="U456" i="3"/>
  <c r="T456" i="3"/>
  <c r="R456" i="3"/>
  <c r="AJ456" i="3" s="1"/>
  <c r="Q456" i="3"/>
  <c r="U455" i="3"/>
  <c r="T455" i="3"/>
  <c r="R455" i="3"/>
  <c r="AJ455" i="3" s="1"/>
  <c r="Q455" i="3"/>
  <c r="U454" i="3"/>
  <c r="T454" i="3"/>
  <c r="R454" i="3"/>
  <c r="AJ454" i="3" s="1"/>
  <c r="Q454" i="3"/>
  <c r="U453" i="3"/>
  <c r="T453" i="3"/>
  <c r="R453" i="3"/>
  <c r="AJ453" i="3" s="1"/>
  <c r="Q453" i="3"/>
  <c r="U452" i="3"/>
  <c r="T452" i="3"/>
  <c r="R452" i="3"/>
  <c r="AJ452" i="3" s="1"/>
  <c r="Q452" i="3"/>
  <c r="U451" i="3"/>
  <c r="T451" i="3"/>
  <c r="R451" i="3"/>
  <c r="AJ451" i="3" s="1"/>
  <c r="Q451" i="3"/>
  <c r="U450" i="3"/>
  <c r="T450" i="3"/>
  <c r="R450" i="3"/>
  <c r="AJ450" i="3" s="1"/>
  <c r="Q450" i="3"/>
  <c r="U449" i="3"/>
  <c r="T449" i="3"/>
  <c r="R449" i="3"/>
  <c r="AJ449" i="3" s="1"/>
  <c r="Q449" i="3"/>
  <c r="U448" i="3"/>
  <c r="T448" i="3"/>
  <c r="R448" i="3"/>
  <c r="AJ448" i="3" s="1"/>
  <c r="Q448" i="3"/>
  <c r="U447" i="3"/>
  <c r="T447" i="3"/>
  <c r="R447" i="3"/>
  <c r="AJ447" i="3" s="1"/>
  <c r="Q447" i="3"/>
  <c r="U446" i="3"/>
  <c r="T446" i="3"/>
  <c r="R446" i="3"/>
  <c r="AJ446" i="3" s="1"/>
  <c r="Q446" i="3"/>
  <c r="U445" i="3"/>
  <c r="T445" i="3"/>
  <c r="R445" i="3"/>
  <c r="AJ445" i="3" s="1"/>
  <c r="Q445" i="3"/>
  <c r="U444" i="3"/>
  <c r="T444" i="3"/>
  <c r="R444" i="3"/>
  <c r="AJ444" i="3" s="1"/>
  <c r="Q444" i="3"/>
  <c r="U443" i="3"/>
  <c r="T443" i="3"/>
  <c r="R443" i="3"/>
  <c r="AJ443" i="3" s="1"/>
  <c r="Q443" i="3"/>
  <c r="U442" i="3"/>
  <c r="T442" i="3"/>
  <c r="R442" i="3"/>
  <c r="AJ442" i="3" s="1"/>
  <c r="Q442" i="3"/>
  <c r="U441" i="3"/>
  <c r="T441" i="3"/>
  <c r="R441" i="3"/>
  <c r="AJ441" i="3" s="1"/>
  <c r="Q441" i="3"/>
  <c r="U440" i="3"/>
  <c r="T440" i="3"/>
  <c r="R440" i="3"/>
  <c r="AJ440" i="3" s="1"/>
  <c r="Q440" i="3"/>
  <c r="U439" i="3"/>
  <c r="T439" i="3"/>
  <c r="R439" i="3"/>
  <c r="AJ439" i="3" s="1"/>
  <c r="Q439" i="3"/>
  <c r="U438" i="3"/>
  <c r="T438" i="3"/>
  <c r="R438" i="3"/>
  <c r="AJ438" i="3" s="1"/>
  <c r="Q438" i="3"/>
  <c r="U437" i="3"/>
  <c r="T437" i="3"/>
  <c r="R437" i="3"/>
  <c r="AJ437" i="3" s="1"/>
  <c r="Q437" i="3"/>
  <c r="U436" i="3"/>
  <c r="T436" i="3"/>
  <c r="R436" i="3"/>
  <c r="AJ436" i="3" s="1"/>
  <c r="Q436" i="3"/>
  <c r="U435" i="3"/>
  <c r="T435" i="3"/>
  <c r="R435" i="3"/>
  <c r="AJ435" i="3" s="1"/>
  <c r="Q435" i="3"/>
  <c r="U434" i="3"/>
  <c r="T434" i="3"/>
  <c r="R434" i="3"/>
  <c r="AJ434" i="3" s="1"/>
  <c r="Q434" i="3"/>
  <c r="U433" i="3"/>
  <c r="T433" i="3"/>
  <c r="R433" i="3"/>
  <c r="AJ433" i="3" s="1"/>
  <c r="Q433" i="3"/>
  <c r="U432" i="3"/>
  <c r="T432" i="3"/>
  <c r="R432" i="3"/>
  <c r="AJ432" i="3" s="1"/>
  <c r="Q432" i="3"/>
  <c r="U431" i="3"/>
  <c r="T431" i="3"/>
  <c r="R431" i="3"/>
  <c r="AJ431" i="3" s="1"/>
  <c r="Q431" i="3"/>
  <c r="U430" i="3"/>
  <c r="T430" i="3"/>
  <c r="R430" i="3"/>
  <c r="AJ430" i="3" s="1"/>
  <c r="Q430" i="3"/>
  <c r="U429" i="3"/>
  <c r="T429" i="3"/>
  <c r="R429" i="3"/>
  <c r="AJ429" i="3" s="1"/>
  <c r="Q429" i="3"/>
  <c r="U428" i="3"/>
  <c r="T428" i="3"/>
  <c r="R428" i="3"/>
  <c r="AJ428" i="3" s="1"/>
  <c r="Q428" i="3"/>
  <c r="U427" i="3"/>
  <c r="T427" i="3"/>
  <c r="R427" i="3"/>
  <c r="AJ427" i="3" s="1"/>
  <c r="Q427" i="3"/>
  <c r="U426" i="3"/>
  <c r="T426" i="3"/>
  <c r="R426" i="3"/>
  <c r="AJ426" i="3" s="1"/>
  <c r="Q426" i="3"/>
  <c r="U425" i="3"/>
  <c r="T425" i="3"/>
  <c r="R425" i="3"/>
  <c r="AJ425" i="3" s="1"/>
  <c r="Q425" i="3"/>
  <c r="U424" i="3"/>
  <c r="T424" i="3"/>
  <c r="R424" i="3"/>
  <c r="AJ424" i="3" s="1"/>
  <c r="Q424" i="3"/>
  <c r="U423" i="3"/>
  <c r="T423" i="3"/>
  <c r="R423" i="3"/>
  <c r="AJ423" i="3" s="1"/>
  <c r="Q423" i="3"/>
  <c r="U422" i="3"/>
  <c r="T422" i="3"/>
  <c r="R422" i="3"/>
  <c r="AJ422" i="3" s="1"/>
  <c r="Q422" i="3"/>
  <c r="U421" i="3"/>
  <c r="T421" i="3"/>
  <c r="R421" i="3"/>
  <c r="AJ421" i="3" s="1"/>
  <c r="Q421" i="3"/>
  <c r="U420" i="3"/>
  <c r="T420" i="3"/>
  <c r="R420" i="3"/>
  <c r="AJ420" i="3" s="1"/>
  <c r="Q420" i="3"/>
  <c r="U419" i="3"/>
  <c r="T419" i="3"/>
  <c r="R419" i="3"/>
  <c r="AJ419" i="3" s="1"/>
  <c r="Q419" i="3"/>
  <c r="U418" i="3"/>
  <c r="T418" i="3"/>
  <c r="R418" i="3"/>
  <c r="AJ418" i="3" s="1"/>
  <c r="Q418" i="3"/>
  <c r="U417" i="3"/>
  <c r="T417" i="3"/>
  <c r="R417" i="3"/>
  <c r="AJ417" i="3" s="1"/>
  <c r="Q417" i="3"/>
  <c r="U416" i="3"/>
  <c r="T416" i="3"/>
  <c r="R416" i="3"/>
  <c r="AJ416" i="3" s="1"/>
  <c r="Q416" i="3"/>
  <c r="U415" i="3"/>
  <c r="T415" i="3"/>
  <c r="R415" i="3"/>
  <c r="AJ415" i="3" s="1"/>
  <c r="Q415" i="3"/>
  <c r="U414" i="3"/>
  <c r="T414" i="3"/>
  <c r="R414" i="3"/>
  <c r="AJ414" i="3" s="1"/>
  <c r="Q414" i="3"/>
  <c r="U413" i="3"/>
  <c r="T413" i="3"/>
  <c r="R413" i="3"/>
  <c r="AJ413" i="3" s="1"/>
  <c r="Q413" i="3"/>
  <c r="U412" i="3"/>
  <c r="T412" i="3"/>
  <c r="R412" i="3"/>
  <c r="AJ412" i="3" s="1"/>
  <c r="Q412" i="3"/>
  <c r="U411" i="3"/>
  <c r="T411" i="3"/>
  <c r="R411" i="3"/>
  <c r="AJ411" i="3" s="1"/>
  <c r="Q411" i="3"/>
  <c r="U410" i="3"/>
  <c r="T410" i="3"/>
  <c r="R410" i="3"/>
  <c r="AJ410" i="3" s="1"/>
  <c r="Q410" i="3"/>
  <c r="U409" i="3"/>
  <c r="T409" i="3"/>
  <c r="R409" i="3"/>
  <c r="AJ409" i="3" s="1"/>
  <c r="Q409" i="3"/>
  <c r="U408" i="3"/>
  <c r="T408" i="3"/>
  <c r="R408" i="3"/>
  <c r="AJ408" i="3" s="1"/>
  <c r="Q408" i="3"/>
  <c r="U407" i="3"/>
  <c r="T407" i="3"/>
  <c r="R407" i="3"/>
  <c r="AJ407" i="3" s="1"/>
  <c r="Q407" i="3"/>
  <c r="U406" i="3"/>
  <c r="T406" i="3"/>
  <c r="R406" i="3"/>
  <c r="AJ406" i="3" s="1"/>
  <c r="Q406" i="3"/>
  <c r="U405" i="3"/>
  <c r="T405" i="3"/>
  <c r="R405" i="3"/>
  <c r="AJ405" i="3" s="1"/>
  <c r="Q405" i="3"/>
  <c r="U404" i="3"/>
  <c r="T404" i="3"/>
  <c r="R404" i="3"/>
  <c r="AJ404" i="3" s="1"/>
  <c r="Q404" i="3"/>
  <c r="U403" i="3"/>
  <c r="T403" i="3"/>
  <c r="R403" i="3"/>
  <c r="AJ403" i="3" s="1"/>
  <c r="Q403" i="3"/>
  <c r="U402" i="3"/>
  <c r="T402" i="3"/>
  <c r="R402" i="3"/>
  <c r="AJ402" i="3" s="1"/>
  <c r="Q402" i="3"/>
  <c r="U401" i="3"/>
  <c r="T401" i="3"/>
  <c r="R401" i="3"/>
  <c r="AJ401" i="3" s="1"/>
  <c r="Q401" i="3"/>
  <c r="U400" i="3"/>
  <c r="T400" i="3"/>
  <c r="R400" i="3"/>
  <c r="AJ400" i="3" s="1"/>
  <c r="Q400" i="3"/>
  <c r="U399" i="3"/>
  <c r="T399" i="3"/>
  <c r="R399" i="3"/>
  <c r="AJ399" i="3" s="1"/>
  <c r="Q399" i="3"/>
  <c r="U398" i="3"/>
  <c r="T398" i="3"/>
  <c r="R398" i="3"/>
  <c r="AJ398" i="3" s="1"/>
  <c r="Q398" i="3"/>
  <c r="U397" i="3"/>
  <c r="T397" i="3"/>
  <c r="R397" i="3"/>
  <c r="AJ397" i="3" s="1"/>
  <c r="Q397" i="3"/>
  <c r="U396" i="3"/>
  <c r="T396" i="3"/>
  <c r="R396" i="3"/>
  <c r="AJ396" i="3" s="1"/>
  <c r="Q396" i="3"/>
  <c r="U395" i="3"/>
  <c r="T395" i="3"/>
  <c r="R395" i="3"/>
  <c r="AJ395" i="3" s="1"/>
  <c r="Q395" i="3"/>
  <c r="U394" i="3"/>
  <c r="T394" i="3"/>
  <c r="R394" i="3"/>
  <c r="AJ394" i="3" s="1"/>
  <c r="Q394" i="3"/>
  <c r="U393" i="3"/>
  <c r="T393" i="3"/>
  <c r="R393" i="3"/>
  <c r="AJ393" i="3" s="1"/>
  <c r="Q393" i="3"/>
  <c r="U392" i="3"/>
  <c r="T392" i="3"/>
  <c r="R392" i="3"/>
  <c r="AJ392" i="3" s="1"/>
  <c r="Q392" i="3"/>
  <c r="U391" i="3"/>
  <c r="T391" i="3"/>
  <c r="R391" i="3"/>
  <c r="AJ391" i="3" s="1"/>
  <c r="Q391" i="3"/>
  <c r="U390" i="3"/>
  <c r="T390" i="3"/>
  <c r="R390" i="3"/>
  <c r="AJ390" i="3" s="1"/>
  <c r="Q390" i="3"/>
  <c r="U389" i="3"/>
  <c r="T389" i="3"/>
  <c r="R389" i="3"/>
  <c r="AJ389" i="3" s="1"/>
  <c r="Q389" i="3"/>
  <c r="U388" i="3"/>
  <c r="T388" i="3"/>
  <c r="R388" i="3"/>
  <c r="AJ388" i="3" s="1"/>
  <c r="Q388" i="3"/>
  <c r="U387" i="3"/>
  <c r="T387" i="3"/>
  <c r="R387" i="3"/>
  <c r="AJ387" i="3" s="1"/>
  <c r="Q387" i="3"/>
  <c r="U386" i="3"/>
  <c r="T386" i="3"/>
  <c r="R386" i="3"/>
  <c r="AJ386" i="3" s="1"/>
  <c r="Q386" i="3"/>
  <c r="U385" i="3"/>
  <c r="T385" i="3"/>
  <c r="R385" i="3"/>
  <c r="AJ385" i="3" s="1"/>
  <c r="Q385" i="3"/>
  <c r="U384" i="3"/>
  <c r="T384" i="3"/>
  <c r="R384" i="3"/>
  <c r="AJ384" i="3" s="1"/>
  <c r="Q384" i="3"/>
  <c r="U383" i="3"/>
  <c r="T383" i="3"/>
  <c r="R383" i="3"/>
  <c r="AJ383" i="3" s="1"/>
  <c r="Q383" i="3"/>
  <c r="U382" i="3"/>
  <c r="T382" i="3"/>
  <c r="R382" i="3"/>
  <c r="AJ382" i="3" s="1"/>
  <c r="Q382" i="3"/>
  <c r="U381" i="3"/>
  <c r="T381" i="3"/>
  <c r="R381" i="3"/>
  <c r="AJ381" i="3" s="1"/>
  <c r="Q381" i="3"/>
  <c r="U380" i="3"/>
  <c r="T380" i="3"/>
  <c r="R380" i="3"/>
  <c r="AJ380" i="3" s="1"/>
  <c r="Q380" i="3"/>
  <c r="U379" i="3"/>
  <c r="T379" i="3"/>
  <c r="R379" i="3"/>
  <c r="AJ379" i="3" s="1"/>
  <c r="Q379" i="3"/>
  <c r="U378" i="3"/>
  <c r="T378" i="3"/>
  <c r="R378" i="3"/>
  <c r="AJ378" i="3" s="1"/>
  <c r="Q378" i="3"/>
  <c r="U377" i="3"/>
  <c r="T377" i="3"/>
  <c r="R377" i="3"/>
  <c r="AJ377" i="3" s="1"/>
  <c r="Q377" i="3"/>
  <c r="U376" i="3"/>
  <c r="T376" i="3"/>
  <c r="R376" i="3"/>
  <c r="AJ376" i="3" s="1"/>
  <c r="Q376" i="3"/>
  <c r="U375" i="3"/>
  <c r="T375" i="3"/>
  <c r="R375" i="3"/>
  <c r="AJ375" i="3" s="1"/>
  <c r="Q375" i="3"/>
  <c r="U374" i="3"/>
  <c r="T374" i="3"/>
  <c r="R374" i="3"/>
  <c r="AJ374" i="3" s="1"/>
  <c r="Q374" i="3"/>
  <c r="U373" i="3"/>
  <c r="T373" i="3"/>
  <c r="R373" i="3"/>
  <c r="AJ373" i="3" s="1"/>
  <c r="Q373" i="3"/>
  <c r="U372" i="3"/>
  <c r="T372" i="3"/>
  <c r="R372" i="3"/>
  <c r="AJ372" i="3" s="1"/>
  <c r="Q372" i="3"/>
  <c r="U371" i="3"/>
  <c r="T371" i="3"/>
  <c r="R371" i="3"/>
  <c r="AJ371" i="3" s="1"/>
  <c r="Q371" i="3"/>
  <c r="U370" i="3"/>
  <c r="T370" i="3"/>
  <c r="R370" i="3"/>
  <c r="AJ370" i="3" s="1"/>
  <c r="Q370" i="3"/>
  <c r="U369" i="3"/>
  <c r="T369" i="3"/>
  <c r="R369" i="3"/>
  <c r="AJ369" i="3" s="1"/>
  <c r="Q369" i="3"/>
  <c r="U368" i="3"/>
  <c r="T368" i="3"/>
  <c r="R368" i="3"/>
  <c r="AJ368" i="3" s="1"/>
  <c r="Q368" i="3"/>
  <c r="U367" i="3"/>
  <c r="T367" i="3"/>
  <c r="R367" i="3"/>
  <c r="AJ367" i="3" s="1"/>
  <c r="Q367" i="3"/>
  <c r="U366" i="3"/>
  <c r="T366" i="3"/>
  <c r="R366" i="3"/>
  <c r="AJ366" i="3" s="1"/>
  <c r="Q366" i="3"/>
  <c r="U365" i="3"/>
  <c r="T365" i="3"/>
  <c r="R365" i="3"/>
  <c r="AJ365" i="3" s="1"/>
  <c r="Q365" i="3"/>
  <c r="U364" i="3"/>
  <c r="T364" i="3"/>
  <c r="R364" i="3"/>
  <c r="AJ364" i="3" s="1"/>
  <c r="Q364" i="3"/>
  <c r="U363" i="3"/>
  <c r="T363" i="3"/>
  <c r="R363" i="3"/>
  <c r="AJ363" i="3" s="1"/>
  <c r="Q363" i="3"/>
  <c r="U362" i="3"/>
  <c r="T362" i="3"/>
  <c r="R362" i="3"/>
  <c r="AJ362" i="3" s="1"/>
  <c r="Q362" i="3"/>
  <c r="U361" i="3"/>
  <c r="T361" i="3"/>
  <c r="R361" i="3"/>
  <c r="AJ361" i="3" s="1"/>
  <c r="Q361" i="3"/>
  <c r="U360" i="3"/>
  <c r="T360" i="3"/>
  <c r="R360" i="3"/>
  <c r="AJ360" i="3" s="1"/>
  <c r="Q360" i="3"/>
  <c r="U359" i="3"/>
  <c r="T359" i="3"/>
  <c r="R359" i="3"/>
  <c r="AJ359" i="3" s="1"/>
  <c r="Q359" i="3"/>
  <c r="U358" i="3"/>
  <c r="T358" i="3"/>
  <c r="R358" i="3"/>
  <c r="AJ358" i="3" s="1"/>
  <c r="Q358" i="3"/>
  <c r="U357" i="3"/>
  <c r="T357" i="3"/>
  <c r="R357" i="3"/>
  <c r="AJ357" i="3" s="1"/>
  <c r="Q357" i="3"/>
  <c r="U356" i="3"/>
  <c r="T356" i="3"/>
  <c r="R356" i="3"/>
  <c r="AJ356" i="3" s="1"/>
  <c r="Q356" i="3"/>
  <c r="U355" i="3"/>
  <c r="T355" i="3"/>
  <c r="R355" i="3"/>
  <c r="AJ355" i="3" s="1"/>
  <c r="Q355" i="3"/>
  <c r="U354" i="3"/>
  <c r="T354" i="3"/>
  <c r="R354" i="3"/>
  <c r="AJ354" i="3" s="1"/>
  <c r="Q354" i="3"/>
  <c r="U353" i="3"/>
  <c r="T353" i="3"/>
  <c r="R353" i="3"/>
  <c r="AJ353" i="3" s="1"/>
  <c r="Q353" i="3"/>
  <c r="U352" i="3"/>
  <c r="T352" i="3"/>
  <c r="R352" i="3"/>
  <c r="AJ352" i="3" s="1"/>
  <c r="Q352" i="3"/>
  <c r="U351" i="3"/>
  <c r="T351" i="3"/>
  <c r="R351" i="3"/>
  <c r="AJ351" i="3" s="1"/>
  <c r="Q351" i="3"/>
  <c r="U350" i="3"/>
  <c r="T350" i="3"/>
  <c r="R350" i="3"/>
  <c r="AJ350" i="3" s="1"/>
  <c r="Q350" i="3"/>
  <c r="U349" i="3"/>
  <c r="T349" i="3"/>
  <c r="R349" i="3"/>
  <c r="AJ349" i="3" s="1"/>
  <c r="Q349" i="3"/>
  <c r="U348" i="3"/>
  <c r="T348" i="3"/>
  <c r="R348" i="3"/>
  <c r="AJ348" i="3" s="1"/>
  <c r="Q348" i="3"/>
  <c r="U347" i="3"/>
  <c r="T347" i="3"/>
  <c r="R347" i="3"/>
  <c r="AJ347" i="3" s="1"/>
  <c r="Q347" i="3"/>
  <c r="U346" i="3"/>
  <c r="T346" i="3"/>
  <c r="R346" i="3"/>
  <c r="AJ346" i="3" s="1"/>
  <c r="Q346" i="3"/>
  <c r="U345" i="3"/>
  <c r="T345" i="3"/>
  <c r="R345" i="3"/>
  <c r="AJ345" i="3" s="1"/>
  <c r="Q345" i="3"/>
  <c r="U344" i="3"/>
  <c r="T344" i="3"/>
  <c r="R344" i="3"/>
  <c r="AJ344" i="3" s="1"/>
  <c r="Q344" i="3"/>
  <c r="U343" i="3"/>
  <c r="T343" i="3"/>
  <c r="R343" i="3"/>
  <c r="AJ343" i="3" s="1"/>
  <c r="Q343" i="3"/>
  <c r="U342" i="3"/>
  <c r="T342" i="3"/>
  <c r="R342" i="3"/>
  <c r="AJ342" i="3" s="1"/>
  <c r="Q342" i="3"/>
  <c r="U341" i="3"/>
  <c r="T341" i="3"/>
  <c r="R341" i="3"/>
  <c r="AJ341" i="3" s="1"/>
  <c r="Q341" i="3"/>
  <c r="U340" i="3"/>
  <c r="T340" i="3"/>
  <c r="R340" i="3"/>
  <c r="AJ340" i="3" s="1"/>
  <c r="Q340" i="3"/>
  <c r="U339" i="3"/>
  <c r="T339" i="3"/>
  <c r="R339" i="3"/>
  <c r="AJ339" i="3" s="1"/>
  <c r="Q339" i="3"/>
  <c r="U338" i="3"/>
  <c r="T338" i="3"/>
  <c r="R338" i="3"/>
  <c r="AJ338" i="3" s="1"/>
  <c r="Q338" i="3"/>
  <c r="U337" i="3"/>
  <c r="T337" i="3"/>
  <c r="R337" i="3"/>
  <c r="AJ337" i="3" s="1"/>
  <c r="Q337" i="3"/>
  <c r="U336" i="3"/>
  <c r="T336" i="3"/>
  <c r="R336" i="3"/>
  <c r="AJ336" i="3" s="1"/>
  <c r="Q336" i="3"/>
  <c r="U335" i="3"/>
  <c r="T335" i="3"/>
  <c r="R335" i="3"/>
  <c r="AJ335" i="3" s="1"/>
  <c r="Q335" i="3"/>
  <c r="U334" i="3"/>
  <c r="T334" i="3"/>
  <c r="R334" i="3"/>
  <c r="AJ334" i="3" s="1"/>
  <c r="Q334" i="3"/>
  <c r="U333" i="3"/>
  <c r="T333" i="3"/>
  <c r="R333" i="3"/>
  <c r="AJ333" i="3" s="1"/>
  <c r="Q333" i="3"/>
  <c r="U332" i="3"/>
  <c r="T332" i="3"/>
  <c r="R332" i="3"/>
  <c r="AJ332" i="3" s="1"/>
  <c r="Q332" i="3"/>
  <c r="U331" i="3"/>
  <c r="T331" i="3"/>
  <c r="R331" i="3"/>
  <c r="AJ331" i="3" s="1"/>
  <c r="Q331" i="3"/>
  <c r="U330" i="3"/>
  <c r="T330" i="3"/>
  <c r="R330" i="3"/>
  <c r="AJ330" i="3" s="1"/>
  <c r="Q330" i="3"/>
  <c r="U329" i="3"/>
  <c r="T329" i="3"/>
  <c r="R329" i="3"/>
  <c r="AJ329" i="3" s="1"/>
  <c r="Q329" i="3"/>
  <c r="U328" i="3"/>
  <c r="T328" i="3"/>
  <c r="R328" i="3"/>
  <c r="AJ328" i="3" s="1"/>
  <c r="Q328" i="3"/>
  <c r="U327" i="3"/>
  <c r="T327" i="3"/>
  <c r="R327" i="3"/>
  <c r="AJ327" i="3" s="1"/>
  <c r="Q327" i="3"/>
  <c r="U326" i="3"/>
  <c r="T326" i="3"/>
  <c r="R326" i="3"/>
  <c r="AJ326" i="3" s="1"/>
  <c r="Q326" i="3"/>
  <c r="U325" i="3"/>
  <c r="T325" i="3"/>
  <c r="R325" i="3"/>
  <c r="AJ325" i="3" s="1"/>
  <c r="Q325" i="3"/>
  <c r="U324" i="3"/>
  <c r="T324" i="3"/>
  <c r="R324" i="3"/>
  <c r="AJ324" i="3" s="1"/>
  <c r="Q324" i="3"/>
  <c r="U323" i="3"/>
  <c r="T323" i="3"/>
  <c r="R323" i="3"/>
  <c r="AJ323" i="3" s="1"/>
  <c r="Q323" i="3"/>
  <c r="U322" i="3"/>
  <c r="T322" i="3"/>
  <c r="R322" i="3"/>
  <c r="AJ322" i="3" s="1"/>
  <c r="Q322" i="3"/>
  <c r="U321" i="3"/>
  <c r="T321" i="3"/>
  <c r="R321" i="3"/>
  <c r="AJ321" i="3" s="1"/>
  <c r="Q321" i="3"/>
  <c r="U320" i="3"/>
  <c r="T320" i="3"/>
  <c r="R320" i="3"/>
  <c r="AJ320" i="3" s="1"/>
  <c r="Q320" i="3"/>
  <c r="U319" i="3"/>
  <c r="T319" i="3"/>
  <c r="R319" i="3"/>
  <c r="AJ319" i="3" s="1"/>
  <c r="Q319" i="3"/>
  <c r="U318" i="3"/>
  <c r="T318" i="3"/>
  <c r="R318" i="3"/>
  <c r="AJ318" i="3" s="1"/>
  <c r="Q318" i="3"/>
  <c r="U317" i="3"/>
  <c r="T317" i="3"/>
  <c r="R317" i="3"/>
  <c r="AJ317" i="3" s="1"/>
  <c r="Q317" i="3"/>
  <c r="U316" i="3"/>
  <c r="T316" i="3"/>
  <c r="R316" i="3"/>
  <c r="AJ316" i="3" s="1"/>
  <c r="Q316" i="3"/>
  <c r="U315" i="3"/>
  <c r="T315" i="3"/>
  <c r="R315" i="3"/>
  <c r="AJ315" i="3" s="1"/>
  <c r="Q315" i="3"/>
  <c r="U314" i="3"/>
  <c r="T314" i="3"/>
  <c r="R314" i="3"/>
  <c r="AJ314" i="3" s="1"/>
  <c r="Q314" i="3"/>
  <c r="U313" i="3"/>
  <c r="T313" i="3"/>
  <c r="R313" i="3"/>
  <c r="AJ313" i="3" s="1"/>
  <c r="Q313" i="3"/>
  <c r="U312" i="3"/>
  <c r="T312" i="3"/>
  <c r="R312" i="3"/>
  <c r="AJ312" i="3" s="1"/>
  <c r="Q312" i="3"/>
  <c r="U311" i="3"/>
  <c r="T311" i="3"/>
  <c r="R311" i="3"/>
  <c r="AJ311" i="3" s="1"/>
  <c r="Q311" i="3"/>
  <c r="U310" i="3"/>
  <c r="T310" i="3"/>
  <c r="R310" i="3"/>
  <c r="AJ310" i="3" s="1"/>
  <c r="Q310" i="3"/>
  <c r="U309" i="3"/>
  <c r="T309" i="3"/>
  <c r="R309" i="3"/>
  <c r="AJ309" i="3" s="1"/>
  <c r="Q309" i="3"/>
  <c r="U308" i="3"/>
  <c r="T308" i="3"/>
  <c r="R308" i="3"/>
  <c r="AJ308" i="3" s="1"/>
  <c r="Q308" i="3"/>
  <c r="U307" i="3"/>
  <c r="T307" i="3"/>
  <c r="R307" i="3"/>
  <c r="AJ307" i="3" s="1"/>
  <c r="Q307" i="3"/>
  <c r="U306" i="3"/>
  <c r="T306" i="3"/>
  <c r="R306" i="3"/>
  <c r="AJ306" i="3" s="1"/>
  <c r="Q306" i="3"/>
  <c r="U305" i="3"/>
  <c r="T305" i="3"/>
  <c r="R305" i="3"/>
  <c r="AJ305" i="3" s="1"/>
  <c r="Q305" i="3"/>
  <c r="U304" i="3"/>
  <c r="T304" i="3"/>
  <c r="R304" i="3"/>
  <c r="AJ304" i="3" s="1"/>
  <c r="Q304" i="3"/>
  <c r="U303" i="3"/>
  <c r="T303" i="3"/>
  <c r="R303" i="3"/>
  <c r="AJ303" i="3" s="1"/>
  <c r="Q303" i="3"/>
  <c r="U302" i="3"/>
  <c r="T302" i="3"/>
  <c r="R302" i="3"/>
  <c r="AJ302" i="3" s="1"/>
  <c r="Q302" i="3"/>
  <c r="U301" i="3"/>
  <c r="T301" i="3"/>
  <c r="R301" i="3"/>
  <c r="AJ301" i="3" s="1"/>
  <c r="Q301" i="3"/>
  <c r="U300" i="3"/>
  <c r="T300" i="3"/>
  <c r="R300" i="3"/>
  <c r="AJ300" i="3" s="1"/>
  <c r="Q300" i="3"/>
  <c r="U299" i="3"/>
  <c r="T299" i="3"/>
  <c r="R299" i="3"/>
  <c r="AJ299" i="3" s="1"/>
  <c r="Q299" i="3"/>
  <c r="U298" i="3"/>
  <c r="T298" i="3"/>
  <c r="R298" i="3"/>
  <c r="AJ298" i="3" s="1"/>
  <c r="Q298" i="3"/>
  <c r="U297" i="3"/>
  <c r="T297" i="3"/>
  <c r="R297" i="3"/>
  <c r="AJ297" i="3" s="1"/>
  <c r="Q297" i="3"/>
  <c r="U296" i="3"/>
  <c r="T296" i="3"/>
  <c r="R296" i="3"/>
  <c r="AJ296" i="3" s="1"/>
  <c r="Q296" i="3"/>
  <c r="U295" i="3"/>
  <c r="T295" i="3"/>
  <c r="R295" i="3"/>
  <c r="AJ295" i="3" s="1"/>
  <c r="Q295" i="3"/>
  <c r="U294" i="3"/>
  <c r="T294" i="3"/>
  <c r="R294" i="3"/>
  <c r="AJ294" i="3" s="1"/>
  <c r="Q294" i="3"/>
  <c r="U293" i="3"/>
  <c r="T293" i="3"/>
  <c r="R293" i="3"/>
  <c r="AJ293" i="3" s="1"/>
  <c r="Q293" i="3"/>
  <c r="U292" i="3"/>
  <c r="T292" i="3"/>
  <c r="R292" i="3"/>
  <c r="AJ292" i="3" s="1"/>
  <c r="Q292" i="3"/>
  <c r="U291" i="3"/>
  <c r="T291" i="3"/>
  <c r="R291" i="3"/>
  <c r="AJ291" i="3" s="1"/>
  <c r="Q291" i="3"/>
  <c r="U290" i="3"/>
  <c r="T290" i="3"/>
  <c r="R290" i="3"/>
  <c r="AJ290" i="3" s="1"/>
  <c r="Q290" i="3"/>
  <c r="U289" i="3"/>
  <c r="T289" i="3"/>
  <c r="R289" i="3"/>
  <c r="AJ289" i="3" s="1"/>
  <c r="Q289" i="3"/>
  <c r="U288" i="3"/>
  <c r="T288" i="3"/>
  <c r="R288" i="3"/>
  <c r="AJ288" i="3" s="1"/>
  <c r="Q288" i="3"/>
  <c r="U287" i="3"/>
  <c r="T287" i="3"/>
  <c r="R287" i="3"/>
  <c r="AJ287" i="3" s="1"/>
  <c r="Q287" i="3"/>
  <c r="U286" i="3"/>
  <c r="T286" i="3"/>
  <c r="R286" i="3"/>
  <c r="AJ286" i="3" s="1"/>
  <c r="Q286" i="3"/>
  <c r="U285" i="3"/>
  <c r="T285" i="3"/>
  <c r="R285" i="3"/>
  <c r="AJ285" i="3" s="1"/>
  <c r="Q285" i="3"/>
  <c r="U284" i="3"/>
  <c r="T284" i="3"/>
  <c r="R284" i="3"/>
  <c r="AJ284" i="3" s="1"/>
  <c r="Q284" i="3"/>
  <c r="U283" i="3"/>
  <c r="T283" i="3"/>
  <c r="R283" i="3"/>
  <c r="AJ283" i="3" s="1"/>
  <c r="Q283" i="3"/>
  <c r="U282" i="3"/>
  <c r="T282" i="3"/>
  <c r="R282" i="3"/>
  <c r="AJ282" i="3" s="1"/>
  <c r="Q282" i="3"/>
  <c r="U281" i="3"/>
  <c r="T281" i="3"/>
  <c r="R281" i="3"/>
  <c r="AJ281" i="3" s="1"/>
  <c r="Q281" i="3"/>
  <c r="U280" i="3"/>
  <c r="T280" i="3"/>
  <c r="R280" i="3"/>
  <c r="AJ280" i="3" s="1"/>
  <c r="Q280" i="3"/>
  <c r="U279" i="3"/>
  <c r="T279" i="3"/>
  <c r="R279" i="3"/>
  <c r="AJ279" i="3" s="1"/>
  <c r="Q279" i="3"/>
  <c r="U278" i="3"/>
  <c r="T278" i="3"/>
  <c r="R278" i="3"/>
  <c r="AJ278" i="3" s="1"/>
  <c r="Q278" i="3"/>
  <c r="U277" i="3"/>
  <c r="T277" i="3"/>
  <c r="R277" i="3"/>
  <c r="AJ277" i="3" s="1"/>
  <c r="Q277" i="3"/>
  <c r="U276" i="3"/>
  <c r="T276" i="3"/>
  <c r="R276" i="3"/>
  <c r="AJ276" i="3" s="1"/>
  <c r="Q276" i="3"/>
  <c r="U275" i="3"/>
  <c r="T275" i="3"/>
  <c r="R275" i="3"/>
  <c r="AJ275" i="3" s="1"/>
  <c r="Q275" i="3"/>
  <c r="U274" i="3"/>
  <c r="T274" i="3"/>
  <c r="R274" i="3"/>
  <c r="AJ274" i="3" s="1"/>
  <c r="Q274" i="3"/>
  <c r="U273" i="3"/>
  <c r="T273" i="3"/>
  <c r="R273" i="3"/>
  <c r="AJ273" i="3" s="1"/>
  <c r="Q273" i="3"/>
  <c r="U272" i="3"/>
  <c r="T272" i="3"/>
  <c r="R272" i="3"/>
  <c r="AJ272" i="3" s="1"/>
  <c r="Q272" i="3"/>
  <c r="U271" i="3"/>
  <c r="T271" i="3"/>
  <c r="R271" i="3"/>
  <c r="AJ271" i="3" s="1"/>
  <c r="Q271" i="3"/>
  <c r="U270" i="3"/>
  <c r="T270" i="3"/>
  <c r="R270" i="3"/>
  <c r="AJ270" i="3" s="1"/>
  <c r="Q270" i="3"/>
  <c r="U269" i="3"/>
  <c r="T269" i="3"/>
  <c r="R269" i="3"/>
  <c r="AJ269" i="3" s="1"/>
  <c r="Q269" i="3"/>
  <c r="U268" i="3"/>
  <c r="T268" i="3"/>
  <c r="R268" i="3"/>
  <c r="AJ268" i="3" s="1"/>
  <c r="Q268" i="3"/>
  <c r="U267" i="3"/>
  <c r="T267" i="3"/>
  <c r="R267" i="3"/>
  <c r="AJ267" i="3" s="1"/>
  <c r="Q267" i="3"/>
  <c r="U266" i="3"/>
  <c r="T266" i="3"/>
  <c r="R266" i="3"/>
  <c r="AJ266" i="3" s="1"/>
  <c r="Q266" i="3"/>
  <c r="U265" i="3"/>
  <c r="T265" i="3"/>
  <c r="R265" i="3"/>
  <c r="AJ265" i="3" s="1"/>
  <c r="Q265" i="3"/>
  <c r="U264" i="3"/>
  <c r="T264" i="3"/>
  <c r="R264" i="3"/>
  <c r="AJ264" i="3" s="1"/>
  <c r="Q264" i="3"/>
  <c r="U263" i="3"/>
  <c r="T263" i="3"/>
  <c r="R263" i="3"/>
  <c r="AJ263" i="3" s="1"/>
  <c r="Q263" i="3"/>
  <c r="U262" i="3"/>
  <c r="T262" i="3"/>
  <c r="R262" i="3"/>
  <c r="AJ262" i="3" s="1"/>
  <c r="Q262" i="3"/>
  <c r="U261" i="3"/>
  <c r="T261" i="3"/>
  <c r="R261" i="3"/>
  <c r="AJ261" i="3" s="1"/>
  <c r="Q261" i="3"/>
  <c r="U260" i="3"/>
  <c r="T260" i="3"/>
  <c r="R260" i="3"/>
  <c r="AJ260" i="3" s="1"/>
  <c r="Q260" i="3"/>
  <c r="U259" i="3"/>
  <c r="T259" i="3"/>
  <c r="R259" i="3"/>
  <c r="AJ259" i="3" s="1"/>
  <c r="Q259" i="3"/>
  <c r="U258" i="3"/>
  <c r="T258" i="3"/>
  <c r="R258" i="3"/>
  <c r="AJ258" i="3" s="1"/>
  <c r="Q258" i="3"/>
  <c r="U257" i="3"/>
  <c r="T257" i="3"/>
  <c r="R257" i="3"/>
  <c r="AJ257" i="3" s="1"/>
  <c r="Q257" i="3"/>
  <c r="U256" i="3"/>
  <c r="T256" i="3"/>
  <c r="R256" i="3"/>
  <c r="AJ256" i="3" s="1"/>
  <c r="Q256" i="3"/>
  <c r="U255" i="3"/>
  <c r="T255" i="3"/>
  <c r="R255" i="3"/>
  <c r="AJ255" i="3" s="1"/>
  <c r="Q255" i="3"/>
  <c r="U254" i="3"/>
  <c r="T254" i="3"/>
  <c r="R254" i="3"/>
  <c r="AJ254" i="3" s="1"/>
  <c r="Q254" i="3"/>
  <c r="U253" i="3"/>
  <c r="T253" i="3"/>
  <c r="R253" i="3"/>
  <c r="AJ253" i="3" s="1"/>
  <c r="Q253" i="3"/>
  <c r="U252" i="3"/>
  <c r="T252" i="3"/>
  <c r="R252" i="3"/>
  <c r="AJ252" i="3" s="1"/>
  <c r="Q252" i="3"/>
  <c r="U251" i="3"/>
  <c r="T251" i="3"/>
  <c r="R251" i="3"/>
  <c r="AJ251" i="3" s="1"/>
  <c r="Q251" i="3"/>
  <c r="U250" i="3"/>
  <c r="T250" i="3"/>
  <c r="R250" i="3"/>
  <c r="AJ250" i="3" s="1"/>
  <c r="Q250" i="3"/>
  <c r="U249" i="3"/>
  <c r="T249" i="3"/>
  <c r="R249" i="3"/>
  <c r="AJ249" i="3" s="1"/>
  <c r="Q249" i="3"/>
  <c r="U248" i="3"/>
  <c r="T248" i="3"/>
  <c r="R248" i="3"/>
  <c r="AJ248" i="3" s="1"/>
  <c r="Q248" i="3"/>
  <c r="U247" i="3"/>
  <c r="T247" i="3"/>
  <c r="R247" i="3"/>
  <c r="AJ247" i="3" s="1"/>
  <c r="Q247" i="3"/>
  <c r="U246" i="3"/>
  <c r="T246" i="3"/>
  <c r="R246" i="3"/>
  <c r="AJ246" i="3" s="1"/>
  <c r="Q246" i="3"/>
  <c r="U245" i="3"/>
  <c r="T245" i="3"/>
  <c r="R245" i="3"/>
  <c r="AJ245" i="3" s="1"/>
  <c r="Q245" i="3"/>
  <c r="U244" i="3"/>
  <c r="T244" i="3"/>
  <c r="R244" i="3"/>
  <c r="AJ244" i="3" s="1"/>
  <c r="Q244" i="3"/>
  <c r="U243" i="3"/>
  <c r="T243" i="3"/>
  <c r="R243" i="3"/>
  <c r="AJ243" i="3" s="1"/>
  <c r="Q243" i="3"/>
  <c r="U242" i="3"/>
  <c r="T242" i="3"/>
  <c r="R242" i="3"/>
  <c r="AJ242" i="3" s="1"/>
  <c r="Q242" i="3"/>
  <c r="U241" i="3"/>
  <c r="T241" i="3"/>
  <c r="R241" i="3"/>
  <c r="AJ241" i="3" s="1"/>
  <c r="Q241" i="3"/>
  <c r="U240" i="3"/>
  <c r="T240" i="3"/>
  <c r="R240" i="3"/>
  <c r="AJ240" i="3" s="1"/>
  <c r="Q240" i="3"/>
  <c r="U239" i="3"/>
  <c r="T239" i="3"/>
  <c r="R239" i="3"/>
  <c r="AJ239" i="3" s="1"/>
  <c r="Q239" i="3"/>
  <c r="U238" i="3"/>
  <c r="T238" i="3"/>
  <c r="R238" i="3"/>
  <c r="AJ238" i="3" s="1"/>
  <c r="Q238" i="3"/>
  <c r="U237" i="3"/>
  <c r="T237" i="3"/>
  <c r="R237" i="3"/>
  <c r="AJ237" i="3" s="1"/>
  <c r="Q237" i="3"/>
  <c r="U236" i="3"/>
  <c r="T236" i="3"/>
  <c r="R236" i="3"/>
  <c r="AJ236" i="3" s="1"/>
  <c r="Q236" i="3"/>
  <c r="U235" i="3"/>
  <c r="T235" i="3"/>
  <c r="R235" i="3"/>
  <c r="AJ235" i="3" s="1"/>
  <c r="Q235" i="3"/>
  <c r="U234" i="3"/>
  <c r="T234" i="3"/>
  <c r="R234" i="3"/>
  <c r="AJ234" i="3" s="1"/>
  <c r="Q234" i="3"/>
  <c r="U233" i="3"/>
  <c r="T233" i="3"/>
  <c r="R233" i="3"/>
  <c r="AJ233" i="3" s="1"/>
  <c r="Q233" i="3"/>
  <c r="U232" i="3"/>
  <c r="T232" i="3"/>
  <c r="R232" i="3"/>
  <c r="AJ232" i="3" s="1"/>
  <c r="Q232" i="3"/>
  <c r="U231" i="3"/>
  <c r="T231" i="3"/>
  <c r="R231" i="3"/>
  <c r="AJ231" i="3" s="1"/>
  <c r="Q231" i="3"/>
  <c r="U230" i="3"/>
  <c r="T230" i="3"/>
  <c r="R230" i="3"/>
  <c r="AJ230" i="3" s="1"/>
  <c r="Q230" i="3"/>
  <c r="U229" i="3"/>
  <c r="T229" i="3"/>
  <c r="R229" i="3"/>
  <c r="AJ229" i="3" s="1"/>
  <c r="Q229" i="3"/>
  <c r="U228" i="3"/>
  <c r="T228" i="3"/>
  <c r="R228" i="3"/>
  <c r="AJ228" i="3" s="1"/>
  <c r="Q228" i="3"/>
  <c r="U227" i="3"/>
  <c r="T227" i="3"/>
  <c r="R227" i="3"/>
  <c r="AJ227" i="3" s="1"/>
  <c r="Q227" i="3"/>
  <c r="U226" i="3"/>
  <c r="T226" i="3"/>
  <c r="R226" i="3"/>
  <c r="AJ226" i="3" s="1"/>
  <c r="Q226" i="3"/>
  <c r="U225" i="3"/>
  <c r="T225" i="3"/>
  <c r="R225" i="3"/>
  <c r="AJ225" i="3" s="1"/>
  <c r="Q225" i="3"/>
  <c r="U224" i="3"/>
  <c r="T224" i="3"/>
  <c r="R224" i="3"/>
  <c r="AJ224" i="3" s="1"/>
  <c r="Q224" i="3"/>
  <c r="U223" i="3"/>
  <c r="T223" i="3"/>
  <c r="R223" i="3"/>
  <c r="AJ223" i="3" s="1"/>
  <c r="Q223" i="3"/>
  <c r="U222" i="3"/>
  <c r="T222" i="3"/>
  <c r="R222" i="3"/>
  <c r="AJ222" i="3" s="1"/>
  <c r="Q222" i="3"/>
  <c r="U221" i="3"/>
  <c r="T221" i="3"/>
  <c r="R221" i="3"/>
  <c r="AJ221" i="3" s="1"/>
  <c r="Q221" i="3"/>
  <c r="U220" i="3"/>
  <c r="T220" i="3"/>
  <c r="R220" i="3"/>
  <c r="AJ220" i="3" s="1"/>
  <c r="Q220" i="3"/>
  <c r="U219" i="3"/>
  <c r="T219" i="3"/>
  <c r="R219" i="3"/>
  <c r="AJ219" i="3" s="1"/>
  <c r="Q219" i="3"/>
  <c r="U218" i="3"/>
  <c r="T218" i="3"/>
  <c r="R218" i="3"/>
  <c r="AJ218" i="3" s="1"/>
  <c r="Q218" i="3"/>
  <c r="U217" i="3"/>
  <c r="T217" i="3"/>
  <c r="R217" i="3"/>
  <c r="AJ217" i="3" s="1"/>
  <c r="Q217" i="3"/>
  <c r="U216" i="3"/>
  <c r="T216" i="3"/>
  <c r="R216" i="3"/>
  <c r="AJ216" i="3" s="1"/>
  <c r="Q216" i="3"/>
  <c r="U215" i="3"/>
  <c r="T215" i="3"/>
  <c r="R215" i="3"/>
  <c r="AJ215" i="3" s="1"/>
  <c r="Q215" i="3"/>
  <c r="U214" i="3"/>
  <c r="T214" i="3"/>
  <c r="R214" i="3"/>
  <c r="AJ214" i="3" s="1"/>
  <c r="Q214" i="3"/>
  <c r="U213" i="3"/>
  <c r="T213" i="3"/>
  <c r="R213" i="3"/>
  <c r="AJ213" i="3" s="1"/>
  <c r="Q213" i="3"/>
  <c r="U212" i="3"/>
  <c r="T212" i="3"/>
  <c r="R212" i="3"/>
  <c r="AJ212" i="3" s="1"/>
  <c r="Q212" i="3"/>
  <c r="U211" i="3"/>
  <c r="T211" i="3"/>
  <c r="R211" i="3"/>
  <c r="AJ211" i="3" s="1"/>
  <c r="Q211" i="3"/>
  <c r="U210" i="3"/>
  <c r="T210" i="3"/>
  <c r="R210" i="3"/>
  <c r="AJ210" i="3" s="1"/>
  <c r="Q210" i="3"/>
  <c r="U209" i="3"/>
  <c r="T209" i="3"/>
  <c r="R209" i="3"/>
  <c r="AJ209" i="3" s="1"/>
  <c r="Q209" i="3"/>
  <c r="U208" i="3"/>
  <c r="T208" i="3"/>
  <c r="R208" i="3"/>
  <c r="AJ208" i="3" s="1"/>
  <c r="Q208" i="3"/>
  <c r="U207" i="3"/>
  <c r="T207" i="3"/>
  <c r="R207" i="3"/>
  <c r="AJ207" i="3" s="1"/>
  <c r="Q207" i="3"/>
  <c r="U206" i="3"/>
  <c r="T206" i="3"/>
  <c r="R206" i="3"/>
  <c r="AJ206" i="3" s="1"/>
  <c r="Q206" i="3"/>
  <c r="U205" i="3"/>
  <c r="T205" i="3"/>
  <c r="R205" i="3"/>
  <c r="AJ205" i="3" s="1"/>
  <c r="Q205" i="3"/>
  <c r="U204" i="3"/>
  <c r="T204" i="3"/>
  <c r="R204" i="3"/>
  <c r="AJ204" i="3" s="1"/>
  <c r="Q204" i="3"/>
  <c r="U203" i="3"/>
  <c r="T203" i="3"/>
  <c r="R203" i="3"/>
  <c r="AJ203" i="3" s="1"/>
  <c r="Q203" i="3"/>
  <c r="U202" i="3"/>
  <c r="T202" i="3"/>
  <c r="R202" i="3"/>
  <c r="AJ202" i="3" s="1"/>
  <c r="Q202" i="3"/>
  <c r="U201" i="3"/>
  <c r="T201" i="3"/>
  <c r="R201" i="3"/>
  <c r="AJ201" i="3" s="1"/>
  <c r="Q201" i="3"/>
  <c r="U200" i="3"/>
  <c r="T200" i="3"/>
  <c r="R200" i="3"/>
  <c r="AJ200" i="3" s="1"/>
  <c r="Q200" i="3"/>
  <c r="U199" i="3"/>
  <c r="T199" i="3"/>
  <c r="R199" i="3"/>
  <c r="AJ199" i="3" s="1"/>
  <c r="Q199" i="3"/>
  <c r="U198" i="3"/>
  <c r="T198" i="3"/>
  <c r="R198" i="3"/>
  <c r="AJ198" i="3" s="1"/>
  <c r="Q198" i="3"/>
  <c r="U197" i="3"/>
  <c r="T197" i="3"/>
  <c r="R197" i="3"/>
  <c r="AJ197" i="3" s="1"/>
  <c r="Q197" i="3"/>
  <c r="U196" i="3"/>
  <c r="T196" i="3"/>
  <c r="R196" i="3"/>
  <c r="AJ196" i="3" s="1"/>
  <c r="Q196" i="3"/>
  <c r="U195" i="3"/>
  <c r="T195" i="3"/>
  <c r="R195" i="3"/>
  <c r="AJ195" i="3" s="1"/>
  <c r="Q195" i="3"/>
  <c r="U194" i="3"/>
  <c r="T194" i="3"/>
  <c r="R194" i="3"/>
  <c r="AJ194" i="3" s="1"/>
  <c r="Q194" i="3"/>
  <c r="U193" i="3"/>
  <c r="T193" i="3"/>
  <c r="R193" i="3"/>
  <c r="AJ193" i="3" s="1"/>
  <c r="Q193" i="3"/>
  <c r="U192" i="3"/>
  <c r="T192" i="3"/>
  <c r="R192" i="3"/>
  <c r="AJ192" i="3" s="1"/>
  <c r="Q192" i="3"/>
  <c r="U191" i="3"/>
  <c r="T191" i="3"/>
  <c r="R191" i="3"/>
  <c r="AJ191" i="3" s="1"/>
  <c r="Q191" i="3"/>
  <c r="U190" i="3"/>
  <c r="T190" i="3"/>
  <c r="R190" i="3"/>
  <c r="AJ190" i="3" s="1"/>
  <c r="Q190" i="3"/>
  <c r="U189" i="3"/>
  <c r="T189" i="3"/>
  <c r="R189" i="3"/>
  <c r="AJ189" i="3" s="1"/>
  <c r="Q189" i="3"/>
  <c r="U188" i="3"/>
  <c r="T188" i="3"/>
  <c r="R188" i="3"/>
  <c r="AJ188" i="3" s="1"/>
  <c r="Q188" i="3"/>
  <c r="U187" i="3"/>
  <c r="T187" i="3"/>
  <c r="R187" i="3"/>
  <c r="AJ187" i="3" s="1"/>
  <c r="Q187" i="3"/>
  <c r="U186" i="3"/>
  <c r="T186" i="3"/>
  <c r="R186" i="3"/>
  <c r="AJ186" i="3" s="1"/>
  <c r="Q186" i="3"/>
  <c r="U185" i="3"/>
  <c r="T185" i="3"/>
  <c r="R185" i="3"/>
  <c r="AJ185" i="3" s="1"/>
  <c r="Q185" i="3"/>
  <c r="U184" i="3"/>
  <c r="T184" i="3"/>
  <c r="R184" i="3"/>
  <c r="AJ184" i="3" s="1"/>
  <c r="Q184" i="3"/>
  <c r="U183" i="3"/>
  <c r="T183" i="3"/>
  <c r="R183" i="3"/>
  <c r="AJ183" i="3" s="1"/>
  <c r="Q183" i="3"/>
  <c r="U182" i="3"/>
  <c r="T182" i="3"/>
  <c r="R182" i="3"/>
  <c r="AJ182" i="3" s="1"/>
  <c r="Q182" i="3"/>
  <c r="U181" i="3"/>
  <c r="T181" i="3"/>
  <c r="R181" i="3"/>
  <c r="AJ181" i="3" s="1"/>
  <c r="Q181" i="3"/>
  <c r="U180" i="3"/>
  <c r="T180" i="3"/>
  <c r="R180" i="3"/>
  <c r="AJ180" i="3" s="1"/>
  <c r="Q180" i="3"/>
  <c r="U179" i="3"/>
  <c r="T179" i="3"/>
  <c r="R179" i="3"/>
  <c r="AJ179" i="3" s="1"/>
  <c r="Q179" i="3"/>
  <c r="U178" i="3"/>
  <c r="T178" i="3"/>
  <c r="R178" i="3"/>
  <c r="AJ178" i="3" s="1"/>
  <c r="Q178" i="3"/>
  <c r="U177" i="3"/>
  <c r="T177" i="3"/>
  <c r="R177" i="3"/>
  <c r="AJ177" i="3" s="1"/>
  <c r="Q177" i="3"/>
  <c r="U176" i="3"/>
  <c r="T176" i="3"/>
  <c r="R176" i="3"/>
  <c r="AJ176" i="3" s="1"/>
  <c r="Q176" i="3"/>
  <c r="U175" i="3"/>
  <c r="T175" i="3"/>
  <c r="R175" i="3"/>
  <c r="AJ175" i="3" s="1"/>
  <c r="Q175" i="3"/>
  <c r="U174" i="3"/>
  <c r="T174" i="3"/>
  <c r="R174" i="3"/>
  <c r="AJ174" i="3" s="1"/>
  <c r="Q174" i="3"/>
  <c r="U173" i="3"/>
  <c r="T173" i="3"/>
  <c r="R173" i="3"/>
  <c r="AJ173" i="3" s="1"/>
  <c r="Q173" i="3"/>
  <c r="U172" i="3"/>
  <c r="T172" i="3"/>
  <c r="R172" i="3"/>
  <c r="AJ172" i="3" s="1"/>
  <c r="Q172" i="3"/>
  <c r="U171" i="3"/>
  <c r="T171" i="3"/>
  <c r="R171" i="3"/>
  <c r="AJ171" i="3" s="1"/>
  <c r="Q171" i="3"/>
  <c r="U170" i="3"/>
  <c r="T170" i="3"/>
  <c r="R170" i="3"/>
  <c r="AJ170" i="3" s="1"/>
  <c r="Q170" i="3"/>
  <c r="U169" i="3"/>
  <c r="T169" i="3"/>
  <c r="R169" i="3"/>
  <c r="AJ169" i="3" s="1"/>
  <c r="Q169" i="3"/>
  <c r="U168" i="3"/>
  <c r="T168" i="3"/>
  <c r="R168" i="3"/>
  <c r="AJ168" i="3" s="1"/>
  <c r="Q168" i="3"/>
  <c r="U167" i="3"/>
  <c r="T167" i="3"/>
  <c r="R167" i="3"/>
  <c r="AJ167" i="3" s="1"/>
  <c r="Q167" i="3"/>
  <c r="U166" i="3"/>
  <c r="T166" i="3"/>
  <c r="R166" i="3"/>
  <c r="AJ166" i="3" s="1"/>
  <c r="Q166" i="3"/>
  <c r="U165" i="3"/>
  <c r="T165" i="3"/>
  <c r="R165" i="3"/>
  <c r="AJ165" i="3" s="1"/>
  <c r="Q165" i="3"/>
  <c r="U164" i="3"/>
  <c r="T164" i="3"/>
  <c r="R164" i="3"/>
  <c r="AJ164" i="3" s="1"/>
  <c r="Q164" i="3"/>
  <c r="U163" i="3"/>
  <c r="T163" i="3"/>
  <c r="R163" i="3"/>
  <c r="AJ163" i="3" s="1"/>
  <c r="Q163" i="3"/>
  <c r="U162" i="3"/>
  <c r="T162" i="3"/>
  <c r="R162" i="3"/>
  <c r="AJ162" i="3" s="1"/>
  <c r="Q162" i="3"/>
  <c r="U161" i="3"/>
  <c r="T161" i="3"/>
  <c r="R161" i="3"/>
  <c r="AJ161" i="3" s="1"/>
  <c r="Q161" i="3"/>
  <c r="U160" i="3"/>
  <c r="T160" i="3"/>
  <c r="R160" i="3"/>
  <c r="AJ160" i="3" s="1"/>
  <c r="Q160" i="3"/>
  <c r="U159" i="3"/>
  <c r="T159" i="3"/>
  <c r="R159" i="3"/>
  <c r="AJ159" i="3" s="1"/>
  <c r="Q159" i="3"/>
  <c r="U158" i="3"/>
  <c r="T158" i="3"/>
  <c r="R158" i="3"/>
  <c r="AJ158" i="3" s="1"/>
  <c r="Q158" i="3"/>
  <c r="U157" i="3"/>
  <c r="T157" i="3"/>
  <c r="R157" i="3"/>
  <c r="AJ157" i="3" s="1"/>
  <c r="Q157" i="3"/>
  <c r="U156" i="3"/>
  <c r="T156" i="3"/>
  <c r="R156" i="3"/>
  <c r="AJ156" i="3" s="1"/>
  <c r="Q156" i="3"/>
  <c r="U155" i="3"/>
  <c r="T155" i="3"/>
  <c r="R155" i="3"/>
  <c r="AJ155" i="3" s="1"/>
  <c r="Q155" i="3"/>
  <c r="U154" i="3"/>
  <c r="T154" i="3"/>
  <c r="R154" i="3"/>
  <c r="AJ154" i="3" s="1"/>
  <c r="Q154" i="3"/>
  <c r="U153" i="3"/>
  <c r="T153" i="3"/>
  <c r="R153" i="3"/>
  <c r="AJ153" i="3" s="1"/>
  <c r="Q153" i="3"/>
  <c r="U152" i="3"/>
  <c r="T152" i="3"/>
  <c r="R152" i="3"/>
  <c r="AJ152" i="3" s="1"/>
  <c r="Q152" i="3"/>
  <c r="U151" i="3"/>
  <c r="T151" i="3"/>
  <c r="R151" i="3"/>
  <c r="AJ151" i="3" s="1"/>
  <c r="Q151" i="3"/>
  <c r="U150" i="3"/>
  <c r="T150" i="3"/>
  <c r="R150" i="3"/>
  <c r="AJ150" i="3" s="1"/>
  <c r="Q150" i="3"/>
  <c r="U149" i="3"/>
  <c r="T149" i="3"/>
  <c r="R149" i="3"/>
  <c r="AJ149" i="3" s="1"/>
  <c r="Q149" i="3"/>
  <c r="U148" i="3"/>
  <c r="T148" i="3"/>
  <c r="R148" i="3"/>
  <c r="AJ148" i="3" s="1"/>
  <c r="Q148" i="3"/>
  <c r="U147" i="3"/>
  <c r="T147" i="3"/>
  <c r="R147" i="3"/>
  <c r="AJ147" i="3" s="1"/>
  <c r="Q147" i="3"/>
  <c r="U146" i="3"/>
  <c r="T146" i="3"/>
  <c r="R146" i="3"/>
  <c r="AJ146" i="3" s="1"/>
  <c r="Q146" i="3"/>
  <c r="U145" i="3"/>
  <c r="T145" i="3"/>
  <c r="R145" i="3"/>
  <c r="AJ145" i="3" s="1"/>
  <c r="Q145" i="3"/>
  <c r="U144" i="3"/>
  <c r="T144" i="3"/>
  <c r="R144" i="3"/>
  <c r="AJ144" i="3" s="1"/>
  <c r="Q144" i="3"/>
  <c r="U143" i="3"/>
  <c r="T143" i="3"/>
  <c r="R143" i="3"/>
  <c r="AJ143" i="3" s="1"/>
  <c r="Q143" i="3"/>
  <c r="U142" i="3"/>
  <c r="T142" i="3"/>
  <c r="R142" i="3"/>
  <c r="AJ142" i="3" s="1"/>
  <c r="Q142" i="3"/>
  <c r="U141" i="3"/>
  <c r="T141" i="3"/>
  <c r="R141" i="3"/>
  <c r="AJ141" i="3" s="1"/>
  <c r="Q141" i="3"/>
  <c r="U140" i="3"/>
  <c r="T140" i="3"/>
  <c r="R140" i="3"/>
  <c r="AJ140" i="3" s="1"/>
  <c r="Q140" i="3"/>
  <c r="U139" i="3"/>
  <c r="T139" i="3"/>
  <c r="R139" i="3"/>
  <c r="AJ139" i="3" s="1"/>
  <c r="Q139" i="3"/>
  <c r="U138" i="3"/>
  <c r="T138" i="3"/>
  <c r="R138" i="3"/>
  <c r="AJ138" i="3" s="1"/>
  <c r="Q138" i="3"/>
  <c r="U137" i="3"/>
  <c r="T137" i="3"/>
  <c r="R137" i="3"/>
  <c r="AJ137" i="3" s="1"/>
  <c r="Q137" i="3"/>
  <c r="U136" i="3"/>
  <c r="T136" i="3"/>
  <c r="R136" i="3"/>
  <c r="AJ136" i="3" s="1"/>
  <c r="Q136" i="3"/>
  <c r="U135" i="3"/>
  <c r="T135" i="3"/>
  <c r="R135" i="3"/>
  <c r="AJ135" i="3" s="1"/>
  <c r="Q135" i="3"/>
  <c r="U134" i="3"/>
  <c r="T134" i="3"/>
  <c r="R134" i="3"/>
  <c r="AJ134" i="3" s="1"/>
  <c r="Q134" i="3"/>
  <c r="U133" i="3"/>
  <c r="T133" i="3"/>
  <c r="R133" i="3"/>
  <c r="AJ133" i="3" s="1"/>
  <c r="Q133" i="3"/>
  <c r="U132" i="3"/>
  <c r="T132" i="3"/>
  <c r="R132" i="3"/>
  <c r="AJ132" i="3" s="1"/>
  <c r="Q132" i="3"/>
  <c r="U131" i="3"/>
  <c r="T131" i="3"/>
  <c r="R131" i="3"/>
  <c r="AJ131" i="3" s="1"/>
  <c r="Q131" i="3"/>
  <c r="U130" i="3"/>
  <c r="T130" i="3"/>
  <c r="R130" i="3"/>
  <c r="AJ130" i="3" s="1"/>
  <c r="Q130" i="3"/>
  <c r="U129" i="3"/>
  <c r="T129" i="3"/>
  <c r="R129" i="3"/>
  <c r="AJ129" i="3" s="1"/>
  <c r="Q129" i="3"/>
  <c r="U128" i="3"/>
  <c r="T128" i="3"/>
  <c r="R128" i="3"/>
  <c r="AJ128" i="3" s="1"/>
  <c r="Q128" i="3"/>
  <c r="U127" i="3"/>
  <c r="T127" i="3"/>
  <c r="R127" i="3"/>
  <c r="AJ127" i="3" s="1"/>
  <c r="Q127" i="3"/>
  <c r="U126" i="3"/>
  <c r="T126" i="3"/>
  <c r="R126" i="3"/>
  <c r="AJ126" i="3" s="1"/>
  <c r="Q126" i="3"/>
  <c r="U125" i="3"/>
  <c r="T125" i="3"/>
  <c r="R125" i="3"/>
  <c r="AJ125" i="3" s="1"/>
  <c r="Q125" i="3"/>
  <c r="U124" i="3"/>
  <c r="T124" i="3"/>
  <c r="R124" i="3"/>
  <c r="AJ124" i="3" s="1"/>
  <c r="Q124" i="3"/>
  <c r="U123" i="3"/>
  <c r="T123" i="3"/>
  <c r="R123" i="3"/>
  <c r="AJ123" i="3" s="1"/>
  <c r="Q123" i="3"/>
  <c r="U122" i="3"/>
  <c r="T122" i="3"/>
  <c r="R122" i="3"/>
  <c r="AJ122" i="3" s="1"/>
  <c r="Q122" i="3"/>
  <c r="U121" i="3"/>
  <c r="T121" i="3"/>
  <c r="R121" i="3"/>
  <c r="AJ121" i="3" s="1"/>
  <c r="Q121" i="3"/>
  <c r="U120" i="3"/>
  <c r="T120" i="3"/>
  <c r="R120" i="3"/>
  <c r="AJ120" i="3" s="1"/>
  <c r="Q120" i="3"/>
  <c r="U119" i="3"/>
  <c r="T119" i="3"/>
  <c r="R119" i="3"/>
  <c r="AJ119" i="3" s="1"/>
  <c r="Q119" i="3"/>
  <c r="U118" i="3"/>
  <c r="T118" i="3"/>
  <c r="R118" i="3"/>
  <c r="AJ118" i="3" s="1"/>
  <c r="Q118" i="3"/>
  <c r="U117" i="3"/>
  <c r="T117" i="3"/>
  <c r="R117" i="3"/>
  <c r="AJ117" i="3" s="1"/>
  <c r="Q117" i="3"/>
  <c r="U116" i="3"/>
  <c r="T116" i="3"/>
  <c r="R116" i="3"/>
  <c r="AJ116" i="3" s="1"/>
  <c r="Q116" i="3"/>
  <c r="U115" i="3"/>
  <c r="T115" i="3"/>
  <c r="R115" i="3"/>
  <c r="AJ115" i="3" s="1"/>
  <c r="Q115" i="3"/>
  <c r="U114" i="3"/>
  <c r="T114" i="3"/>
  <c r="R114" i="3"/>
  <c r="AJ114" i="3" s="1"/>
  <c r="Q114" i="3"/>
  <c r="U113" i="3"/>
  <c r="T113" i="3"/>
  <c r="R113" i="3"/>
  <c r="AJ113" i="3" s="1"/>
  <c r="Q113" i="3"/>
  <c r="U112" i="3"/>
  <c r="T112" i="3"/>
  <c r="R112" i="3"/>
  <c r="AJ112" i="3" s="1"/>
  <c r="Q112" i="3"/>
  <c r="U111" i="3"/>
  <c r="T111" i="3"/>
  <c r="R111" i="3"/>
  <c r="AJ111" i="3" s="1"/>
  <c r="Q111" i="3"/>
  <c r="U110" i="3"/>
  <c r="T110" i="3"/>
  <c r="R110" i="3"/>
  <c r="AJ110" i="3" s="1"/>
  <c r="Q110" i="3"/>
  <c r="U109" i="3"/>
  <c r="T109" i="3"/>
  <c r="R109" i="3"/>
  <c r="AJ109" i="3" s="1"/>
  <c r="Q109" i="3"/>
  <c r="U108" i="3"/>
  <c r="T108" i="3"/>
  <c r="R108" i="3"/>
  <c r="AJ108" i="3" s="1"/>
  <c r="Q108" i="3"/>
  <c r="U107" i="3"/>
  <c r="T107" i="3"/>
  <c r="R107" i="3"/>
  <c r="AJ107" i="3" s="1"/>
  <c r="Q107" i="3"/>
  <c r="U106" i="3"/>
  <c r="T106" i="3"/>
  <c r="R106" i="3"/>
  <c r="AJ106" i="3" s="1"/>
  <c r="Q106" i="3"/>
  <c r="U105" i="3"/>
  <c r="T105" i="3"/>
  <c r="R105" i="3"/>
  <c r="AJ105" i="3" s="1"/>
  <c r="Q105" i="3"/>
  <c r="U104" i="3"/>
  <c r="T104" i="3"/>
  <c r="R104" i="3"/>
  <c r="AJ104" i="3" s="1"/>
  <c r="Q104" i="3"/>
  <c r="U103" i="3"/>
  <c r="T103" i="3"/>
  <c r="R103" i="3"/>
  <c r="AJ103" i="3" s="1"/>
  <c r="Q103" i="3"/>
  <c r="U102" i="3"/>
  <c r="T102" i="3"/>
  <c r="R102" i="3"/>
  <c r="AJ102" i="3" s="1"/>
  <c r="Q102" i="3"/>
  <c r="U101" i="3"/>
  <c r="T101" i="3"/>
  <c r="R101" i="3"/>
  <c r="AJ101" i="3" s="1"/>
  <c r="Q101" i="3"/>
  <c r="U100" i="3"/>
  <c r="T100" i="3"/>
  <c r="R100" i="3"/>
  <c r="AJ100" i="3" s="1"/>
  <c r="Q100" i="3"/>
  <c r="U99" i="3"/>
  <c r="T99" i="3"/>
  <c r="R99" i="3"/>
  <c r="AJ99" i="3" s="1"/>
  <c r="Q99" i="3"/>
  <c r="U98" i="3"/>
  <c r="T98" i="3"/>
  <c r="R98" i="3"/>
  <c r="AJ98" i="3" s="1"/>
  <c r="Q98" i="3"/>
  <c r="U97" i="3"/>
  <c r="T97" i="3"/>
  <c r="R97" i="3"/>
  <c r="AJ97" i="3" s="1"/>
  <c r="Q97" i="3"/>
  <c r="U96" i="3"/>
  <c r="T96" i="3"/>
  <c r="R96" i="3"/>
  <c r="AJ96" i="3" s="1"/>
  <c r="Q96" i="3"/>
  <c r="U95" i="3"/>
  <c r="T95" i="3"/>
  <c r="R95" i="3"/>
  <c r="AJ95" i="3" s="1"/>
  <c r="Q95" i="3"/>
  <c r="U94" i="3"/>
  <c r="T94" i="3"/>
  <c r="R94" i="3"/>
  <c r="AJ94" i="3" s="1"/>
  <c r="Q94" i="3"/>
  <c r="U93" i="3"/>
  <c r="T93" i="3"/>
  <c r="R93" i="3"/>
  <c r="AJ93" i="3" s="1"/>
  <c r="Q93" i="3"/>
  <c r="U92" i="3"/>
  <c r="T92" i="3"/>
  <c r="R92" i="3"/>
  <c r="AJ92" i="3" s="1"/>
  <c r="Q92" i="3"/>
  <c r="U91" i="3"/>
  <c r="T91" i="3"/>
  <c r="R91" i="3"/>
  <c r="AJ91" i="3" s="1"/>
  <c r="Q91" i="3"/>
  <c r="U90" i="3"/>
  <c r="T90" i="3"/>
  <c r="R90" i="3"/>
  <c r="AJ90" i="3" s="1"/>
  <c r="Q90" i="3"/>
  <c r="U89" i="3"/>
  <c r="T89" i="3"/>
  <c r="R89" i="3"/>
  <c r="AJ89" i="3" s="1"/>
  <c r="Q89" i="3"/>
  <c r="U88" i="3"/>
  <c r="T88" i="3"/>
  <c r="R88" i="3"/>
  <c r="AJ88" i="3" s="1"/>
  <c r="Q88" i="3"/>
  <c r="U87" i="3"/>
  <c r="T87" i="3"/>
  <c r="R87" i="3"/>
  <c r="AJ87" i="3" s="1"/>
  <c r="Q87" i="3"/>
  <c r="U86" i="3"/>
  <c r="T86" i="3"/>
  <c r="R86" i="3"/>
  <c r="AJ86" i="3" s="1"/>
  <c r="Q86" i="3"/>
  <c r="U85" i="3"/>
  <c r="T85" i="3"/>
  <c r="R85" i="3"/>
  <c r="AJ85" i="3" s="1"/>
  <c r="Q85" i="3"/>
  <c r="U84" i="3"/>
  <c r="T84" i="3"/>
  <c r="R84" i="3"/>
  <c r="Q84" i="3"/>
  <c r="U83" i="3"/>
  <c r="T83" i="3"/>
  <c r="R83" i="3"/>
  <c r="AJ83" i="3" s="1"/>
  <c r="Q83" i="3"/>
  <c r="U82" i="3"/>
  <c r="T82" i="3"/>
  <c r="R82" i="3"/>
  <c r="AJ82" i="3" s="1"/>
  <c r="Q82" i="3"/>
  <c r="U81" i="3"/>
  <c r="T81" i="3"/>
  <c r="R81" i="3"/>
  <c r="AJ81" i="3" s="1"/>
  <c r="Q81" i="3"/>
  <c r="U80" i="3"/>
  <c r="T80" i="3"/>
  <c r="R80" i="3"/>
  <c r="AJ80" i="3" s="1"/>
  <c r="Q80" i="3"/>
  <c r="U79" i="3"/>
  <c r="T79" i="3"/>
  <c r="R79" i="3"/>
  <c r="AJ79" i="3" s="1"/>
  <c r="Q79" i="3"/>
  <c r="U78" i="3"/>
  <c r="T78" i="3"/>
  <c r="R78" i="3"/>
  <c r="AJ78" i="3" s="1"/>
  <c r="Q78" i="3"/>
  <c r="U77" i="3"/>
  <c r="T77" i="3"/>
  <c r="R77" i="3"/>
  <c r="AJ77" i="3" s="1"/>
  <c r="Q77" i="3"/>
  <c r="U76" i="3"/>
  <c r="T76" i="3"/>
  <c r="R76" i="3"/>
  <c r="AJ76" i="3" s="1"/>
  <c r="Q76" i="3"/>
  <c r="U75" i="3"/>
  <c r="T75" i="3"/>
  <c r="R75" i="3"/>
  <c r="AJ75" i="3" s="1"/>
  <c r="Q75" i="3"/>
  <c r="U74" i="3"/>
  <c r="T74" i="3"/>
  <c r="R74" i="3"/>
  <c r="AJ74" i="3" s="1"/>
  <c r="Q74" i="3"/>
  <c r="U73" i="3"/>
  <c r="T73" i="3"/>
  <c r="R73" i="3"/>
  <c r="AJ73" i="3" s="1"/>
  <c r="Q73" i="3"/>
  <c r="U72" i="3"/>
  <c r="T72" i="3"/>
  <c r="R72" i="3"/>
  <c r="AJ72" i="3" s="1"/>
  <c r="Q72" i="3"/>
  <c r="U71" i="3"/>
  <c r="T71" i="3"/>
  <c r="R71" i="3"/>
  <c r="AJ71" i="3" s="1"/>
  <c r="Q71" i="3"/>
  <c r="U70" i="3"/>
  <c r="T70" i="3"/>
  <c r="R70" i="3"/>
  <c r="AJ70" i="3" s="1"/>
  <c r="Q70" i="3"/>
  <c r="U69" i="3"/>
  <c r="T69" i="3"/>
  <c r="R69" i="3"/>
  <c r="AJ69" i="3" s="1"/>
  <c r="Q69" i="3"/>
  <c r="U68" i="3"/>
  <c r="T68" i="3"/>
  <c r="R68" i="3"/>
  <c r="AJ68" i="3" s="1"/>
  <c r="Q68" i="3"/>
  <c r="U67" i="3"/>
  <c r="T67" i="3"/>
  <c r="R67" i="3"/>
  <c r="AJ67" i="3" s="1"/>
  <c r="Q67" i="3"/>
  <c r="U66" i="3"/>
  <c r="T66" i="3"/>
  <c r="R66" i="3"/>
  <c r="AJ66" i="3" s="1"/>
  <c r="Q66" i="3"/>
  <c r="U65" i="3"/>
  <c r="T65" i="3"/>
  <c r="R65" i="3"/>
  <c r="AJ65" i="3" s="1"/>
  <c r="Q65" i="3"/>
  <c r="U64" i="3"/>
  <c r="T64" i="3"/>
  <c r="R64" i="3"/>
  <c r="AJ64" i="3" s="1"/>
  <c r="Q64" i="3"/>
  <c r="U63" i="3"/>
  <c r="T63" i="3"/>
  <c r="R63" i="3"/>
  <c r="AJ63" i="3" s="1"/>
  <c r="Q63" i="3"/>
  <c r="U62" i="3"/>
  <c r="T62" i="3"/>
  <c r="R62" i="3"/>
  <c r="AJ62" i="3" s="1"/>
  <c r="Q62" i="3"/>
  <c r="U61" i="3"/>
  <c r="T61" i="3"/>
  <c r="R61" i="3"/>
  <c r="AJ61" i="3" s="1"/>
  <c r="Q61" i="3"/>
  <c r="U60" i="3"/>
  <c r="T60" i="3"/>
  <c r="R60" i="3"/>
  <c r="AJ60" i="3" s="1"/>
  <c r="Q60" i="3"/>
  <c r="U59" i="3"/>
  <c r="T59" i="3"/>
  <c r="R59" i="3"/>
  <c r="AJ59" i="3" s="1"/>
  <c r="Q59" i="3"/>
  <c r="U58" i="3"/>
  <c r="T58" i="3"/>
  <c r="R58" i="3"/>
  <c r="AJ58" i="3" s="1"/>
  <c r="Q58" i="3"/>
  <c r="U57" i="3"/>
  <c r="T57" i="3"/>
  <c r="R57" i="3"/>
  <c r="AJ57" i="3" s="1"/>
  <c r="Q57" i="3"/>
  <c r="U56" i="3"/>
  <c r="T56" i="3"/>
  <c r="R56" i="3"/>
  <c r="AJ56" i="3" s="1"/>
  <c r="Q56" i="3"/>
  <c r="U55" i="3"/>
  <c r="T55" i="3"/>
  <c r="R55" i="3"/>
  <c r="AJ55" i="3" s="1"/>
  <c r="Q55" i="3"/>
  <c r="U54" i="3"/>
  <c r="T54" i="3"/>
  <c r="R54" i="3"/>
  <c r="AJ54" i="3" s="1"/>
  <c r="Q54" i="3"/>
  <c r="U53" i="3"/>
  <c r="T53" i="3"/>
  <c r="R53" i="3"/>
  <c r="AJ53" i="3" s="1"/>
  <c r="Q53" i="3"/>
  <c r="U52" i="3"/>
  <c r="T52" i="3"/>
  <c r="R52" i="3"/>
  <c r="AJ52" i="3" s="1"/>
  <c r="Q52" i="3"/>
  <c r="U51" i="3"/>
  <c r="T51" i="3"/>
  <c r="R51" i="3"/>
  <c r="Q51" i="3"/>
  <c r="U50" i="3"/>
  <c r="T50" i="3"/>
  <c r="R50" i="3"/>
  <c r="AJ50" i="3" s="1"/>
  <c r="Q50" i="3"/>
  <c r="U49" i="3"/>
  <c r="T49" i="3"/>
  <c r="R49" i="3"/>
  <c r="AJ49" i="3" s="1"/>
  <c r="Q49" i="3"/>
  <c r="U48" i="3"/>
  <c r="T48" i="3"/>
  <c r="R48" i="3"/>
  <c r="AJ48" i="3" s="1"/>
  <c r="Q48" i="3"/>
  <c r="U47" i="3"/>
  <c r="T47" i="3"/>
  <c r="R47" i="3"/>
  <c r="AJ47" i="3" s="1"/>
  <c r="Q47" i="3"/>
  <c r="U46" i="3"/>
  <c r="T46" i="3"/>
  <c r="R46" i="3"/>
  <c r="AJ46" i="3" s="1"/>
  <c r="Q46" i="3"/>
  <c r="U45" i="3"/>
  <c r="T45" i="3"/>
  <c r="R45" i="3"/>
  <c r="AJ45" i="3" s="1"/>
  <c r="Q45" i="3"/>
  <c r="U44" i="3"/>
  <c r="T44" i="3"/>
  <c r="R44" i="3"/>
  <c r="AJ44" i="3" s="1"/>
  <c r="Q44" i="3"/>
  <c r="U43" i="3"/>
  <c r="T43" i="3"/>
  <c r="R43" i="3"/>
  <c r="AJ43" i="3" s="1"/>
  <c r="Q43" i="3"/>
  <c r="U42" i="3"/>
  <c r="T42" i="3"/>
  <c r="R42" i="3"/>
  <c r="AJ42" i="3" s="1"/>
  <c r="Q42" i="3"/>
  <c r="U41" i="3"/>
  <c r="T41" i="3"/>
  <c r="R41" i="3"/>
  <c r="AJ41" i="3" s="1"/>
  <c r="Q41" i="3"/>
  <c r="U40" i="3"/>
  <c r="T40" i="3"/>
  <c r="R40" i="3"/>
  <c r="AJ40" i="3" s="1"/>
  <c r="Q40" i="3"/>
  <c r="U39" i="3"/>
  <c r="T39" i="3"/>
  <c r="R39" i="3"/>
  <c r="AJ39" i="3" s="1"/>
  <c r="Q39" i="3"/>
  <c r="U38" i="3"/>
  <c r="T38" i="3"/>
  <c r="R38" i="3"/>
  <c r="AJ38" i="3" s="1"/>
  <c r="Q38" i="3"/>
  <c r="U37" i="3"/>
  <c r="T37" i="3"/>
  <c r="R37" i="3"/>
  <c r="AJ37" i="3" s="1"/>
  <c r="Q37" i="3"/>
  <c r="U36" i="3"/>
  <c r="T36" i="3"/>
  <c r="R36" i="3"/>
  <c r="AJ36" i="3" s="1"/>
  <c r="Q36" i="3"/>
  <c r="U35" i="3"/>
  <c r="T35" i="3"/>
  <c r="R35" i="3"/>
  <c r="Q35" i="3"/>
  <c r="U34" i="3"/>
  <c r="T34" i="3"/>
  <c r="R34" i="3"/>
  <c r="AJ34" i="3" s="1"/>
  <c r="Q34" i="3"/>
  <c r="U33" i="3"/>
  <c r="T33" i="3"/>
  <c r="R33" i="3"/>
  <c r="AJ33" i="3" s="1"/>
  <c r="Q33" i="3"/>
  <c r="U32" i="3"/>
  <c r="T32" i="3"/>
  <c r="R32" i="3"/>
  <c r="AJ32" i="3" s="1"/>
  <c r="Q32" i="3"/>
  <c r="U31" i="3"/>
  <c r="T31" i="3"/>
  <c r="R31" i="3"/>
  <c r="AJ31" i="3" s="1"/>
  <c r="Q31" i="3"/>
  <c r="U30" i="3"/>
  <c r="T30" i="3"/>
  <c r="R30" i="3"/>
  <c r="AJ30" i="3" s="1"/>
  <c r="Q30" i="3"/>
  <c r="U29" i="3"/>
  <c r="T29" i="3"/>
  <c r="R29" i="3"/>
  <c r="Q29" i="3"/>
  <c r="U28" i="3"/>
  <c r="T28" i="3"/>
  <c r="R28" i="3"/>
  <c r="AJ28" i="3" s="1"/>
  <c r="Q28" i="3"/>
  <c r="U27" i="3"/>
  <c r="T27" i="3"/>
  <c r="R27" i="3"/>
  <c r="AJ27" i="3" s="1"/>
  <c r="Q27" i="3"/>
  <c r="U26" i="3"/>
  <c r="T26" i="3"/>
  <c r="R26" i="3"/>
  <c r="AJ26" i="3" s="1"/>
  <c r="Q26" i="3"/>
  <c r="U25" i="3"/>
  <c r="T25" i="3"/>
  <c r="R25" i="3"/>
  <c r="AJ25" i="3" s="1"/>
  <c r="Q25" i="3"/>
  <c r="U24" i="3"/>
  <c r="T24" i="3"/>
  <c r="R24" i="3"/>
  <c r="AJ24" i="3" s="1"/>
  <c r="Q24" i="3"/>
  <c r="U23" i="3"/>
  <c r="T23" i="3"/>
  <c r="R23" i="3"/>
  <c r="Q23" i="3"/>
  <c r="U22" i="3"/>
  <c r="T22" i="3"/>
  <c r="R22" i="3"/>
  <c r="AJ22" i="3" s="1"/>
  <c r="Q22" i="3"/>
  <c r="U21" i="3"/>
  <c r="T21" i="3"/>
  <c r="R21" i="3"/>
  <c r="AJ21" i="3" s="1"/>
  <c r="Q21" i="3"/>
  <c r="U20" i="3"/>
  <c r="T20" i="3"/>
  <c r="R20" i="3"/>
  <c r="AJ20" i="3" s="1"/>
  <c r="Q20" i="3"/>
  <c r="U19" i="3"/>
  <c r="T19" i="3"/>
  <c r="R19" i="3"/>
  <c r="AJ19" i="3" s="1"/>
  <c r="Q19" i="3"/>
  <c r="U18" i="3"/>
  <c r="T18" i="3"/>
  <c r="R18" i="3"/>
  <c r="Q18" i="3"/>
  <c r="U17" i="3"/>
  <c r="T17" i="3"/>
  <c r="R17" i="3"/>
  <c r="AJ17" i="3" s="1"/>
  <c r="Q17" i="3"/>
  <c r="U16" i="3"/>
  <c r="T16" i="3"/>
  <c r="R16" i="3"/>
  <c r="AJ16" i="3" s="1"/>
  <c r="Q16" i="3"/>
  <c r="AB15" i="3"/>
  <c r="U15" i="3"/>
  <c r="T15" i="3"/>
  <c r="R15" i="3"/>
  <c r="AJ15" i="3" s="1"/>
  <c r="Q15" i="3"/>
  <c r="AB14" i="3"/>
  <c r="U14" i="3"/>
  <c r="T14" i="3"/>
  <c r="R14" i="3"/>
  <c r="AJ14" i="3" s="1"/>
  <c r="Q14" i="3"/>
  <c r="AB13" i="3"/>
  <c r="U13" i="3"/>
  <c r="T13" i="3"/>
  <c r="R13" i="3"/>
  <c r="AJ13" i="3" s="1"/>
  <c r="Q13" i="3"/>
  <c r="AB12" i="3"/>
  <c r="U12" i="3"/>
  <c r="T12" i="3"/>
  <c r="R12" i="3"/>
  <c r="AJ12" i="3" s="1"/>
  <c r="Q12" i="3"/>
  <c r="AB11" i="3"/>
  <c r="U11" i="3"/>
  <c r="T11" i="3"/>
  <c r="R11" i="3"/>
  <c r="AJ11" i="3" s="1"/>
  <c r="Q11" i="3"/>
  <c r="AB10" i="3"/>
  <c r="U10" i="3"/>
  <c r="T10" i="3"/>
  <c r="R10" i="3"/>
  <c r="AJ10" i="3" s="1"/>
  <c r="Q10" i="3"/>
  <c r="AB9" i="3"/>
  <c r="U9" i="3"/>
  <c r="T9" i="3"/>
  <c r="R9" i="3"/>
  <c r="AJ9" i="3" s="1"/>
  <c r="Q9" i="3"/>
  <c r="AB8" i="3"/>
  <c r="U8" i="3"/>
  <c r="T8" i="3"/>
  <c r="R8" i="3"/>
  <c r="AJ8" i="3" s="1"/>
  <c r="Q8" i="3"/>
  <c r="AB7" i="3"/>
  <c r="U7" i="3"/>
  <c r="T7" i="3"/>
  <c r="R7" i="3"/>
  <c r="AJ7" i="3" s="1"/>
  <c r="Q7" i="3"/>
  <c r="AB6" i="3"/>
  <c r="U6" i="3"/>
  <c r="T6" i="3"/>
  <c r="R6" i="3"/>
  <c r="AJ6" i="3" s="1"/>
  <c r="Q6" i="3"/>
  <c r="AB5" i="3"/>
  <c r="U5" i="3"/>
  <c r="T5" i="3"/>
  <c r="R5" i="3"/>
  <c r="AJ5" i="3" s="1"/>
  <c r="Q5" i="3"/>
  <c r="AB4" i="3"/>
  <c r="U4" i="3"/>
  <c r="T4" i="3"/>
  <c r="R4" i="3"/>
  <c r="AJ4" i="3" s="1"/>
  <c r="Q4" i="3"/>
  <c r="AB3" i="3"/>
  <c r="U3" i="3"/>
  <c r="T3" i="3"/>
  <c r="R3" i="3"/>
  <c r="AJ3" i="3" s="1"/>
  <c r="Q3" i="3"/>
  <c r="AB2" i="3"/>
  <c r="U2" i="3"/>
  <c r="T2" i="3"/>
  <c r="R2" i="3"/>
  <c r="AO938" i="3" l="1"/>
  <c r="C3" i="4"/>
  <c r="C5" i="4"/>
  <c r="C7" i="4"/>
  <c r="C9" i="4"/>
  <c r="C11" i="4"/>
  <c r="C13" i="4"/>
  <c r="C15" i="4"/>
  <c r="C17" i="4"/>
  <c r="C19" i="4"/>
  <c r="C21" i="4"/>
  <c r="C23" i="4"/>
  <c r="C25" i="4"/>
  <c r="C27" i="4"/>
  <c r="C29" i="4"/>
  <c r="C31" i="4"/>
  <c r="C33" i="4"/>
  <c r="C35" i="4"/>
  <c r="C37" i="4"/>
  <c r="C39" i="4"/>
  <c r="C41" i="4"/>
  <c r="C43" i="4"/>
  <c r="C45" i="4"/>
  <c r="C47" i="4"/>
  <c r="C49" i="4"/>
  <c r="C51" i="4"/>
  <c r="C53" i="4"/>
  <c r="C55" i="4"/>
  <c r="C57" i="4"/>
  <c r="C59" i="4"/>
  <c r="C61" i="4"/>
  <c r="C63" i="4"/>
  <c r="C65" i="4"/>
  <c r="C69" i="4"/>
  <c r="C71" i="4"/>
  <c r="C73" i="4"/>
  <c r="B2" i="4"/>
  <c r="B11" i="4"/>
  <c r="B19" i="4"/>
  <c r="B27" i="4"/>
  <c r="B35" i="4"/>
  <c r="B43" i="4"/>
  <c r="B51" i="4"/>
  <c r="B59" i="4"/>
  <c r="D3" i="4"/>
  <c r="D5" i="4"/>
  <c r="D7" i="4"/>
  <c r="D9" i="4"/>
  <c r="D11" i="4"/>
  <c r="D13" i="4"/>
  <c r="D15" i="4"/>
  <c r="D17" i="4"/>
  <c r="D19" i="4"/>
  <c r="D21" i="4"/>
  <c r="D23" i="4"/>
  <c r="D25" i="4"/>
  <c r="D27" i="4"/>
  <c r="D29" i="4"/>
  <c r="D31" i="4"/>
  <c r="D33" i="4"/>
  <c r="D35" i="4"/>
  <c r="D37" i="4"/>
  <c r="D39" i="4"/>
  <c r="D41" i="4"/>
  <c r="D43" i="4"/>
  <c r="D45" i="4"/>
  <c r="D47" i="4"/>
  <c r="D49" i="4"/>
  <c r="D51" i="4"/>
  <c r="D53" i="4"/>
  <c r="D55" i="4"/>
  <c r="D57" i="4"/>
  <c r="D59" i="4"/>
  <c r="D61" i="4"/>
  <c r="D63" i="4"/>
  <c r="D65" i="4"/>
  <c r="D69" i="4"/>
  <c r="D71" i="4"/>
  <c r="D73" i="4"/>
  <c r="B4" i="4"/>
  <c r="B12" i="4"/>
  <c r="B20" i="4"/>
  <c r="B28" i="4"/>
  <c r="B36" i="4"/>
  <c r="B44" i="4"/>
  <c r="B52" i="4"/>
  <c r="B60" i="4"/>
  <c r="B68" i="4"/>
  <c r="E3" i="4"/>
  <c r="E5" i="4"/>
  <c r="E7" i="4"/>
  <c r="E9" i="4"/>
  <c r="E11" i="4"/>
  <c r="E13" i="4"/>
  <c r="E15" i="4"/>
  <c r="E17" i="4"/>
  <c r="E19" i="4"/>
  <c r="E21" i="4"/>
  <c r="E23" i="4"/>
  <c r="E25" i="4"/>
  <c r="E27" i="4"/>
  <c r="E29" i="4"/>
  <c r="E31" i="4"/>
  <c r="E33" i="4"/>
  <c r="E35" i="4"/>
  <c r="E37" i="4"/>
  <c r="E39" i="4"/>
  <c r="E41" i="4"/>
  <c r="E43" i="4"/>
  <c r="E45" i="4"/>
  <c r="E47" i="4"/>
  <c r="E49" i="4"/>
  <c r="E51" i="4"/>
  <c r="E53" i="4"/>
  <c r="E55" i="4"/>
  <c r="E57" i="4"/>
  <c r="E59" i="4"/>
  <c r="E61" i="4"/>
  <c r="E63" i="4"/>
  <c r="E65" i="4"/>
  <c r="E67" i="4"/>
  <c r="E69" i="4"/>
  <c r="E71" i="4"/>
  <c r="E73" i="4"/>
  <c r="B5" i="4"/>
  <c r="B13" i="4"/>
  <c r="B21" i="4"/>
  <c r="B29" i="4"/>
  <c r="B37" i="4"/>
  <c r="B45" i="4"/>
  <c r="B53" i="4"/>
  <c r="B61" i="4"/>
  <c r="B69" i="4"/>
  <c r="F3" i="4"/>
  <c r="F5" i="4"/>
  <c r="F7" i="4"/>
  <c r="F9" i="4"/>
  <c r="F11" i="4"/>
  <c r="F13" i="4"/>
  <c r="F15" i="4"/>
  <c r="F17" i="4"/>
  <c r="F19" i="4"/>
  <c r="F21" i="4"/>
  <c r="F23" i="4"/>
  <c r="F25" i="4"/>
  <c r="F27" i="4"/>
  <c r="F29" i="4"/>
  <c r="F31" i="4"/>
  <c r="F33" i="4"/>
  <c r="F35" i="4"/>
  <c r="F37" i="4"/>
  <c r="F39" i="4"/>
  <c r="F41" i="4"/>
  <c r="F43" i="4"/>
  <c r="F45" i="4"/>
  <c r="F47" i="4"/>
  <c r="F49" i="4"/>
  <c r="F51" i="4"/>
  <c r="F53" i="4"/>
  <c r="F55" i="4"/>
  <c r="F57" i="4"/>
  <c r="F59" i="4"/>
  <c r="F61" i="4"/>
  <c r="F63" i="4"/>
  <c r="F65" i="4"/>
  <c r="F67" i="4"/>
  <c r="F69" i="4"/>
  <c r="F71" i="4"/>
  <c r="F73" i="4"/>
  <c r="B6" i="4"/>
  <c r="B14" i="4"/>
  <c r="B22" i="4"/>
  <c r="B30" i="4"/>
  <c r="B38" i="4"/>
  <c r="B46" i="4"/>
  <c r="B54" i="4"/>
  <c r="B62" i="4"/>
  <c r="B70" i="4"/>
  <c r="C4" i="4"/>
  <c r="C6" i="4"/>
  <c r="C8" i="4"/>
  <c r="C10" i="4"/>
  <c r="C12" i="4"/>
  <c r="C14" i="4"/>
  <c r="C16" i="4"/>
  <c r="C18" i="4"/>
  <c r="C20" i="4"/>
  <c r="C22" i="4"/>
  <c r="C24" i="4"/>
  <c r="C26" i="4"/>
  <c r="C28" i="4"/>
  <c r="C30" i="4"/>
  <c r="C32" i="4"/>
  <c r="C34" i="4"/>
  <c r="C36" i="4"/>
  <c r="C38" i="4"/>
  <c r="C40" i="4"/>
  <c r="C42" i="4"/>
  <c r="C44" i="4"/>
  <c r="C46" i="4"/>
  <c r="C48" i="4"/>
  <c r="C50" i="4"/>
  <c r="C52" i="4"/>
  <c r="C54" i="4"/>
  <c r="C56" i="4"/>
  <c r="C58" i="4"/>
  <c r="C60" i="4"/>
  <c r="C62" i="4"/>
  <c r="C64" i="4"/>
  <c r="C66" i="4"/>
  <c r="C68" i="4"/>
  <c r="C70" i="4"/>
  <c r="C72" i="4"/>
  <c r="F2" i="4"/>
  <c r="B7" i="4"/>
  <c r="B15" i="4"/>
  <c r="B23" i="4"/>
  <c r="B31" i="4"/>
  <c r="B39" i="4"/>
  <c r="B47" i="4"/>
  <c r="B55" i="4"/>
  <c r="B63" i="4"/>
  <c r="B71" i="4"/>
  <c r="D4" i="4"/>
  <c r="D6" i="4"/>
  <c r="D8" i="4"/>
  <c r="D10" i="4"/>
  <c r="D12" i="4"/>
  <c r="D14" i="4"/>
  <c r="D16" i="4"/>
  <c r="D18" i="4"/>
  <c r="D20" i="4"/>
  <c r="D22" i="4"/>
  <c r="D24" i="4"/>
  <c r="D26" i="4"/>
  <c r="D28" i="4"/>
  <c r="D30" i="4"/>
  <c r="D32" i="4"/>
  <c r="D34" i="4"/>
  <c r="D36" i="4"/>
  <c r="D38" i="4"/>
  <c r="D40" i="4"/>
  <c r="D42" i="4"/>
  <c r="D44" i="4"/>
  <c r="D46" i="4"/>
  <c r="D48" i="4"/>
  <c r="D50" i="4"/>
  <c r="D52" i="4"/>
  <c r="D54" i="4"/>
  <c r="D56" i="4"/>
  <c r="D58" i="4"/>
  <c r="D60" i="4"/>
  <c r="D62" i="4"/>
  <c r="D64" i="4"/>
  <c r="D66" i="4"/>
  <c r="D68" i="4"/>
  <c r="D70" i="4"/>
  <c r="D72" i="4"/>
  <c r="E2" i="4"/>
  <c r="B8" i="4"/>
  <c r="B16" i="4"/>
  <c r="B24" i="4"/>
  <c r="B32" i="4"/>
  <c r="B40" i="4"/>
  <c r="B48" i="4"/>
  <c r="B56" i="4"/>
  <c r="B64" i="4"/>
  <c r="B72" i="4"/>
  <c r="E4" i="4"/>
  <c r="E6" i="4"/>
  <c r="E8" i="4"/>
  <c r="E10" i="4"/>
  <c r="E12" i="4"/>
  <c r="E14" i="4"/>
  <c r="E16" i="4"/>
  <c r="E18" i="4"/>
  <c r="E20" i="4"/>
  <c r="E22" i="4"/>
  <c r="E24" i="4"/>
  <c r="E26" i="4"/>
  <c r="E28" i="4"/>
  <c r="E30" i="4"/>
  <c r="E32" i="4"/>
  <c r="E34" i="4"/>
  <c r="E36" i="4"/>
  <c r="E38" i="4"/>
  <c r="E40" i="4"/>
  <c r="E42" i="4"/>
  <c r="E44" i="4"/>
  <c r="E46" i="4"/>
  <c r="E48" i="4"/>
  <c r="E50" i="4"/>
  <c r="E52" i="4"/>
  <c r="E54" i="4"/>
  <c r="E56" i="4"/>
  <c r="E58" i="4"/>
  <c r="E60" i="4"/>
  <c r="E62" i="4"/>
  <c r="E64" i="4"/>
  <c r="E66" i="4"/>
  <c r="E68" i="4"/>
  <c r="E70" i="4"/>
  <c r="E72" i="4"/>
  <c r="D2" i="4"/>
  <c r="B9" i="4"/>
  <c r="B17" i="4"/>
  <c r="B25" i="4"/>
  <c r="B33" i="4"/>
  <c r="B41" i="4"/>
  <c r="B49" i="4"/>
  <c r="B57" i="4"/>
  <c r="B65" i="4"/>
  <c r="B73" i="4"/>
  <c r="F4" i="4"/>
  <c r="F6" i="4"/>
  <c r="F8" i="4"/>
  <c r="F10" i="4"/>
  <c r="F12" i="4"/>
  <c r="F14" i="4"/>
  <c r="F16" i="4"/>
  <c r="F18" i="4"/>
  <c r="F20" i="4"/>
  <c r="F22" i="4"/>
  <c r="F24" i="4"/>
  <c r="F26" i="4"/>
  <c r="F28" i="4"/>
  <c r="F30" i="4"/>
  <c r="F32" i="4"/>
  <c r="F34" i="4"/>
  <c r="F36" i="4"/>
  <c r="F38" i="4"/>
  <c r="F40" i="4"/>
  <c r="F42" i="4"/>
  <c r="F44" i="4"/>
  <c r="F46" i="4"/>
  <c r="F48" i="4"/>
  <c r="F50" i="4"/>
  <c r="F52" i="4"/>
  <c r="F54" i="4"/>
  <c r="F56" i="4"/>
  <c r="F58" i="4"/>
  <c r="F60" i="4"/>
  <c r="F62" i="4"/>
  <c r="F64" i="4"/>
  <c r="F66" i="4"/>
  <c r="F68" i="4"/>
  <c r="F70" i="4"/>
  <c r="F72" i="4"/>
  <c r="C2" i="4"/>
  <c r="B10" i="4"/>
  <c r="B18" i="4"/>
  <c r="B26" i="4"/>
  <c r="B34" i="4"/>
  <c r="B42" i="4"/>
  <c r="B50" i="4"/>
  <c r="B58" i="4"/>
  <c r="B66" i="4"/>
  <c r="B3" i="4"/>
  <c r="AD937" i="3"/>
  <c r="AC931" i="3"/>
  <c r="B932" i="3"/>
  <c r="AB932" i="3" s="1"/>
  <c r="AC937" i="3"/>
  <c r="AC936" i="3"/>
  <c r="B933" i="3"/>
  <c r="AB933" i="3" s="1"/>
  <c r="AD936" i="3"/>
  <c r="AD932" i="3"/>
  <c r="AC935" i="3"/>
  <c r="B934" i="3"/>
  <c r="AB934" i="3" s="1"/>
  <c r="AD933" i="3"/>
  <c r="AD931" i="3"/>
  <c r="AD934" i="3"/>
  <c r="AD935" i="3"/>
  <c r="AC932" i="3"/>
  <c r="AC934" i="3"/>
  <c r="AC933" i="3"/>
  <c r="B936" i="3"/>
  <c r="AB936" i="3" s="1"/>
  <c r="B937" i="3"/>
  <c r="AB937" i="3" s="1"/>
  <c r="B935" i="3"/>
  <c r="AB935" i="3" s="1"/>
  <c r="B931" i="3"/>
  <c r="AB931" i="3" s="1"/>
  <c r="AO937" i="3"/>
  <c r="AO936" i="3"/>
  <c r="AO935" i="3"/>
  <c r="AO934" i="3"/>
  <c r="AO933" i="3"/>
  <c r="AO932" i="3"/>
  <c r="AO931" i="3"/>
  <c r="AC930" i="3"/>
  <c r="B929" i="3"/>
  <c r="AB929" i="3" s="1"/>
  <c r="AC929" i="3"/>
  <c r="AD927" i="3"/>
  <c r="AD929" i="3"/>
  <c r="B927" i="3"/>
  <c r="AB927" i="3" s="1"/>
  <c r="AC927" i="3"/>
  <c r="B930" i="3"/>
  <c r="AB930" i="3" s="1"/>
  <c r="B928" i="3"/>
  <c r="AB928" i="3" s="1"/>
  <c r="AD928" i="3"/>
  <c r="AC928" i="3"/>
  <c r="AD930" i="3"/>
  <c r="AO930" i="3"/>
  <c r="AO929" i="3"/>
  <c r="AO928" i="3"/>
  <c r="AO927" i="3"/>
  <c r="AD924" i="3"/>
  <c r="B923" i="3"/>
  <c r="AB923" i="3" s="1"/>
  <c r="AD926" i="3"/>
  <c r="B925" i="3"/>
  <c r="AB925" i="3" s="1"/>
  <c r="AC924" i="3"/>
  <c r="AC926" i="3"/>
  <c r="AC923" i="3"/>
  <c r="B924" i="3"/>
  <c r="AB924" i="3" s="1"/>
  <c r="AD923" i="3"/>
  <c r="B926" i="3"/>
  <c r="AB926" i="3" s="1"/>
  <c r="AC925" i="3"/>
  <c r="AD925" i="3"/>
  <c r="AO926" i="3"/>
  <c r="AO925" i="3"/>
  <c r="AO924" i="3"/>
  <c r="AO923" i="3"/>
  <c r="B922" i="3"/>
  <c r="AB922" i="3" s="1"/>
  <c r="AD922" i="3"/>
  <c r="AC922" i="3"/>
  <c r="AO922" i="3"/>
  <c r="AC921" i="3"/>
  <c r="B921" i="3"/>
  <c r="AB921" i="3" s="1"/>
  <c r="AD921" i="3"/>
  <c r="AO921" i="3"/>
  <c r="AD920" i="3"/>
  <c r="AC920" i="3"/>
  <c r="B920" i="3"/>
  <c r="AB920" i="3" s="1"/>
  <c r="AO920" i="3"/>
  <c r="B917" i="3"/>
  <c r="AB917" i="3" s="1"/>
  <c r="AC918" i="3"/>
  <c r="B919" i="3"/>
  <c r="AB919" i="3" s="1"/>
  <c r="AC917" i="3"/>
  <c r="B918" i="3"/>
  <c r="AB918" i="3" s="1"/>
  <c r="AD917" i="3"/>
  <c r="AC916" i="3"/>
  <c r="AD916" i="3"/>
  <c r="AD918" i="3"/>
  <c r="AC919" i="3"/>
  <c r="B916" i="3"/>
  <c r="AB916" i="3" s="1"/>
  <c r="AD919" i="3"/>
  <c r="H25" i="2" a="1"/>
  <c r="H25" i="2" s="1"/>
  <c r="H30" i="2" s="1"/>
  <c r="H24" i="2" a="1"/>
  <c r="H24" i="2" s="1"/>
  <c r="H29" i="2" s="1"/>
  <c r="I24" i="2" a="1"/>
  <c r="I24" i="2" s="1"/>
  <c r="I29" i="2" s="1"/>
  <c r="I25" i="2" a="1"/>
  <c r="I25" i="2" s="1"/>
  <c r="I30" i="2" s="1"/>
  <c r="AO919" i="3"/>
  <c r="AO918" i="3"/>
  <c r="AO917" i="3"/>
  <c r="AO916" i="3"/>
  <c r="B915" i="3"/>
  <c r="AB915" i="3" s="1"/>
  <c r="AC915" i="3"/>
  <c r="AD915" i="3"/>
  <c r="AO915" i="3"/>
  <c r="AC914" i="3"/>
  <c r="AD914" i="3"/>
  <c r="B914" i="3"/>
  <c r="AB914" i="3" s="1"/>
  <c r="AO914" i="3"/>
  <c r="AD909" i="3"/>
  <c r="B909" i="3"/>
  <c r="AB909" i="3" s="1"/>
  <c r="AC911" i="3"/>
  <c r="AD912" i="3"/>
  <c r="B911" i="3"/>
  <c r="AB911" i="3" s="1"/>
  <c r="B912" i="3"/>
  <c r="AB912" i="3" s="1"/>
  <c r="B913" i="3"/>
  <c r="AB913" i="3" s="1"/>
  <c r="AD910" i="3"/>
  <c r="AC910" i="3"/>
  <c r="AC913" i="3"/>
  <c r="B910" i="3"/>
  <c r="AB910" i="3" s="1"/>
  <c r="AD913" i="3"/>
  <c r="AD911" i="3"/>
  <c r="AC912" i="3"/>
  <c r="AC909" i="3"/>
  <c r="AO913" i="3"/>
  <c r="AO912" i="3"/>
  <c r="AO911" i="3"/>
  <c r="AO910" i="3"/>
  <c r="AO909" i="3"/>
  <c r="B906" i="3"/>
  <c r="AB906" i="3" s="1"/>
  <c r="AC907" i="3"/>
  <c r="AC908" i="3"/>
  <c r="AC906" i="3"/>
  <c r="B907" i="3"/>
  <c r="AB907" i="3" s="1"/>
  <c r="B908" i="3"/>
  <c r="AB908" i="3" s="1"/>
  <c r="AD906" i="3"/>
  <c r="AD908" i="3"/>
  <c r="AD907" i="3"/>
  <c r="AO908" i="3"/>
  <c r="AO907" i="3"/>
  <c r="AO906" i="3"/>
  <c r="AJ488" i="3"/>
  <c r="AC903" i="3"/>
  <c r="AC905" i="3"/>
  <c r="AC904" i="3"/>
  <c r="AD903" i="3"/>
  <c r="B904" i="3"/>
  <c r="AB904" i="3" s="1"/>
  <c r="AD904" i="3"/>
  <c r="B903" i="3"/>
  <c r="AB903" i="3" s="1"/>
  <c r="AD905" i="3"/>
  <c r="B905" i="3"/>
  <c r="AB905" i="3" s="1"/>
  <c r="AO905" i="3"/>
  <c r="AO904" i="3"/>
  <c r="AO903" i="3"/>
  <c r="AC902" i="3"/>
  <c r="B902" i="3"/>
  <c r="AB902" i="3" s="1"/>
  <c r="AD902" i="3"/>
  <c r="AO902" i="3"/>
  <c r="AO831" i="3"/>
  <c r="AO823" i="3"/>
  <c r="AO815" i="3"/>
  <c r="AO807" i="3"/>
  <c r="AO751" i="3"/>
  <c r="AO833" i="3"/>
  <c r="AO825" i="3"/>
  <c r="AO817" i="3"/>
  <c r="AO809" i="3"/>
  <c r="AO801" i="3"/>
  <c r="AO793" i="3"/>
  <c r="AO785" i="3"/>
  <c r="AO777" i="3"/>
  <c r="AO769" i="3"/>
  <c r="AO761" i="3"/>
  <c r="AO753" i="3"/>
  <c r="AO745" i="3"/>
  <c r="AO711" i="3"/>
  <c r="AO671" i="3"/>
  <c r="AO663" i="3"/>
  <c r="AO655" i="3"/>
  <c r="AO647" i="3"/>
  <c r="AO639" i="3"/>
  <c r="AO631" i="3"/>
  <c r="AO623" i="3"/>
  <c r="AO615" i="3"/>
  <c r="AO607" i="3"/>
  <c r="AO599" i="3"/>
  <c r="AO591" i="3"/>
  <c r="AO583" i="3"/>
  <c r="AO575" i="3"/>
  <c r="AO567" i="3"/>
  <c r="AO559" i="3"/>
  <c r="AO551" i="3"/>
  <c r="AO543" i="3"/>
  <c r="AO535" i="3"/>
  <c r="AO527" i="3"/>
  <c r="AO519" i="3"/>
  <c r="AO511" i="3"/>
  <c r="AO503" i="3"/>
  <c r="AO495" i="3"/>
  <c r="AO487" i="3"/>
  <c r="AO479" i="3"/>
  <c r="AO471" i="3"/>
  <c r="AO463" i="3"/>
  <c r="AO455" i="3"/>
  <c r="AO447" i="3"/>
  <c r="AO439" i="3"/>
  <c r="AO431" i="3"/>
  <c r="AO423" i="3"/>
  <c r="AO415" i="3"/>
  <c r="AO407" i="3"/>
  <c r="AO399" i="3"/>
  <c r="AO391" i="3"/>
  <c r="AO383" i="3"/>
  <c r="AO375" i="3"/>
  <c r="AO367" i="3"/>
  <c r="AO359" i="3"/>
  <c r="AO351" i="3"/>
  <c r="AO703" i="3"/>
  <c r="AO822" i="3"/>
  <c r="AO734" i="3"/>
  <c r="AO646" i="3"/>
  <c r="AO638" i="3"/>
  <c r="AO598" i="3"/>
  <c r="AO590" i="3"/>
  <c r="AO582" i="3"/>
  <c r="AO574" i="3"/>
  <c r="AO566" i="3"/>
  <c r="AO558" i="3"/>
  <c r="AO550" i="3"/>
  <c r="AO542" i="3"/>
  <c r="AO534" i="3"/>
  <c r="AO526" i="3"/>
  <c r="AO518" i="3"/>
  <c r="AO510" i="3"/>
  <c r="AO502" i="3"/>
  <c r="AO494" i="3"/>
  <c r="AO486" i="3"/>
  <c r="AO478" i="3"/>
  <c r="AO470" i="3"/>
  <c r="AO462" i="3"/>
  <c r="AO454" i="3"/>
  <c r="AO446" i="3"/>
  <c r="AO438" i="3"/>
  <c r="AO430" i="3"/>
  <c r="AO422" i="3"/>
  <c r="AO414" i="3"/>
  <c r="AO406" i="3"/>
  <c r="AO398" i="3"/>
  <c r="AO390" i="3"/>
  <c r="AO382" i="3"/>
  <c r="AO374" i="3"/>
  <c r="AO366" i="3"/>
  <c r="AO358" i="3"/>
  <c r="AO350" i="3"/>
  <c r="AO719" i="3"/>
  <c r="AO814" i="3"/>
  <c r="AO726" i="3"/>
  <c r="AO630" i="3"/>
  <c r="AO797" i="3"/>
  <c r="AO701" i="3"/>
  <c r="AO613" i="3"/>
  <c r="AO533" i="3"/>
  <c r="AO469" i="3"/>
  <c r="AO461" i="3"/>
  <c r="AO453" i="3"/>
  <c r="AO421" i="3"/>
  <c r="AO413" i="3"/>
  <c r="AO405" i="3"/>
  <c r="AO397" i="3"/>
  <c r="AO389" i="3"/>
  <c r="AO381" i="3"/>
  <c r="AO373" i="3"/>
  <c r="AO365" i="3"/>
  <c r="AO357" i="3"/>
  <c r="AO349" i="3"/>
  <c r="AO783" i="3"/>
  <c r="AO759" i="3"/>
  <c r="AO727" i="3"/>
  <c r="AO679" i="3"/>
  <c r="AO830" i="3"/>
  <c r="AO790" i="3"/>
  <c r="AO766" i="3"/>
  <c r="AO742" i="3"/>
  <c r="AO702" i="3"/>
  <c r="AO678" i="3"/>
  <c r="AO654" i="3"/>
  <c r="AO614" i="3"/>
  <c r="AO813" i="3"/>
  <c r="AO781" i="3"/>
  <c r="AO757" i="3"/>
  <c r="AO741" i="3"/>
  <c r="AO717" i="3"/>
  <c r="AO685" i="3"/>
  <c r="AO653" i="3"/>
  <c r="AO637" i="3"/>
  <c r="AO605" i="3"/>
  <c r="AO581" i="3"/>
  <c r="AO541" i="3"/>
  <c r="AO509" i="3"/>
  <c r="AO485" i="3"/>
  <c r="AO445" i="3"/>
  <c r="AO791" i="3"/>
  <c r="AO767" i="3"/>
  <c r="AO735" i="3"/>
  <c r="AO695" i="3"/>
  <c r="AO798" i="3"/>
  <c r="AO774" i="3"/>
  <c r="AO750" i="3"/>
  <c r="AO710" i="3"/>
  <c r="AO686" i="3"/>
  <c r="AO662" i="3"/>
  <c r="AO606" i="3"/>
  <c r="AO821" i="3"/>
  <c r="AO789" i="3"/>
  <c r="AO765" i="3"/>
  <c r="AO733" i="3"/>
  <c r="AO709" i="3"/>
  <c r="AO677" i="3"/>
  <c r="AO661" i="3"/>
  <c r="AO629" i="3"/>
  <c r="AO589" i="3"/>
  <c r="AO573" i="3"/>
  <c r="AO549" i="3"/>
  <c r="AO517" i="3"/>
  <c r="AO493" i="3"/>
  <c r="AO437" i="3"/>
  <c r="AC898" i="3"/>
  <c r="AC900" i="3"/>
  <c r="AC899" i="3"/>
  <c r="B899" i="3"/>
  <c r="AB899" i="3" s="1"/>
  <c r="AD898" i="3"/>
  <c r="AD899" i="3"/>
  <c r="B898" i="3"/>
  <c r="AB898" i="3" s="1"/>
  <c r="AC901" i="3"/>
  <c r="B901" i="3"/>
  <c r="AB901" i="3" s="1"/>
  <c r="AD901" i="3"/>
  <c r="AD900" i="3"/>
  <c r="B900" i="3"/>
  <c r="AB900" i="3" s="1"/>
  <c r="AO799" i="3"/>
  <c r="AO775" i="3"/>
  <c r="AO743" i="3"/>
  <c r="AO687" i="3"/>
  <c r="AO806" i="3"/>
  <c r="AO782" i="3"/>
  <c r="AO758" i="3"/>
  <c r="AO718" i="3"/>
  <c r="AO694" i="3"/>
  <c r="AO670" i="3"/>
  <c r="AO622" i="3"/>
  <c r="AO829" i="3"/>
  <c r="AO805" i="3"/>
  <c r="AO773" i="3"/>
  <c r="AO749" i="3"/>
  <c r="AO725" i="3"/>
  <c r="AO693" i="3"/>
  <c r="AO669" i="3"/>
  <c r="AO645" i="3"/>
  <c r="AO621" i="3"/>
  <c r="AO597" i="3"/>
  <c r="AO565" i="3"/>
  <c r="AO557" i="3"/>
  <c r="AO525" i="3"/>
  <c r="AO501" i="3"/>
  <c r="AO477" i="3"/>
  <c r="AO429" i="3"/>
  <c r="AO737" i="3"/>
  <c r="AO729" i="3"/>
  <c r="AO721" i="3"/>
  <c r="AO713" i="3"/>
  <c r="AO705" i="3"/>
  <c r="AO697" i="3"/>
  <c r="AO689" i="3"/>
  <c r="AO681" i="3"/>
  <c r="AO673" i="3"/>
  <c r="AO665" i="3"/>
  <c r="AO657" i="3"/>
  <c r="AO649" i="3"/>
  <c r="AO641" i="3"/>
  <c r="AO633" i="3"/>
  <c r="AO625" i="3"/>
  <c r="AO617" i="3"/>
  <c r="AO609" i="3"/>
  <c r="AO601" i="3"/>
  <c r="AO593" i="3"/>
  <c r="AO585" i="3"/>
  <c r="AO577" i="3"/>
  <c r="AO569" i="3"/>
  <c r="AO561" i="3"/>
  <c r="AO553" i="3"/>
  <c r="AO545" i="3"/>
  <c r="AO537" i="3"/>
  <c r="AO529" i="3"/>
  <c r="AO521" i="3"/>
  <c r="AO513" i="3"/>
  <c r="AO505" i="3"/>
  <c r="AO497" i="3"/>
  <c r="AO489" i="3"/>
  <c r="AO481" i="3"/>
  <c r="AO473" i="3"/>
  <c r="AO465" i="3"/>
  <c r="AO457" i="3"/>
  <c r="AO449" i="3"/>
  <c r="AO441" i="3"/>
  <c r="AO433" i="3"/>
  <c r="AO425" i="3"/>
  <c r="AO417" i="3"/>
  <c r="AO409" i="3"/>
  <c r="AO401" i="3"/>
  <c r="AO393" i="3"/>
  <c r="AO385" i="3"/>
  <c r="AO377" i="3"/>
  <c r="AO369" i="3"/>
  <c r="AO361" i="3"/>
  <c r="AO353" i="3"/>
  <c r="AO345" i="3"/>
  <c r="AO337" i="3"/>
  <c r="AO329" i="3"/>
  <c r="AO321" i="3"/>
  <c r="AO313" i="3"/>
  <c r="AO305" i="3"/>
  <c r="AO297" i="3"/>
  <c r="AO289" i="3"/>
  <c r="AO281" i="3"/>
  <c r="AO273" i="3"/>
  <c r="AO265" i="3"/>
  <c r="AO257" i="3"/>
  <c r="AO249" i="3"/>
  <c r="AO241" i="3"/>
  <c r="AO233" i="3"/>
  <c r="AO225" i="3"/>
  <c r="AO217" i="3"/>
  <c r="AO209" i="3"/>
  <c r="AO201" i="3"/>
  <c r="AO193" i="3"/>
  <c r="AO185" i="3"/>
  <c r="AO177" i="3"/>
  <c r="AO169" i="3"/>
  <c r="AO161" i="3"/>
  <c r="AO153" i="3"/>
  <c r="AO145" i="3"/>
  <c r="AO137" i="3"/>
  <c r="AO129" i="3"/>
  <c r="AO121" i="3"/>
  <c r="AO113" i="3"/>
  <c r="AO105" i="3"/>
  <c r="AO97" i="3"/>
  <c r="AO89" i="3"/>
  <c r="AO81" i="3"/>
  <c r="AO73" i="3"/>
  <c r="AO65" i="3"/>
  <c r="AO832" i="3"/>
  <c r="AO824" i="3"/>
  <c r="AO816" i="3"/>
  <c r="AO808" i="3"/>
  <c r="AO800" i="3"/>
  <c r="AO792" i="3"/>
  <c r="AO784" i="3"/>
  <c r="AO776" i="3"/>
  <c r="AO768" i="3"/>
  <c r="AO760" i="3"/>
  <c r="AO752" i="3"/>
  <c r="AO744" i="3"/>
  <c r="AO736" i="3"/>
  <c r="AO728" i="3"/>
  <c r="AO720" i="3"/>
  <c r="AO712" i="3"/>
  <c r="AO704" i="3"/>
  <c r="AO696" i="3"/>
  <c r="AO688" i="3"/>
  <c r="AO680" i="3"/>
  <c r="AO343" i="3"/>
  <c r="AO335" i="3"/>
  <c r="AO327" i="3"/>
  <c r="AO319" i="3"/>
  <c r="AO311" i="3"/>
  <c r="AO303" i="3"/>
  <c r="AO295" i="3"/>
  <c r="AO287" i="3"/>
  <c r="AO279" i="3"/>
  <c r="AO271" i="3"/>
  <c r="AO263" i="3"/>
  <c r="AO255" i="3"/>
  <c r="AO247" i="3"/>
  <c r="AO239" i="3"/>
  <c r="AO231" i="3"/>
  <c r="AO223" i="3"/>
  <c r="AO215" i="3"/>
  <c r="AO207" i="3"/>
  <c r="AO199" i="3"/>
  <c r="AO191" i="3"/>
  <c r="AO183" i="3"/>
  <c r="AO175" i="3"/>
  <c r="AO167" i="3"/>
  <c r="AO159" i="3"/>
  <c r="AO151" i="3"/>
  <c r="AO143" i="3"/>
  <c r="AO135" i="3"/>
  <c r="AO127" i="3"/>
  <c r="AO119" i="3"/>
  <c r="AO111" i="3"/>
  <c r="AO103" i="3"/>
  <c r="AO95" i="3"/>
  <c r="AO87" i="3"/>
  <c r="AO79" i="3"/>
  <c r="AO71" i="3"/>
  <c r="AO63" i="3"/>
  <c r="AO342" i="3"/>
  <c r="AO334" i="3"/>
  <c r="AO326" i="3"/>
  <c r="AO318" i="3"/>
  <c r="AO310" i="3"/>
  <c r="AO302" i="3"/>
  <c r="AO294" i="3"/>
  <c r="AO286" i="3"/>
  <c r="AO278" i="3"/>
  <c r="AO270" i="3"/>
  <c r="AO262" i="3"/>
  <c r="AO254" i="3"/>
  <c r="AO246" i="3"/>
  <c r="AO238" i="3"/>
  <c r="AO230" i="3"/>
  <c r="AO222" i="3"/>
  <c r="AO214" i="3"/>
  <c r="AO206" i="3"/>
  <c r="AO198" i="3"/>
  <c r="AO190" i="3"/>
  <c r="AO182" i="3"/>
  <c r="AO174" i="3"/>
  <c r="AO166" i="3"/>
  <c r="AO158" i="3"/>
  <c r="AO150" i="3"/>
  <c r="AO142" i="3"/>
  <c r="AO134" i="3"/>
  <c r="AO126" i="3"/>
  <c r="AO118" i="3"/>
  <c r="AO110" i="3"/>
  <c r="AO102" i="3"/>
  <c r="AO94" i="3"/>
  <c r="AO86" i="3"/>
  <c r="AO78" i="3"/>
  <c r="AO70" i="3"/>
  <c r="AO62" i="3"/>
  <c r="AO341" i="3"/>
  <c r="AO333" i="3"/>
  <c r="AO325" i="3"/>
  <c r="AO317" i="3"/>
  <c r="AO309" i="3"/>
  <c r="AO301" i="3"/>
  <c r="AO293" i="3"/>
  <c r="AO285" i="3"/>
  <c r="AO277" i="3"/>
  <c r="AO269" i="3"/>
  <c r="AO261" i="3"/>
  <c r="AO253" i="3"/>
  <c r="AO245" i="3"/>
  <c r="AO237" i="3"/>
  <c r="AO229" i="3"/>
  <c r="AO221" i="3"/>
  <c r="AO213" i="3"/>
  <c r="AO205" i="3"/>
  <c r="AO197" i="3"/>
  <c r="AO189" i="3"/>
  <c r="AO181" i="3"/>
  <c r="AO173" i="3"/>
  <c r="AO165" i="3"/>
  <c r="AO157" i="3"/>
  <c r="AO149" i="3"/>
  <c r="AO141" i="3"/>
  <c r="AO133" i="3"/>
  <c r="AO125" i="3"/>
  <c r="AO117" i="3"/>
  <c r="AO109" i="3"/>
  <c r="AO101" i="3"/>
  <c r="AO93" i="3"/>
  <c r="AO85" i="3"/>
  <c r="AO77" i="3"/>
  <c r="AO69" i="3"/>
  <c r="AO61" i="3"/>
  <c r="AO836" i="3"/>
  <c r="AO828" i="3"/>
  <c r="AO820" i="3"/>
  <c r="AO812" i="3"/>
  <c r="AO804" i="3"/>
  <c r="AO796" i="3"/>
  <c r="AO788" i="3"/>
  <c r="AO780" i="3"/>
  <c r="AO772" i="3"/>
  <c r="AO764" i="3"/>
  <c r="AO756" i="3"/>
  <c r="AO748" i="3"/>
  <c r="AO740" i="3"/>
  <c r="AO732" i="3"/>
  <c r="AO724" i="3"/>
  <c r="AO716" i="3"/>
  <c r="AO708" i="3"/>
  <c r="AO700" i="3"/>
  <c r="AO692" i="3"/>
  <c r="AO684" i="3"/>
  <c r="AO835" i="3"/>
  <c r="AO827" i="3"/>
  <c r="AO819" i="3"/>
  <c r="AO811" i="3"/>
  <c r="AO803" i="3"/>
  <c r="AO795" i="3"/>
  <c r="AO787" i="3"/>
  <c r="AO779" i="3"/>
  <c r="AO771" i="3"/>
  <c r="AO763" i="3"/>
  <c r="AO755" i="3"/>
  <c r="AO747" i="3"/>
  <c r="AO739" i="3"/>
  <c r="AO731" i="3"/>
  <c r="AO723" i="3"/>
  <c r="AO715" i="3"/>
  <c r="AO707" i="3"/>
  <c r="AO699" i="3"/>
  <c r="AO691" i="3"/>
  <c r="AO683" i="3"/>
  <c r="AO834" i="3"/>
  <c r="AO826" i="3"/>
  <c r="AO818" i="3"/>
  <c r="AO810" i="3"/>
  <c r="AO802" i="3"/>
  <c r="AO794" i="3"/>
  <c r="AO786" i="3"/>
  <c r="AO778" i="3"/>
  <c r="AO770" i="3"/>
  <c r="AO762" i="3"/>
  <c r="AO754" i="3"/>
  <c r="AO746" i="3"/>
  <c r="AO738" i="3"/>
  <c r="AO730" i="3"/>
  <c r="AO722" i="3"/>
  <c r="AO714" i="3"/>
  <c r="AO706" i="3"/>
  <c r="AO698" i="3"/>
  <c r="AO690" i="3"/>
  <c r="AO682" i="3"/>
  <c r="AO57" i="3"/>
  <c r="AO49" i="3"/>
  <c r="AO41" i="3"/>
  <c r="AO33" i="3"/>
  <c r="AO25" i="3"/>
  <c r="AO17" i="3"/>
  <c r="AO9" i="3"/>
  <c r="AO672" i="3"/>
  <c r="AO664" i="3"/>
  <c r="AO656" i="3"/>
  <c r="AO648" i="3"/>
  <c r="AO640" i="3"/>
  <c r="AO632" i="3"/>
  <c r="AO624" i="3"/>
  <c r="AO616" i="3"/>
  <c r="AO608" i="3"/>
  <c r="AO600" i="3"/>
  <c r="AO592" i="3"/>
  <c r="AO584" i="3"/>
  <c r="AO576" i="3"/>
  <c r="AO568" i="3"/>
  <c r="AO560" i="3"/>
  <c r="AO552" i="3"/>
  <c r="AO544" i="3"/>
  <c r="AO536" i="3"/>
  <c r="AO528" i="3"/>
  <c r="AO520" i="3"/>
  <c r="AO512" i="3"/>
  <c r="AO504" i="3"/>
  <c r="AO496" i="3"/>
  <c r="AO488" i="3"/>
  <c r="AO480" i="3"/>
  <c r="AO472" i="3"/>
  <c r="AO464" i="3"/>
  <c r="AO456" i="3"/>
  <c r="AO448" i="3"/>
  <c r="AO440" i="3"/>
  <c r="AO432" i="3"/>
  <c r="AO424" i="3"/>
  <c r="AO416" i="3"/>
  <c r="AO408" i="3"/>
  <c r="AO400" i="3"/>
  <c r="AO392" i="3"/>
  <c r="AO384" i="3"/>
  <c r="AO376" i="3"/>
  <c r="AO368" i="3"/>
  <c r="AO360" i="3"/>
  <c r="AO352" i="3"/>
  <c r="AO344" i="3"/>
  <c r="AO336" i="3"/>
  <c r="AO328" i="3"/>
  <c r="AO320" i="3"/>
  <c r="AO312" i="3"/>
  <c r="AO304" i="3"/>
  <c r="AO296" i="3"/>
  <c r="AO288" i="3"/>
  <c r="AO280" i="3"/>
  <c r="AO272" i="3"/>
  <c r="AO264" i="3"/>
  <c r="AO256" i="3"/>
  <c r="AO248" i="3"/>
  <c r="AO240" i="3"/>
  <c r="AO232" i="3"/>
  <c r="AO224" i="3"/>
  <c r="AO216" i="3"/>
  <c r="AO208" i="3"/>
  <c r="AO200" i="3"/>
  <c r="AO192" i="3"/>
  <c r="AO184" i="3"/>
  <c r="AO176" i="3"/>
  <c r="AO168" i="3"/>
  <c r="AO160" i="3"/>
  <c r="AO152" i="3"/>
  <c r="AO144" i="3"/>
  <c r="AO136" i="3"/>
  <c r="AO128" i="3"/>
  <c r="AO120" i="3"/>
  <c r="AO112" i="3"/>
  <c r="AO104" i="3"/>
  <c r="AO96" i="3"/>
  <c r="AO88" i="3"/>
  <c r="AO80" i="3"/>
  <c r="AO72" i="3"/>
  <c r="AO64" i="3"/>
  <c r="AO56" i="3"/>
  <c r="AO48" i="3"/>
  <c r="AO40" i="3"/>
  <c r="AO32" i="3"/>
  <c r="AO24" i="3"/>
  <c r="AO16" i="3"/>
  <c r="AO8" i="3"/>
  <c r="AO55" i="3"/>
  <c r="AO47" i="3"/>
  <c r="AO39" i="3"/>
  <c r="AO31" i="3"/>
  <c r="AO23" i="3"/>
  <c r="AO15" i="3"/>
  <c r="AO7" i="3"/>
  <c r="AO54" i="3"/>
  <c r="AO46" i="3"/>
  <c r="AO38" i="3"/>
  <c r="AO30" i="3"/>
  <c r="AO22" i="3"/>
  <c r="AO14" i="3"/>
  <c r="AO6" i="3"/>
  <c r="AO53" i="3"/>
  <c r="AO45" i="3"/>
  <c r="AO37" i="3"/>
  <c r="AO29" i="3"/>
  <c r="AO21" i="3"/>
  <c r="AO13" i="3"/>
  <c r="AO5" i="3"/>
  <c r="AO676" i="3"/>
  <c r="AO668" i="3"/>
  <c r="AO660" i="3"/>
  <c r="AO652" i="3"/>
  <c r="AO644" i="3"/>
  <c r="AO636" i="3"/>
  <c r="AO628" i="3"/>
  <c r="AO620" i="3"/>
  <c r="AO612" i="3"/>
  <c r="AO604" i="3"/>
  <c r="AO596" i="3"/>
  <c r="AO588" i="3"/>
  <c r="AO580" i="3"/>
  <c r="AO572" i="3"/>
  <c r="AO564" i="3"/>
  <c r="AO556" i="3"/>
  <c r="AO548" i="3"/>
  <c r="AO540" i="3"/>
  <c r="AO532" i="3"/>
  <c r="AO524" i="3"/>
  <c r="AO516" i="3"/>
  <c r="AO508" i="3"/>
  <c r="AO500" i="3"/>
  <c r="AO492" i="3"/>
  <c r="AO484" i="3"/>
  <c r="AO476" i="3"/>
  <c r="AO468" i="3"/>
  <c r="AO460" i="3"/>
  <c r="AO452" i="3"/>
  <c r="AO444" i="3"/>
  <c r="AO436" i="3"/>
  <c r="AO428" i="3"/>
  <c r="AO420" i="3"/>
  <c r="AO412" i="3"/>
  <c r="AO404" i="3"/>
  <c r="AO396" i="3"/>
  <c r="AO388" i="3"/>
  <c r="AO380" i="3"/>
  <c r="AO372" i="3"/>
  <c r="AO364" i="3"/>
  <c r="AO356" i="3"/>
  <c r="AO348" i="3"/>
  <c r="AO340" i="3"/>
  <c r="AO332" i="3"/>
  <c r="AO324" i="3"/>
  <c r="AO316" i="3"/>
  <c r="AO308" i="3"/>
  <c r="AO300" i="3"/>
  <c r="AO292" i="3"/>
  <c r="AO284" i="3"/>
  <c r="AO276" i="3"/>
  <c r="AO268" i="3"/>
  <c r="AO260" i="3"/>
  <c r="AO252" i="3"/>
  <c r="AO244" i="3"/>
  <c r="AO236" i="3"/>
  <c r="AO228" i="3"/>
  <c r="AO220" i="3"/>
  <c r="AO212" i="3"/>
  <c r="AO204" i="3"/>
  <c r="AO196" i="3"/>
  <c r="AO188" i="3"/>
  <c r="AO180" i="3"/>
  <c r="AO172" i="3"/>
  <c r="AO164" i="3"/>
  <c r="AO156" i="3"/>
  <c r="AO148" i="3"/>
  <c r="AO140" i="3"/>
  <c r="AO132" i="3"/>
  <c r="AO124" i="3"/>
  <c r="AO116" i="3"/>
  <c r="AO108" i="3"/>
  <c r="AO100" i="3"/>
  <c r="AO92" i="3"/>
  <c r="AO84" i="3"/>
  <c r="AO76" i="3"/>
  <c r="AO68" i="3"/>
  <c r="AO60" i="3"/>
  <c r="AO52" i="3"/>
  <c r="AO44" i="3"/>
  <c r="AO36" i="3"/>
  <c r="AO28" i="3"/>
  <c r="AO20" i="3"/>
  <c r="AO12" i="3"/>
  <c r="AO4" i="3"/>
  <c r="AO675" i="3"/>
  <c r="AO667" i="3"/>
  <c r="AO659" i="3"/>
  <c r="AO651" i="3"/>
  <c r="AO643" i="3"/>
  <c r="AO635" i="3"/>
  <c r="AO627" i="3"/>
  <c r="AO619" i="3"/>
  <c r="AO611" i="3"/>
  <c r="AO603" i="3"/>
  <c r="AO595" i="3"/>
  <c r="AO587" i="3"/>
  <c r="AO579" i="3"/>
  <c r="AO571" i="3"/>
  <c r="AO563" i="3"/>
  <c r="AO555" i="3"/>
  <c r="AO547" i="3"/>
  <c r="AO539" i="3"/>
  <c r="AO531" i="3"/>
  <c r="AO523" i="3"/>
  <c r="AO515" i="3"/>
  <c r="AO507" i="3"/>
  <c r="AO499" i="3"/>
  <c r="AO491" i="3"/>
  <c r="AO483" i="3"/>
  <c r="AO475" i="3"/>
  <c r="AO467" i="3"/>
  <c r="AO459" i="3"/>
  <c r="AO451" i="3"/>
  <c r="AO443" i="3"/>
  <c r="AO435" i="3"/>
  <c r="AO427" i="3"/>
  <c r="AO419" i="3"/>
  <c r="AO411" i="3"/>
  <c r="AO403" i="3"/>
  <c r="AO395" i="3"/>
  <c r="AO387" i="3"/>
  <c r="AO379" i="3"/>
  <c r="AO371" i="3"/>
  <c r="AO363" i="3"/>
  <c r="AO355" i="3"/>
  <c r="AO347" i="3"/>
  <c r="AO339" i="3"/>
  <c r="AO331" i="3"/>
  <c r="AO323" i="3"/>
  <c r="AO315" i="3"/>
  <c r="AO307" i="3"/>
  <c r="AO299" i="3"/>
  <c r="AO291" i="3"/>
  <c r="AO283" i="3"/>
  <c r="AO275" i="3"/>
  <c r="AO267" i="3"/>
  <c r="AO259" i="3"/>
  <c r="AO251" i="3"/>
  <c r="AO243" i="3"/>
  <c r="AO235" i="3"/>
  <c r="AO227" i="3"/>
  <c r="AO219" i="3"/>
  <c r="AO211" i="3"/>
  <c r="AO203" i="3"/>
  <c r="AO195" i="3"/>
  <c r="AO187" i="3"/>
  <c r="AO179" i="3"/>
  <c r="AO171" i="3"/>
  <c r="AO163" i="3"/>
  <c r="AO155" i="3"/>
  <c r="AO147" i="3"/>
  <c r="AO139" i="3"/>
  <c r="AO131" i="3"/>
  <c r="AO123" i="3"/>
  <c r="AO115" i="3"/>
  <c r="AO107" i="3"/>
  <c r="AO99" i="3"/>
  <c r="AO91" i="3"/>
  <c r="AO83" i="3"/>
  <c r="AO75" i="3"/>
  <c r="AO67" i="3"/>
  <c r="AO59" i="3"/>
  <c r="AO51" i="3"/>
  <c r="AO43" i="3"/>
  <c r="AO35" i="3"/>
  <c r="AO27" i="3"/>
  <c r="AO19" i="3"/>
  <c r="AO11" i="3"/>
  <c r="AO3" i="3"/>
  <c r="AO674" i="3"/>
  <c r="AO666" i="3"/>
  <c r="AO658" i="3"/>
  <c r="AO650" i="3"/>
  <c r="AO642" i="3"/>
  <c r="AO634" i="3"/>
  <c r="AO626" i="3"/>
  <c r="AO618" i="3"/>
  <c r="AO610" i="3"/>
  <c r="AO602" i="3"/>
  <c r="AO594" i="3"/>
  <c r="AO586" i="3"/>
  <c r="AO578" i="3"/>
  <c r="AO570" i="3"/>
  <c r="AO562" i="3"/>
  <c r="AO554" i="3"/>
  <c r="AO546" i="3"/>
  <c r="AO538" i="3"/>
  <c r="AO530" i="3"/>
  <c r="AO522" i="3"/>
  <c r="AO514" i="3"/>
  <c r="AO506" i="3"/>
  <c r="AO498" i="3"/>
  <c r="AO490" i="3"/>
  <c r="AO482" i="3"/>
  <c r="AO474" i="3"/>
  <c r="AO466" i="3"/>
  <c r="AO458" i="3"/>
  <c r="AO450" i="3"/>
  <c r="AO442" i="3"/>
  <c r="AO434" i="3"/>
  <c r="AO426" i="3"/>
  <c r="AO418" i="3"/>
  <c r="AO410" i="3"/>
  <c r="AO402" i="3"/>
  <c r="AO394" i="3"/>
  <c r="AO386" i="3"/>
  <c r="AO378" i="3"/>
  <c r="AO370" i="3"/>
  <c r="AO362" i="3"/>
  <c r="AO354" i="3"/>
  <c r="AO346" i="3"/>
  <c r="AO338" i="3"/>
  <c r="AO330" i="3"/>
  <c r="AO322" i="3"/>
  <c r="AO314" i="3"/>
  <c r="AO306" i="3"/>
  <c r="AO298" i="3"/>
  <c r="AO290" i="3"/>
  <c r="AO282" i="3"/>
  <c r="AO274" i="3"/>
  <c r="AO266" i="3"/>
  <c r="AO258" i="3"/>
  <c r="AO250" i="3"/>
  <c r="AO242" i="3"/>
  <c r="AO234" i="3"/>
  <c r="AO226" i="3"/>
  <c r="AO218" i="3"/>
  <c r="AO210" i="3"/>
  <c r="AO202" i="3"/>
  <c r="AO194" i="3"/>
  <c r="AO186" i="3"/>
  <c r="AO178" i="3"/>
  <c r="AO170" i="3"/>
  <c r="AO162" i="3"/>
  <c r="AO154" i="3"/>
  <c r="AO146" i="3"/>
  <c r="AO138" i="3"/>
  <c r="AO130" i="3"/>
  <c r="AO122" i="3"/>
  <c r="AO114" i="3"/>
  <c r="AO106" i="3"/>
  <c r="AO98" i="3"/>
  <c r="AO90" i="3"/>
  <c r="AO82" i="3"/>
  <c r="AO74" i="3"/>
  <c r="AO66" i="3"/>
  <c r="AO58" i="3"/>
  <c r="AO50" i="3"/>
  <c r="AO42" i="3"/>
  <c r="AO34" i="3"/>
  <c r="AO26" i="3"/>
  <c r="AO18" i="3"/>
  <c r="AO10" i="3"/>
  <c r="AO2" i="3"/>
  <c r="AO844" i="3"/>
  <c r="AO856" i="3"/>
  <c r="AO849" i="3"/>
  <c r="AO893" i="3"/>
  <c r="AO863" i="3"/>
  <c r="AO860" i="3"/>
  <c r="AO850" i="3"/>
  <c r="AO854" i="3"/>
  <c r="AO901" i="3"/>
  <c r="AO859" i="3"/>
  <c r="AO864" i="3"/>
  <c r="AO851" i="3"/>
  <c r="AO843" i="3"/>
  <c r="AO874" i="3"/>
  <c r="AO868" i="3"/>
  <c r="AO857" i="3"/>
  <c r="AO862" i="3"/>
  <c r="AO867" i="3"/>
  <c r="AO875" i="3"/>
  <c r="AO861" i="3"/>
  <c r="AO853" i="3"/>
  <c r="AO882" i="3"/>
  <c r="AO871" i="3"/>
  <c r="AO865" i="3"/>
  <c r="AO873" i="3"/>
  <c r="AO870" i="3"/>
  <c r="AO883" i="3"/>
  <c r="AO869" i="3"/>
  <c r="AO858" i="3"/>
  <c r="AO889" i="3"/>
  <c r="AO879" i="3"/>
  <c r="AO876" i="3"/>
  <c r="AO881" i="3"/>
  <c r="AO878" i="3"/>
  <c r="AO890" i="3"/>
  <c r="AO872" i="3"/>
  <c r="AO866" i="3"/>
  <c r="AO896" i="3"/>
  <c r="AO885" i="3"/>
  <c r="AO891" i="3"/>
  <c r="AO884" i="3"/>
  <c r="AO894" i="3"/>
  <c r="AO897" i="3"/>
  <c r="AO880" i="3"/>
  <c r="AO877" i="3"/>
  <c r="AO899" i="3"/>
  <c r="AO892" i="3"/>
  <c r="AO839" i="3"/>
  <c r="AO888" i="3"/>
  <c r="AO837" i="3"/>
  <c r="AO900" i="3"/>
  <c r="AO886" i="3"/>
  <c r="AO848" i="3"/>
  <c r="AO838" i="3"/>
  <c r="AO841" i="3"/>
  <c r="AO847" i="3"/>
  <c r="AO895" i="3"/>
  <c r="AO840" i="3"/>
  <c r="AO846" i="3"/>
  <c r="AO887" i="3"/>
  <c r="AO855" i="3"/>
  <c r="AO845" i="3"/>
  <c r="AO842" i="3"/>
  <c r="AO852" i="3"/>
  <c r="AO898" i="3"/>
  <c r="F49" i="2"/>
  <c r="E44" i="2"/>
  <c r="F48" i="2"/>
  <c r="E45" i="2"/>
  <c r="F51" i="2"/>
  <c r="L8" i="2"/>
  <c r="L6" i="2"/>
  <c r="L5" i="2"/>
  <c r="D43" i="2"/>
  <c r="F52" i="2"/>
  <c r="E43" i="2"/>
  <c r="L7" i="2"/>
  <c r="F50" i="2"/>
  <c r="AC897" i="3"/>
  <c r="AC893" i="3"/>
  <c r="AD893" i="3"/>
  <c r="AD894" i="3"/>
  <c r="B894" i="3"/>
  <c r="AB894" i="3" s="1"/>
  <c r="AD895" i="3"/>
  <c r="AC894" i="3"/>
  <c r="AC895" i="3"/>
  <c r="B895" i="3"/>
  <c r="AB895" i="3" s="1"/>
  <c r="B893" i="3"/>
  <c r="AB893" i="3" s="1"/>
  <c r="AD896" i="3"/>
  <c r="AD897" i="3"/>
  <c r="B897" i="3"/>
  <c r="AB897" i="3" s="1"/>
  <c r="AC896" i="3"/>
  <c r="B896" i="3"/>
  <c r="AB896" i="3" s="1"/>
  <c r="B892" i="3"/>
  <c r="AB892" i="3" s="1"/>
  <c r="AD892" i="3"/>
  <c r="AC892" i="3"/>
  <c r="AC891" i="3"/>
  <c r="AD891" i="3"/>
  <c r="B891" i="3"/>
  <c r="AB891" i="3" s="1"/>
  <c r="AD889" i="3"/>
  <c r="AC887" i="3"/>
  <c r="AC889" i="3"/>
  <c r="AD887" i="3"/>
  <c r="B890" i="3"/>
  <c r="AB890" i="3" s="1"/>
  <c r="AC888" i="3"/>
  <c r="B888" i="3"/>
  <c r="AB888" i="3" s="1"/>
  <c r="B889" i="3"/>
  <c r="AB889" i="3" s="1"/>
  <c r="AD890" i="3"/>
  <c r="B887" i="3"/>
  <c r="AB887" i="3" s="1"/>
  <c r="AD888" i="3"/>
  <c r="AC890" i="3"/>
  <c r="B885" i="3"/>
  <c r="AB885" i="3" s="1"/>
  <c r="AC885" i="3"/>
  <c r="AD886" i="3"/>
  <c r="AD885" i="3"/>
  <c r="B886" i="3"/>
  <c r="AB886" i="3" s="1"/>
  <c r="AC886" i="3"/>
  <c r="AC884" i="3"/>
  <c r="B884" i="3"/>
  <c r="AB884" i="3" s="1"/>
  <c r="AD884" i="3"/>
  <c r="AD883" i="3"/>
  <c r="AC882" i="3"/>
  <c r="B883" i="3"/>
  <c r="AB883" i="3" s="1"/>
  <c r="AD882" i="3"/>
  <c r="B882" i="3"/>
  <c r="AB882" i="3" s="1"/>
  <c r="AC883" i="3"/>
  <c r="AC878" i="3"/>
  <c r="AC880" i="3"/>
  <c r="AD878" i="3"/>
  <c r="B881" i="3"/>
  <c r="AB881" i="3" s="1"/>
  <c r="AC879" i="3"/>
  <c r="AD881" i="3"/>
  <c r="B880" i="3"/>
  <c r="AB880" i="3" s="1"/>
  <c r="AD879" i="3"/>
  <c r="B879" i="3"/>
  <c r="AB879" i="3" s="1"/>
  <c r="AC881" i="3"/>
  <c r="AD880" i="3"/>
  <c r="B878" i="3"/>
  <c r="AB878" i="3" s="1"/>
  <c r="C49" i="2"/>
  <c r="E51" i="2"/>
  <c r="B50" i="2"/>
  <c r="D49" i="2"/>
  <c r="C52" i="2"/>
  <c r="B51" i="2"/>
  <c r="E49" i="2"/>
  <c r="D52" i="2"/>
  <c r="B52" i="2"/>
  <c r="C50" i="2"/>
  <c r="E52" i="2"/>
  <c r="B48" i="2"/>
  <c r="D50" i="2"/>
  <c r="E48" i="2"/>
  <c r="E50" i="2"/>
  <c r="D48" i="2"/>
  <c r="C51" i="2"/>
  <c r="C48" i="2"/>
  <c r="D51" i="2"/>
  <c r="B49" i="2"/>
  <c r="B850" i="3"/>
  <c r="AB850" i="3" s="1"/>
  <c r="AD875" i="3"/>
  <c r="AC875" i="3"/>
  <c r="AC877" i="3"/>
  <c r="B877" i="3"/>
  <c r="AB877" i="3" s="1"/>
  <c r="AC876" i="3"/>
  <c r="B874" i="3"/>
  <c r="AB874" i="3" s="1"/>
  <c r="B875" i="3"/>
  <c r="AB875" i="3" s="1"/>
  <c r="AD877" i="3"/>
  <c r="B876" i="3"/>
  <c r="AB876" i="3" s="1"/>
  <c r="AD874" i="3"/>
  <c r="AC874" i="3"/>
  <c r="AD876" i="3"/>
  <c r="B873" i="3"/>
  <c r="AB873" i="3" s="1"/>
  <c r="AD861" i="3"/>
  <c r="B865" i="3"/>
  <c r="AB865" i="3" s="1"/>
  <c r="AC865" i="3"/>
  <c r="AD860" i="3"/>
  <c r="AC861" i="3"/>
  <c r="AC864" i="3"/>
  <c r="AD864" i="3"/>
  <c r="AC872" i="3"/>
  <c r="AC871" i="3"/>
  <c r="AC866" i="3"/>
  <c r="AD862" i="3"/>
  <c r="B870" i="3"/>
  <c r="AB870" i="3" s="1"/>
  <c r="AD873" i="3"/>
  <c r="B869" i="3"/>
  <c r="AB869" i="3" s="1"/>
  <c r="B862" i="3"/>
  <c r="AB862" i="3" s="1"/>
  <c r="AC863" i="3"/>
  <c r="AC867" i="3"/>
  <c r="AC860" i="3"/>
  <c r="AD870" i="3"/>
  <c r="B866" i="3"/>
  <c r="AB866" i="3" s="1"/>
  <c r="B867" i="3"/>
  <c r="AB867" i="3" s="1"/>
  <c r="AD869" i="3"/>
  <c r="AD865" i="3"/>
  <c r="B860" i="3"/>
  <c r="AB860" i="3" s="1"/>
  <c r="AD872" i="3"/>
  <c r="AC870" i="3"/>
  <c r="B871" i="3"/>
  <c r="AB871" i="3" s="1"/>
  <c r="AD867" i="3"/>
  <c r="AC862" i="3"/>
  <c r="AD866" i="3"/>
  <c r="B864" i="3"/>
  <c r="AB864" i="3" s="1"/>
  <c r="AC868" i="3"/>
  <c r="B872" i="3"/>
  <c r="AB872" i="3" s="1"/>
  <c r="B861" i="3"/>
  <c r="AB861" i="3" s="1"/>
  <c r="AC873" i="3"/>
  <c r="AD868" i="3"/>
  <c r="AC869" i="3"/>
  <c r="AD871" i="3"/>
  <c r="B868" i="3"/>
  <c r="AB868" i="3" s="1"/>
  <c r="AD863" i="3"/>
  <c r="B863" i="3"/>
  <c r="AB863" i="3" s="1"/>
  <c r="D45" i="2"/>
  <c r="C43" i="2"/>
  <c r="D44" i="2"/>
  <c r="C44" i="2"/>
  <c r="C45" i="2"/>
  <c r="B45" i="2"/>
  <c r="J7" i="2"/>
  <c r="J6" i="2"/>
  <c r="J8" i="2"/>
  <c r="B43" i="2"/>
  <c r="J5" i="2"/>
  <c r="B44" i="2"/>
  <c r="AC859" i="3"/>
  <c r="B859" i="3"/>
  <c r="AB859" i="3" s="1"/>
  <c r="AD859" i="3"/>
  <c r="B857" i="3"/>
  <c r="AB857" i="3" s="1"/>
  <c r="B856" i="3"/>
  <c r="AB856" i="3" s="1"/>
  <c r="AD858" i="3"/>
  <c r="AC858" i="3"/>
  <c r="AC856" i="3"/>
  <c r="AD856" i="3"/>
  <c r="AC855" i="3"/>
  <c r="AD857" i="3"/>
  <c r="B858" i="3"/>
  <c r="AB858" i="3" s="1"/>
  <c r="AC857" i="3"/>
  <c r="B855" i="3"/>
  <c r="AB855" i="3" s="1"/>
  <c r="AD855" i="3"/>
  <c r="AD854" i="3"/>
  <c r="B854" i="3"/>
  <c r="AB854" i="3" s="1"/>
  <c r="AC854" i="3"/>
  <c r="AX31" i="3"/>
  <c r="AX24" i="3"/>
  <c r="B851" i="3"/>
  <c r="AB851" i="3" s="1"/>
  <c r="AD851" i="3"/>
  <c r="AC851" i="3"/>
  <c r="AD852" i="3"/>
  <c r="AC852" i="3"/>
  <c r="B853" i="3"/>
  <c r="AB853" i="3" s="1"/>
  <c r="B852" i="3"/>
  <c r="AB852" i="3" s="1"/>
  <c r="AD853" i="3"/>
  <c r="AC853" i="3"/>
  <c r="AX10" i="3"/>
  <c r="M15" i="2"/>
  <c r="K850" i="3" s="1"/>
  <c r="F24" i="5" s="1"/>
  <c r="L15" i="2"/>
  <c r="J850" i="3" s="1"/>
  <c r="E24" i="5" s="1"/>
  <c r="K15" i="2"/>
  <c r="I850" i="3" s="1"/>
  <c r="D24" i="5" s="1"/>
  <c r="J15" i="2"/>
  <c r="G850" i="3" s="1"/>
  <c r="I15" i="2"/>
  <c r="H850" i="3" s="1"/>
  <c r="AC845" i="3"/>
  <c r="AD846" i="3"/>
  <c r="B845" i="3"/>
  <c r="AB845" i="3" s="1"/>
  <c r="AC846" i="3"/>
  <c r="AD848" i="3"/>
  <c r="AC848" i="3"/>
  <c r="AC850" i="3"/>
  <c r="AD850" i="3"/>
  <c r="AD847" i="3"/>
  <c r="AC847" i="3"/>
  <c r="AD849" i="3"/>
  <c r="AC849" i="3"/>
  <c r="B848" i="3"/>
  <c r="AB848" i="3" s="1"/>
  <c r="B849" i="3"/>
  <c r="AB849" i="3" s="1"/>
  <c r="B847" i="3"/>
  <c r="AB847" i="3" s="1"/>
  <c r="AD845" i="3"/>
  <c r="B846" i="3"/>
  <c r="AB846" i="3" s="1"/>
  <c r="AT271" i="3" a="1"/>
  <c r="AT271" i="3" s="1"/>
  <c r="AS271" i="3" a="1"/>
  <c r="AS271" i="3" s="1"/>
  <c r="AT774" i="3" a="1"/>
  <c r="AT774" i="3" s="1"/>
  <c r="AS774" i="3" a="1"/>
  <c r="AS774" i="3" s="1"/>
  <c r="AS494" i="3" a="1"/>
  <c r="AS494" i="3" s="1"/>
  <c r="AT494" i="3" a="1"/>
  <c r="AT494" i="3" s="1"/>
  <c r="AT834" i="3" a="1"/>
  <c r="AT834" i="3" s="1"/>
  <c r="AS834" i="3" a="1"/>
  <c r="AS834" i="3" s="1"/>
  <c r="AT826" i="3" a="1"/>
  <c r="AT826" i="3" s="1"/>
  <c r="AS826" i="3" a="1"/>
  <c r="AS826" i="3" s="1"/>
  <c r="AT818" i="3" a="1"/>
  <c r="AT818" i="3" s="1"/>
  <c r="AS818" i="3" a="1"/>
  <c r="AS818" i="3" s="1"/>
  <c r="AT810" i="3" a="1"/>
  <c r="AT810" i="3" s="1"/>
  <c r="AS810" i="3" a="1"/>
  <c r="AS810" i="3" s="1"/>
  <c r="AT802" i="3" a="1"/>
  <c r="AT802" i="3" s="1"/>
  <c r="AS802" i="3" a="1"/>
  <c r="AS802" i="3" s="1"/>
  <c r="AT794" i="3" a="1"/>
  <c r="AT794" i="3" s="1"/>
  <c r="AS794" i="3" a="1"/>
  <c r="AS794" i="3" s="1"/>
  <c r="AT786" i="3" a="1"/>
  <c r="AT786" i="3" s="1"/>
  <c r="AS786" i="3" a="1"/>
  <c r="AS786" i="3" s="1"/>
  <c r="AT778" i="3" a="1"/>
  <c r="AT778" i="3" s="1"/>
  <c r="AS778" i="3" a="1"/>
  <c r="AS778" i="3" s="1"/>
  <c r="AT770" i="3" a="1"/>
  <c r="AT770" i="3" s="1"/>
  <c r="AS770" i="3" a="1"/>
  <c r="AS770" i="3" s="1"/>
  <c r="AT762" i="3" a="1"/>
  <c r="AT762" i="3" s="1"/>
  <c r="AS762" i="3" a="1"/>
  <c r="AS762" i="3" s="1"/>
  <c r="AT754" i="3" a="1"/>
  <c r="AT754" i="3" s="1"/>
  <c r="AS754" i="3" a="1"/>
  <c r="AS754" i="3" s="1"/>
  <c r="AT746" i="3" a="1"/>
  <c r="AT746" i="3" s="1"/>
  <c r="AS746" i="3" a="1"/>
  <c r="AS746" i="3" s="1"/>
  <c r="AT738" i="3" a="1"/>
  <c r="AT738" i="3" s="1"/>
  <c r="AS738" i="3" a="1"/>
  <c r="AS738" i="3" s="1"/>
  <c r="AT730" i="3" a="1"/>
  <c r="AT730" i="3" s="1"/>
  <c r="AS730" i="3" a="1"/>
  <c r="AS730" i="3" s="1"/>
  <c r="AT722" i="3" a="1"/>
  <c r="AT722" i="3" s="1"/>
  <c r="AS722" i="3" a="1"/>
  <c r="AS722" i="3" s="1"/>
  <c r="AS714" i="3" a="1"/>
  <c r="AS714" i="3" s="1"/>
  <c r="AT714" i="3" a="1"/>
  <c r="AT714" i="3" s="1"/>
  <c r="AT706" i="3" a="1"/>
  <c r="AT706" i="3" s="1"/>
  <c r="AS706" i="3" a="1"/>
  <c r="AS706" i="3" s="1"/>
  <c r="AS698" i="3" a="1"/>
  <c r="AS698" i="3" s="1"/>
  <c r="AT698" i="3" a="1"/>
  <c r="AT698" i="3" s="1"/>
  <c r="AT690" i="3" a="1"/>
  <c r="AT690" i="3" s="1"/>
  <c r="AS690" i="3" a="1"/>
  <c r="AS690" i="3" s="1"/>
  <c r="AS682" i="3" a="1"/>
  <c r="AS682" i="3" s="1"/>
  <c r="AT682" i="3" a="1"/>
  <c r="AT682" i="3" s="1"/>
  <c r="AT674" i="3" a="1"/>
  <c r="AT674" i="3" s="1"/>
  <c r="AS674" i="3" a="1"/>
  <c r="AS674" i="3" s="1"/>
  <c r="AS666" i="3" a="1"/>
  <c r="AS666" i="3" s="1"/>
  <c r="AT666" i="3" a="1"/>
  <c r="AT666" i="3" s="1"/>
  <c r="AT658" i="3" a="1"/>
  <c r="AT658" i="3" s="1"/>
  <c r="AS658" i="3" a="1"/>
  <c r="AS658" i="3" s="1"/>
  <c r="AS650" i="3" a="1"/>
  <c r="AS650" i="3" s="1"/>
  <c r="AT650" i="3" a="1"/>
  <c r="AT650" i="3" s="1"/>
  <c r="AS642" i="3" a="1"/>
  <c r="AS642" i="3" s="1"/>
  <c r="AT642" i="3" a="1"/>
  <c r="AT642" i="3" s="1"/>
  <c r="AS634" i="3" a="1"/>
  <c r="AS634" i="3" s="1"/>
  <c r="AT634" i="3" a="1"/>
  <c r="AT634" i="3" s="1"/>
  <c r="AS626" i="3" a="1"/>
  <c r="AS626" i="3" s="1"/>
  <c r="AT626" i="3" a="1"/>
  <c r="AT626" i="3" s="1"/>
  <c r="AS618" i="3" a="1"/>
  <c r="AS618" i="3" s="1"/>
  <c r="AT618" i="3" a="1"/>
  <c r="AT618" i="3" s="1"/>
  <c r="AS610" i="3" a="1"/>
  <c r="AS610" i="3" s="1"/>
  <c r="AT610" i="3" a="1"/>
  <c r="AT610" i="3" s="1"/>
  <c r="AS602" i="3" a="1"/>
  <c r="AS602" i="3" s="1"/>
  <c r="AT602" i="3" a="1"/>
  <c r="AT602" i="3" s="1"/>
  <c r="AS594" i="3" a="1"/>
  <c r="AS594" i="3" s="1"/>
  <c r="AT594" i="3" a="1"/>
  <c r="AT594" i="3" s="1"/>
  <c r="AT586" i="3" a="1"/>
  <c r="AT586" i="3" s="1"/>
  <c r="AS586" i="3" a="1"/>
  <c r="AS586" i="3" s="1"/>
  <c r="AS578" i="3" a="1"/>
  <c r="AS578" i="3" s="1"/>
  <c r="AT578" i="3" a="1"/>
  <c r="AT578" i="3" s="1"/>
  <c r="AS570" i="3" a="1"/>
  <c r="AS570" i="3" s="1"/>
  <c r="AT570" i="3" a="1"/>
  <c r="AT570" i="3" s="1"/>
  <c r="AS562" i="3" a="1"/>
  <c r="AS562" i="3" s="1"/>
  <c r="AT562" i="3" a="1"/>
  <c r="AT562" i="3" s="1"/>
  <c r="AS554" i="3" a="1"/>
  <c r="AS554" i="3" s="1"/>
  <c r="AT554" i="3" a="1"/>
  <c r="AT554" i="3" s="1"/>
  <c r="AS546" i="3" a="1"/>
  <c r="AS546" i="3" s="1"/>
  <c r="AT546" i="3" a="1"/>
  <c r="AT546" i="3" s="1"/>
  <c r="AS538" i="3" a="1"/>
  <c r="AS538" i="3" s="1"/>
  <c r="AT538" i="3" a="1"/>
  <c r="AT538" i="3" s="1"/>
  <c r="AS530" i="3" a="1"/>
  <c r="AS530" i="3" s="1"/>
  <c r="AT530" i="3" a="1"/>
  <c r="AT530" i="3" s="1"/>
  <c r="AS522" i="3" a="1"/>
  <c r="AS522" i="3" s="1"/>
  <c r="AT522" i="3" a="1"/>
  <c r="AT522" i="3" s="1"/>
  <c r="AS514" i="3" a="1"/>
  <c r="AS514" i="3" s="1"/>
  <c r="AT514" i="3" a="1"/>
  <c r="AT514" i="3" s="1"/>
  <c r="AS506" i="3" a="1"/>
  <c r="AS506" i="3" s="1"/>
  <c r="AT506" i="3" a="1"/>
  <c r="AT506" i="3" s="1"/>
  <c r="AS498" i="3" a="1"/>
  <c r="AS498" i="3" s="1"/>
  <c r="AT498" i="3" a="1"/>
  <c r="AT498" i="3" s="1"/>
  <c r="AS490" i="3" a="1"/>
  <c r="AS490" i="3" s="1"/>
  <c r="AT490" i="3" a="1"/>
  <c r="AT490" i="3" s="1"/>
  <c r="AS482" i="3" a="1"/>
  <c r="AS482" i="3" s="1"/>
  <c r="AT482" i="3" a="1"/>
  <c r="AT482" i="3" s="1"/>
  <c r="AS474" i="3" a="1"/>
  <c r="AS474" i="3" s="1"/>
  <c r="AT474" i="3" a="1"/>
  <c r="AT474" i="3" s="1"/>
  <c r="AS466" i="3" a="1"/>
  <c r="AS466" i="3" s="1"/>
  <c r="AT466" i="3" a="1"/>
  <c r="AT466" i="3" s="1"/>
  <c r="AT458" i="3" a="1"/>
  <c r="AT458" i="3" s="1"/>
  <c r="AS458" i="3" a="1"/>
  <c r="AS458" i="3" s="1"/>
  <c r="AT450" i="3" a="1"/>
  <c r="AT450" i="3" s="1"/>
  <c r="AS450" i="3" a="1"/>
  <c r="AS450" i="3" s="1"/>
  <c r="AT442" i="3" a="1"/>
  <c r="AT442" i="3" s="1"/>
  <c r="AS442" i="3" a="1"/>
  <c r="AS442" i="3" s="1"/>
  <c r="AT434" i="3" a="1"/>
  <c r="AT434" i="3" s="1"/>
  <c r="AS434" i="3" a="1"/>
  <c r="AS434" i="3" s="1"/>
  <c r="AT426" i="3" a="1"/>
  <c r="AT426" i="3" s="1"/>
  <c r="AS426" i="3" a="1"/>
  <c r="AS426" i="3" s="1"/>
  <c r="AT418" i="3" a="1"/>
  <c r="AT418" i="3" s="1"/>
  <c r="AS418" i="3" a="1"/>
  <c r="AS418" i="3" s="1"/>
  <c r="AT410" i="3" a="1"/>
  <c r="AT410" i="3" s="1"/>
  <c r="AS410" i="3" a="1"/>
  <c r="AS410" i="3" s="1"/>
  <c r="AT402" i="3" a="1"/>
  <c r="AT402" i="3" s="1"/>
  <c r="AS402" i="3" a="1"/>
  <c r="AS402" i="3" s="1"/>
  <c r="AS394" i="3" a="1"/>
  <c r="AS394" i="3" s="1"/>
  <c r="AT394" i="3" a="1"/>
  <c r="AT394" i="3" s="1"/>
  <c r="AT386" i="3" a="1"/>
  <c r="AT386" i="3" s="1"/>
  <c r="AS386" i="3" a="1"/>
  <c r="AS386" i="3" s="1"/>
  <c r="AT378" i="3" a="1"/>
  <c r="AT378" i="3" s="1"/>
  <c r="AS378" i="3" a="1"/>
  <c r="AS378" i="3" s="1"/>
  <c r="AT370" i="3" a="1"/>
  <c r="AT370" i="3" s="1"/>
  <c r="AS370" i="3" a="1"/>
  <c r="AS370" i="3" s="1"/>
  <c r="AT362" i="3" a="1"/>
  <c r="AT362" i="3" s="1"/>
  <c r="AS362" i="3" a="1"/>
  <c r="AS362" i="3" s="1"/>
  <c r="AS354" i="3" a="1"/>
  <c r="AS354" i="3" s="1"/>
  <c r="AT354" i="3" a="1"/>
  <c r="AT354" i="3" s="1"/>
  <c r="AT346" i="3" a="1"/>
  <c r="AT346" i="3" s="1"/>
  <c r="AS346" i="3" a="1"/>
  <c r="AS346" i="3" s="1"/>
  <c r="AT338" i="3" a="1"/>
  <c r="AT338" i="3" s="1"/>
  <c r="AS338" i="3" a="1"/>
  <c r="AS338" i="3" s="1"/>
  <c r="AT330" i="3" a="1"/>
  <c r="AT330" i="3" s="1"/>
  <c r="AS330" i="3" a="1"/>
  <c r="AS330" i="3" s="1"/>
  <c r="AS322" i="3" a="1"/>
  <c r="AS322" i="3" s="1"/>
  <c r="AT322" i="3" a="1"/>
  <c r="AT322" i="3" s="1"/>
  <c r="AT314" i="3" a="1"/>
  <c r="AT314" i="3" s="1"/>
  <c r="AS314" i="3" a="1"/>
  <c r="AS314" i="3" s="1"/>
  <c r="AS306" i="3" a="1"/>
  <c r="AS306" i="3" s="1"/>
  <c r="AT306" i="3" a="1"/>
  <c r="AT306" i="3" s="1"/>
  <c r="AT298" i="3" a="1"/>
  <c r="AT298" i="3" s="1"/>
  <c r="AS298" i="3" a="1"/>
  <c r="AS298" i="3" s="1"/>
  <c r="AS290" i="3" a="1"/>
  <c r="AS290" i="3" s="1"/>
  <c r="AT290" i="3" a="1"/>
  <c r="AT290" i="3" s="1"/>
  <c r="AT282" i="3" a="1"/>
  <c r="AT282" i="3" s="1"/>
  <c r="AS282" i="3" a="1"/>
  <c r="AS282" i="3" s="1"/>
  <c r="AS274" i="3" a="1"/>
  <c r="AS274" i="3" s="1"/>
  <c r="AT274" i="3" a="1"/>
  <c r="AT274" i="3" s="1"/>
  <c r="AS266" i="3" a="1"/>
  <c r="AS266" i="3" s="1"/>
  <c r="AT266" i="3" a="1"/>
  <c r="AT266" i="3" s="1"/>
  <c r="AS258" i="3" a="1"/>
  <c r="AS258" i="3" s="1"/>
  <c r="AT258" i="3" a="1"/>
  <c r="AT258" i="3" s="1"/>
  <c r="AT250" i="3" a="1"/>
  <c r="AT250" i="3" s="1"/>
  <c r="AS250" i="3" a="1"/>
  <c r="AS250" i="3" s="1"/>
  <c r="AS242" i="3" a="1"/>
  <c r="AS242" i="3" s="1"/>
  <c r="AT242" i="3" a="1"/>
  <c r="AT242" i="3" s="1"/>
  <c r="AT234" i="3" a="1"/>
  <c r="AT234" i="3" s="1"/>
  <c r="AS234" i="3" a="1"/>
  <c r="AS234" i="3" s="1"/>
  <c r="AS226" i="3" a="1"/>
  <c r="AS226" i="3" s="1"/>
  <c r="AT226" i="3" a="1"/>
  <c r="AT226" i="3" s="1"/>
  <c r="AT218" i="3" a="1"/>
  <c r="AT218" i="3" s="1"/>
  <c r="AS218" i="3" a="1"/>
  <c r="AS218" i="3" s="1"/>
  <c r="AS210" i="3" a="1"/>
  <c r="AS210" i="3" s="1"/>
  <c r="AT210" i="3" a="1"/>
  <c r="AT210" i="3" s="1"/>
  <c r="AT202" i="3" a="1"/>
  <c r="AT202" i="3" s="1"/>
  <c r="AS202" i="3" a="1"/>
  <c r="AS202" i="3" s="1"/>
  <c r="AS194" i="3" a="1"/>
  <c r="AS194" i="3" s="1"/>
  <c r="AT194" i="3" a="1"/>
  <c r="AT194" i="3" s="1"/>
  <c r="AS186" i="3" a="1"/>
  <c r="AS186" i="3" s="1"/>
  <c r="AT186" i="3" a="1"/>
  <c r="AT186" i="3" s="1"/>
  <c r="AS178" i="3" a="1"/>
  <c r="AS178" i="3" s="1"/>
  <c r="AT178" i="3" a="1"/>
  <c r="AT178" i="3" s="1"/>
  <c r="AT170" i="3" a="1"/>
  <c r="AT170" i="3" s="1"/>
  <c r="AS170" i="3" a="1"/>
  <c r="AS170" i="3" s="1"/>
  <c r="AT162" i="3" a="1"/>
  <c r="AT162" i="3" s="1"/>
  <c r="AS162" i="3" a="1"/>
  <c r="AS162" i="3" s="1"/>
  <c r="AS154" i="3" a="1"/>
  <c r="AS154" i="3" s="1"/>
  <c r="AT154" i="3" a="1"/>
  <c r="AT154" i="3" s="1"/>
  <c r="AT146" i="3" a="1"/>
  <c r="AT146" i="3" s="1"/>
  <c r="AS146" i="3" a="1"/>
  <c r="AS146" i="3" s="1"/>
  <c r="AT138" i="3" a="1"/>
  <c r="AT138" i="3" s="1"/>
  <c r="AS138" i="3" a="1"/>
  <c r="AS138" i="3" s="1"/>
  <c r="AT130" i="3" a="1"/>
  <c r="AT130" i="3" s="1"/>
  <c r="AS130" i="3" a="1"/>
  <c r="AS130" i="3" s="1"/>
  <c r="AS122" i="3" a="1"/>
  <c r="AS122" i="3" s="1"/>
  <c r="AT122" i="3" a="1"/>
  <c r="AT122" i="3" s="1"/>
  <c r="AT114" i="3" a="1"/>
  <c r="AT114" i="3" s="1"/>
  <c r="AS114" i="3" a="1"/>
  <c r="AS114" i="3" s="1"/>
  <c r="AT106" i="3" a="1"/>
  <c r="AT106" i="3" s="1"/>
  <c r="AS106" i="3" a="1"/>
  <c r="AS106" i="3" s="1"/>
  <c r="AT98" i="3" a="1"/>
  <c r="AT98" i="3" s="1"/>
  <c r="AS98" i="3" a="1"/>
  <c r="AS98" i="3" s="1"/>
  <c r="AS90" i="3" a="1"/>
  <c r="AS90" i="3" s="1"/>
  <c r="AT90" i="3" a="1"/>
  <c r="AT90" i="3" s="1"/>
  <c r="AT82" i="3" a="1"/>
  <c r="AT82" i="3" s="1"/>
  <c r="AS82" i="3" a="1"/>
  <c r="AS82" i="3" s="1"/>
  <c r="AT74" i="3" a="1"/>
  <c r="AT74" i="3" s="1"/>
  <c r="AS74" i="3" a="1"/>
  <c r="AS74" i="3" s="1"/>
  <c r="AT66" i="3" a="1"/>
  <c r="AT66" i="3" s="1"/>
  <c r="AS66" i="3" a="1"/>
  <c r="AS66" i="3" s="1"/>
  <c r="AS58" i="3" a="1"/>
  <c r="AS58" i="3" s="1"/>
  <c r="AT58" i="3" a="1"/>
  <c r="AT58" i="3" s="1"/>
  <c r="AT50" i="3" a="1"/>
  <c r="AT50" i="3" s="1"/>
  <c r="AS50" i="3" a="1"/>
  <c r="AS50" i="3" s="1"/>
  <c r="AT42" i="3" a="1"/>
  <c r="AT42" i="3" s="1"/>
  <c r="AS42" i="3" a="1"/>
  <c r="AS42" i="3" s="1"/>
  <c r="AT34" i="3" a="1"/>
  <c r="AT34" i="3" s="1"/>
  <c r="AS34" i="3" a="1"/>
  <c r="AS34" i="3" s="1"/>
  <c r="AS26" i="3" a="1"/>
  <c r="AS26" i="3" s="1"/>
  <c r="AT26" i="3" a="1"/>
  <c r="AT26" i="3" s="1"/>
  <c r="AS18" i="3" a="1"/>
  <c r="AS18" i="3" s="1"/>
  <c r="AT18" i="3" a="1"/>
  <c r="AT18" i="3" s="1"/>
  <c r="AS10" i="3" a="1"/>
  <c r="AS10" i="3" s="1"/>
  <c r="AT10" i="3" a="1"/>
  <c r="AT10" i="3" s="1"/>
  <c r="AS833" i="3" a="1"/>
  <c r="AS833" i="3" s="1"/>
  <c r="AT833" i="3" a="1"/>
  <c r="AT833" i="3" s="1"/>
  <c r="AS825" i="3" a="1"/>
  <c r="AS825" i="3" s="1"/>
  <c r="AT825" i="3" a="1"/>
  <c r="AT825" i="3" s="1"/>
  <c r="AS817" i="3" a="1"/>
  <c r="AS817" i="3" s="1"/>
  <c r="AT817" i="3" a="1"/>
  <c r="AT817" i="3" s="1"/>
  <c r="AS809" i="3" a="1"/>
  <c r="AS809" i="3" s="1"/>
  <c r="AT809" i="3" a="1"/>
  <c r="AT809" i="3" s="1"/>
  <c r="AS801" i="3" a="1"/>
  <c r="AS801" i="3" s="1"/>
  <c r="AT801" i="3" a="1"/>
  <c r="AT801" i="3" s="1"/>
  <c r="AS793" i="3" a="1"/>
  <c r="AS793" i="3" s="1"/>
  <c r="AT793" i="3" a="1"/>
  <c r="AT793" i="3" s="1"/>
  <c r="AS785" i="3" a="1"/>
  <c r="AS785" i="3" s="1"/>
  <c r="AT785" i="3" a="1"/>
  <c r="AT785" i="3" s="1"/>
  <c r="AS777" i="3" a="1"/>
  <c r="AS777" i="3" s="1"/>
  <c r="AT777" i="3" a="1"/>
  <c r="AT777" i="3" s="1"/>
  <c r="AS769" i="3" a="1"/>
  <c r="AS769" i="3" s="1"/>
  <c r="AT769" i="3" a="1"/>
  <c r="AT769" i="3" s="1"/>
  <c r="AS761" i="3" a="1"/>
  <c r="AS761" i="3" s="1"/>
  <c r="AT761" i="3" a="1"/>
  <c r="AT761" i="3" s="1"/>
  <c r="AS753" i="3" a="1"/>
  <c r="AS753" i="3" s="1"/>
  <c r="AT753" i="3" a="1"/>
  <c r="AT753" i="3" s="1"/>
  <c r="AS745" i="3" a="1"/>
  <c r="AS745" i="3" s="1"/>
  <c r="AT745" i="3" a="1"/>
  <c r="AT745" i="3" s="1"/>
  <c r="AS737" i="3" a="1"/>
  <c r="AS737" i="3" s="1"/>
  <c r="AT737" i="3" a="1"/>
  <c r="AT737" i="3" s="1"/>
  <c r="AS729" i="3" a="1"/>
  <c r="AS729" i="3" s="1"/>
  <c r="AT729" i="3" a="1"/>
  <c r="AT729" i="3" s="1"/>
  <c r="AS721" i="3" a="1"/>
  <c r="AS721" i="3" s="1"/>
  <c r="AT721" i="3" a="1"/>
  <c r="AT721" i="3" s="1"/>
  <c r="AT713" i="3" a="1"/>
  <c r="AT713" i="3" s="1"/>
  <c r="AS713" i="3" a="1"/>
  <c r="AS713" i="3" s="1"/>
  <c r="AS705" i="3" a="1"/>
  <c r="AS705" i="3" s="1"/>
  <c r="AT705" i="3" a="1"/>
  <c r="AT705" i="3" s="1"/>
  <c r="AT697" i="3" a="1"/>
  <c r="AT697" i="3" s="1"/>
  <c r="AS697" i="3" a="1"/>
  <c r="AS697" i="3" s="1"/>
  <c r="AS689" i="3" a="1"/>
  <c r="AS689" i="3" s="1"/>
  <c r="AT689" i="3" a="1"/>
  <c r="AT689" i="3" s="1"/>
  <c r="AT681" i="3" a="1"/>
  <c r="AT681" i="3" s="1"/>
  <c r="AS681" i="3" a="1"/>
  <c r="AS681" i="3" s="1"/>
  <c r="AS673" i="3" a="1"/>
  <c r="AS673" i="3" s="1"/>
  <c r="AT673" i="3" a="1"/>
  <c r="AT673" i="3" s="1"/>
  <c r="AT665" i="3" a="1"/>
  <c r="AT665" i="3" s="1"/>
  <c r="AS665" i="3" a="1"/>
  <c r="AS665" i="3" s="1"/>
  <c r="AS657" i="3" a="1"/>
  <c r="AS657" i="3" s="1"/>
  <c r="AT657" i="3" a="1"/>
  <c r="AT657" i="3" s="1"/>
  <c r="AT649" i="3" a="1"/>
  <c r="AT649" i="3" s="1"/>
  <c r="AS649" i="3" a="1"/>
  <c r="AS649" i="3" s="1"/>
  <c r="AS641" i="3" a="1"/>
  <c r="AS641" i="3" s="1"/>
  <c r="AT641" i="3" a="1"/>
  <c r="AT641" i="3" s="1"/>
  <c r="AS633" i="3" a="1"/>
  <c r="AS633" i="3" s="1"/>
  <c r="AT633" i="3" a="1"/>
  <c r="AT633" i="3" s="1"/>
  <c r="AS625" i="3" a="1"/>
  <c r="AS625" i="3" s="1"/>
  <c r="AT625" i="3" a="1"/>
  <c r="AT625" i="3" s="1"/>
  <c r="AS617" i="3" a="1"/>
  <c r="AS617" i="3" s="1"/>
  <c r="AT617" i="3" a="1"/>
  <c r="AT617" i="3" s="1"/>
  <c r="AS609" i="3" a="1"/>
  <c r="AS609" i="3" s="1"/>
  <c r="AT609" i="3" a="1"/>
  <c r="AT609" i="3" s="1"/>
  <c r="AS601" i="3" a="1"/>
  <c r="AS601" i="3" s="1"/>
  <c r="AT601" i="3" a="1"/>
  <c r="AT601" i="3" s="1"/>
  <c r="AS593" i="3" a="1"/>
  <c r="AS593" i="3" s="1"/>
  <c r="AT593" i="3" a="1"/>
  <c r="AT593" i="3" s="1"/>
  <c r="AS585" i="3" a="1"/>
  <c r="AS585" i="3" s="1"/>
  <c r="AT585" i="3" a="1"/>
  <c r="AT585" i="3" s="1"/>
  <c r="AS577" i="3" a="1"/>
  <c r="AS577" i="3" s="1"/>
  <c r="AT577" i="3" a="1"/>
  <c r="AT577" i="3" s="1"/>
  <c r="AS569" i="3" a="1"/>
  <c r="AS569" i="3" s="1"/>
  <c r="AT569" i="3" a="1"/>
  <c r="AT569" i="3" s="1"/>
  <c r="AS561" i="3" a="1"/>
  <c r="AS561" i="3" s="1"/>
  <c r="AT561" i="3" a="1"/>
  <c r="AT561" i="3" s="1"/>
  <c r="AS553" i="3" a="1"/>
  <c r="AS553" i="3" s="1"/>
  <c r="AT553" i="3" a="1"/>
  <c r="AT553" i="3" s="1"/>
  <c r="AS545" i="3" a="1"/>
  <c r="AS545" i="3" s="1"/>
  <c r="AT545" i="3" a="1"/>
  <c r="AT545" i="3" s="1"/>
  <c r="AS537" i="3" a="1"/>
  <c r="AS537" i="3" s="1"/>
  <c r="AT537" i="3" a="1"/>
  <c r="AT537" i="3" s="1"/>
  <c r="AS529" i="3" a="1"/>
  <c r="AS529" i="3" s="1"/>
  <c r="AT529" i="3" a="1"/>
  <c r="AT529" i="3" s="1"/>
  <c r="AS521" i="3" a="1"/>
  <c r="AS521" i="3" s="1"/>
  <c r="AT521" i="3" a="1"/>
  <c r="AT521" i="3" s="1"/>
  <c r="AS513" i="3" a="1"/>
  <c r="AS513" i="3" s="1"/>
  <c r="AT513" i="3" a="1"/>
  <c r="AT513" i="3" s="1"/>
  <c r="AS505" i="3" a="1"/>
  <c r="AS505" i="3" s="1"/>
  <c r="AT505" i="3" a="1"/>
  <c r="AT505" i="3" s="1"/>
  <c r="AS497" i="3" a="1"/>
  <c r="AS497" i="3" s="1"/>
  <c r="AT497" i="3" a="1"/>
  <c r="AT497" i="3" s="1"/>
  <c r="AS489" i="3" a="1"/>
  <c r="AS489" i="3" s="1"/>
  <c r="AT489" i="3" a="1"/>
  <c r="AT489" i="3" s="1"/>
  <c r="AS481" i="3" a="1"/>
  <c r="AS481" i="3" s="1"/>
  <c r="AT481" i="3" a="1"/>
  <c r="AT481" i="3" s="1"/>
  <c r="AS473" i="3" a="1"/>
  <c r="AS473" i="3" s="1"/>
  <c r="AT473" i="3" a="1"/>
  <c r="AT473" i="3" s="1"/>
  <c r="AS465" i="3" a="1"/>
  <c r="AS465" i="3" s="1"/>
  <c r="AT465" i="3" a="1"/>
  <c r="AT465" i="3" s="1"/>
  <c r="AS457" i="3" a="1"/>
  <c r="AS457" i="3" s="1"/>
  <c r="AT457" i="3" a="1"/>
  <c r="AT457" i="3" s="1"/>
  <c r="AS449" i="3" a="1"/>
  <c r="AS449" i="3" s="1"/>
  <c r="AT449" i="3" a="1"/>
  <c r="AT449" i="3" s="1"/>
  <c r="AS441" i="3" a="1"/>
  <c r="AS441" i="3" s="1"/>
  <c r="AT441" i="3" a="1"/>
  <c r="AT441" i="3" s="1"/>
  <c r="AS433" i="3" a="1"/>
  <c r="AS433" i="3" s="1"/>
  <c r="AT433" i="3" a="1"/>
  <c r="AT433" i="3" s="1"/>
  <c r="AS425" i="3" a="1"/>
  <c r="AS425" i="3" s="1"/>
  <c r="AT425" i="3" a="1"/>
  <c r="AT425" i="3" s="1"/>
  <c r="AS417" i="3" a="1"/>
  <c r="AS417" i="3" s="1"/>
  <c r="AT417" i="3" a="1"/>
  <c r="AT417" i="3" s="1"/>
  <c r="AS409" i="3" a="1"/>
  <c r="AS409" i="3" s="1"/>
  <c r="AT409" i="3" a="1"/>
  <c r="AT409" i="3" s="1"/>
  <c r="AS401" i="3" a="1"/>
  <c r="AS401" i="3" s="1"/>
  <c r="AT401" i="3" a="1"/>
  <c r="AT401" i="3" s="1"/>
  <c r="AS393" i="3" a="1"/>
  <c r="AS393" i="3" s="1"/>
  <c r="AT393" i="3" a="1"/>
  <c r="AT393" i="3" s="1"/>
  <c r="AS385" i="3" a="1"/>
  <c r="AS385" i="3" s="1"/>
  <c r="AT385" i="3" a="1"/>
  <c r="AT385" i="3" s="1"/>
  <c r="AS377" i="3" a="1"/>
  <c r="AS377" i="3" s="1"/>
  <c r="AT377" i="3" a="1"/>
  <c r="AT377" i="3" s="1"/>
  <c r="AS369" i="3" a="1"/>
  <c r="AS369" i="3" s="1"/>
  <c r="AT369" i="3" a="1"/>
  <c r="AT369" i="3" s="1"/>
  <c r="AT361" i="3" a="1"/>
  <c r="AT361" i="3" s="1"/>
  <c r="AS361" i="3" a="1"/>
  <c r="AS361" i="3" s="1"/>
  <c r="AS353" i="3" a="1"/>
  <c r="AS353" i="3" s="1"/>
  <c r="AT353" i="3" a="1"/>
  <c r="AT353" i="3" s="1"/>
  <c r="AS345" i="3" a="1"/>
  <c r="AS345" i="3" s="1"/>
  <c r="AT345" i="3" a="1"/>
  <c r="AT345" i="3" s="1"/>
  <c r="AS337" i="3" a="1"/>
  <c r="AS337" i="3" s="1"/>
  <c r="AT337" i="3" a="1"/>
  <c r="AT337" i="3" s="1"/>
  <c r="AT329" i="3" a="1"/>
  <c r="AT329" i="3" s="1"/>
  <c r="AS329" i="3" a="1"/>
  <c r="AS329" i="3" s="1"/>
  <c r="AS321" i="3" a="1"/>
  <c r="AS321" i="3" s="1"/>
  <c r="AT321" i="3" a="1"/>
  <c r="AT321" i="3" s="1"/>
  <c r="AS313" i="3" a="1"/>
  <c r="AS313" i="3" s="1"/>
  <c r="AT313" i="3" a="1"/>
  <c r="AT313" i="3" s="1"/>
  <c r="AS305" i="3" a="1"/>
  <c r="AS305" i="3" s="1"/>
  <c r="AT305" i="3" a="1"/>
  <c r="AT305" i="3" s="1"/>
  <c r="AT297" i="3" a="1"/>
  <c r="AT297" i="3" s="1"/>
  <c r="AS297" i="3" a="1"/>
  <c r="AS297" i="3" s="1"/>
  <c r="AT289" i="3" a="1"/>
  <c r="AT289" i="3" s="1"/>
  <c r="AS289" i="3" a="1"/>
  <c r="AS289" i="3" s="1"/>
  <c r="AS281" i="3" a="1"/>
  <c r="AS281" i="3" s="1"/>
  <c r="AT281" i="3" a="1"/>
  <c r="AT281" i="3" s="1"/>
  <c r="AT273" i="3" a="1"/>
  <c r="AT273" i="3" s="1"/>
  <c r="AS273" i="3" a="1"/>
  <c r="AS273" i="3" s="1"/>
  <c r="AS265" i="3" a="1"/>
  <c r="AS265" i="3" s="1"/>
  <c r="AT265" i="3" a="1"/>
  <c r="AT265" i="3" s="1"/>
  <c r="AT257" i="3" a="1"/>
  <c r="AT257" i="3" s="1"/>
  <c r="AS257" i="3" a="1"/>
  <c r="AS257" i="3" s="1"/>
  <c r="AS249" i="3" a="1"/>
  <c r="AS249" i="3" s="1"/>
  <c r="AT249" i="3" a="1"/>
  <c r="AT249" i="3" s="1"/>
  <c r="AT241" i="3" a="1"/>
  <c r="AT241" i="3" s="1"/>
  <c r="AS241" i="3" a="1"/>
  <c r="AS241" i="3" s="1"/>
  <c r="AS233" i="3" a="1"/>
  <c r="AS233" i="3" s="1"/>
  <c r="AT233" i="3" a="1"/>
  <c r="AT233" i="3" s="1"/>
  <c r="AT225" i="3" a="1"/>
  <c r="AT225" i="3" s="1"/>
  <c r="AS225" i="3" a="1"/>
  <c r="AS225" i="3" s="1"/>
  <c r="AS217" i="3" a="1"/>
  <c r="AS217" i="3" s="1"/>
  <c r="AT217" i="3" a="1"/>
  <c r="AT217" i="3" s="1"/>
  <c r="AT209" i="3" a="1"/>
  <c r="AT209" i="3" s="1"/>
  <c r="AS209" i="3" a="1"/>
  <c r="AS209" i="3" s="1"/>
  <c r="AS201" i="3" a="1"/>
  <c r="AS201" i="3" s="1"/>
  <c r="AT201" i="3" a="1"/>
  <c r="AT201" i="3" s="1"/>
  <c r="AS193" i="3" a="1"/>
  <c r="AS193" i="3" s="1"/>
  <c r="AT193" i="3" a="1"/>
  <c r="AT193" i="3" s="1"/>
  <c r="AT185" i="3" a="1"/>
  <c r="AT185" i="3" s="1"/>
  <c r="AS185" i="3" a="1"/>
  <c r="AS185" i="3" s="1"/>
  <c r="AT177" i="3" a="1"/>
  <c r="AT177" i="3" s="1"/>
  <c r="AS177" i="3" a="1"/>
  <c r="AS177" i="3" s="1"/>
  <c r="AS169" i="3" a="1"/>
  <c r="AS169" i="3" s="1"/>
  <c r="AT169" i="3" a="1"/>
  <c r="AT169" i="3" s="1"/>
  <c r="AT161" i="3" a="1"/>
  <c r="AT161" i="3" s="1"/>
  <c r="AS161" i="3" a="1"/>
  <c r="AS161" i="3" s="1"/>
  <c r="AS153" i="3" a="1"/>
  <c r="AS153" i="3" s="1"/>
  <c r="AT153" i="3" a="1"/>
  <c r="AT153" i="3" s="1"/>
  <c r="AT145" i="3" a="1"/>
  <c r="AT145" i="3" s="1"/>
  <c r="AS145" i="3" a="1"/>
  <c r="AS145" i="3" s="1"/>
  <c r="AS137" i="3" a="1"/>
  <c r="AS137" i="3" s="1"/>
  <c r="AT137" i="3" a="1"/>
  <c r="AT137" i="3" s="1"/>
  <c r="AT129" i="3" a="1"/>
  <c r="AT129" i="3" s="1"/>
  <c r="AS129" i="3" a="1"/>
  <c r="AS129" i="3" s="1"/>
  <c r="AS121" i="3" a="1"/>
  <c r="AS121" i="3" s="1"/>
  <c r="AT121" i="3" a="1"/>
  <c r="AT121" i="3" s="1"/>
  <c r="AS113" i="3" a="1"/>
  <c r="AS113" i="3" s="1"/>
  <c r="AT113" i="3" a="1"/>
  <c r="AT113" i="3" s="1"/>
  <c r="AS105" i="3" a="1"/>
  <c r="AS105" i="3" s="1"/>
  <c r="AT105" i="3" a="1"/>
  <c r="AT105" i="3" s="1"/>
  <c r="AT97" i="3" a="1"/>
  <c r="AT97" i="3" s="1"/>
  <c r="AS97" i="3" a="1"/>
  <c r="AS97" i="3" s="1"/>
  <c r="AS89" i="3" a="1"/>
  <c r="AS89" i="3" s="1"/>
  <c r="AT89" i="3" a="1"/>
  <c r="AT89" i="3" s="1"/>
  <c r="AS81" i="3" a="1"/>
  <c r="AS81" i="3" s="1"/>
  <c r="AT81" i="3" a="1"/>
  <c r="AT81" i="3" s="1"/>
  <c r="AS73" i="3" a="1"/>
  <c r="AS73" i="3" s="1"/>
  <c r="AT73" i="3" a="1"/>
  <c r="AT73" i="3" s="1"/>
  <c r="AT65" i="3" a="1"/>
  <c r="AT65" i="3" s="1"/>
  <c r="AS65" i="3" a="1"/>
  <c r="AS65" i="3" s="1"/>
  <c r="AS57" i="3" a="1"/>
  <c r="AS57" i="3" s="1"/>
  <c r="AT57" i="3" a="1"/>
  <c r="AT57" i="3" s="1"/>
  <c r="AS49" i="3" a="1"/>
  <c r="AS49" i="3" s="1"/>
  <c r="AT49" i="3" a="1"/>
  <c r="AT49" i="3" s="1"/>
  <c r="AS41" i="3" a="1"/>
  <c r="AS41" i="3" s="1"/>
  <c r="AT41" i="3" a="1"/>
  <c r="AT41" i="3" s="1"/>
  <c r="AT33" i="3" a="1"/>
  <c r="AT33" i="3" s="1"/>
  <c r="AS33" i="3" a="1"/>
  <c r="AS33" i="3" s="1"/>
  <c r="AS25" i="3" a="1"/>
  <c r="AS25" i="3" s="1"/>
  <c r="AT25" i="3" a="1"/>
  <c r="AT25" i="3" s="1"/>
  <c r="AS17" i="3" a="1"/>
  <c r="AS17" i="3" s="1"/>
  <c r="AT17" i="3" a="1"/>
  <c r="AT17" i="3" s="1"/>
  <c r="AS9" i="3" a="1"/>
  <c r="AS9" i="3" s="1"/>
  <c r="AT9" i="3" a="1"/>
  <c r="AT9" i="3" s="1"/>
  <c r="AT832" i="3" a="1"/>
  <c r="AT832" i="3" s="1"/>
  <c r="AS832" i="3" a="1"/>
  <c r="AS832" i="3" s="1"/>
  <c r="AT824" i="3" a="1"/>
  <c r="AT824" i="3" s="1"/>
  <c r="AS824" i="3" a="1"/>
  <c r="AS824" i="3" s="1"/>
  <c r="AT816" i="3" a="1"/>
  <c r="AT816" i="3" s="1"/>
  <c r="AS816" i="3" a="1"/>
  <c r="AS816" i="3" s="1"/>
  <c r="AT808" i="3" a="1"/>
  <c r="AT808" i="3" s="1"/>
  <c r="AS808" i="3" a="1"/>
  <c r="AS808" i="3" s="1"/>
  <c r="AT800" i="3" a="1"/>
  <c r="AT800" i="3" s="1"/>
  <c r="AS800" i="3" a="1"/>
  <c r="AS800" i="3" s="1"/>
  <c r="AT792" i="3" a="1"/>
  <c r="AT792" i="3" s="1"/>
  <c r="AS792" i="3" a="1"/>
  <c r="AS792" i="3" s="1"/>
  <c r="AT784" i="3" a="1"/>
  <c r="AT784" i="3" s="1"/>
  <c r="AS784" i="3" a="1"/>
  <c r="AS784" i="3" s="1"/>
  <c r="AT776" i="3" a="1"/>
  <c r="AT776" i="3" s="1"/>
  <c r="AS776" i="3" a="1"/>
  <c r="AS776" i="3" s="1"/>
  <c r="AT768" i="3" a="1"/>
  <c r="AT768" i="3" s="1"/>
  <c r="AS768" i="3" a="1"/>
  <c r="AS768" i="3" s="1"/>
  <c r="AT760" i="3" a="1"/>
  <c r="AT760" i="3" s="1"/>
  <c r="AS760" i="3" a="1"/>
  <c r="AS760" i="3" s="1"/>
  <c r="AT752" i="3" a="1"/>
  <c r="AT752" i="3" s="1"/>
  <c r="AS752" i="3" a="1"/>
  <c r="AS752" i="3" s="1"/>
  <c r="AT744" i="3" a="1"/>
  <c r="AT744" i="3" s="1"/>
  <c r="AS744" i="3" a="1"/>
  <c r="AS744" i="3" s="1"/>
  <c r="AT736" i="3" a="1"/>
  <c r="AT736" i="3" s="1"/>
  <c r="AS736" i="3" a="1"/>
  <c r="AS736" i="3" s="1"/>
  <c r="AT728" i="3" a="1"/>
  <c r="AT728" i="3" s="1"/>
  <c r="AS728" i="3" a="1"/>
  <c r="AS728" i="3" s="1"/>
  <c r="AT720" i="3" a="1"/>
  <c r="AT720" i="3" s="1"/>
  <c r="AS720" i="3" a="1"/>
  <c r="AS720" i="3" s="1"/>
  <c r="AS712" i="3" a="1"/>
  <c r="AS712" i="3" s="1"/>
  <c r="AT712" i="3" a="1"/>
  <c r="AT712" i="3" s="1"/>
  <c r="AT704" i="3" a="1"/>
  <c r="AT704" i="3" s="1"/>
  <c r="AS704" i="3" a="1"/>
  <c r="AS704" i="3" s="1"/>
  <c r="AS696" i="3" a="1"/>
  <c r="AS696" i="3" s="1"/>
  <c r="AT696" i="3" a="1"/>
  <c r="AT696" i="3" s="1"/>
  <c r="AT688" i="3" a="1"/>
  <c r="AT688" i="3" s="1"/>
  <c r="AS688" i="3" a="1"/>
  <c r="AS688" i="3" s="1"/>
  <c r="AS680" i="3" a="1"/>
  <c r="AS680" i="3" s="1"/>
  <c r="AT680" i="3" a="1"/>
  <c r="AT680" i="3" s="1"/>
  <c r="AT672" i="3" a="1"/>
  <c r="AT672" i="3" s="1"/>
  <c r="AS672" i="3" a="1"/>
  <c r="AS672" i="3" s="1"/>
  <c r="AS664" i="3" a="1"/>
  <c r="AS664" i="3" s="1"/>
  <c r="AT664" i="3" a="1"/>
  <c r="AT664" i="3" s="1"/>
  <c r="AT656" i="3" a="1"/>
  <c r="AT656" i="3" s="1"/>
  <c r="AS656" i="3" a="1"/>
  <c r="AS656" i="3" s="1"/>
  <c r="AS648" i="3" a="1"/>
  <c r="AS648" i="3" s="1"/>
  <c r="AT648" i="3" a="1"/>
  <c r="AT648" i="3" s="1"/>
  <c r="AS640" i="3" a="1"/>
  <c r="AS640" i="3" s="1"/>
  <c r="AT640" i="3" a="1"/>
  <c r="AT640" i="3" s="1"/>
  <c r="AS632" i="3" a="1"/>
  <c r="AS632" i="3" s="1"/>
  <c r="AT632" i="3" a="1"/>
  <c r="AT632" i="3" s="1"/>
  <c r="AT624" i="3" a="1"/>
  <c r="AT624" i="3" s="1"/>
  <c r="AS624" i="3" a="1"/>
  <c r="AS624" i="3" s="1"/>
  <c r="AT616" i="3" a="1"/>
  <c r="AT616" i="3" s="1"/>
  <c r="AS616" i="3" a="1"/>
  <c r="AS616" i="3" s="1"/>
  <c r="AT608" i="3" a="1"/>
  <c r="AT608" i="3" s="1"/>
  <c r="AS608" i="3" a="1"/>
  <c r="AS608" i="3" s="1"/>
  <c r="AT600" i="3" a="1"/>
  <c r="AT600" i="3" s="1"/>
  <c r="AS600" i="3" a="1"/>
  <c r="AS600" i="3" s="1"/>
  <c r="AT592" i="3" a="1"/>
  <c r="AT592" i="3" s="1"/>
  <c r="AS592" i="3" a="1"/>
  <c r="AS592" i="3" s="1"/>
  <c r="AT584" i="3" a="1"/>
  <c r="AT584" i="3" s="1"/>
  <c r="AS584" i="3" a="1"/>
  <c r="AS584" i="3" s="1"/>
  <c r="AT576" i="3" a="1"/>
  <c r="AT576" i="3" s="1"/>
  <c r="AS576" i="3" a="1"/>
  <c r="AS576" i="3" s="1"/>
  <c r="AT568" i="3" a="1"/>
  <c r="AT568" i="3" s="1"/>
  <c r="AS568" i="3" a="1"/>
  <c r="AS568" i="3" s="1"/>
  <c r="AT560" i="3" a="1"/>
  <c r="AT560" i="3" s="1"/>
  <c r="AS560" i="3" a="1"/>
  <c r="AS560" i="3" s="1"/>
  <c r="AT552" i="3" a="1"/>
  <c r="AT552" i="3" s="1"/>
  <c r="AS552" i="3" a="1"/>
  <c r="AS552" i="3" s="1"/>
  <c r="AT544" i="3" a="1"/>
  <c r="AT544" i="3" s="1"/>
  <c r="AS544" i="3" a="1"/>
  <c r="AS544" i="3" s="1"/>
  <c r="AT536" i="3" a="1"/>
  <c r="AT536" i="3" s="1"/>
  <c r="AS536" i="3" a="1"/>
  <c r="AS536" i="3" s="1"/>
  <c r="AT528" i="3" a="1"/>
  <c r="AT528" i="3" s="1"/>
  <c r="AS528" i="3" a="1"/>
  <c r="AS528" i="3" s="1"/>
  <c r="AT520" i="3" a="1"/>
  <c r="AT520" i="3" s="1"/>
  <c r="AS520" i="3" a="1"/>
  <c r="AS520" i="3" s="1"/>
  <c r="AT512" i="3" a="1"/>
  <c r="AT512" i="3" s="1"/>
  <c r="AS512" i="3" a="1"/>
  <c r="AS512" i="3" s="1"/>
  <c r="AT504" i="3" a="1"/>
  <c r="AT504" i="3" s="1"/>
  <c r="AS504" i="3" a="1"/>
  <c r="AS504" i="3" s="1"/>
  <c r="AT496" i="3" a="1"/>
  <c r="AT496" i="3" s="1"/>
  <c r="AS496" i="3" a="1"/>
  <c r="AS496" i="3" s="1"/>
  <c r="AT488" i="3" a="1"/>
  <c r="AT488" i="3" s="1"/>
  <c r="AS488" i="3" a="1"/>
  <c r="AS488" i="3" s="1"/>
  <c r="AT480" i="3" a="1"/>
  <c r="AT480" i="3" s="1"/>
  <c r="AS480" i="3" a="1"/>
  <c r="AS480" i="3" s="1"/>
  <c r="AT472" i="3" a="1"/>
  <c r="AT472" i="3" s="1"/>
  <c r="AS472" i="3" a="1"/>
  <c r="AS472" i="3" s="1"/>
  <c r="AT464" i="3" a="1"/>
  <c r="AT464" i="3" s="1"/>
  <c r="AS464" i="3" a="1"/>
  <c r="AS464" i="3" s="1"/>
  <c r="AT456" i="3" a="1"/>
  <c r="AT456" i="3" s="1"/>
  <c r="AS456" i="3" a="1"/>
  <c r="AS456" i="3" s="1"/>
  <c r="AT448" i="3" a="1"/>
  <c r="AT448" i="3" s="1"/>
  <c r="AS448" i="3" a="1"/>
  <c r="AS448" i="3" s="1"/>
  <c r="AT440" i="3" a="1"/>
  <c r="AT440" i="3" s="1"/>
  <c r="AS440" i="3" a="1"/>
  <c r="AS440" i="3" s="1"/>
  <c r="AT432" i="3" a="1"/>
  <c r="AT432" i="3" s="1"/>
  <c r="AS432" i="3" a="1"/>
  <c r="AS432" i="3" s="1"/>
  <c r="AT424" i="3" a="1"/>
  <c r="AT424" i="3" s="1"/>
  <c r="AS424" i="3" a="1"/>
  <c r="AS424" i="3" s="1"/>
  <c r="AT416" i="3" a="1"/>
  <c r="AT416" i="3" s="1"/>
  <c r="AS416" i="3" a="1"/>
  <c r="AS416" i="3" s="1"/>
  <c r="AT408" i="3" a="1"/>
  <c r="AT408" i="3" s="1"/>
  <c r="AS408" i="3" a="1"/>
  <c r="AS408" i="3" s="1"/>
  <c r="AT400" i="3" a="1"/>
  <c r="AT400" i="3" s="1"/>
  <c r="AS400" i="3" a="1"/>
  <c r="AS400" i="3" s="1"/>
  <c r="AS392" i="3" a="1"/>
  <c r="AS392" i="3" s="1"/>
  <c r="AT392" i="3" a="1"/>
  <c r="AT392" i="3" s="1"/>
  <c r="AS384" i="3" a="1"/>
  <c r="AS384" i="3" s="1"/>
  <c r="AT384" i="3" a="1"/>
  <c r="AT384" i="3" s="1"/>
  <c r="AS376" i="3" a="1"/>
  <c r="AS376" i="3" s="1"/>
  <c r="AT376" i="3" a="1"/>
  <c r="AT376" i="3" s="1"/>
  <c r="AS368" i="3" a="1"/>
  <c r="AS368" i="3" s="1"/>
  <c r="AT368" i="3" a="1"/>
  <c r="AT368" i="3" s="1"/>
  <c r="AS360" i="3" a="1"/>
  <c r="AS360" i="3" s="1"/>
  <c r="AT360" i="3" a="1"/>
  <c r="AT360" i="3" s="1"/>
  <c r="AT352" i="3" a="1"/>
  <c r="AT352" i="3" s="1"/>
  <c r="AS352" i="3" a="1"/>
  <c r="AS352" i="3" s="1"/>
  <c r="AS344" i="3" a="1"/>
  <c r="AS344" i="3" s="1"/>
  <c r="AT344" i="3" a="1"/>
  <c r="AT344" i="3" s="1"/>
  <c r="AS336" i="3" a="1"/>
  <c r="AS336" i="3" s="1"/>
  <c r="AT336" i="3" a="1"/>
  <c r="AT336" i="3" s="1"/>
  <c r="AS328" i="3" a="1"/>
  <c r="AS328" i="3" s="1"/>
  <c r="AT328" i="3" a="1"/>
  <c r="AT328" i="3" s="1"/>
  <c r="AT320" i="3" a="1"/>
  <c r="AT320" i="3" s="1"/>
  <c r="AS320" i="3" a="1"/>
  <c r="AS320" i="3" s="1"/>
  <c r="AS312" i="3" a="1"/>
  <c r="AS312" i="3" s="1"/>
  <c r="AT312" i="3" a="1"/>
  <c r="AT312" i="3" s="1"/>
  <c r="AS304" i="3" a="1"/>
  <c r="AS304" i="3" s="1"/>
  <c r="AT304" i="3" a="1"/>
  <c r="AT304" i="3" s="1"/>
  <c r="AS296" i="3" a="1"/>
  <c r="AS296" i="3" s="1"/>
  <c r="AT296" i="3" a="1"/>
  <c r="AT296" i="3" s="1"/>
  <c r="AT288" i="3" a="1"/>
  <c r="AT288" i="3" s="1"/>
  <c r="AS288" i="3" a="1"/>
  <c r="AS288" i="3" s="1"/>
  <c r="AT280" i="3" a="1"/>
  <c r="AT280" i="3" s="1"/>
  <c r="AS280" i="3" a="1"/>
  <c r="AS280" i="3" s="1"/>
  <c r="AS272" i="3" a="1"/>
  <c r="AS272" i="3" s="1"/>
  <c r="AT272" i="3" a="1"/>
  <c r="AT272" i="3" s="1"/>
  <c r="AT264" i="3" a="1"/>
  <c r="AT264" i="3" s="1"/>
  <c r="AS264" i="3" a="1"/>
  <c r="AS264" i="3" s="1"/>
  <c r="AS256" i="3" a="1"/>
  <c r="AS256" i="3" s="1"/>
  <c r="AT256" i="3" a="1"/>
  <c r="AT256" i="3" s="1"/>
  <c r="AT248" i="3" a="1"/>
  <c r="AT248" i="3" s="1"/>
  <c r="AS248" i="3" a="1"/>
  <c r="AS248" i="3" s="1"/>
  <c r="AS240" i="3" a="1"/>
  <c r="AS240" i="3" s="1"/>
  <c r="AT240" i="3" a="1"/>
  <c r="AT240" i="3" s="1"/>
  <c r="AT232" i="3" a="1"/>
  <c r="AT232" i="3" s="1"/>
  <c r="AS232" i="3" a="1"/>
  <c r="AS232" i="3" s="1"/>
  <c r="AS224" i="3" a="1"/>
  <c r="AS224" i="3" s="1"/>
  <c r="AT224" i="3" a="1"/>
  <c r="AT224" i="3" s="1"/>
  <c r="AT216" i="3" a="1"/>
  <c r="AT216" i="3" s="1"/>
  <c r="AS216" i="3" a="1"/>
  <c r="AS216" i="3" s="1"/>
  <c r="AS208" i="3" a="1"/>
  <c r="AS208" i="3" s="1"/>
  <c r="AT208" i="3" a="1"/>
  <c r="AT208" i="3" s="1"/>
  <c r="AT200" i="3" a="1"/>
  <c r="AT200" i="3" s="1"/>
  <c r="AS200" i="3" a="1"/>
  <c r="AS200" i="3" s="1"/>
  <c r="AS192" i="3" a="1"/>
  <c r="AS192" i="3" s="1"/>
  <c r="AT192" i="3" a="1"/>
  <c r="AT192" i="3" s="1"/>
  <c r="AS184" i="3" a="1"/>
  <c r="AS184" i="3" s="1"/>
  <c r="AT184" i="3" a="1"/>
  <c r="AT184" i="3" s="1"/>
  <c r="AS176" i="3" a="1"/>
  <c r="AS176" i="3" s="1"/>
  <c r="AT176" i="3" a="1"/>
  <c r="AT176" i="3" s="1"/>
  <c r="AS168" i="3" a="1"/>
  <c r="AS168" i="3" s="1"/>
  <c r="AT168" i="3" a="1"/>
  <c r="AT168" i="3" s="1"/>
  <c r="AS160" i="3" a="1"/>
  <c r="AS160" i="3" s="1"/>
  <c r="AT160" i="3" a="1"/>
  <c r="AT160" i="3" s="1"/>
  <c r="AT152" i="3" a="1"/>
  <c r="AT152" i="3" s="1"/>
  <c r="AS152" i="3" a="1"/>
  <c r="AS152" i="3" s="1"/>
  <c r="AS144" i="3" a="1"/>
  <c r="AS144" i="3" s="1"/>
  <c r="AT144" i="3" a="1"/>
  <c r="AT144" i="3" s="1"/>
  <c r="AS136" i="3" a="1"/>
  <c r="AS136" i="3" s="1"/>
  <c r="AT136" i="3" a="1"/>
  <c r="AT136" i="3" s="1"/>
  <c r="AS128" i="3" a="1"/>
  <c r="AS128" i="3" s="1"/>
  <c r="AT128" i="3" a="1"/>
  <c r="AT128" i="3" s="1"/>
  <c r="AT120" i="3" a="1"/>
  <c r="AT120" i="3" s="1"/>
  <c r="AS120" i="3" a="1"/>
  <c r="AS120" i="3" s="1"/>
  <c r="AS112" i="3" a="1"/>
  <c r="AS112" i="3" s="1"/>
  <c r="AT112" i="3" a="1"/>
  <c r="AT112" i="3" s="1"/>
  <c r="AS104" i="3" a="1"/>
  <c r="AS104" i="3" s="1"/>
  <c r="AT104" i="3" a="1"/>
  <c r="AT104" i="3" s="1"/>
  <c r="AS96" i="3" a="1"/>
  <c r="AS96" i="3" s="1"/>
  <c r="AT96" i="3" a="1"/>
  <c r="AT96" i="3" s="1"/>
  <c r="AT88" i="3" a="1"/>
  <c r="AT88" i="3" s="1"/>
  <c r="AS88" i="3" a="1"/>
  <c r="AS88" i="3" s="1"/>
  <c r="AS80" i="3" a="1"/>
  <c r="AS80" i="3" s="1"/>
  <c r="AT80" i="3" a="1"/>
  <c r="AT80" i="3" s="1"/>
  <c r="AS72" i="3" a="1"/>
  <c r="AS72" i="3" s="1"/>
  <c r="AT72" i="3" a="1"/>
  <c r="AT72" i="3" s="1"/>
  <c r="AS64" i="3" a="1"/>
  <c r="AS64" i="3" s="1"/>
  <c r="AT64" i="3" a="1"/>
  <c r="AT64" i="3" s="1"/>
  <c r="AT56" i="3" a="1"/>
  <c r="AT56" i="3" s="1"/>
  <c r="AS56" i="3" a="1"/>
  <c r="AS56" i="3" s="1"/>
  <c r="AS48" i="3" a="1"/>
  <c r="AS48" i="3" s="1"/>
  <c r="AT48" i="3" a="1"/>
  <c r="AT48" i="3" s="1"/>
  <c r="AS40" i="3" a="1"/>
  <c r="AS40" i="3" s="1"/>
  <c r="AT40" i="3" a="1"/>
  <c r="AT40" i="3" s="1"/>
  <c r="AS32" i="3" a="1"/>
  <c r="AS32" i="3" s="1"/>
  <c r="AT32" i="3" a="1"/>
  <c r="AT32" i="3" s="1"/>
  <c r="AT24" i="3" a="1"/>
  <c r="AT24" i="3" s="1"/>
  <c r="AS24" i="3" a="1"/>
  <c r="AS24" i="3" s="1"/>
  <c r="AS16" i="3" a="1"/>
  <c r="AS16" i="3" s="1"/>
  <c r="AT16" i="3" a="1"/>
  <c r="AT16" i="3" s="1"/>
  <c r="AS8" i="3" a="1"/>
  <c r="AS8" i="3" s="1"/>
  <c r="AT8" i="3" a="1"/>
  <c r="AT8" i="3" s="1"/>
  <c r="AT639" i="3" a="1"/>
  <c r="AT639" i="3" s="1"/>
  <c r="AS639" i="3" a="1"/>
  <c r="AS639" i="3" s="1"/>
  <c r="AS535" i="3" a="1"/>
  <c r="AS535" i="3" s="1"/>
  <c r="AT535" i="3" a="1"/>
  <c r="AT535" i="3" s="1"/>
  <c r="AS495" i="3" a="1"/>
  <c r="AS495" i="3" s="1"/>
  <c r="AT495" i="3" a="1"/>
  <c r="AT495" i="3" s="1"/>
  <c r="AS479" i="3" a="1"/>
  <c r="AS479" i="3" s="1"/>
  <c r="AT479" i="3" a="1"/>
  <c r="AT479" i="3" s="1"/>
  <c r="AS455" i="3" a="1"/>
  <c r="AS455" i="3" s="1"/>
  <c r="AT455" i="3" a="1"/>
  <c r="AT455" i="3" s="1"/>
  <c r="AS439" i="3" a="1"/>
  <c r="AS439" i="3" s="1"/>
  <c r="AT439" i="3" a="1"/>
  <c r="AT439" i="3" s="1"/>
  <c r="AS423" i="3" a="1"/>
  <c r="AS423" i="3" s="1"/>
  <c r="AT423" i="3" a="1"/>
  <c r="AT423" i="3" s="1"/>
  <c r="AS415" i="3" a="1"/>
  <c r="AS415" i="3" s="1"/>
  <c r="AT415" i="3" a="1"/>
  <c r="AT415" i="3" s="1"/>
  <c r="AS407" i="3" a="1"/>
  <c r="AS407" i="3" s="1"/>
  <c r="AT407" i="3" a="1"/>
  <c r="AT407" i="3" s="1"/>
  <c r="AS399" i="3" a="1"/>
  <c r="AS399" i="3" s="1"/>
  <c r="AT399" i="3" a="1"/>
  <c r="AT399" i="3" s="1"/>
  <c r="AS391" i="3" a="1"/>
  <c r="AS391" i="3" s="1"/>
  <c r="AT391" i="3" a="1"/>
  <c r="AT391" i="3" s="1"/>
  <c r="AS375" i="3" a="1"/>
  <c r="AS375" i="3" s="1"/>
  <c r="AT375" i="3" a="1"/>
  <c r="AT375" i="3" s="1"/>
  <c r="AS367" i="3" a="1"/>
  <c r="AS367" i="3" s="1"/>
  <c r="AT367" i="3" a="1"/>
  <c r="AT367" i="3" s="1"/>
  <c r="AT359" i="3" a="1"/>
  <c r="AT359" i="3" s="1"/>
  <c r="AS359" i="3" a="1"/>
  <c r="AS359" i="3" s="1"/>
  <c r="AS351" i="3" a="1"/>
  <c r="AS351" i="3" s="1"/>
  <c r="AT351" i="3" a="1"/>
  <c r="AT351" i="3" s="1"/>
  <c r="AT343" i="3" a="1"/>
  <c r="AT343" i="3" s="1"/>
  <c r="AS343" i="3" a="1"/>
  <c r="AS343" i="3" s="1"/>
  <c r="AS335" i="3" a="1"/>
  <c r="AS335" i="3" s="1"/>
  <c r="AT335" i="3" a="1"/>
  <c r="AT335" i="3" s="1"/>
  <c r="AT327" i="3" a="1"/>
  <c r="AT327" i="3" s="1"/>
  <c r="AS327" i="3" a="1"/>
  <c r="AS327" i="3" s="1"/>
  <c r="AS319" i="3" a="1"/>
  <c r="AS319" i="3" s="1"/>
  <c r="AT319" i="3" a="1"/>
  <c r="AT319" i="3" s="1"/>
  <c r="AT311" i="3" a="1"/>
  <c r="AT311" i="3" s="1"/>
  <c r="AS311" i="3" a="1"/>
  <c r="AS311" i="3" s="1"/>
  <c r="AS303" i="3" a="1"/>
  <c r="AS303" i="3" s="1"/>
  <c r="AT303" i="3" a="1"/>
  <c r="AT303" i="3" s="1"/>
  <c r="AT295" i="3" a="1"/>
  <c r="AT295" i="3" s="1"/>
  <c r="AS295" i="3" a="1"/>
  <c r="AS295" i="3" s="1"/>
  <c r="AS287" i="3" a="1"/>
  <c r="AS287" i="3" s="1"/>
  <c r="AT287" i="3" a="1"/>
  <c r="AT287" i="3" s="1"/>
  <c r="AT263" i="3" a="1"/>
  <c r="AT263" i="3" s="1"/>
  <c r="AS263" i="3" a="1"/>
  <c r="AS263" i="3" s="1"/>
  <c r="AT255" i="3" a="1"/>
  <c r="AT255" i="3" s="1"/>
  <c r="AS255" i="3" a="1"/>
  <c r="AS255" i="3" s="1"/>
  <c r="AT247" i="3" a="1"/>
  <c r="AT247" i="3" s="1"/>
  <c r="AS247" i="3" a="1"/>
  <c r="AS247" i="3" s="1"/>
  <c r="AT239" i="3" a="1"/>
  <c r="AT239" i="3" s="1"/>
  <c r="AS239" i="3" a="1"/>
  <c r="AS239" i="3" s="1"/>
  <c r="AS231" i="3" a="1"/>
  <c r="AS231" i="3" s="1"/>
  <c r="AT231" i="3" a="1"/>
  <c r="AT231" i="3" s="1"/>
  <c r="AT223" i="3" a="1"/>
  <c r="AT223" i="3" s="1"/>
  <c r="AS223" i="3" a="1"/>
  <c r="AS223" i="3" s="1"/>
  <c r="AS215" i="3" a="1"/>
  <c r="AS215" i="3" s="1"/>
  <c r="AT215" i="3" a="1"/>
  <c r="AT215" i="3" s="1"/>
  <c r="AS199" i="3" a="1"/>
  <c r="AS199" i="3" s="1"/>
  <c r="AT199" i="3" a="1"/>
  <c r="AT199" i="3" s="1"/>
  <c r="AS191" i="3" a="1"/>
  <c r="AS191" i="3" s="1"/>
  <c r="AT191" i="3" a="1"/>
  <c r="AT191" i="3" s="1"/>
  <c r="AT183" i="3" a="1"/>
  <c r="AT183" i="3" s="1"/>
  <c r="AS183" i="3" a="1"/>
  <c r="AS183" i="3" s="1"/>
  <c r="AT175" i="3" a="1"/>
  <c r="AT175" i="3" s="1"/>
  <c r="AS175" i="3" a="1"/>
  <c r="AS175" i="3" s="1"/>
  <c r="AS167" i="3" a="1"/>
  <c r="AS167" i="3" s="1"/>
  <c r="AT167" i="3" a="1"/>
  <c r="AT167" i="3" s="1"/>
  <c r="AS159" i="3" a="1"/>
  <c r="AS159" i="3" s="1"/>
  <c r="AT159" i="3" a="1"/>
  <c r="AT159" i="3" s="1"/>
  <c r="AS151" i="3" a="1"/>
  <c r="AS151" i="3" s="1"/>
  <c r="AT151" i="3" a="1"/>
  <c r="AT151" i="3" s="1"/>
  <c r="AS143" i="3" a="1"/>
  <c r="AS143" i="3" s="1"/>
  <c r="AT143" i="3" a="1"/>
  <c r="AT143" i="3" s="1"/>
  <c r="AS135" i="3" a="1"/>
  <c r="AS135" i="3" s="1"/>
  <c r="AT135" i="3" a="1"/>
  <c r="AT135" i="3" s="1"/>
  <c r="AS127" i="3" a="1"/>
  <c r="AS127" i="3" s="1"/>
  <c r="AT127" i="3" a="1"/>
  <c r="AT127" i="3" s="1"/>
  <c r="AS119" i="3" a="1"/>
  <c r="AS119" i="3" s="1"/>
  <c r="AT119" i="3" a="1"/>
  <c r="AT119" i="3" s="1"/>
  <c r="AS111" i="3" a="1"/>
  <c r="AS111" i="3" s="1"/>
  <c r="AT111" i="3" a="1"/>
  <c r="AT111" i="3" s="1"/>
  <c r="AS103" i="3" a="1"/>
  <c r="AS103" i="3" s="1"/>
  <c r="AT103" i="3" a="1"/>
  <c r="AT103" i="3" s="1"/>
  <c r="AS95" i="3" a="1"/>
  <c r="AS95" i="3" s="1"/>
  <c r="AT95" i="3" a="1"/>
  <c r="AT95" i="3" s="1"/>
  <c r="AS87" i="3" a="1"/>
  <c r="AS87" i="3" s="1"/>
  <c r="AT87" i="3" a="1"/>
  <c r="AT87" i="3" s="1"/>
  <c r="AS79" i="3" a="1"/>
  <c r="AS79" i="3" s="1"/>
  <c r="AT79" i="3" a="1"/>
  <c r="AT79" i="3" s="1"/>
  <c r="AS71" i="3" a="1"/>
  <c r="AS71" i="3" s="1"/>
  <c r="AT71" i="3" a="1"/>
  <c r="AT71" i="3" s="1"/>
  <c r="AS63" i="3" a="1"/>
  <c r="AS63" i="3" s="1"/>
  <c r="AT63" i="3" a="1"/>
  <c r="AT63" i="3" s="1"/>
  <c r="AS55" i="3" a="1"/>
  <c r="AS55" i="3" s="1"/>
  <c r="AT55" i="3" a="1"/>
  <c r="AT55" i="3" s="1"/>
  <c r="AS47" i="3" a="1"/>
  <c r="AS47" i="3" s="1"/>
  <c r="AT47" i="3" a="1"/>
  <c r="AT47" i="3" s="1"/>
  <c r="AS39" i="3" a="1"/>
  <c r="AS39" i="3" s="1"/>
  <c r="AT39" i="3" a="1"/>
  <c r="AT39" i="3" s="1"/>
  <c r="AS31" i="3" a="1"/>
  <c r="AS31" i="3" s="1"/>
  <c r="AT31" i="3" a="1"/>
  <c r="AT31" i="3" s="1"/>
  <c r="AS23" i="3" a="1"/>
  <c r="AS23" i="3" s="1"/>
  <c r="AT23" i="3" a="1"/>
  <c r="AT23" i="3" s="1"/>
  <c r="AS15" i="3" a="1"/>
  <c r="AS15" i="3" s="1"/>
  <c r="AT15" i="3" a="1"/>
  <c r="AT15" i="3" s="1"/>
  <c r="AS7" i="3" a="1"/>
  <c r="AS7" i="3" s="1"/>
  <c r="AT7" i="3" a="1"/>
  <c r="AT7" i="3" s="1"/>
  <c r="AT134" i="3" a="1"/>
  <c r="AT134" i="3" s="1"/>
  <c r="AS134" i="3" a="1"/>
  <c r="AS134" i="3" s="1"/>
  <c r="AS831" i="3" a="1"/>
  <c r="AS831" i="3" s="1"/>
  <c r="AT831" i="3" a="1"/>
  <c r="AT831" i="3" s="1"/>
  <c r="AS823" i="3" a="1"/>
  <c r="AS823" i="3" s="1"/>
  <c r="AT823" i="3" a="1"/>
  <c r="AT823" i="3" s="1"/>
  <c r="AS815" i="3" a="1"/>
  <c r="AS815" i="3" s="1"/>
  <c r="AT815" i="3" a="1"/>
  <c r="AT815" i="3" s="1"/>
  <c r="AS807" i="3" a="1"/>
  <c r="AS807" i="3" s="1"/>
  <c r="AT807" i="3" a="1"/>
  <c r="AT807" i="3" s="1"/>
  <c r="AS799" i="3" a="1"/>
  <c r="AS799" i="3" s="1"/>
  <c r="AT799" i="3" a="1"/>
  <c r="AT799" i="3" s="1"/>
  <c r="AS791" i="3" a="1"/>
  <c r="AS791" i="3" s="1"/>
  <c r="AT791" i="3" a="1"/>
  <c r="AT791" i="3" s="1"/>
  <c r="AS783" i="3" a="1"/>
  <c r="AS783" i="3" s="1"/>
  <c r="AT783" i="3" a="1"/>
  <c r="AT783" i="3" s="1"/>
  <c r="AS775" i="3" a="1"/>
  <c r="AS775" i="3" s="1"/>
  <c r="AT775" i="3" a="1"/>
  <c r="AT775" i="3" s="1"/>
  <c r="AS767" i="3" a="1"/>
  <c r="AS767" i="3" s="1"/>
  <c r="AT767" i="3" a="1"/>
  <c r="AT767" i="3" s="1"/>
  <c r="AS759" i="3" a="1"/>
  <c r="AS759" i="3" s="1"/>
  <c r="AT759" i="3" a="1"/>
  <c r="AT759" i="3" s="1"/>
  <c r="AS751" i="3" a="1"/>
  <c r="AS751" i="3" s="1"/>
  <c r="AT751" i="3" a="1"/>
  <c r="AT751" i="3" s="1"/>
  <c r="AS743" i="3" a="1"/>
  <c r="AS743" i="3" s="1"/>
  <c r="AT743" i="3" a="1"/>
  <c r="AT743" i="3" s="1"/>
  <c r="AS735" i="3" a="1"/>
  <c r="AS735" i="3" s="1"/>
  <c r="AT735" i="3" a="1"/>
  <c r="AT735" i="3" s="1"/>
  <c r="AS727" i="3" a="1"/>
  <c r="AS727" i="3" s="1"/>
  <c r="AT727" i="3" a="1"/>
  <c r="AT727" i="3" s="1"/>
  <c r="AT719" i="3" a="1"/>
  <c r="AT719" i="3" s="1"/>
  <c r="AS719" i="3" a="1"/>
  <c r="AS719" i="3" s="1"/>
  <c r="AT711" i="3" a="1"/>
  <c r="AT711" i="3" s="1"/>
  <c r="AS711" i="3" a="1"/>
  <c r="AS711" i="3" s="1"/>
  <c r="AS703" i="3" a="1"/>
  <c r="AS703" i="3" s="1"/>
  <c r="AT703" i="3" a="1"/>
  <c r="AT703" i="3" s="1"/>
  <c r="AT695" i="3" a="1"/>
  <c r="AT695" i="3" s="1"/>
  <c r="AS695" i="3" a="1"/>
  <c r="AS695" i="3" s="1"/>
  <c r="AS687" i="3" a="1"/>
  <c r="AS687" i="3" s="1"/>
  <c r="AT687" i="3" a="1"/>
  <c r="AT687" i="3" s="1"/>
  <c r="AT679" i="3" a="1"/>
  <c r="AT679" i="3" s="1"/>
  <c r="AS679" i="3" a="1"/>
  <c r="AS679" i="3" s="1"/>
  <c r="AS671" i="3" a="1"/>
  <c r="AS671" i="3" s="1"/>
  <c r="AT671" i="3" a="1"/>
  <c r="AT671" i="3" s="1"/>
  <c r="AT663" i="3" a="1"/>
  <c r="AT663" i="3" s="1"/>
  <c r="AS663" i="3" a="1"/>
  <c r="AS663" i="3" s="1"/>
  <c r="AS655" i="3" a="1"/>
  <c r="AS655" i="3" s="1"/>
  <c r="AT655" i="3" a="1"/>
  <c r="AT655" i="3" s="1"/>
  <c r="AT647" i="3" a="1"/>
  <c r="AT647" i="3" s="1"/>
  <c r="AS647" i="3" a="1"/>
  <c r="AS647" i="3" s="1"/>
  <c r="AT631" i="3" a="1"/>
  <c r="AT631" i="3" s="1"/>
  <c r="AS631" i="3" a="1"/>
  <c r="AS631" i="3" s="1"/>
  <c r="AS623" i="3" a="1"/>
  <c r="AS623" i="3" s="1"/>
  <c r="AT623" i="3" a="1"/>
  <c r="AT623" i="3" s="1"/>
  <c r="AS615" i="3" a="1"/>
  <c r="AS615" i="3" s="1"/>
  <c r="AT615" i="3" a="1"/>
  <c r="AT615" i="3" s="1"/>
  <c r="AS607" i="3" a="1"/>
  <c r="AS607" i="3" s="1"/>
  <c r="AT607" i="3" a="1"/>
  <c r="AT607" i="3" s="1"/>
  <c r="AT599" i="3" a="1"/>
  <c r="AT599" i="3" s="1"/>
  <c r="AS599" i="3" a="1"/>
  <c r="AS599" i="3" s="1"/>
  <c r="AT591" i="3" a="1"/>
  <c r="AT591" i="3" s="1"/>
  <c r="AS591" i="3" a="1"/>
  <c r="AS591" i="3" s="1"/>
  <c r="AS583" i="3" a="1"/>
  <c r="AS583" i="3" s="1"/>
  <c r="AT583" i="3" a="1"/>
  <c r="AT583" i="3" s="1"/>
  <c r="AS575" i="3" a="1"/>
  <c r="AS575" i="3" s="1"/>
  <c r="AT575" i="3" a="1"/>
  <c r="AT575" i="3" s="1"/>
  <c r="AS567" i="3" a="1"/>
  <c r="AS567" i="3" s="1"/>
  <c r="AT567" i="3" a="1"/>
  <c r="AT567" i="3" s="1"/>
  <c r="AS559" i="3" a="1"/>
  <c r="AS559" i="3" s="1"/>
  <c r="AT559" i="3" a="1"/>
  <c r="AT559" i="3" s="1"/>
  <c r="AS551" i="3" a="1"/>
  <c r="AS551" i="3" s="1"/>
  <c r="AT551" i="3" a="1"/>
  <c r="AT551" i="3" s="1"/>
  <c r="AS543" i="3" a="1"/>
  <c r="AS543" i="3" s="1"/>
  <c r="AT543" i="3" a="1"/>
  <c r="AT543" i="3" s="1"/>
  <c r="AS527" i="3" a="1"/>
  <c r="AS527" i="3" s="1"/>
  <c r="AT527" i="3" a="1"/>
  <c r="AT527" i="3" s="1"/>
  <c r="AS519" i="3" a="1"/>
  <c r="AS519" i="3" s="1"/>
  <c r="AT519" i="3" a="1"/>
  <c r="AT519" i="3" s="1"/>
  <c r="AS511" i="3" a="1"/>
  <c r="AS511" i="3" s="1"/>
  <c r="AT511" i="3" a="1"/>
  <c r="AT511" i="3" s="1"/>
  <c r="AS503" i="3" a="1"/>
  <c r="AS503" i="3" s="1"/>
  <c r="AT503" i="3" a="1"/>
  <c r="AT503" i="3" s="1"/>
  <c r="AS487" i="3" a="1"/>
  <c r="AS487" i="3" s="1"/>
  <c r="AT487" i="3" a="1"/>
  <c r="AT487" i="3" s="1"/>
  <c r="AS471" i="3" a="1"/>
  <c r="AS471" i="3" s="1"/>
  <c r="AT471" i="3" a="1"/>
  <c r="AT471" i="3" s="1"/>
  <c r="AS463" i="3" a="1"/>
  <c r="AS463" i="3" s="1"/>
  <c r="AT463" i="3" a="1"/>
  <c r="AT463" i="3" s="1"/>
  <c r="AS447" i="3" a="1"/>
  <c r="AS447" i="3" s="1"/>
  <c r="AT447" i="3" a="1"/>
  <c r="AT447" i="3" s="1"/>
  <c r="AS431" i="3" a="1"/>
  <c r="AS431" i="3" s="1"/>
  <c r="AT431" i="3" a="1"/>
  <c r="AT431" i="3" s="1"/>
  <c r="AS383" i="3" a="1"/>
  <c r="AS383" i="3" s="1"/>
  <c r="AT383" i="3" a="1"/>
  <c r="AT383" i="3" s="1"/>
  <c r="AT830" i="3" a="1"/>
  <c r="AT830" i="3" s="1"/>
  <c r="AS830" i="3" a="1"/>
  <c r="AS830" i="3" s="1"/>
  <c r="AT822" i="3" a="1"/>
  <c r="AT822" i="3" s="1"/>
  <c r="AS822" i="3" a="1"/>
  <c r="AS822" i="3" s="1"/>
  <c r="AT814" i="3" a="1"/>
  <c r="AT814" i="3" s="1"/>
  <c r="AS814" i="3" a="1"/>
  <c r="AS814" i="3" s="1"/>
  <c r="AT806" i="3" a="1"/>
  <c r="AT806" i="3" s="1"/>
  <c r="AS806" i="3" a="1"/>
  <c r="AS806" i="3" s="1"/>
  <c r="AT798" i="3" a="1"/>
  <c r="AT798" i="3" s="1"/>
  <c r="AS798" i="3" a="1"/>
  <c r="AS798" i="3" s="1"/>
  <c r="AT790" i="3" a="1"/>
  <c r="AT790" i="3" s="1"/>
  <c r="AS790" i="3" a="1"/>
  <c r="AS790" i="3" s="1"/>
  <c r="AT766" i="3" a="1"/>
  <c r="AT766" i="3" s="1"/>
  <c r="AS766" i="3" a="1"/>
  <c r="AS766" i="3" s="1"/>
  <c r="AT750" i="3" a="1"/>
  <c r="AT750" i="3" s="1"/>
  <c r="AS750" i="3" a="1"/>
  <c r="AS750" i="3" s="1"/>
  <c r="AT742" i="3" a="1"/>
  <c r="AT742" i="3" s="1"/>
  <c r="AS742" i="3" a="1"/>
  <c r="AS742" i="3" s="1"/>
  <c r="AT734" i="3" a="1"/>
  <c r="AT734" i="3" s="1"/>
  <c r="AS734" i="3" a="1"/>
  <c r="AS734" i="3" s="1"/>
  <c r="AT726" i="3" a="1"/>
  <c r="AT726" i="3" s="1"/>
  <c r="AS726" i="3" a="1"/>
  <c r="AS726" i="3" s="1"/>
  <c r="AS718" i="3" a="1"/>
  <c r="AS718" i="3" s="1"/>
  <c r="AT718" i="3" a="1"/>
  <c r="AT718" i="3" s="1"/>
  <c r="AS710" i="3" a="1"/>
  <c r="AS710" i="3" s="1"/>
  <c r="AT710" i="3" a="1"/>
  <c r="AT710" i="3" s="1"/>
  <c r="AS702" i="3" a="1"/>
  <c r="AS702" i="3" s="1"/>
  <c r="AT702" i="3" a="1"/>
  <c r="AT702" i="3" s="1"/>
  <c r="AS694" i="3" a="1"/>
  <c r="AS694" i="3" s="1"/>
  <c r="AT694" i="3" a="1"/>
  <c r="AT694" i="3" s="1"/>
  <c r="AS686" i="3" a="1"/>
  <c r="AS686" i="3" s="1"/>
  <c r="AT686" i="3" a="1"/>
  <c r="AT686" i="3" s="1"/>
  <c r="AS678" i="3" a="1"/>
  <c r="AS678" i="3" s="1"/>
  <c r="AT678" i="3" a="1"/>
  <c r="AT678" i="3" s="1"/>
  <c r="AS670" i="3" a="1"/>
  <c r="AS670" i="3" s="1"/>
  <c r="AT670" i="3" a="1"/>
  <c r="AT670" i="3" s="1"/>
  <c r="AT662" i="3" a="1"/>
  <c r="AT662" i="3" s="1"/>
  <c r="AS662" i="3" a="1"/>
  <c r="AS662" i="3" s="1"/>
  <c r="AS654" i="3" a="1"/>
  <c r="AS654" i="3" s="1"/>
  <c r="AT654" i="3" a="1"/>
  <c r="AT654" i="3" s="1"/>
  <c r="AS646" i="3" a="1"/>
  <c r="AS646" i="3" s="1"/>
  <c r="AT646" i="3" a="1"/>
  <c r="AT646" i="3" s="1"/>
  <c r="AS638" i="3" a="1"/>
  <c r="AS638" i="3" s="1"/>
  <c r="AT638" i="3" a="1"/>
  <c r="AT638" i="3" s="1"/>
  <c r="AT630" i="3" a="1"/>
  <c r="AT630" i="3" s="1"/>
  <c r="AS630" i="3" a="1"/>
  <c r="AS630" i="3" s="1"/>
  <c r="AS622" i="3" a="1"/>
  <c r="AS622" i="3" s="1"/>
  <c r="AT622" i="3" a="1"/>
  <c r="AT622" i="3" s="1"/>
  <c r="AS614" i="3" a="1"/>
  <c r="AS614" i="3" s="1"/>
  <c r="AT614" i="3" a="1"/>
  <c r="AT614" i="3" s="1"/>
  <c r="AS606" i="3" a="1"/>
  <c r="AS606" i="3" s="1"/>
  <c r="AT606" i="3" a="1"/>
  <c r="AT606" i="3" s="1"/>
  <c r="AS598" i="3" a="1"/>
  <c r="AS598" i="3" s="1"/>
  <c r="AT598" i="3" a="1"/>
  <c r="AT598" i="3" s="1"/>
  <c r="AS590" i="3" a="1"/>
  <c r="AS590" i="3" s="1"/>
  <c r="AT590" i="3" a="1"/>
  <c r="AT590" i="3" s="1"/>
  <c r="AS582" i="3" a="1"/>
  <c r="AS582" i="3" s="1"/>
  <c r="AT582" i="3" a="1"/>
  <c r="AT582" i="3" s="1"/>
  <c r="AS574" i="3" a="1"/>
  <c r="AS574" i="3" s="1"/>
  <c r="AT574" i="3" a="1"/>
  <c r="AT574" i="3" s="1"/>
  <c r="AS566" i="3" a="1"/>
  <c r="AS566" i="3" s="1"/>
  <c r="AT566" i="3" a="1"/>
  <c r="AT566" i="3" s="1"/>
  <c r="AS558" i="3" a="1"/>
  <c r="AS558" i="3" s="1"/>
  <c r="AT558" i="3" a="1"/>
  <c r="AT558" i="3" s="1"/>
  <c r="AS550" i="3" a="1"/>
  <c r="AS550" i="3" s="1"/>
  <c r="AT550" i="3" a="1"/>
  <c r="AT550" i="3" s="1"/>
  <c r="AS542" i="3" a="1"/>
  <c r="AS542" i="3" s="1"/>
  <c r="AT542" i="3" a="1"/>
  <c r="AT542" i="3" s="1"/>
  <c r="AS534" i="3" a="1"/>
  <c r="AS534" i="3" s="1"/>
  <c r="AT534" i="3" a="1"/>
  <c r="AT534" i="3" s="1"/>
  <c r="AS526" i="3" a="1"/>
  <c r="AS526" i="3" s="1"/>
  <c r="AT526" i="3" a="1"/>
  <c r="AT526" i="3" s="1"/>
  <c r="AS518" i="3" a="1"/>
  <c r="AS518" i="3" s="1"/>
  <c r="AT518" i="3" a="1"/>
  <c r="AT518" i="3" s="1"/>
  <c r="AS502" i="3" a="1"/>
  <c r="AS502" i="3" s="1"/>
  <c r="AT502" i="3" a="1"/>
  <c r="AT502" i="3" s="1"/>
  <c r="AS478" i="3" a="1"/>
  <c r="AS478" i="3" s="1"/>
  <c r="AT478" i="3" a="1"/>
  <c r="AT478" i="3" s="1"/>
  <c r="AS470" i="3" a="1"/>
  <c r="AS470" i="3" s="1"/>
  <c r="AT470" i="3" a="1"/>
  <c r="AT470" i="3" s="1"/>
  <c r="AT462" i="3" a="1"/>
  <c r="AT462" i="3" s="1"/>
  <c r="AS462" i="3" a="1"/>
  <c r="AS462" i="3" s="1"/>
  <c r="Z454" i="3"/>
  <c r="AT446" i="3" a="1"/>
  <c r="AT446" i="3" s="1"/>
  <c r="AS446" i="3" a="1"/>
  <c r="AS446" i="3" s="1"/>
  <c r="AT438" i="3" a="1"/>
  <c r="AT438" i="3" s="1"/>
  <c r="AS438" i="3" a="1"/>
  <c r="AS438" i="3" s="1"/>
  <c r="AT430" i="3" a="1"/>
  <c r="AT430" i="3" s="1"/>
  <c r="AS430" i="3" a="1"/>
  <c r="AS430" i="3" s="1"/>
  <c r="AT422" i="3" a="1"/>
  <c r="AT422" i="3" s="1"/>
  <c r="AS422" i="3" a="1"/>
  <c r="AS422" i="3" s="1"/>
  <c r="AT414" i="3" a="1"/>
  <c r="AT414" i="3" s="1"/>
  <c r="AS414" i="3" a="1"/>
  <c r="AS414" i="3" s="1"/>
  <c r="AT406" i="3" a="1"/>
  <c r="AT406" i="3" s="1"/>
  <c r="AS406" i="3" a="1"/>
  <c r="AS406" i="3" s="1"/>
  <c r="AT398" i="3" a="1"/>
  <c r="AT398" i="3" s="1"/>
  <c r="AS398" i="3" a="1"/>
  <c r="AS398" i="3" s="1"/>
  <c r="AT390" i="3" a="1"/>
  <c r="AT390" i="3" s="1"/>
  <c r="AS390" i="3" a="1"/>
  <c r="AS390" i="3" s="1"/>
  <c r="AS382" i="3" a="1"/>
  <c r="AS382" i="3" s="1"/>
  <c r="AT382" i="3" a="1"/>
  <c r="AT382" i="3" s="1"/>
  <c r="AT374" i="3" a="1"/>
  <c r="AT374" i="3" s="1"/>
  <c r="AS374" i="3" a="1"/>
  <c r="AS374" i="3" s="1"/>
  <c r="AT366" i="3" a="1"/>
  <c r="AT366" i="3" s="1"/>
  <c r="AS366" i="3" a="1"/>
  <c r="AS366" i="3" s="1"/>
  <c r="AS358" i="3" a="1"/>
  <c r="AS358" i="3" s="1"/>
  <c r="AT358" i="3" a="1"/>
  <c r="AT358" i="3" s="1"/>
  <c r="AT350" i="3" a="1"/>
  <c r="AT350" i="3" s="1"/>
  <c r="AS350" i="3" a="1"/>
  <c r="AS350" i="3" s="1"/>
  <c r="AS342" i="3" a="1"/>
  <c r="AS342" i="3" s="1"/>
  <c r="AT342" i="3" a="1"/>
  <c r="AT342" i="3" s="1"/>
  <c r="AT334" i="3" a="1"/>
  <c r="AT334" i="3" s="1"/>
  <c r="AS334" i="3" a="1"/>
  <c r="AS334" i="3" s="1"/>
  <c r="AS326" i="3" a="1"/>
  <c r="AS326" i="3" s="1"/>
  <c r="AT326" i="3" a="1"/>
  <c r="AT326" i="3" s="1"/>
  <c r="AT318" i="3" a="1"/>
  <c r="AT318" i="3" s="1"/>
  <c r="AS318" i="3" a="1"/>
  <c r="AS318" i="3" s="1"/>
  <c r="AS310" i="3" a="1"/>
  <c r="AS310" i="3" s="1"/>
  <c r="AT310" i="3" a="1"/>
  <c r="AT310" i="3" s="1"/>
  <c r="AT302" i="3" a="1"/>
  <c r="AT302" i="3" s="1"/>
  <c r="AS302" i="3" a="1"/>
  <c r="AS302" i="3" s="1"/>
  <c r="AS294" i="3" a="1"/>
  <c r="AS294" i="3" s="1"/>
  <c r="AT294" i="3" a="1"/>
  <c r="AT294" i="3" s="1"/>
  <c r="AT286" i="3" a="1"/>
  <c r="AT286" i="3" s="1"/>
  <c r="AS286" i="3" a="1"/>
  <c r="AS286" i="3" s="1"/>
  <c r="AT278" i="3" a="1"/>
  <c r="AT278" i="3" s="1"/>
  <c r="AS278" i="3" a="1"/>
  <c r="AS278" i="3" s="1"/>
  <c r="AT270" i="3" a="1"/>
  <c r="AT270" i="3" s="1"/>
  <c r="AS270" i="3" a="1"/>
  <c r="AS270" i="3" s="1"/>
  <c r="AT262" i="3" a="1"/>
  <c r="AT262" i="3" s="1"/>
  <c r="AS262" i="3" a="1"/>
  <c r="AS262" i="3" s="1"/>
  <c r="AS254" i="3" a="1"/>
  <c r="AS254" i="3" s="1"/>
  <c r="AT254" i="3" a="1"/>
  <c r="AT254" i="3" s="1"/>
  <c r="AT246" i="3" a="1"/>
  <c r="AT246" i="3" s="1"/>
  <c r="AS246" i="3" a="1"/>
  <c r="AS246" i="3" s="1"/>
  <c r="AT238" i="3" a="1"/>
  <c r="AT238" i="3" s="1"/>
  <c r="AS238" i="3" a="1"/>
  <c r="AS238" i="3" s="1"/>
  <c r="AT230" i="3" a="1"/>
  <c r="AT230" i="3" s="1"/>
  <c r="AS230" i="3" a="1"/>
  <c r="AS230" i="3" s="1"/>
  <c r="AS222" i="3" a="1"/>
  <c r="AS222" i="3" s="1"/>
  <c r="AT222" i="3" a="1"/>
  <c r="AT222" i="3" s="1"/>
  <c r="AT214" i="3" a="1"/>
  <c r="AT214" i="3" s="1"/>
  <c r="AS214" i="3" a="1"/>
  <c r="AS214" i="3" s="1"/>
  <c r="Z206" i="3"/>
  <c r="AT198" i="3" a="1"/>
  <c r="AT198" i="3" s="1"/>
  <c r="AS198" i="3" a="1"/>
  <c r="AS198" i="3" s="1"/>
  <c r="AS190" i="3" a="1"/>
  <c r="AS190" i="3" s="1"/>
  <c r="AT190" i="3" a="1"/>
  <c r="AT190" i="3" s="1"/>
  <c r="AS182" i="3" a="1"/>
  <c r="AS182" i="3" s="1"/>
  <c r="AT182" i="3" a="1"/>
  <c r="AT182" i="3" s="1"/>
  <c r="AS174" i="3" a="1"/>
  <c r="AS174" i="3" s="1"/>
  <c r="AT174" i="3" a="1"/>
  <c r="AT174" i="3" s="1"/>
  <c r="AT166" i="3" a="1"/>
  <c r="AT166" i="3" s="1"/>
  <c r="AS166" i="3" a="1"/>
  <c r="AS166" i="3" s="1"/>
  <c r="AS158" i="3" a="1"/>
  <c r="AS158" i="3" s="1"/>
  <c r="AT158" i="3" a="1"/>
  <c r="AT158" i="3" s="1"/>
  <c r="AT150" i="3" a="1"/>
  <c r="AT150" i="3" s="1"/>
  <c r="AS150" i="3" a="1"/>
  <c r="AS150" i="3" s="1"/>
  <c r="AS142" i="3" a="1"/>
  <c r="AS142" i="3" s="1"/>
  <c r="AT142" i="3" a="1"/>
  <c r="AT142" i="3" s="1"/>
  <c r="AS126" i="3" a="1"/>
  <c r="AS126" i="3" s="1"/>
  <c r="AT126" i="3" a="1"/>
  <c r="AT126" i="3" s="1"/>
  <c r="AT118" i="3" a="1"/>
  <c r="AT118" i="3" s="1"/>
  <c r="AS118" i="3" a="1"/>
  <c r="AS118" i="3" s="1"/>
  <c r="AS110" i="3" a="1"/>
  <c r="AS110" i="3" s="1"/>
  <c r="AT110" i="3" a="1"/>
  <c r="AT110" i="3" s="1"/>
  <c r="AT102" i="3" a="1"/>
  <c r="AT102" i="3" s="1"/>
  <c r="AS102" i="3" a="1"/>
  <c r="AS102" i="3" s="1"/>
  <c r="AS94" i="3" a="1"/>
  <c r="AS94" i="3" s="1"/>
  <c r="AT94" i="3" a="1"/>
  <c r="AT94" i="3" s="1"/>
  <c r="AT86" i="3" a="1"/>
  <c r="AT86" i="3" s="1"/>
  <c r="AS86" i="3" a="1"/>
  <c r="AS86" i="3" s="1"/>
  <c r="AS78" i="3" a="1"/>
  <c r="AS78" i="3" s="1"/>
  <c r="AT78" i="3" a="1"/>
  <c r="AT78" i="3" s="1"/>
  <c r="AT70" i="3" a="1"/>
  <c r="AT70" i="3" s="1"/>
  <c r="AS70" i="3" a="1"/>
  <c r="AS70" i="3" s="1"/>
  <c r="AS62" i="3" a="1"/>
  <c r="AS62" i="3" s="1"/>
  <c r="AT62" i="3" a="1"/>
  <c r="AT62" i="3" s="1"/>
  <c r="AT54" i="3" a="1"/>
  <c r="AT54" i="3" s="1"/>
  <c r="AS54" i="3" a="1"/>
  <c r="AS54" i="3" s="1"/>
  <c r="AS46" i="3" a="1"/>
  <c r="AS46" i="3" s="1"/>
  <c r="AT46" i="3" a="1"/>
  <c r="AT46" i="3" s="1"/>
  <c r="AT38" i="3" a="1"/>
  <c r="AT38" i="3" s="1"/>
  <c r="AS38" i="3" a="1"/>
  <c r="AS38" i="3" s="1"/>
  <c r="AS30" i="3" a="1"/>
  <c r="AS30" i="3" s="1"/>
  <c r="AT30" i="3" a="1"/>
  <c r="AT30" i="3" s="1"/>
  <c r="AT22" i="3" a="1"/>
  <c r="AT22" i="3" s="1"/>
  <c r="AS22" i="3" a="1"/>
  <c r="AS22" i="3" s="1"/>
  <c r="AS14" i="3" a="1"/>
  <c r="AS14" i="3" s="1"/>
  <c r="AT14" i="3" a="1"/>
  <c r="AT14" i="3" s="1"/>
  <c r="AS6" i="3" a="1"/>
  <c r="AS6" i="3" s="1"/>
  <c r="AT6" i="3" a="1"/>
  <c r="AT6" i="3" s="1"/>
  <c r="AS829" i="3" a="1"/>
  <c r="AS829" i="3" s="1"/>
  <c r="AT829" i="3" a="1"/>
  <c r="AT829" i="3" s="1"/>
  <c r="AS821" i="3" a="1"/>
  <c r="AS821" i="3" s="1"/>
  <c r="AT821" i="3" a="1"/>
  <c r="AT821" i="3" s="1"/>
  <c r="AS813" i="3" a="1"/>
  <c r="AS813" i="3" s="1"/>
  <c r="AT813" i="3" a="1"/>
  <c r="AT813" i="3" s="1"/>
  <c r="AS805" i="3" a="1"/>
  <c r="AS805" i="3" s="1"/>
  <c r="AT805" i="3" a="1"/>
  <c r="AT805" i="3" s="1"/>
  <c r="AS797" i="3" a="1"/>
  <c r="AS797" i="3" s="1"/>
  <c r="AT797" i="3" a="1"/>
  <c r="AT797" i="3" s="1"/>
  <c r="AS789" i="3" a="1"/>
  <c r="AS789" i="3" s="1"/>
  <c r="AT789" i="3" a="1"/>
  <c r="AT789" i="3" s="1"/>
  <c r="AS781" i="3" a="1"/>
  <c r="AS781" i="3" s="1"/>
  <c r="AT781" i="3" a="1"/>
  <c r="AT781" i="3" s="1"/>
  <c r="AS773" i="3" a="1"/>
  <c r="AS773" i="3" s="1"/>
  <c r="AT773" i="3" a="1"/>
  <c r="AT773" i="3" s="1"/>
  <c r="AS765" i="3" a="1"/>
  <c r="AS765" i="3" s="1"/>
  <c r="AT765" i="3" a="1"/>
  <c r="AT765" i="3" s="1"/>
  <c r="AS757" i="3" a="1"/>
  <c r="AS757" i="3" s="1"/>
  <c r="AT757" i="3" a="1"/>
  <c r="AT757" i="3" s="1"/>
  <c r="AS749" i="3" a="1"/>
  <c r="AS749" i="3" s="1"/>
  <c r="AT749" i="3" a="1"/>
  <c r="AT749" i="3" s="1"/>
  <c r="AS741" i="3" a="1"/>
  <c r="AS741" i="3" s="1"/>
  <c r="AT741" i="3" a="1"/>
  <c r="AT741" i="3" s="1"/>
  <c r="AS733" i="3" a="1"/>
  <c r="AS733" i="3" s="1"/>
  <c r="AT733" i="3" a="1"/>
  <c r="AT733" i="3" s="1"/>
  <c r="AS725" i="3" a="1"/>
  <c r="AS725" i="3" s="1"/>
  <c r="AT725" i="3" a="1"/>
  <c r="AT725" i="3" s="1"/>
  <c r="AS717" i="3" a="1"/>
  <c r="AS717" i="3" s="1"/>
  <c r="AT717" i="3" a="1"/>
  <c r="AT717" i="3" s="1"/>
  <c r="AS709" i="3" a="1"/>
  <c r="AS709" i="3" s="1"/>
  <c r="AT709" i="3" a="1"/>
  <c r="AT709" i="3" s="1"/>
  <c r="AS701" i="3" a="1"/>
  <c r="AS701" i="3" s="1"/>
  <c r="AT701" i="3" a="1"/>
  <c r="AT701" i="3" s="1"/>
  <c r="AS693" i="3" a="1"/>
  <c r="AS693" i="3" s="1"/>
  <c r="AT693" i="3" a="1"/>
  <c r="AT693" i="3" s="1"/>
  <c r="AS685" i="3" a="1"/>
  <c r="AS685" i="3" s="1"/>
  <c r="AT685" i="3" a="1"/>
  <c r="AT685" i="3" s="1"/>
  <c r="AS677" i="3" a="1"/>
  <c r="AS677" i="3" s="1"/>
  <c r="AT677" i="3" a="1"/>
  <c r="AT677" i="3" s="1"/>
  <c r="AT669" i="3" a="1"/>
  <c r="AT669" i="3" s="1"/>
  <c r="AS669" i="3" a="1"/>
  <c r="AS669" i="3" s="1"/>
  <c r="AS661" i="3" a="1"/>
  <c r="AS661" i="3" s="1"/>
  <c r="AT661" i="3" a="1"/>
  <c r="AT661" i="3" s="1"/>
  <c r="AS653" i="3" a="1"/>
  <c r="AS653" i="3" s="1"/>
  <c r="AT653" i="3" a="1"/>
  <c r="AT653" i="3" s="1"/>
  <c r="AS645" i="3" a="1"/>
  <c r="AS645" i="3" s="1"/>
  <c r="AT645" i="3" a="1"/>
  <c r="AT645" i="3" s="1"/>
  <c r="AS637" i="3" a="1"/>
  <c r="AS637" i="3" s="1"/>
  <c r="AT637" i="3" a="1"/>
  <c r="AT637" i="3" s="1"/>
  <c r="AS629" i="3" a="1"/>
  <c r="AS629" i="3" s="1"/>
  <c r="AT629" i="3" a="1"/>
  <c r="AT629" i="3" s="1"/>
  <c r="AT621" i="3" a="1"/>
  <c r="AT621" i="3" s="1"/>
  <c r="AS621" i="3" a="1"/>
  <c r="AS621" i="3" s="1"/>
  <c r="AS613" i="3" a="1"/>
  <c r="AS613" i="3" s="1"/>
  <c r="AT613" i="3" a="1"/>
  <c r="AT613" i="3" s="1"/>
  <c r="AS605" i="3" a="1"/>
  <c r="AS605" i="3" s="1"/>
  <c r="AT605" i="3" a="1"/>
  <c r="AT605" i="3" s="1"/>
  <c r="AS597" i="3" a="1"/>
  <c r="AS597" i="3" s="1"/>
  <c r="AT597" i="3" a="1"/>
  <c r="AT597" i="3" s="1"/>
  <c r="AS589" i="3" a="1"/>
  <c r="AS589" i="3" s="1"/>
  <c r="AT589" i="3" a="1"/>
  <c r="AT589" i="3" s="1"/>
  <c r="AT581" i="3" a="1"/>
  <c r="AT581" i="3" s="1"/>
  <c r="AS581" i="3" a="1"/>
  <c r="AS581" i="3" s="1"/>
  <c r="AS573" i="3" a="1"/>
  <c r="AS573" i="3" s="1"/>
  <c r="AT573" i="3" a="1"/>
  <c r="AT573" i="3" s="1"/>
  <c r="AT565" i="3" a="1"/>
  <c r="AT565" i="3" s="1"/>
  <c r="AS565" i="3" a="1"/>
  <c r="AS565" i="3" s="1"/>
  <c r="AS557" i="3" a="1"/>
  <c r="AS557" i="3" s="1"/>
  <c r="AT557" i="3" a="1"/>
  <c r="AT557" i="3" s="1"/>
  <c r="AT549" i="3" a="1"/>
  <c r="AT549" i="3" s="1"/>
  <c r="AS549" i="3" a="1"/>
  <c r="AS549" i="3" s="1"/>
  <c r="AS541" i="3" a="1"/>
  <c r="AS541" i="3" s="1"/>
  <c r="AT541" i="3" a="1"/>
  <c r="AT541" i="3" s="1"/>
  <c r="AT533" i="3" a="1"/>
  <c r="AT533" i="3" s="1"/>
  <c r="AS533" i="3" a="1"/>
  <c r="AS533" i="3" s="1"/>
  <c r="AS525" i="3" a="1"/>
  <c r="AS525" i="3" s="1"/>
  <c r="AT525" i="3" a="1"/>
  <c r="AT525" i="3" s="1"/>
  <c r="AT517" i="3" a="1"/>
  <c r="AT517" i="3" s="1"/>
  <c r="AS517" i="3" a="1"/>
  <c r="AS517" i="3" s="1"/>
  <c r="AS509" i="3" a="1"/>
  <c r="AS509" i="3" s="1"/>
  <c r="AT509" i="3" a="1"/>
  <c r="AT509" i="3" s="1"/>
  <c r="AT501" i="3" a="1"/>
  <c r="AT501" i="3" s="1"/>
  <c r="AS501" i="3" a="1"/>
  <c r="AS501" i="3" s="1"/>
  <c r="AS493" i="3" a="1"/>
  <c r="AS493" i="3" s="1"/>
  <c r="AT493" i="3" a="1"/>
  <c r="AT493" i="3" s="1"/>
  <c r="AT485" i="3" a="1"/>
  <c r="AT485" i="3" s="1"/>
  <c r="AS485" i="3" a="1"/>
  <c r="AS485" i="3" s="1"/>
  <c r="Z477" i="3"/>
  <c r="AT469" i="3" a="1"/>
  <c r="AT469" i="3" s="1"/>
  <c r="AS469" i="3" a="1"/>
  <c r="AS469" i="3" s="1"/>
  <c r="AS461" i="3" a="1"/>
  <c r="AS461" i="3" s="1"/>
  <c r="AT461" i="3" a="1"/>
  <c r="AT461" i="3" s="1"/>
  <c r="AS453" i="3" a="1"/>
  <c r="AS453" i="3" s="1"/>
  <c r="AT453" i="3" a="1"/>
  <c r="AT453" i="3" s="1"/>
  <c r="AS445" i="3" a="1"/>
  <c r="AS445" i="3" s="1"/>
  <c r="AT445" i="3" a="1"/>
  <c r="AT445" i="3" s="1"/>
  <c r="AS437" i="3" a="1"/>
  <c r="AS437" i="3" s="1"/>
  <c r="AT437" i="3" a="1"/>
  <c r="AT437" i="3" s="1"/>
  <c r="AS429" i="3" a="1"/>
  <c r="AS429" i="3" s="1"/>
  <c r="AT429" i="3" a="1"/>
  <c r="AT429" i="3" s="1"/>
  <c r="AS421" i="3" a="1"/>
  <c r="AS421" i="3" s="1"/>
  <c r="AT421" i="3" a="1"/>
  <c r="AT421" i="3" s="1"/>
  <c r="AS413" i="3" a="1"/>
  <c r="AS413" i="3" s="1"/>
  <c r="AT413" i="3" a="1"/>
  <c r="AT413" i="3" s="1"/>
  <c r="AS405" i="3" a="1"/>
  <c r="AS405" i="3" s="1"/>
  <c r="AT405" i="3" a="1"/>
  <c r="AT405" i="3" s="1"/>
  <c r="AS397" i="3" a="1"/>
  <c r="AS397" i="3" s="1"/>
  <c r="AT397" i="3" a="1"/>
  <c r="AT397" i="3" s="1"/>
  <c r="AS389" i="3" a="1"/>
  <c r="AS389" i="3" s="1"/>
  <c r="AT389" i="3" a="1"/>
  <c r="AT389" i="3" s="1"/>
  <c r="AS381" i="3" a="1"/>
  <c r="AS381" i="3" s="1"/>
  <c r="AT381" i="3" a="1"/>
  <c r="AT381" i="3" s="1"/>
  <c r="AS373" i="3" a="1"/>
  <c r="AS373" i="3" s="1"/>
  <c r="AT373" i="3" a="1"/>
  <c r="AT373" i="3" s="1"/>
  <c r="AS365" i="3" a="1"/>
  <c r="AS365" i="3" s="1"/>
  <c r="AT365" i="3" a="1"/>
  <c r="AT365" i="3" s="1"/>
  <c r="AT357" i="3" a="1"/>
  <c r="AT357" i="3" s="1"/>
  <c r="AS357" i="3" a="1"/>
  <c r="AS357" i="3" s="1"/>
  <c r="AS349" i="3" a="1"/>
  <c r="AS349" i="3" s="1"/>
  <c r="AT349" i="3" a="1"/>
  <c r="AT349" i="3" s="1"/>
  <c r="AT341" i="3" a="1"/>
  <c r="AT341" i="3" s="1"/>
  <c r="AS341" i="3" a="1"/>
  <c r="AS341" i="3" s="1"/>
  <c r="AS333" i="3" a="1"/>
  <c r="AS333" i="3" s="1"/>
  <c r="AT333" i="3" a="1"/>
  <c r="AT333" i="3" s="1"/>
  <c r="AT325" i="3" a="1"/>
  <c r="AT325" i="3" s="1"/>
  <c r="AS325" i="3" a="1"/>
  <c r="AS325" i="3" s="1"/>
  <c r="AS317" i="3" a="1"/>
  <c r="AS317" i="3" s="1"/>
  <c r="AT317" i="3" a="1"/>
  <c r="AT317" i="3" s="1"/>
  <c r="AT309" i="3" a="1"/>
  <c r="AT309" i="3" s="1"/>
  <c r="AS309" i="3" a="1"/>
  <c r="AS309" i="3" s="1"/>
  <c r="AS301" i="3" a="1"/>
  <c r="AS301" i="3" s="1"/>
  <c r="AT301" i="3" a="1"/>
  <c r="AT301" i="3" s="1"/>
  <c r="AT293" i="3" a="1"/>
  <c r="AT293" i="3" s="1"/>
  <c r="AS293" i="3" a="1"/>
  <c r="AS293" i="3" s="1"/>
  <c r="AS285" i="3" a="1"/>
  <c r="AS285" i="3" s="1"/>
  <c r="AT285" i="3" a="1"/>
  <c r="AT285" i="3" s="1"/>
  <c r="AT277" i="3" a="1"/>
  <c r="AT277" i="3" s="1"/>
  <c r="AS277" i="3" a="1"/>
  <c r="AS277" i="3" s="1"/>
  <c r="AS269" i="3" a="1"/>
  <c r="AS269" i="3" s="1"/>
  <c r="AT269" i="3" a="1"/>
  <c r="AT269" i="3" s="1"/>
  <c r="AS261" i="3" a="1"/>
  <c r="AS261" i="3" s="1"/>
  <c r="AT261" i="3" a="1"/>
  <c r="AT261" i="3" s="1"/>
  <c r="AS253" i="3" a="1"/>
  <c r="AS253" i="3" s="1"/>
  <c r="AT253" i="3" a="1"/>
  <c r="AT253" i="3" s="1"/>
  <c r="AS245" i="3" a="1"/>
  <c r="AS245" i="3" s="1"/>
  <c r="AT245" i="3" a="1"/>
  <c r="AT245" i="3" s="1"/>
  <c r="Z237" i="3"/>
  <c r="AT229" i="3" a="1"/>
  <c r="AT229" i="3" s="1"/>
  <c r="AS229" i="3" a="1"/>
  <c r="AS229" i="3" s="1"/>
  <c r="AS221" i="3" a="1"/>
  <c r="AS221" i="3" s="1"/>
  <c r="AT221" i="3" a="1"/>
  <c r="AT221" i="3" s="1"/>
  <c r="AS213" i="3" a="1"/>
  <c r="AS213" i="3" s="1"/>
  <c r="AT213" i="3" a="1"/>
  <c r="AT213" i="3" s="1"/>
  <c r="AS205" i="3" a="1"/>
  <c r="AS205" i="3" s="1"/>
  <c r="AT205" i="3" a="1"/>
  <c r="AT205" i="3" s="1"/>
  <c r="AT197" i="3" a="1"/>
  <c r="AT197" i="3" s="1"/>
  <c r="AS197" i="3" a="1"/>
  <c r="AS197" i="3" s="1"/>
  <c r="AT189" i="3" a="1"/>
  <c r="AT189" i="3" s="1"/>
  <c r="AS189" i="3" a="1"/>
  <c r="AS189" i="3" s="1"/>
  <c r="AT181" i="3" a="1"/>
  <c r="AT181" i="3" s="1"/>
  <c r="AS181" i="3" a="1"/>
  <c r="AS181" i="3" s="1"/>
  <c r="AT173" i="3" a="1"/>
  <c r="AT173" i="3" s="1"/>
  <c r="AS173" i="3" a="1"/>
  <c r="AS173" i="3" s="1"/>
  <c r="AS165" i="3" a="1"/>
  <c r="AS165" i="3" s="1"/>
  <c r="AT165" i="3" a="1"/>
  <c r="AT165" i="3" s="1"/>
  <c r="AT157" i="3" a="1"/>
  <c r="AT157" i="3" s="1"/>
  <c r="AS157" i="3" a="1"/>
  <c r="AS157" i="3" s="1"/>
  <c r="AS149" i="3" a="1"/>
  <c r="AS149" i="3" s="1"/>
  <c r="AT149" i="3" a="1"/>
  <c r="AT149" i="3" s="1"/>
  <c r="AT141" i="3" a="1"/>
  <c r="AT141" i="3" s="1"/>
  <c r="AS141" i="3" a="1"/>
  <c r="AS141" i="3" s="1"/>
  <c r="AS133" i="3" a="1"/>
  <c r="AS133" i="3" s="1"/>
  <c r="AT133" i="3" a="1"/>
  <c r="AT133" i="3" s="1"/>
  <c r="AT125" i="3" a="1"/>
  <c r="AT125" i="3" s="1"/>
  <c r="AS125" i="3" a="1"/>
  <c r="AS125" i="3" s="1"/>
  <c r="AS117" i="3" a="1"/>
  <c r="AS117" i="3" s="1"/>
  <c r="AT117" i="3" a="1"/>
  <c r="AT117" i="3" s="1"/>
  <c r="AT109" i="3" a="1"/>
  <c r="AT109" i="3" s="1"/>
  <c r="AS109" i="3" a="1"/>
  <c r="AS109" i="3" s="1"/>
  <c r="AS101" i="3" a="1"/>
  <c r="AS101" i="3" s="1"/>
  <c r="AT101" i="3" a="1"/>
  <c r="AT101" i="3" s="1"/>
  <c r="AT93" i="3" a="1"/>
  <c r="AT93" i="3" s="1"/>
  <c r="AS93" i="3" a="1"/>
  <c r="AS93" i="3" s="1"/>
  <c r="AS85" i="3" a="1"/>
  <c r="AS85" i="3" s="1"/>
  <c r="AT85" i="3" a="1"/>
  <c r="AT85" i="3" s="1"/>
  <c r="AT77" i="3" a="1"/>
  <c r="AT77" i="3" s="1"/>
  <c r="AS77" i="3" a="1"/>
  <c r="AS77" i="3" s="1"/>
  <c r="AS69" i="3" a="1"/>
  <c r="AS69" i="3" s="1"/>
  <c r="AT69" i="3" a="1"/>
  <c r="AT69" i="3" s="1"/>
  <c r="AT61" i="3" a="1"/>
  <c r="AT61" i="3" s="1"/>
  <c r="AS61" i="3" a="1"/>
  <c r="AS61" i="3" s="1"/>
  <c r="AS53" i="3" a="1"/>
  <c r="AS53" i="3" s="1"/>
  <c r="AT53" i="3" a="1"/>
  <c r="AT53" i="3" s="1"/>
  <c r="AT45" i="3" a="1"/>
  <c r="AT45" i="3" s="1"/>
  <c r="AS45" i="3" a="1"/>
  <c r="AS45" i="3" s="1"/>
  <c r="AS37" i="3" a="1"/>
  <c r="AS37" i="3" s="1"/>
  <c r="AT37" i="3" a="1"/>
  <c r="AT37" i="3" s="1"/>
  <c r="AT29" i="3" a="1"/>
  <c r="AT29" i="3" s="1"/>
  <c r="AS29" i="3" a="1"/>
  <c r="AS29" i="3" s="1"/>
  <c r="AS21" i="3" a="1"/>
  <c r="AS21" i="3" s="1"/>
  <c r="AT21" i="3" a="1"/>
  <c r="AT21" i="3" s="1"/>
  <c r="AS13" i="3" a="1"/>
  <c r="AS13" i="3" s="1"/>
  <c r="AT13" i="3" a="1"/>
  <c r="AT13" i="3" s="1"/>
  <c r="AS5" i="3" a="1"/>
  <c r="AS5" i="3" s="1"/>
  <c r="AT5" i="3" a="1"/>
  <c r="AT5" i="3" s="1"/>
  <c r="Z207" i="3"/>
  <c r="AT782" i="3" a="1"/>
  <c r="AT782" i="3" s="1"/>
  <c r="AS782" i="3" a="1"/>
  <c r="AS782" i="3" s="1"/>
  <c r="AS510" i="3" a="1"/>
  <c r="AS510" i="3" s="1"/>
  <c r="AT510" i="3" a="1"/>
  <c r="AT510" i="3" s="1"/>
  <c r="AT836" i="3" a="1"/>
  <c r="AT836" i="3" s="1"/>
  <c r="AS836" i="3" a="1"/>
  <c r="AS836" i="3" s="1"/>
  <c r="AT828" i="3" a="1"/>
  <c r="AT828" i="3" s="1"/>
  <c r="AS828" i="3" a="1"/>
  <c r="AS828" i="3" s="1"/>
  <c r="AT820" i="3" a="1"/>
  <c r="AT820" i="3" s="1"/>
  <c r="AS820" i="3" a="1"/>
  <c r="AS820" i="3" s="1"/>
  <c r="AT812" i="3" a="1"/>
  <c r="AT812" i="3" s="1"/>
  <c r="AS812" i="3" a="1"/>
  <c r="AS812" i="3" s="1"/>
  <c r="AT804" i="3" a="1"/>
  <c r="AT804" i="3" s="1"/>
  <c r="AS804" i="3" a="1"/>
  <c r="AS804" i="3" s="1"/>
  <c r="AT796" i="3" a="1"/>
  <c r="AT796" i="3" s="1"/>
  <c r="AS796" i="3" a="1"/>
  <c r="AS796" i="3" s="1"/>
  <c r="AT788" i="3" a="1"/>
  <c r="AT788" i="3" s="1"/>
  <c r="AS788" i="3" a="1"/>
  <c r="AS788" i="3" s="1"/>
  <c r="AT780" i="3" a="1"/>
  <c r="AT780" i="3" s="1"/>
  <c r="AS780" i="3" a="1"/>
  <c r="AS780" i="3" s="1"/>
  <c r="AT772" i="3" a="1"/>
  <c r="AT772" i="3" s="1"/>
  <c r="AS772" i="3" a="1"/>
  <c r="AS772" i="3" s="1"/>
  <c r="AT764" i="3" a="1"/>
  <c r="AT764" i="3" s="1"/>
  <c r="AS764" i="3" a="1"/>
  <c r="AS764" i="3" s="1"/>
  <c r="AT756" i="3" a="1"/>
  <c r="AT756" i="3" s="1"/>
  <c r="AS756" i="3" a="1"/>
  <c r="AS756" i="3" s="1"/>
  <c r="AT748" i="3" a="1"/>
  <c r="AT748" i="3" s="1"/>
  <c r="AS748" i="3" a="1"/>
  <c r="AS748" i="3" s="1"/>
  <c r="AT740" i="3" a="1"/>
  <c r="AT740" i="3" s="1"/>
  <c r="AS740" i="3" a="1"/>
  <c r="AS740" i="3" s="1"/>
  <c r="AT732" i="3" a="1"/>
  <c r="AT732" i="3" s="1"/>
  <c r="AS732" i="3" a="1"/>
  <c r="AS732" i="3" s="1"/>
  <c r="AT724" i="3" a="1"/>
  <c r="AT724" i="3" s="1"/>
  <c r="AS724" i="3" a="1"/>
  <c r="AS724" i="3" s="1"/>
  <c r="AS716" i="3" a="1"/>
  <c r="AS716" i="3" s="1"/>
  <c r="AT716" i="3" a="1"/>
  <c r="AT716" i="3" s="1"/>
  <c r="AT708" i="3" a="1"/>
  <c r="AT708" i="3" s="1"/>
  <c r="AS708" i="3" a="1"/>
  <c r="AS708" i="3" s="1"/>
  <c r="AS700" i="3" a="1"/>
  <c r="AS700" i="3" s="1"/>
  <c r="AT700" i="3" a="1"/>
  <c r="AT700" i="3" s="1"/>
  <c r="AT692" i="3" a="1"/>
  <c r="AT692" i="3" s="1"/>
  <c r="AS692" i="3" a="1"/>
  <c r="AS692" i="3" s="1"/>
  <c r="AS684" i="3" a="1"/>
  <c r="AS684" i="3" s="1"/>
  <c r="AT684" i="3" a="1"/>
  <c r="AT684" i="3" s="1"/>
  <c r="AT676" i="3" a="1"/>
  <c r="AT676" i="3" s="1"/>
  <c r="AS676" i="3" a="1"/>
  <c r="AS676" i="3" s="1"/>
  <c r="AS668" i="3" a="1"/>
  <c r="AS668" i="3" s="1"/>
  <c r="AT668" i="3" a="1"/>
  <c r="AT668" i="3" s="1"/>
  <c r="AT660" i="3" a="1"/>
  <c r="AT660" i="3" s="1"/>
  <c r="AS660" i="3" a="1"/>
  <c r="AS660" i="3" s="1"/>
  <c r="AS652" i="3" a="1"/>
  <c r="AS652" i="3" s="1"/>
  <c r="AT652" i="3" a="1"/>
  <c r="AT652" i="3" s="1"/>
  <c r="AT644" i="3" a="1"/>
  <c r="AT644" i="3" s="1"/>
  <c r="AS644" i="3" a="1"/>
  <c r="AS644" i="3" s="1"/>
  <c r="AT636" i="3" a="1"/>
  <c r="AT636" i="3" s="1"/>
  <c r="AS636" i="3" a="1"/>
  <c r="AS636" i="3" s="1"/>
  <c r="AT628" i="3" a="1"/>
  <c r="AT628" i="3" s="1"/>
  <c r="AS628" i="3" a="1"/>
  <c r="AS628" i="3" s="1"/>
  <c r="AT620" i="3" a="1"/>
  <c r="AT620" i="3" s="1"/>
  <c r="AS620" i="3" a="1"/>
  <c r="AS620" i="3" s="1"/>
  <c r="AT612" i="3" a="1"/>
  <c r="AT612" i="3" s="1"/>
  <c r="AS612" i="3" a="1"/>
  <c r="AS612" i="3" s="1"/>
  <c r="AT604" i="3" a="1"/>
  <c r="AT604" i="3" s="1"/>
  <c r="AS604" i="3" a="1"/>
  <c r="AS604" i="3" s="1"/>
  <c r="AS596" i="3" a="1"/>
  <c r="AS596" i="3" s="1"/>
  <c r="AT596" i="3" a="1"/>
  <c r="AT596" i="3" s="1"/>
  <c r="AS588" i="3" a="1"/>
  <c r="AS588" i="3" s="1"/>
  <c r="AT588" i="3" a="1"/>
  <c r="AT588" i="3" s="1"/>
  <c r="AS580" i="3" a="1"/>
  <c r="AS580" i="3" s="1"/>
  <c r="AT580" i="3" a="1"/>
  <c r="AT580" i="3" s="1"/>
  <c r="AS572" i="3" a="1"/>
  <c r="AS572" i="3" s="1"/>
  <c r="AT572" i="3" a="1"/>
  <c r="AT572" i="3" s="1"/>
  <c r="AS564" i="3" a="1"/>
  <c r="AS564" i="3" s="1"/>
  <c r="AT564" i="3" a="1"/>
  <c r="AT564" i="3" s="1"/>
  <c r="AS556" i="3" a="1"/>
  <c r="AS556" i="3" s="1"/>
  <c r="AT556" i="3" a="1"/>
  <c r="AT556" i="3" s="1"/>
  <c r="AS548" i="3" a="1"/>
  <c r="AS548" i="3" s="1"/>
  <c r="AT548" i="3" a="1"/>
  <c r="AT548" i="3" s="1"/>
  <c r="AS540" i="3" a="1"/>
  <c r="AS540" i="3" s="1"/>
  <c r="AT540" i="3" a="1"/>
  <c r="AT540" i="3" s="1"/>
  <c r="AS532" i="3" a="1"/>
  <c r="AS532" i="3" s="1"/>
  <c r="AT532" i="3" a="1"/>
  <c r="AT532" i="3" s="1"/>
  <c r="AS524" i="3" a="1"/>
  <c r="AS524" i="3" s="1"/>
  <c r="AT524" i="3" a="1"/>
  <c r="AT524" i="3" s="1"/>
  <c r="AS516" i="3" a="1"/>
  <c r="AS516" i="3" s="1"/>
  <c r="AT516" i="3" a="1"/>
  <c r="AT516" i="3" s="1"/>
  <c r="AS508" i="3" a="1"/>
  <c r="AS508" i="3" s="1"/>
  <c r="AT508" i="3" a="1"/>
  <c r="AT508" i="3" s="1"/>
  <c r="AS500" i="3" a="1"/>
  <c r="AS500" i="3" s="1"/>
  <c r="AT500" i="3" a="1"/>
  <c r="AT500" i="3" s="1"/>
  <c r="AS492" i="3" a="1"/>
  <c r="AS492" i="3" s="1"/>
  <c r="AT492" i="3" a="1"/>
  <c r="AT492" i="3" s="1"/>
  <c r="AS484" i="3" a="1"/>
  <c r="AS484" i="3" s="1"/>
  <c r="AT484" i="3" a="1"/>
  <c r="AT484" i="3" s="1"/>
  <c r="AS476" i="3" a="1"/>
  <c r="AS476" i="3" s="1"/>
  <c r="AT476" i="3" a="1"/>
  <c r="AT476" i="3" s="1"/>
  <c r="AS468" i="3" a="1"/>
  <c r="AS468" i="3" s="1"/>
  <c r="AT468" i="3" a="1"/>
  <c r="AT468" i="3" s="1"/>
  <c r="AT460" i="3" a="1"/>
  <c r="AT460" i="3" s="1"/>
  <c r="AS460" i="3" a="1"/>
  <c r="AS460" i="3" s="1"/>
  <c r="AT452" i="3" a="1"/>
  <c r="AT452" i="3" s="1"/>
  <c r="AS452" i="3" a="1"/>
  <c r="AS452" i="3" s="1"/>
  <c r="AT444" i="3" a="1"/>
  <c r="AT444" i="3" s="1"/>
  <c r="AS444" i="3" a="1"/>
  <c r="AS444" i="3" s="1"/>
  <c r="AT436" i="3" a="1"/>
  <c r="AT436" i="3" s="1"/>
  <c r="AS436" i="3" a="1"/>
  <c r="AS436" i="3" s="1"/>
  <c r="AT428" i="3" a="1"/>
  <c r="AT428" i="3" s="1"/>
  <c r="AS428" i="3" a="1"/>
  <c r="AS428" i="3" s="1"/>
  <c r="AT420" i="3" a="1"/>
  <c r="AT420" i="3" s="1"/>
  <c r="AS420" i="3" a="1"/>
  <c r="AS420" i="3" s="1"/>
  <c r="AT412" i="3" a="1"/>
  <c r="AT412" i="3" s="1"/>
  <c r="AS412" i="3" a="1"/>
  <c r="AS412" i="3" s="1"/>
  <c r="AT404" i="3" a="1"/>
  <c r="AT404" i="3" s="1"/>
  <c r="AS404" i="3" a="1"/>
  <c r="AS404" i="3" s="1"/>
  <c r="AS396" i="3" a="1"/>
  <c r="AS396" i="3" s="1"/>
  <c r="AT396" i="3" a="1"/>
  <c r="AT396" i="3" s="1"/>
  <c r="AS388" i="3" a="1"/>
  <c r="AS388" i="3" s="1"/>
  <c r="AT388" i="3" a="1"/>
  <c r="AT388" i="3" s="1"/>
  <c r="AT380" i="3" a="1"/>
  <c r="AT380" i="3" s="1"/>
  <c r="AS380" i="3" a="1"/>
  <c r="AS380" i="3" s="1"/>
  <c r="AS372" i="3" a="1"/>
  <c r="AS372" i="3" s="1"/>
  <c r="AT372" i="3" a="1"/>
  <c r="AT372" i="3" s="1"/>
  <c r="AT364" i="3" a="1"/>
  <c r="AT364" i="3" s="1"/>
  <c r="AS364" i="3" a="1"/>
  <c r="AS364" i="3" s="1"/>
  <c r="AS356" i="3" a="1"/>
  <c r="AS356" i="3" s="1"/>
  <c r="AT356" i="3" a="1"/>
  <c r="AT356" i="3" s="1"/>
  <c r="AT348" i="3" a="1"/>
  <c r="AT348" i="3" s="1"/>
  <c r="AS348" i="3" a="1"/>
  <c r="AS348" i="3" s="1"/>
  <c r="AS340" i="3" a="1"/>
  <c r="AS340" i="3" s="1"/>
  <c r="AT340" i="3" a="1"/>
  <c r="AT340" i="3" s="1"/>
  <c r="AT332" i="3" a="1"/>
  <c r="AT332" i="3" s="1"/>
  <c r="AS332" i="3" a="1"/>
  <c r="AS332" i="3" s="1"/>
  <c r="AS324" i="3" a="1"/>
  <c r="AS324" i="3" s="1"/>
  <c r="AT324" i="3" a="1"/>
  <c r="AT324" i="3" s="1"/>
  <c r="AT316" i="3" a="1"/>
  <c r="AT316" i="3" s="1"/>
  <c r="AS316" i="3" a="1"/>
  <c r="AS316" i="3" s="1"/>
  <c r="AS308" i="3" a="1"/>
  <c r="AS308" i="3" s="1"/>
  <c r="AT308" i="3" a="1"/>
  <c r="AT308" i="3" s="1"/>
  <c r="AT300" i="3" a="1"/>
  <c r="AT300" i="3" s="1"/>
  <c r="AS300" i="3" a="1"/>
  <c r="AS300" i="3" s="1"/>
  <c r="AS292" i="3" a="1"/>
  <c r="AS292" i="3" s="1"/>
  <c r="AT292" i="3" a="1"/>
  <c r="AT292" i="3" s="1"/>
  <c r="AS284" i="3" a="1"/>
  <c r="AS284" i="3" s="1"/>
  <c r="AT284" i="3" a="1"/>
  <c r="AT284" i="3" s="1"/>
  <c r="AS276" i="3" a="1"/>
  <c r="AS276" i="3" s="1"/>
  <c r="AT276" i="3" a="1"/>
  <c r="AT276" i="3" s="1"/>
  <c r="AT268" i="3" a="1"/>
  <c r="AT268" i="3" s="1"/>
  <c r="AS268" i="3" a="1"/>
  <c r="AS268" i="3" s="1"/>
  <c r="AS260" i="3" a="1"/>
  <c r="AS260" i="3" s="1"/>
  <c r="AT260" i="3" a="1"/>
  <c r="AT260" i="3" s="1"/>
  <c r="AT252" i="3" a="1"/>
  <c r="AT252" i="3" s="1"/>
  <c r="AS252" i="3" a="1"/>
  <c r="AS252" i="3" s="1"/>
  <c r="AS244" i="3" a="1"/>
  <c r="AS244" i="3" s="1"/>
  <c r="AT244" i="3" a="1"/>
  <c r="AT244" i="3" s="1"/>
  <c r="AS236" i="3" a="1"/>
  <c r="AS236" i="3" s="1"/>
  <c r="AT236" i="3" a="1"/>
  <c r="AT236" i="3" s="1"/>
  <c r="AS228" i="3" a="1"/>
  <c r="AS228" i="3" s="1"/>
  <c r="AT228" i="3" a="1"/>
  <c r="AT228" i="3" s="1"/>
  <c r="AT220" i="3" a="1"/>
  <c r="AT220" i="3" s="1"/>
  <c r="AS220" i="3" a="1"/>
  <c r="AS220" i="3" s="1"/>
  <c r="AS212" i="3" a="1"/>
  <c r="AS212" i="3" s="1"/>
  <c r="AT212" i="3" a="1"/>
  <c r="AT212" i="3" s="1"/>
  <c r="AS204" i="3" a="1"/>
  <c r="AS204" i="3" s="1"/>
  <c r="AT204" i="3" a="1"/>
  <c r="AT204" i="3" s="1"/>
  <c r="AS196" i="3" a="1"/>
  <c r="AS196" i="3" s="1"/>
  <c r="AT196" i="3" a="1"/>
  <c r="AT196" i="3" s="1"/>
  <c r="AS188" i="3" a="1"/>
  <c r="AS188" i="3" s="1"/>
  <c r="AT188" i="3" a="1"/>
  <c r="AT188" i="3" s="1"/>
  <c r="AS180" i="3" a="1"/>
  <c r="AS180" i="3" s="1"/>
  <c r="AT180" i="3" a="1"/>
  <c r="AT180" i="3" s="1"/>
  <c r="AS172" i="3" a="1"/>
  <c r="AS172" i="3" s="1"/>
  <c r="AT172" i="3" a="1"/>
  <c r="AT172" i="3" s="1"/>
  <c r="AT164" i="3" a="1"/>
  <c r="AT164" i="3" s="1"/>
  <c r="AS164" i="3" a="1"/>
  <c r="AS164" i="3" s="1"/>
  <c r="AS156" i="3" a="1"/>
  <c r="AS156" i="3" s="1"/>
  <c r="AT156" i="3" a="1"/>
  <c r="AT156" i="3" s="1"/>
  <c r="AT148" i="3" a="1"/>
  <c r="AT148" i="3" s="1"/>
  <c r="AS148" i="3" a="1"/>
  <c r="AS148" i="3" s="1"/>
  <c r="AS140" i="3" a="1"/>
  <c r="AS140" i="3" s="1"/>
  <c r="AT140" i="3" a="1"/>
  <c r="AT140" i="3" s="1"/>
  <c r="AT132" i="3" a="1"/>
  <c r="AT132" i="3" s="1"/>
  <c r="AS132" i="3" a="1"/>
  <c r="AS132" i="3" s="1"/>
  <c r="AS124" i="3" a="1"/>
  <c r="AS124" i="3" s="1"/>
  <c r="AT124" i="3" a="1"/>
  <c r="AT124" i="3" s="1"/>
  <c r="AT116" i="3" a="1"/>
  <c r="AT116" i="3" s="1"/>
  <c r="AS116" i="3" a="1"/>
  <c r="AS116" i="3" s="1"/>
  <c r="AS108" i="3" a="1"/>
  <c r="AS108" i="3" s="1"/>
  <c r="AT108" i="3" a="1"/>
  <c r="AT108" i="3" s="1"/>
  <c r="AT100" i="3" a="1"/>
  <c r="AT100" i="3" s="1"/>
  <c r="AS100" i="3" a="1"/>
  <c r="AS100" i="3" s="1"/>
  <c r="AS92" i="3" a="1"/>
  <c r="AS92" i="3" s="1"/>
  <c r="AT92" i="3" a="1"/>
  <c r="AT92" i="3" s="1"/>
  <c r="AT84" i="3" a="1"/>
  <c r="AT84" i="3" s="1"/>
  <c r="AS84" i="3" a="1"/>
  <c r="AS84" i="3" s="1"/>
  <c r="AS76" i="3" a="1"/>
  <c r="AS76" i="3" s="1"/>
  <c r="AT76" i="3" a="1"/>
  <c r="AT76" i="3" s="1"/>
  <c r="AT68" i="3" a="1"/>
  <c r="AT68" i="3" s="1"/>
  <c r="AS68" i="3" a="1"/>
  <c r="AS68" i="3" s="1"/>
  <c r="AS60" i="3" a="1"/>
  <c r="AS60" i="3" s="1"/>
  <c r="AT60" i="3" a="1"/>
  <c r="AT60" i="3" s="1"/>
  <c r="AT52" i="3" a="1"/>
  <c r="AT52" i="3" s="1"/>
  <c r="AS52" i="3" a="1"/>
  <c r="AS52" i="3" s="1"/>
  <c r="AS44" i="3" a="1"/>
  <c r="AS44" i="3" s="1"/>
  <c r="AT44" i="3" a="1"/>
  <c r="AT44" i="3" s="1"/>
  <c r="AT36" i="3" a="1"/>
  <c r="AT36" i="3" s="1"/>
  <c r="AS36" i="3" a="1"/>
  <c r="AS36" i="3" s="1"/>
  <c r="AS28" i="3" a="1"/>
  <c r="AS28" i="3" s="1"/>
  <c r="AT28" i="3" a="1"/>
  <c r="AT28" i="3" s="1"/>
  <c r="AT20" i="3" a="1"/>
  <c r="AT20" i="3" s="1"/>
  <c r="AS20" i="3" a="1"/>
  <c r="AS20" i="3" s="1"/>
  <c r="AS12" i="3" a="1"/>
  <c r="AS12" i="3" s="1"/>
  <c r="AT12" i="3" a="1"/>
  <c r="AT12" i="3" s="1"/>
  <c r="AS4" i="3" a="1"/>
  <c r="AS4" i="3" s="1"/>
  <c r="AT4" i="3" a="1"/>
  <c r="AT4" i="3" s="1"/>
  <c r="AS279" i="3" a="1"/>
  <c r="AS279" i="3" s="1"/>
  <c r="AT279" i="3" a="1"/>
  <c r="AT279" i="3" s="1"/>
  <c r="AT758" i="3" a="1"/>
  <c r="AT758" i="3" s="1"/>
  <c r="AS758" i="3" a="1"/>
  <c r="AS758" i="3" s="1"/>
  <c r="AS486" i="3" a="1"/>
  <c r="AS486" i="3" s="1"/>
  <c r="AT486" i="3" a="1"/>
  <c r="AT486" i="3" s="1"/>
  <c r="AS835" i="3" a="1"/>
  <c r="AS835" i="3" s="1"/>
  <c r="AT835" i="3" a="1"/>
  <c r="AT835" i="3" s="1"/>
  <c r="AS827" i="3" a="1"/>
  <c r="AS827" i="3" s="1"/>
  <c r="AT827" i="3" a="1"/>
  <c r="AT827" i="3" s="1"/>
  <c r="AS819" i="3" a="1"/>
  <c r="AS819" i="3" s="1"/>
  <c r="AT819" i="3" a="1"/>
  <c r="AT819" i="3" s="1"/>
  <c r="AS811" i="3" a="1"/>
  <c r="AS811" i="3" s="1"/>
  <c r="AT811" i="3" a="1"/>
  <c r="AT811" i="3" s="1"/>
  <c r="AS803" i="3" a="1"/>
  <c r="AS803" i="3" s="1"/>
  <c r="AT803" i="3" a="1"/>
  <c r="AT803" i="3" s="1"/>
  <c r="AS795" i="3" a="1"/>
  <c r="AS795" i="3" s="1"/>
  <c r="AT795" i="3" a="1"/>
  <c r="AT795" i="3" s="1"/>
  <c r="AS787" i="3" a="1"/>
  <c r="AS787" i="3" s="1"/>
  <c r="AT787" i="3" a="1"/>
  <c r="AT787" i="3" s="1"/>
  <c r="AS779" i="3" a="1"/>
  <c r="AS779" i="3" s="1"/>
  <c r="AT779" i="3" a="1"/>
  <c r="AT779" i="3" s="1"/>
  <c r="AS771" i="3" a="1"/>
  <c r="AS771" i="3" s="1"/>
  <c r="AT771" i="3" a="1"/>
  <c r="AT771" i="3" s="1"/>
  <c r="AS763" i="3" a="1"/>
  <c r="AS763" i="3" s="1"/>
  <c r="AT763" i="3" a="1"/>
  <c r="AT763" i="3" s="1"/>
  <c r="AS755" i="3" a="1"/>
  <c r="AS755" i="3" s="1"/>
  <c r="AT755" i="3" a="1"/>
  <c r="AT755" i="3" s="1"/>
  <c r="AS747" i="3" a="1"/>
  <c r="AS747" i="3" s="1"/>
  <c r="AT747" i="3" a="1"/>
  <c r="AT747" i="3" s="1"/>
  <c r="AS739" i="3" a="1"/>
  <c r="AS739" i="3" s="1"/>
  <c r="AT739" i="3" a="1"/>
  <c r="AT739" i="3" s="1"/>
  <c r="AS731" i="3" a="1"/>
  <c r="AS731" i="3" s="1"/>
  <c r="AT731" i="3" a="1"/>
  <c r="AT731" i="3" s="1"/>
  <c r="AS723" i="3" a="1"/>
  <c r="AS723" i="3" s="1"/>
  <c r="AT723" i="3" a="1"/>
  <c r="AT723" i="3" s="1"/>
  <c r="AT715" i="3" a="1"/>
  <c r="AT715" i="3" s="1"/>
  <c r="AS715" i="3" a="1"/>
  <c r="AS715" i="3" s="1"/>
  <c r="AS707" i="3" a="1"/>
  <c r="AS707" i="3" s="1"/>
  <c r="AT707" i="3" a="1"/>
  <c r="AT707" i="3" s="1"/>
  <c r="AT699" i="3" a="1"/>
  <c r="AT699" i="3" s="1"/>
  <c r="AS699" i="3" a="1"/>
  <c r="AS699" i="3" s="1"/>
  <c r="AS691" i="3" a="1"/>
  <c r="AS691" i="3" s="1"/>
  <c r="AT691" i="3" a="1"/>
  <c r="AT691" i="3" s="1"/>
  <c r="AT683" i="3" a="1"/>
  <c r="AT683" i="3" s="1"/>
  <c r="AS683" i="3" a="1"/>
  <c r="AS683" i="3" s="1"/>
  <c r="AS675" i="3" a="1"/>
  <c r="AS675" i="3" s="1"/>
  <c r="AT675" i="3" a="1"/>
  <c r="AT675" i="3" s="1"/>
  <c r="AT667" i="3" a="1"/>
  <c r="AT667" i="3" s="1"/>
  <c r="AS667" i="3" a="1"/>
  <c r="AS667" i="3" s="1"/>
  <c r="AS659" i="3" a="1"/>
  <c r="AS659" i="3" s="1"/>
  <c r="AT659" i="3" a="1"/>
  <c r="AT659" i="3" s="1"/>
  <c r="AT651" i="3" a="1"/>
  <c r="AT651" i="3" s="1"/>
  <c r="AS651" i="3" a="1"/>
  <c r="AS651" i="3" s="1"/>
  <c r="AS643" i="3" a="1"/>
  <c r="AS643" i="3" s="1"/>
  <c r="AT643" i="3" a="1"/>
  <c r="AT643" i="3" s="1"/>
  <c r="AS635" i="3" a="1"/>
  <c r="AS635" i="3" s="1"/>
  <c r="AT635" i="3" a="1"/>
  <c r="AT635" i="3" s="1"/>
  <c r="AS627" i="3" a="1"/>
  <c r="AS627" i="3" s="1"/>
  <c r="AT627" i="3" a="1"/>
  <c r="AT627" i="3" s="1"/>
  <c r="AT619" i="3" a="1"/>
  <c r="AT619" i="3" s="1"/>
  <c r="AS619" i="3" a="1"/>
  <c r="AS619" i="3" s="1"/>
  <c r="AT611" i="3" a="1"/>
  <c r="AT611" i="3" s="1"/>
  <c r="AS611" i="3" a="1"/>
  <c r="AS611" i="3" s="1"/>
  <c r="AT603" i="3" a="1"/>
  <c r="AT603" i="3" s="1"/>
  <c r="AS603" i="3" a="1"/>
  <c r="AS603" i="3" s="1"/>
  <c r="AT595" i="3" a="1"/>
  <c r="AT595" i="3" s="1"/>
  <c r="AS595" i="3" a="1"/>
  <c r="AS595" i="3" s="1"/>
  <c r="AT587" i="3" a="1"/>
  <c r="AT587" i="3" s="1"/>
  <c r="AS587" i="3" a="1"/>
  <c r="AS587" i="3" s="1"/>
  <c r="AT579" i="3" a="1"/>
  <c r="AT579" i="3" s="1"/>
  <c r="AS579" i="3" a="1"/>
  <c r="AS579" i="3" s="1"/>
  <c r="AT571" i="3" a="1"/>
  <c r="AT571" i="3" s="1"/>
  <c r="AS571" i="3" a="1"/>
  <c r="AS571" i="3" s="1"/>
  <c r="AT563" i="3" a="1"/>
  <c r="AT563" i="3" s="1"/>
  <c r="AS563" i="3" a="1"/>
  <c r="AS563" i="3" s="1"/>
  <c r="AT555" i="3" a="1"/>
  <c r="AT555" i="3" s="1"/>
  <c r="AS555" i="3" a="1"/>
  <c r="AS555" i="3" s="1"/>
  <c r="AT547" i="3" a="1"/>
  <c r="AT547" i="3" s="1"/>
  <c r="AS547" i="3" a="1"/>
  <c r="AS547" i="3" s="1"/>
  <c r="AT539" i="3" a="1"/>
  <c r="AT539" i="3" s="1"/>
  <c r="AS539" i="3" a="1"/>
  <c r="AS539" i="3" s="1"/>
  <c r="AT531" i="3" a="1"/>
  <c r="AT531" i="3" s="1"/>
  <c r="AS531" i="3" a="1"/>
  <c r="AS531" i="3" s="1"/>
  <c r="AT523" i="3" a="1"/>
  <c r="AT523" i="3" s="1"/>
  <c r="AS523" i="3" a="1"/>
  <c r="AS523" i="3" s="1"/>
  <c r="AT515" i="3" a="1"/>
  <c r="AT515" i="3" s="1"/>
  <c r="AS515" i="3" a="1"/>
  <c r="AS515" i="3" s="1"/>
  <c r="AT507" i="3" a="1"/>
  <c r="AT507" i="3" s="1"/>
  <c r="AS507" i="3" a="1"/>
  <c r="AS507" i="3" s="1"/>
  <c r="AT499" i="3" a="1"/>
  <c r="AT499" i="3" s="1"/>
  <c r="AS499" i="3" a="1"/>
  <c r="AS499" i="3" s="1"/>
  <c r="AT491" i="3" a="1"/>
  <c r="AT491" i="3" s="1"/>
  <c r="AS491" i="3" a="1"/>
  <c r="AS491" i="3" s="1"/>
  <c r="AT483" i="3" a="1"/>
  <c r="AT483" i="3" s="1"/>
  <c r="AS483" i="3" a="1"/>
  <c r="AS483" i="3" s="1"/>
  <c r="AT475" i="3" a="1"/>
  <c r="AT475" i="3" s="1"/>
  <c r="AS475" i="3" a="1"/>
  <c r="AS475" i="3" s="1"/>
  <c r="AT467" i="3" a="1"/>
  <c r="AT467" i="3" s="1"/>
  <c r="AS467" i="3" a="1"/>
  <c r="AS467" i="3" s="1"/>
  <c r="AS459" i="3" a="1"/>
  <c r="AS459" i="3" s="1"/>
  <c r="AT459" i="3" a="1"/>
  <c r="AT459" i="3" s="1"/>
  <c r="AS451" i="3" a="1"/>
  <c r="AS451" i="3" s="1"/>
  <c r="AT451" i="3" a="1"/>
  <c r="AT451" i="3" s="1"/>
  <c r="AS443" i="3" a="1"/>
  <c r="AS443" i="3" s="1"/>
  <c r="AT443" i="3" a="1"/>
  <c r="AT443" i="3" s="1"/>
  <c r="AS435" i="3" a="1"/>
  <c r="AS435" i="3" s="1"/>
  <c r="AT435" i="3" a="1"/>
  <c r="AT435" i="3" s="1"/>
  <c r="AS427" i="3" a="1"/>
  <c r="AS427" i="3" s="1"/>
  <c r="AT427" i="3" a="1"/>
  <c r="AT427" i="3" s="1"/>
  <c r="AS419" i="3" a="1"/>
  <c r="AS419" i="3" s="1"/>
  <c r="AT419" i="3" a="1"/>
  <c r="AT419" i="3" s="1"/>
  <c r="AS411" i="3" a="1"/>
  <c r="AS411" i="3" s="1"/>
  <c r="AT411" i="3" a="1"/>
  <c r="AT411" i="3" s="1"/>
  <c r="AS403" i="3" a="1"/>
  <c r="AS403" i="3" s="1"/>
  <c r="AT403" i="3" a="1"/>
  <c r="AT403" i="3" s="1"/>
  <c r="AS395" i="3" a="1"/>
  <c r="AS395" i="3" s="1"/>
  <c r="AT395" i="3" a="1"/>
  <c r="AT395" i="3" s="1"/>
  <c r="AS387" i="3" a="1"/>
  <c r="AS387" i="3" s="1"/>
  <c r="AT387" i="3" a="1"/>
  <c r="AT387" i="3" s="1"/>
  <c r="AS379" i="3" a="1"/>
  <c r="AS379" i="3" s="1"/>
  <c r="AT379" i="3" a="1"/>
  <c r="AT379" i="3" s="1"/>
  <c r="AS371" i="3" a="1"/>
  <c r="AS371" i="3" s="1"/>
  <c r="AT371" i="3" a="1"/>
  <c r="AT371" i="3" s="1"/>
  <c r="AS363" i="3" a="1"/>
  <c r="AS363" i="3" s="1"/>
  <c r="AT363" i="3" a="1"/>
  <c r="AT363" i="3" s="1"/>
  <c r="AT355" i="3" a="1"/>
  <c r="AT355" i="3" s="1"/>
  <c r="AS355" i="3" a="1"/>
  <c r="AS355" i="3" s="1"/>
  <c r="AT347" i="3" a="1"/>
  <c r="AT347" i="3" s="1"/>
  <c r="AS347" i="3" a="1"/>
  <c r="AS347" i="3" s="1"/>
  <c r="AT339" i="3" a="1"/>
  <c r="AT339" i="3" s="1"/>
  <c r="AS339" i="3" a="1"/>
  <c r="AS339" i="3" s="1"/>
  <c r="AS331" i="3" a="1"/>
  <c r="AS331" i="3" s="1"/>
  <c r="AT331" i="3" a="1"/>
  <c r="AT331" i="3" s="1"/>
  <c r="AT323" i="3" a="1"/>
  <c r="AT323" i="3" s="1"/>
  <c r="AS323" i="3" a="1"/>
  <c r="AS323" i="3" s="1"/>
  <c r="AS315" i="3" a="1"/>
  <c r="AS315" i="3" s="1"/>
  <c r="AT315" i="3" a="1"/>
  <c r="AT315" i="3" s="1"/>
  <c r="AT307" i="3" a="1"/>
  <c r="AT307" i="3" s="1"/>
  <c r="AS307" i="3" a="1"/>
  <c r="AS307" i="3" s="1"/>
  <c r="AS299" i="3" a="1"/>
  <c r="AS299" i="3" s="1"/>
  <c r="AT299" i="3" a="1"/>
  <c r="AT299" i="3" s="1"/>
  <c r="AT291" i="3" a="1"/>
  <c r="AT291" i="3" s="1"/>
  <c r="AS291" i="3" a="1"/>
  <c r="AS291" i="3" s="1"/>
  <c r="AT283" i="3" a="1"/>
  <c r="AT283" i="3" s="1"/>
  <c r="AS283" i="3" a="1"/>
  <c r="AS283" i="3" s="1"/>
  <c r="AT275" i="3" a="1"/>
  <c r="AT275" i="3" s="1"/>
  <c r="AS275" i="3" a="1"/>
  <c r="AS275" i="3" s="1"/>
  <c r="AS267" i="3" a="1"/>
  <c r="AS267" i="3" s="1"/>
  <c r="AT267" i="3" a="1"/>
  <c r="AT267" i="3" s="1"/>
  <c r="AS259" i="3" a="1"/>
  <c r="AS259" i="3" s="1"/>
  <c r="AT259" i="3" a="1"/>
  <c r="AT259" i="3" s="1"/>
  <c r="AS251" i="3" a="1"/>
  <c r="AS251" i="3" s="1"/>
  <c r="AT251" i="3" a="1"/>
  <c r="AT251" i="3" s="1"/>
  <c r="AT243" i="3" a="1"/>
  <c r="AT243" i="3" s="1"/>
  <c r="AS243" i="3" a="1"/>
  <c r="AS243" i="3" s="1"/>
  <c r="AS235" i="3" a="1"/>
  <c r="AS235" i="3" s="1"/>
  <c r="AT235" i="3" a="1"/>
  <c r="AT235" i="3" s="1"/>
  <c r="AT227" i="3" a="1"/>
  <c r="AT227" i="3" s="1"/>
  <c r="AS227" i="3" a="1"/>
  <c r="AS227" i="3" s="1"/>
  <c r="AS219" i="3" a="1"/>
  <c r="AS219" i="3" s="1"/>
  <c r="AT219" i="3" a="1"/>
  <c r="AT219" i="3" s="1"/>
  <c r="AT211" i="3" a="1"/>
  <c r="AT211" i="3" s="1"/>
  <c r="AS211" i="3" a="1"/>
  <c r="AS211" i="3" s="1"/>
  <c r="AS203" i="3" a="1"/>
  <c r="AS203" i="3" s="1"/>
  <c r="AT203" i="3" a="1"/>
  <c r="AT203" i="3" s="1"/>
  <c r="AT195" i="3" a="1"/>
  <c r="AT195" i="3" s="1"/>
  <c r="AS195" i="3" a="1"/>
  <c r="AS195" i="3" s="1"/>
  <c r="AT187" i="3" a="1"/>
  <c r="AT187" i="3" s="1"/>
  <c r="AS187" i="3" a="1"/>
  <c r="AS187" i="3" s="1"/>
  <c r="AT179" i="3" a="1"/>
  <c r="AT179" i="3" s="1"/>
  <c r="AS179" i="3" a="1"/>
  <c r="AS179" i="3" s="1"/>
  <c r="AT171" i="3" a="1"/>
  <c r="AT171" i="3" s="1"/>
  <c r="AS171" i="3" a="1"/>
  <c r="AS171" i="3" s="1"/>
  <c r="AS163" i="3" a="1"/>
  <c r="AS163" i="3" s="1"/>
  <c r="AT163" i="3" a="1"/>
  <c r="AT163" i="3" s="1"/>
  <c r="AT155" i="3" a="1"/>
  <c r="AT155" i="3" s="1"/>
  <c r="AS155" i="3" a="1"/>
  <c r="AS155" i="3" s="1"/>
  <c r="AT147" i="3" a="1"/>
  <c r="AT147" i="3" s="1"/>
  <c r="AS147" i="3" a="1"/>
  <c r="AS147" i="3" s="1"/>
  <c r="AT139" i="3" a="1"/>
  <c r="AT139" i="3" s="1"/>
  <c r="AS139" i="3" a="1"/>
  <c r="AS139" i="3" s="1"/>
  <c r="AS131" i="3" a="1"/>
  <c r="AS131" i="3" s="1"/>
  <c r="AT131" i="3" a="1"/>
  <c r="AT131" i="3" s="1"/>
  <c r="AT123" i="3" a="1"/>
  <c r="AT123" i="3" s="1"/>
  <c r="AS123" i="3" a="1"/>
  <c r="AS123" i="3" s="1"/>
  <c r="AT115" i="3" a="1"/>
  <c r="AT115" i="3" s="1"/>
  <c r="AS115" i="3" a="1"/>
  <c r="AS115" i="3" s="1"/>
  <c r="AT107" i="3" a="1"/>
  <c r="AT107" i="3" s="1"/>
  <c r="AS107" i="3" a="1"/>
  <c r="AS107" i="3" s="1"/>
  <c r="AS99" i="3" a="1"/>
  <c r="AS99" i="3" s="1"/>
  <c r="AT99" i="3" a="1"/>
  <c r="AT99" i="3" s="1"/>
  <c r="AT91" i="3" a="1"/>
  <c r="AT91" i="3" s="1"/>
  <c r="AS91" i="3" a="1"/>
  <c r="AS91" i="3" s="1"/>
  <c r="AT83" i="3" a="1"/>
  <c r="AT83" i="3" s="1"/>
  <c r="AS83" i="3" a="1"/>
  <c r="AS83" i="3" s="1"/>
  <c r="AT75" i="3" a="1"/>
  <c r="AT75" i="3" s="1"/>
  <c r="AS75" i="3" a="1"/>
  <c r="AS75" i="3" s="1"/>
  <c r="AS67" i="3" a="1"/>
  <c r="AS67" i="3" s="1"/>
  <c r="AT67" i="3" a="1"/>
  <c r="AT67" i="3" s="1"/>
  <c r="AT59" i="3" a="1"/>
  <c r="AT59" i="3" s="1"/>
  <c r="AS59" i="3" a="1"/>
  <c r="AS59" i="3" s="1"/>
  <c r="AT51" i="3" a="1"/>
  <c r="AT51" i="3" s="1"/>
  <c r="AS51" i="3" a="1"/>
  <c r="AS51" i="3" s="1"/>
  <c r="AT43" i="3" a="1"/>
  <c r="AT43" i="3" s="1"/>
  <c r="AS43" i="3" a="1"/>
  <c r="AS43" i="3" s="1"/>
  <c r="AS35" i="3" a="1"/>
  <c r="AS35" i="3" s="1"/>
  <c r="AT35" i="3" a="1"/>
  <c r="AT35" i="3" s="1"/>
  <c r="AT27" i="3" a="1"/>
  <c r="AT27" i="3" s="1"/>
  <c r="AS27" i="3" a="1"/>
  <c r="AS27" i="3" s="1"/>
  <c r="AT19" i="3" a="1"/>
  <c r="AT19" i="3" s="1"/>
  <c r="AS19" i="3" a="1"/>
  <c r="AS19" i="3" s="1"/>
  <c r="AS11" i="3" a="1"/>
  <c r="AS11" i="3" s="1"/>
  <c r="AT11" i="3" a="1"/>
  <c r="AT11" i="3" s="1"/>
  <c r="AS3" i="3" a="1"/>
  <c r="AS3" i="3" s="1"/>
  <c r="AT3" i="3" a="1"/>
  <c r="AT3" i="3" s="1"/>
  <c r="AS2" i="3" a="1"/>
  <c r="AS2" i="3" s="1"/>
  <c r="AT2" i="3" a="1"/>
  <c r="AT2" i="3" s="1"/>
  <c r="Z790" i="3"/>
  <c r="Z834" i="3"/>
  <c r="Z826" i="3"/>
  <c r="Z818" i="3"/>
  <c r="Z810" i="3"/>
  <c r="Z802" i="3"/>
  <c r="Z794" i="3"/>
  <c r="Z786" i="3"/>
  <c r="Z778" i="3"/>
  <c r="Z770" i="3"/>
  <c r="Z762" i="3"/>
  <c r="Z754" i="3"/>
  <c r="Z746" i="3"/>
  <c r="Z738" i="3"/>
  <c r="Z730" i="3"/>
  <c r="Z722" i="3"/>
  <c r="Z714" i="3"/>
  <c r="Z706" i="3"/>
  <c r="Z698" i="3"/>
  <c r="Z690" i="3"/>
  <c r="Z682" i="3"/>
  <c r="Z674" i="3"/>
  <c r="Z666" i="3"/>
  <c r="Z658" i="3"/>
  <c r="Z650" i="3"/>
  <c r="Z642" i="3"/>
  <c r="Z634" i="3"/>
  <c r="Z626" i="3"/>
  <c r="Z618" i="3"/>
  <c r="Z610" i="3"/>
  <c r="Z602" i="3"/>
  <c r="Z594" i="3"/>
  <c r="Z586" i="3"/>
  <c r="Z578" i="3"/>
  <c r="Z570" i="3"/>
  <c r="Z562" i="3"/>
  <c r="Z554" i="3"/>
  <c r="Z546" i="3"/>
  <c r="Z538" i="3"/>
  <c r="Z530" i="3"/>
  <c r="Z522" i="3"/>
  <c r="Z514" i="3"/>
  <c r="Z506" i="3"/>
  <c r="Z498" i="3"/>
  <c r="Z490" i="3"/>
  <c r="Z482" i="3"/>
  <c r="Z833" i="3"/>
  <c r="Z825" i="3"/>
  <c r="Z817" i="3"/>
  <c r="Z809" i="3"/>
  <c r="Z801" i="3"/>
  <c r="Z793" i="3"/>
  <c r="Z785" i="3"/>
  <c r="Z777" i="3"/>
  <c r="Z769" i="3"/>
  <c r="Z761" i="3"/>
  <c r="Z753" i="3"/>
  <c r="Z745" i="3"/>
  <c r="Z737" i="3"/>
  <c r="Z729" i="3"/>
  <c r="Z721" i="3"/>
  <c r="Z713" i="3"/>
  <c r="Z705" i="3"/>
  <c r="Z697" i="3"/>
  <c r="Z689" i="3"/>
  <c r="Z681" i="3"/>
  <c r="Z673" i="3"/>
  <c r="Z665" i="3"/>
  <c r="Z657" i="3"/>
  <c r="Z649" i="3"/>
  <c r="Z641" i="3"/>
  <c r="Z633" i="3"/>
  <c r="Z625" i="3"/>
  <c r="Z617" i="3"/>
  <c r="Z609" i="3"/>
  <c r="Z601" i="3"/>
  <c r="Z593" i="3"/>
  <c r="Z585" i="3"/>
  <c r="Z577" i="3"/>
  <c r="Z569" i="3"/>
  <c r="Z561" i="3"/>
  <c r="Z553" i="3"/>
  <c r="Z545" i="3"/>
  <c r="Z537" i="3"/>
  <c r="Z529" i="3"/>
  <c r="Z521" i="3"/>
  <c r="Z513" i="3"/>
  <c r="Z505" i="3"/>
  <c r="Z497" i="3"/>
  <c r="Z489" i="3"/>
  <c r="Z481" i="3"/>
  <c r="Z832" i="3"/>
  <c r="Z824" i="3"/>
  <c r="Z816" i="3"/>
  <c r="Z808" i="3"/>
  <c r="Z800" i="3"/>
  <c r="Z792" i="3"/>
  <c r="Z784" i="3"/>
  <c r="Z776" i="3"/>
  <c r="Z768" i="3"/>
  <c r="Z760" i="3"/>
  <c r="Z752" i="3"/>
  <c r="Z744" i="3"/>
  <c r="Z736" i="3"/>
  <c r="Z728" i="3"/>
  <c r="Z720" i="3"/>
  <c r="Z712" i="3"/>
  <c r="Z704" i="3"/>
  <c r="Z696" i="3"/>
  <c r="Z688" i="3"/>
  <c r="Z680" i="3"/>
  <c r="Z672" i="3"/>
  <c r="Z664" i="3"/>
  <c r="Z656" i="3"/>
  <c r="Z648" i="3"/>
  <c r="Z640" i="3"/>
  <c r="Z632" i="3"/>
  <c r="Z624" i="3"/>
  <c r="Z616" i="3"/>
  <c r="Z608" i="3"/>
  <c r="Z600" i="3"/>
  <c r="Z592" i="3"/>
  <c r="Z584" i="3"/>
  <c r="Z576" i="3"/>
  <c r="Z568" i="3"/>
  <c r="Z560" i="3"/>
  <c r="Z552" i="3"/>
  <c r="Z544" i="3"/>
  <c r="Z536" i="3"/>
  <c r="Z528" i="3"/>
  <c r="Z520" i="3"/>
  <c r="Z512" i="3"/>
  <c r="Z504" i="3"/>
  <c r="Z496" i="3"/>
  <c r="Z488" i="3"/>
  <c r="Z480" i="3"/>
  <c r="Z823" i="3"/>
  <c r="Z791" i="3"/>
  <c r="Z775" i="3"/>
  <c r="Z751" i="3"/>
  <c r="Z727" i="3"/>
  <c r="Z695" i="3"/>
  <c r="Z671" i="3"/>
  <c r="Z639" i="3"/>
  <c r="Z615" i="3"/>
  <c r="Z591" i="3"/>
  <c r="Z567" i="3"/>
  <c r="Z543" i="3"/>
  <c r="Z527" i="3"/>
  <c r="Z503" i="3"/>
  <c r="Z479" i="3"/>
  <c r="Z782" i="3"/>
  <c r="Z831" i="3"/>
  <c r="Z815" i="3"/>
  <c r="Z807" i="3"/>
  <c r="Z799" i="3"/>
  <c r="Z783" i="3"/>
  <c r="Z767" i="3"/>
  <c r="Z759" i="3"/>
  <c r="Z743" i="3"/>
  <c r="Z735" i="3"/>
  <c r="Z719" i="3"/>
  <c r="Z711" i="3"/>
  <c r="Z703" i="3"/>
  <c r="Z687" i="3"/>
  <c r="Z679" i="3"/>
  <c r="Z663" i="3"/>
  <c r="Z655" i="3"/>
  <c r="Z647" i="3"/>
  <c r="Z631" i="3"/>
  <c r="Z623" i="3"/>
  <c r="Z607" i="3"/>
  <c r="Z599" i="3"/>
  <c r="Z583" i="3"/>
  <c r="Z575" i="3"/>
  <c r="Z559" i="3"/>
  <c r="Z551" i="3"/>
  <c r="Z535" i="3"/>
  <c r="Z519" i="3"/>
  <c r="Z511" i="3"/>
  <c r="Z495" i="3"/>
  <c r="Z487" i="3"/>
  <c r="Z830" i="3"/>
  <c r="Z814" i="3"/>
  <c r="Z806" i="3"/>
  <c r="Z798" i="3"/>
  <c r="Z774" i="3"/>
  <c r="Z766" i="3"/>
  <c r="Z758" i="3"/>
  <c r="Z734" i="3"/>
  <c r="Z726" i="3"/>
  <c r="Z718" i="3"/>
  <c r="Z710" i="3"/>
  <c r="Z702" i="3"/>
  <c r="Z694" i="3"/>
  <c r="Z686" i="3"/>
  <c r="Z678" i="3"/>
  <c r="Z670" i="3"/>
  <c r="Z662" i="3"/>
  <c r="Z654" i="3"/>
  <c r="Z638" i="3"/>
  <c r="Z630" i="3"/>
  <c r="Z622" i="3"/>
  <c r="Z614" i="3"/>
  <c r="Z606" i="3"/>
  <c r="Z598" i="3"/>
  <c r="Z590" i="3"/>
  <c r="Z582" i="3"/>
  <c r="Z574" i="3"/>
  <c r="Z566" i="3"/>
  <c r="Z558" i="3"/>
  <c r="Z550" i="3"/>
  <c r="Z542" i="3"/>
  <c r="Z534" i="3"/>
  <c r="Z526" i="3"/>
  <c r="Z518" i="3"/>
  <c r="Z510" i="3"/>
  <c r="Z502" i="3"/>
  <c r="Z494" i="3"/>
  <c r="Z486" i="3"/>
  <c r="Z829" i="3"/>
  <c r="Z821" i="3"/>
  <c r="Z813" i="3"/>
  <c r="Z805" i="3"/>
  <c r="Z797" i="3"/>
  <c r="Z789" i="3"/>
  <c r="Z781" i="3"/>
  <c r="Z773" i="3"/>
  <c r="Z765" i="3"/>
  <c r="Z757" i="3"/>
  <c r="Z749" i="3"/>
  <c r="Z741" i="3"/>
  <c r="Z733" i="3"/>
  <c r="Z725" i="3"/>
  <c r="Z717" i="3"/>
  <c r="Z709" i="3"/>
  <c r="Z701" i="3"/>
  <c r="Z693" i="3"/>
  <c r="Z685" i="3"/>
  <c r="Z677" i="3"/>
  <c r="Z669" i="3"/>
  <c r="Z661" i="3"/>
  <c r="Z653" i="3"/>
  <c r="Z645" i="3"/>
  <c r="Z637" i="3"/>
  <c r="Z629" i="3"/>
  <c r="Z621" i="3"/>
  <c r="Z613" i="3"/>
  <c r="Z605" i="3"/>
  <c r="Z597" i="3"/>
  <c r="Z589" i="3"/>
  <c r="Z581" i="3"/>
  <c r="Z573" i="3"/>
  <c r="Z565" i="3"/>
  <c r="Z557" i="3"/>
  <c r="Z549" i="3"/>
  <c r="Z541" i="3"/>
  <c r="Z533" i="3"/>
  <c r="Z525" i="3"/>
  <c r="Z517" i="3"/>
  <c r="Z509" i="3"/>
  <c r="Z501" i="3"/>
  <c r="Z493" i="3"/>
  <c r="Z485" i="3"/>
  <c r="Z822" i="3"/>
  <c r="Z742" i="3"/>
  <c r="Z646" i="3"/>
  <c r="Z836" i="3"/>
  <c r="Z828" i="3"/>
  <c r="Z820" i="3"/>
  <c r="Z812" i="3"/>
  <c r="Z804" i="3"/>
  <c r="Z796" i="3"/>
  <c r="Z788" i="3"/>
  <c r="Z780" i="3"/>
  <c r="Z772" i="3"/>
  <c r="Z764" i="3"/>
  <c r="Z756" i="3"/>
  <c r="Z748" i="3"/>
  <c r="Z740" i="3"/>
  <c r="Z732" i="3"/>
  <c r="Z724" i="3"/>
  <c r="Z716" i="3"/>
  <c r="Z708" i="3"/>
  <c r="Z700" i="3"/>
  <c r="Z692" i="3"/>
  <c r="Z684" i="3"/>
  <c r="Z676" i="3"/>
  <c r="Z668" i="3"/>
  <c r="Z660" i="3"/>
  <c r="Z652" i="3"/>
  <c r="Z644" i="3"/>
  <c r="Z636" i="3"/>
  <c r="Z628" i="3"/>
  <c r="Z620" i="3"/>
  <c r="Z612" i="3"/>
  <c r="Z604" i="3"/>
  <c r="Z596" i="3"/>
  <c r="Z588" i="3"/>
  <c r="Z580" i="3"/>
  <c r="Z572" i="3"/>
  <c r="Z564" i="3"/>
  <c r="Z556" i="3"/>
  <c r="Z548" i="3"/>
  <c r="Z540" i="3"/>
  <c r="Z532" i="3"/>
  <c r="Z524" i="3"/>
  <c r="Z516" i="3"/>
  <c r="Z508" i="3"/>
  <c r="Z500" i="3"/>
  <c r="Z492" i="3"/>
  <c r="Z484" i="3"/>
  <c r="Z750" i="3"/>
  <c r="Z835" i="3"/>
  <c r="Z827" i="3"/>
  <c r="Z819" i="3"/>
  <c r="Z811" i="3"/>
  <c r="Z803" i="3"/>
  <c r="Z795" i="3"/>
  <c r="Z787" i="3"/>
  <c r="Z779" i="3"/>
  <c r="Z771" i="3"/>
  <c r="Z763" i="3"/>
  <c r="Z755" i="3"/>
  <c r="Z747" i="3"/>
  <c r="Z739" i="3"/>
  <c r="Z731" i="3"/>
  <c r="Z723" i="3"/>
  <c r="Z715" i="3"/>
  <c r="Z707" i="3"/>
  <c r="Z699" i="3"/>
  <c r="Z691" i="3"/>
  <c r="Z683" i="3"/>
  <c r="Z675" i="3"/>
  <c r="Z667" i="3"/>
  <c r="Z659" i="3"/>
  <c r="Z651" i="3"/>
  <c r="Z643" i="3"/>
  <c r="Z635" i="3"/>
  <c r="Z627" i="3"/>
  <c r="Z619" i="3"/>
  <c r="Z611" i="3"/>
  <c r="Z603" i="3"/>
  <c r="Z595" i="3"/>
  <c r="Z587" i="3"/>
  <c r="Z579" i="3"/>
  <c r="Z571" i="3"/>
  <c r="Z563" i="3"/>
  <c r="Z555" i="3"/>
  <c r="Z547" i="3"/>
  <c r="Z539" i="3"/>
  <c r="Z531" i="3"/>
  <c r="Z523" i="3"/>
  <c r="Z515" i="3"/>
  <c r="Z507" i="3"/>
  <c r="Z499" i="3"/>
  <c r="Z491" i="3"/>
  <c r="Z483" i="3"/>
  <c r="Z478" i="3"/>
  <c r="Z474" i="3"/>
  <c r="Z466" i="3"/>
  <c r="Z458" i="3"/>
  <c r="Z473" i="3"/>
  <c r="Z465" i="3"/>
  <c r="Z457" i="3"/>
  <c r="Z472" i="3"/>
  <c r="Z464" i="3"/>
  <c r="Z456" i="3"/>
  <c r="Z471" i="3"/>
  <c r="Z463" i="3"/>
  <c r="Z470" i="3"/>
  <c r="Z462" i="3"/>
  <c r="Z469" i="3"/>
  <c r="Z461" i="3"/>
  <c r="Z476" i="3"/>
  <c r="Z468" i="3"/>
  <c r="Z460" i="3"/>
  <c r="Z475" i="3"/>
  <c r="Z467" i="3"/>
  <c r="Z459" i="3"/>
  <c r="Z455" i="3"/>
  <c r="Z450" i="3"/>
  <c r="Z442" i="3"/>
  <c r="Z434" i="3"/>
  <c r="Z426" i="3"/>
  <c r="Z418" i="3"/>
  <c r="Z410" i="3"/>
  <c r="Z402" i="3"/>
  <c r="Z394" i="3"/>
  <c r="Z386" i="3"/>
  <c r="Z378" i="3"/>
  <c r="Z370" i="3"/>
  <c r="Z362" i="3"/>
  <c r="Z354" i="3"/>
  <c r="Z346" i="3"/>
  <c r="Z338" i="3"/>
  <c r="Z330" i="3"/>
  <c r="Z322" i="3"/>
  <c r="Z314" i="3"/>
  <c r="Z306" i="3"/>
  <c r="Z298" i="3"/>
  <c r="Z290" i="3"/>
  <c r="Z282" i="3"/>
  <c r="Z274" i="3"/>
  <c r="Z266" i="3"/>
  <c r="Z258" i="3"/>
  <c r="Z250" i="3"/>
  <c r="Z242" i="3"/>
  <c r="Z449" i="3"/>
  <c r="Z441" i="3"/>
  <c r="Z433" i="3"/>
  <c r="Z425" i="3"/>
  <c r="Z417" i="3"/>
  <c r="Z409" i="3"/>
  <c r="Z401" i="3"/>
  <c r="Z393" i="3"/>
  <c r="Z385" i="3"/>
  <c r="Z377" i="3"/>
  <c r="Z369" i="3"/>
  <c r="Z361" i="3"/>
  <c r="Z353" i="3"/>
  <c r="Z345" i="3"/>
  <c r="Z337" i="3"/>
  <c r="Z329" i="3"/>
  <c r="Z321" i="3"/>
  <c r="Z313" i="3"/>
  <c r="Z305" i="3"/>
  <c r="Z297" i="3"/>
  <c r="Z289" i="3"/>
  <c r="Z281" i="3"/>
  <c r="Z273" i="3"/>
  <c r="Z265" i="3"/>
  <c r="Z257" i="3"/>
  <c r="Z249" i="3"/>
  <c r="Z241" i="3"/>
  <c r="Z448" i="3"/>
  <c r="Z440" i="3"/>
  <c r="Z432" i="3"/>
  <c r="Z424" i="3"/>
  <c r="Z416" i="3"/>
  <c r="Z408" i="3"/>
  <c r="Z400" i="3"/>
  <c r="Z392" i="3"/>
  <c r="Z384" i="3"/>
  <c r="Z376" i="3"/>
  <c r="Z368" i="3"/>
  <c r="Z360" i="3"/>
  <c r="Z352" i="3"/>
  <c r="Z344" i="3"/>
  <c r="Z336" i="3"/>
  <c r="Z328" i="3"/>
  <c r="Z320" i="3"/>
  <c r="Z312" i="3"/>
  <c r="Z304" i="3"/>
  <c r="Z296" i="3"/>
  <c r="Z288" i="3"/>
  <c r="Z280" i="3"/>
  <c r="Z272" i="3"/>
  <c r="Z264" i="3"/>
  <c r="Z256" i="3"/>
  <c r="Z248" i="3"/>
  <c r="Z240" i="3"/>
  <c r="Z447" i="3"/>
  <c r="Z439" i="3"/>
  <c r="Z431" i="3"/>
  <c r="Z423" i="3"/>
  <c r="Z415" i="3"/>
  <c r="Z407" i="3"/>
  <c r="Z399" i="3"/>
  <c r="Z391" i="3"/>
  <c r="Z383" i="3"/>
  <c r="Z375" i="3"/>
  <c r="Z367" i="3"/>
  <c r="Z359" i="3"/>
  <c r="Z351" i="3"/>
  <c r="Z343" i="3"/>
  <c r="Z335" i="3"/>
  <c r="Z327" i="3"/>
  <c r="Z319" i="3"/>
  <c r="Z311" i="3"/>
  <c r="Z303" i="3"/>
  <c r="Z295" i="3"/>
  <c r="Z287" i="3"/>
  <c r="Z279" i="3"/>
  <c r="Z271" i="3"/>
  <c r="Z263" i="3"/>
  <c r="Z255" i="3"/>
  <c r="Z247" i="3"/>
  <c r="Z239" i="3"/>
  <c r="Z406" i="3"/>
  <c r="Z446" i="3"/>
  <c r="Z438" i="3"/>
  <c r="Z430" i="3"/>
  <c r="Z422" i="3"/>
  <c r="Z414" i="3"/>
  <c r="Z398" i="3"/>
  <c r="Z390" i="3"/>
  <c r="Z382" i="3"/>
  <c r="Z374" i="3"/>
  <c r="Z366" i="3"/>
  <c r="Z358" i="3"/>
  <c r="Z350" i="3"/>
  <c r="Z342" i="3"/>
  <c r="Z334" i="3"/>
  <c r="Z326" i="3"/>
  <c r="Z318" i="3"/>
  <c r="Z310" i="3"/>
  <c r="Z302" i="3"/>
  <c r="Z294" i="3"/>
  <c r="Z286" i="3"/>
  <c r="Z278" i="3"/>
  <c r="Z270" i="3"/>
  <c r="Z262" i="3"/>
  <c r="Z254" i="3"/>
  <c r="Z246" i="3"/>
  <c r="Z453" i="3"/>
  <c r="Z445" i="3"/>
  <c r="Z437" i="3"/>
  <c r="Z429" i="3"/>
  <c r="Z421" i="3"/>
  <c r="Z413" i="3"/>
  <c r="Z405" i="3"/>
  <c r="Z397" i="3"/>
  <c r="Z389" i="3"/>
  <c r="Z381" i="3"/>
  <c r="Z373" i="3"/>
  <c r="Z365" i="3"/>
  <c r="Z357" i="3"/>
  <c r="Z349" i="3"/>
  <c r="Z341" i="3"/>
  <c r="Z333" i="3"/>
  <c r="Z325" i="3"/>
  <c r="Z317" i="3"/>
  <c r="Z309" i="3"/>
  <c r="Z301" i="3"/>
  <c r="Z293" i="3"/>
  <c r="Z285" i="3"/>
  <c r="Z277" i="3"/>
  <c r="Z269" i="3"/>
  <c r="Z261" i="3"/>
  <c r="Z253" i="3"/>
  <c r="Z245" i="3"/>
  <c r="Z452" i="3"/>
  <c r="Z444" i="3"/>
  <c r="Z436" i="3"/>
  <c r="Z428" i="3"/>
  <c r="Z420" i="3"/>
  <c r="Z412" i="3"/>
  <c r="Z404" i="3"/>
  <c r="Z396" i="3"/>
  <c r="Z388" i="3"/>
  <c r="Z380" i="3"/>
  <c r="Z372" i="3"/>
  <c r="Z364" i="3"/>
  <c r="Z356" i="3"/>
  <c r="Z348" i="3"/>
  <c r="Z340" i="3"/>
  <c r="Z332" i="3"/>
  <c r="Z324" i="3"/>
  <c r="Z316" i="3"/>
  <c r="Z308" i="3"/>
  <c r="Z300" i="3"/>
  <c r="Z292" i="3"/>
  <c r="Z284" i="3"/>
  <c r="Z276" i="3"/>
  <c r="Z268" i="3"/>
  <c r="Z260" i="3"/>
  <c r="Z252" i="3"/>
  <c r="Z244" i="3"/>
  <c r="Z451" i="3"/>
  <c r="Z443" i="3"/>
  <c r="Z435" i="3"/>
  <c r="Z427" i="3"/>
  <c r="Z419" i="3"/>
  <c r="Z411" i="3"/>
  <c r="Z403" i="3"/>
  <c r="Z395" i="3"/>
  <c r="Z387" i="3"/>
  <c r="Z379" i="3"/>
  <c r="Z371" i="3"/>
  <c r="Z363" i="3"/>
  <c r="Z355" i="3"/>
  <c r="Z347" i="3"/>
  <c r="Z339" i="3"/>
  <c r="Z331" i="3"/>
  <c r="Z323" i="3"/>
  <c r="Z315" i="3"/>
  <c r="Z307" i="3"/>
  <c r="Z299" i="3"/>
  <c r="Z291" i="3"/>
  <c r="Z283" i="3"/>
  <c r="Z275" i="3"/>
  <c r="Z267" i="3"/>
  <c r="Z259" i="3"/>
  <c r="Z251" i="3"/>
  <c r="Z243" i="3"/>
  <c r="Z238" i="3"/>
  <c r="Z234" i="3"/>
  <c r="Z226" i="3"/>
  <c r="Z218" i="3"/>
  <c r="Z233" i="3"/>
  <c r="Z225" i="3"/>
  <c r="Z217" i="3"/>
  <c r="Z232" i="3"/>
  <c r="Z224" i="3"/>
  <c r="Z216" i="3"/>
  <c r="Z231" i="3"/>
  <c r="Z223" i="3"/>
  <c r="Z215" i="3"/>
  <c r="Z230" i="3"/>
  <c r="Z222" i="3"/>
  <c r="Z214" i="3"/>
  <c r="Z229" i="3"/>
  <c r="Z221" i="3"/>
  <c r="Z213" i="3"/>
  <c r="Z236" i="3"/>
  <c r="Z228" i="3"/>
  <c r="Z220" i="3"/>
  <c r="Z235" i="3"/>
  <c r="Z227" i="3"/>
  <c r="Z219" i="3"/>
  <c r="Z210" i="3"/>
  <c r="Z209" i="3"/>
  <c r="Z212" i="3"/>
  <c r="Z211" i="3"/>
  <c r="Z208" i="3"/>
  <c r="Z202" i="3"/>
  <c r="Z194" i="3"/>
  <c r="Z186" i="3"/>
  <c r="Z178" i="3"/>
  <c r="Z170" i="3"/>
  <c r="Z162" i="3"/>
  <c r="Z154" i="3"/>
  <c r="Z146" i="3"/>
  <c r="Z138" i="3"/>
  <c r="Z130" i="3"/>
  <c r="Z122" i="3"/>
  <c r="Z114" i="3"/>
  <c r="Z106" i="3"/>
  <c r="Z98" i="3"/>
  <c r="Z90" i="3"/>
  <c r="Z82" i="3"/>
  <c r="Z74" i="3"/>
  <c r="Z66" i="3"/>
  <c r="Z58" i="3"/>
  <c r="Z50" i="3"/>
  <c r="Z42" i="3"/>
  <c r="Z34" i="3"/>
  <c r="Z26" i="3"/>
  <c r="Z18" i="3"/>
  <c r="Z10" i="3"/>
  <c r="Z201" i="3"/>
  <c r="Z193" i="3"/>
  <c r="Z185" i="3"/>
  <c r="Z177" i="3"/>
  <c r="Z169" i="3"/>
  <c r="Z161" i="3"/>
  <c r="Z153" i="3"/>
  <c r="Z145" i="3"/>
  <c r="Z137" i="3"/>
  <c r="Z129" i="3"/>
  <c r="Z121" i="3"/>
  <c r="Z113" i="3"/>
  <c r="Z105" i="3"/>
  <c r="Z97" i="3"/>
  <c r="Z89" i="3"/>
  <c r="Z81" i="3"/>
  <c r="Z73" i="3"/>
  <c r="Z65" i="3"/>
  <c r="Z57" i="3"/>
  <c r="Z49" i="3"/>
  <c r="Z41" i="3"/>
  <c r="Z33" i="3"/>
  <c r="Z25" i="3"/>
  <c r="Z17" i="3"/>
  <c r="Z9" i="3"/>
  <c r="Z200" i="3"/>
  <c r="Z192" i="3"/>
  <c r="Z184" i="3"/>
  <c r="Z176" i="3"/>
  <c r="Z168" i="3"/>
  <c r="Z160" i="3"/>
  <c r="Z152" i="3"/>
  <c r="Z144" i="3"/>
  <c r="Z136" i="3"/>
  <c r="Z128" i="3"/>
  <c r="Z120" i="3"/>
  <c r="Z112" i="3"/>
  <c r="Z104" i="3"/>
  <c r="Z96" i="3"/>
  <c r="Z88" i="3"/>
  <c r="Z80" i="3"/>
  <c r="Z72" i="3"/>
  <c r="Z64" i="3"/>
  <c r="Z56" i="3"/>
  <c r="Z48" i="3"/>
  <c r="Z40" i="3"/>
  <c r="Z32" i="3"/>
  <c r="Z24" i="3"/>
  <c r="Z16" i="3"/>
  <c r="Z8" i="3"/>
  <c r="Z199" i="3"/>
  <c r="Z191" i="3"/>
  <c r="Z183" i="3"/>
  <c r="Z175" i="3"/>
  <c r="Z167" i="3"/>
  <c r="Z159" i="3"/>
  <c r="Z151" i="3"/>
  <c r="Z143" i="3"/>
  <c r="Z135" i="3"/>
  <c r="Z127" i="3"/>
  <c r="Z119" i="3"/>
  <c r="Z111" i="3"/>
  <c r="Z103" i="3"/>
  <c r="Z95" i="3"/>
  <c r="Z87" i="3"/>
  <c r="Z79" i="3"/>
  <c r="Z71" i="3"/>
  <c r="Z63" i="3"/>
  <c r="Z55" i="3"/>
  <c r="Z47" i="3"/>
  <c r="Z39" i="3"/>
  <c r="Z31" i="3"/>
  <c r="Z23" i="3"/>
  <c r="Z15" i="3"/>
  <c r="Z7" i="3"/>
  <c r="Z134" i="3"/>
  <c r="Z198" i="3"/>
  <c r="Z190" i="3"/>
  <c r="Z182" i="3"/>
  <c r="Z174" i="3"/>
  <c r="Z166" i="3"/>
  <c r="Z158" i="3"/>
  <c r="Z150" i="3"/>
  <c r="Z142" i="3"/>
  <c r="Z126" i="3"/>
  <c r="Z118" i="3"/>
  <c r="Z110" i="3"/>
  <c r="Z102" i="3"/>
  <c r="Z94" i="3"/>
  <c r="Z86" i="3"/>
  <c r="Z78" i="3"/>
  <c r="Z70" i="3"/>
  <c r="Z62" i="3"/>
  <c r="Z54" i="3"/>
  <c r="Z46" i="3"/>
  <c r="Z38" i="3"/>
  <c r="Z30" i="3"/>
  <c r="Z22" i="3"/>
  <c r="Z14" i="3"/>
  <c r="Z6" i="3"/>
  <c r="Z205" i="3"/>
  <c r="Z197" i="3"/>
  <c r="Z189" i="3"/>
  <c r="Z181" i="3"/>
  <c r="Z173" i="3"/>
  <c r="Z165" i="3"/>
  <c r="Z157" i="3"/>
  <c r="Z149" i="3"/>
  <c r="Z141" i="3"/>
  <c r="Z133" i="3"/>
  <c r="Z125" i="3"/>
  <c r="Z117" i="3"/>
  <c r="Z109" i="3"/>
  <c r="Z101" i="3"/>
  <c r="Z93" i="3"/>
  <c r="Z85" i="3"/>
  <c r="Z77" i="3"/>
  <c r="Z69" i="3"/>
  <c r="Z61" i="3"/>
  <c r="Z53" i="3"/>
  <c r="Z45" i="3"/>
  <c r="Z37" i="3"/>
  <c r="Z29" i="3"/>
  <c r="Z21" i="3"/>
  <c r="Z13" i="3"/>
  <c r="Z5" i="3"/>
  <c r="Z204" i="3"/>
  <c r="Z196" i="3"/>
  <c r="Z188" i="3"/>
  <c r="Z180" i="3"/>
  <c r="Z172" i="3"/>
  <c r="Z164" i="3"/>
  <c r="Z156" i="3"/>
  <c r="Z148" i="3"/>
  <c r="Z140" i="3"/>
  <c r="Z132" i="3"/>
  <c r="Z124" i="3"/>
  <c r="Z116" i="3"/>
  <c r="Z108" i="3"/>
  <c r="Z100" i="3"/>
  <c r="Z92" i="3"/>
  <c r="Z84" i="3"/>
  <c r="Z76" i="3"/>
  <c r="Z68" i="3"/>
  <c r="Z60" i="3"/>
  <c r="Z52" i="3"/>
  <c r="Z44" i="3"/>
  <c r="Z36" i="3"/>
  <c r="Z28" i="3"/>
  <c r="Z20" i="3"/>
  <c r="Z12" i="3"/>
  <c r="Z4" i="3"/>
  <c r="Z203" i="3"/>
  <c r="Z195" i="3"/>
  <c r="Z187" i="3"/>
  <c r="Z179" i="3"/>
  <c r="Z171" i="3"/>
  <c r="Z163" i="3"/>
  <c r="Z155" i="3"/>
  <c r="Z147" i="3"/>
  <c r="Z139" i="3"/>
  <c r="Z131" i="3"/>
  <c r="Z123" i="3"/>
  <c r="Z115" i="3"/>
  <c r="Z107" i="3"/>
  <c r="Z99" i="3"/>
  <c r="Z91" i="3"/>
  <c r="Z83" i="3"/>
  <c r="Z75" i="3"/>
  <c r="Z67" i="3"/>
  <c r="Z59" i="3"/>
  <c r="Z51" i="3"/>
  <c r="Z43" i="3"/>
  <c r="Z35" i="3"/>
  <c r="Z27" i="3"/>
  <c r="Z19" i="3"/>
  <c r="Z11" i="3"/>
  <c r="Z3" i="3"/>
  <c r="Z2" i="3"/>
  <c r="AD844" i="3"/>
  <c r="B843" i="3"/>
  <c r="AB843" i="3" s="1"/>
  <c r="B842" i="3"/>
  <c r="AB842" i="3" s="1"/>
  <c r="AC843" i="3"/>
  <c r="AD842" i="3"/>
  <c r="AC844" i="3"/>
  <c r="AC842" i="3"/>
  <c r="AD843" i="3"/>
  <c r="B844" i="3"/>
  <c r="AB844" i="3" s="1"/>
  <c r="AJ2" i="3"/>
  <c r="AC840" i="3"/>
  <c r="B839" i="3"/>
  <c r="AB839" i="3" s="1"/>
  <c r="AD839" i="3"/>
  <c r="B840" i="3"/>
  <c r="AB840" i="3" s="1"/>
  <c r="AD841" i="3"/>
  <c r="AD840" i="3"/>
  <c r="AC841" i="3"/>
  <c r="AC839" i="3"/>
  <c r="B841" i="3"/>
  <c r="AB841" i="3" s="1"/>
  <c r="B35" i="3"/>
  <c r="AB35" i="3" s="1"/>
  <c r="AJ35" i="3"/>
  <c r="B51" i="3"/>
  <c r="AB51" i="3" s="1"/>
  <c r="AJ51" i="3"/>
  <c r="B29" i="3"/>
  <c r="AB29" i="3" s="1"/>
  <c r="AJ29" i="3"/>
  <c r="AX8" i="3"/>
  <c r="B18" i="3"/>
  <c r="AB18" i="3" s="1"/>
  <c r="AJ18" i="3"/>
  <c r="AC23" i="3"/>
  <c r="AJ23" i="3"/>
  <c r="AC837" i="3"/>
  <c r="AC838" i="3"/>
  <c r="AD837" i="3"/>
  <c r="AD838" i="3"/>
  <c r="B837" i="3"/>
  <c r="AB837" i="3" s="1"/>
  <c r="B838" i="3"/>
  <c r="AB838" i="3" s="1"/>
  <c r="AC84" i="3"/>
  <c r="AJ84" i="3"/>
  <c r="B32" i="2"/>
  <c r="B33" i="2"/>
  <c r="B34" i="2"/>
  <c r="B35" i="2"/>
  <c r="B36" i="2"/>
  <c r="B37" i="2"/>
  <c r="B31" i="2"/>
  <c r="AX2" i="3"/>
  <c r="P123" i="2"/>
  <c r="Y627" i="3"/>
  <c r="X627" i="3"/>
  <c r="V627" i="3"/>
  <c r="W627" i="3"/>
  <c r="Y831" i="3"/>
  <c r="X831" i="3"/>
  <c r="V831" i="3"/>
  <c r="W831" i="3"/>
  <c r="W823" i="3"/>
  <c r="V823" i="3"/>
  <c r="X823" i="3"/>
  <c r="Y823" i="3"/>
  <c r="W815" i="3"/>
  <c r="X815" i="3"/>
  <c r="Y815" i="3"/>
  <c r="V815" i="3"/>
  <c r="X807" i="3"/>
  <c r="W807" i="3"/>
  <c r="Y807" i="3"/>
  <c r="V807" i="3"/>
  <c r="X799" i="3"/>
  <c r="V799" i="3"/>
  <c r="W799" i="3"/>
  <c r="Y799" i="3"/>
  <c r="Y791" i="3"/>
  <c r="W791" i="3"/>
  <c r="V791" i="3"/>
  <c r="X791" i="3"/>
  <c r="Y783" i="3"/>
  <c r="X783" i="3"/>
  <c r="W783" i="3"/>
  <c r="V783" i="3"/>
  <c r="Y775" i="3"/>
  <c r="V775" i="3"/>
  <c r="W775" i="3"/>
  <c r="X775" i="3"/>
  <c r="Y767" i="3"/>
  <c r="X767" i="3"/>
  <c r="W767" i="3"/>
  <c r="V767" i="3"/>
  <c r="Y759" i="3"/>
  <c r="X759" i="3"/>
  <c r="W759" i="3"/>
  <c r="V759" i="3"/>
  <c r="Y751" i="3"/>
  <c r="X751" i="3"/>
  <c r="V751" i="3"/>
  <c r="W751" i="3"/>
  <c r="Y743" i="3"/>
  <c r="V743" i="3"/>
  <c r="X743" i="3"/>
  <c r="W743" i="3"/>
  <c r="Y735" i="3"/>
  <c r="X735" i="3"/>
  <c r="V735" i="3"/>
  <c r="W735" i="3"/>
  <c r="Y727" i="3"/>
  <c r="X727" i="3"/>
  <c r="V727" i="3"/>
  <c r="W727" i="3"/>
  <c r="Y719" i="3"/>
  <c r="X719" i="3"/>
  <c r="V719" i="3"/>
  <c r="W719" i="3"/>
  <c r="Y711" i="3"/>
  <c r="V711" i="3"/>
  <c r="W711" i="3"/>
  <c r="X711" i="3"/>
  <c r="Y703" i="3"/>
  <c r="X703" i="3"/>
  <c r="V703" i="3"/>
  <c r="W703" i="3"/>
  <c r="Y695" i="3"/>
  <c r="W695" i="3"/>
  <c r="X695" i="3"/>
  <c r="V695" i="3"/>
  <c r="Y687" i="3"/>
  <c r="X687" i="3"/>
  <c r="V687" i="3"/>
  <c r="W687" i="3"/>
  <c r="Y679" i="3"/>
  <c r="W679" i="3"/>
  <c r="V679" i="3"/>
  <c r="X679" i="3"/>
  <c r="Y671" i="3"/>
  <c r="X671" i="3"/>
  <c r="V671" i="3"/>
  <c r="W671" i="3"/>
  <c r="Y663" i="3"/>
  <c r="V663" i="3"/>
  <c r="X663" i="3"/>
  <c r="W663" i="3"/>
  <c r="Y655" i="3"/>
  <c r="X655" i="3"/>
  <c r="V655" i="3"/>
  <c r="W655" i="3"/>
  <c r="Y647" i="3"/>
  <c r="W647" i="3"/>
  <c r="V647" i="3"/>
  <c r="X647" i="3"/>
  <c r="X639" i="3"/>
  <c r="V639" i="3"/>
  <c r="W639" i="3"/>
  <c r="Y639" i="3"/>
  <c r="X631" i="3"/>
  <c r="Y631" i="3"/>
  <c r="W631" i="3"/>
  <c r="V631" i="3"/>
  <c r="X623" i="3"/>
  <c r="V623" i="3"/>
  <c r="W623" i="3"/>
  <c r="Y623" i="3"/>
  <c r="W615" i="3"/>
  <c r="X615" i="3"/>
  <c r="Y615" i="3"/>
  <c r="V615" i="3"/>
  <c r="W607" i="3"/>
  <c r="X607" i="3"/>
  <c r="Y607" i="3"/>
  <c r="V607" i="3"/>
  <c r="W599" i="3"/>
  <c r="X599" i="3"/>
  <c r="Y599" i="3"/>
  <c r="V599" i="3"/>
  <c r="W591" i="3"/>
  <c r="X591" i="3"/>
  <c r="Y591" i="3"/>
  <c r="V591" i="3"/>
  <c r="W583" i="3"/>
  <c r="X583" i="3"/>
  <c r="Y583" i="3"/>
  <c r="V583" i="3"/>
  <c r="W575" i="3"/>
  <c r="X575" i="3"/>
  <c r="Y575" i="3"/>
  <c r="V575" i="3"/>
  <c r="W567" i="3"/>
  <c r="X567" i="3"/>
  <c r="Y567" i="3"/>
  <c r="V567" i="3"/>
  <c r="W559" i="3"/>
  <c r="X559" i="3"/>
  <c r="Y559" i="3"/>
  <c r="V559" i="3"/>
  <c r="W551" i="3"/>
  <c r="X551" i="3"/>
  <c r="Y551" i="3"/>
  <c r="V551" i="3"/>
  <c r="W543" i="3"/>
  <c r="X543" i="3"/>
  <c r="Y543" i="3"/>
  <c r="V543" i="3"/>
  <c r="W535" i="3"/>
  <c r="X535" i="3"/>
  <c r="Y535" i="3"/>
  <c r="V535" i="3"/>
  <c r="W527" i="3"/>
  <c r="X527" i="3"/>
  <c r="Y527" i="3"/>
  <c r="V527" i="3"/>
  <c r="W519" i="3"/>
  <c r="X519" i="3"/>
  <c r="Y519" i="3"/>
  <c r="V519" i="3"/>
  <c r="W511" i="3"/>
  <c r="X511" i="3"/>
  <c r="Y511" i="3"/>
  <c r="V511" i="3"/>
  <c r="Y503" i="3"/>
  <c r="X503" i="3"/>
  <c r="W503" i="3"/>
  <c r="V503" i="3"/>
  <c r="V495" i="3"/>
  <c r="W495" i="3"/>
  <c r="X495" i="3"/>
  <c r="Y495" i="3"/>
  <c r="X487" i="3"/>
  <c r="Y487" i="3"/>
  <c r="W487" i="3"/>
  <c r="V487" i="3"/>
  <c r="V479" i="3"/>
  <c r="W479" i="3"/>
  <c r="X479" i="3"/>
  <c r="Y479" i="3"/>
  <c r="V471" i="3"/>
  <c r="W471" i="3"/>
  <c r="X471" i="3"/>
  <c r="Y471" i="3"/>
  <c r="V463" i="3"/>
  <c r="W463" i="3"/>
  <c r="X463" i="3"/>
  <c r="Y463" i="3"/>
  <c r="V455" i="3"/>
  <c r="Y455" i="3"/>
  <c r="W455" i="3"/>
  <c r="X455" i="3"/>
  <c r="V447" i="3"/>
  <c r="W447" i="3"/>
  <c r="X447" i="3"/>
  <c r="Y447" i="3"/>
  <c r="V439" i="3"/>
  <c r="Y439" i="3"/>
  <c r="W439" i="3"/>
  <c r="X439" i="3"/>
  <c r="V431" i="3"/>
  <c r="W431" i="3"/>
  <c r="X431" i="3"/>
  <c r="Y431" i="3"/>
  <c r="V423" i="3"/>
  <c r="Y423" i="3"/>
  <c r="W423" i="3"/>
  <c r="X423" i="3"/>
  <c r="V415" i="3"/>
  <c r="W415" i="3"/>
  <c r="X415" i="3"/>
  <c r="Y415" i="3"/>
  <c r="V407" i="3"/>
  <c r="Y407" i="3"/>
  <c r="W407" i="3"/>
  <c r="X407" i="3"/>
  <c r="V399" i="3"/>
  <c r="W399" i="3"/>
  <c r="X399" i="3"/>
  <c r="Y399" i="3"/>
  <c r="V391" i="3"/>
  <c r="Y391" i="3"/>
  <c r="W391" i="3"/>
  <c r="X391" i="3"/>
  <c r="V383" i="3"/>
  <c r="W383" i="3"/>
  <c r="X383" i="3"/>
  <c r="Y383" i="3"/>
  <c r="V375" i="3"/>
  <c r="Y375" i="3"/>
  <c r="W375" i="3"/>
  <c r="X375" i="3"/>
  <c r="V367" i="3"/>
  <c r="W367" i="3"/>
  <c r="X367" i="3"/>
  <c r="Y367" i="3"/>
  <c r="V359" i="3"/>
  <c r="Y359" i="3"/>
  <c r="W359" i="3"/>
  <c r="X359" i="3"/>
  <c r="V351" i="3"/>
  <c r="W351" i="3"/>
  <c r="X351" i="3"/>
  <c r="Y351" i="3"/>
  <c r="V343" i="3"/>
  <c r="Y343" i="3"/>
  <c r="W343" i="3"/>
  <c r="X343" i="3"/>
  <c r="V335" i="3"/>
  <c r="W335" i="3"/>
  <c r="X335" i="3"/>
  <c r="Y335" i="3"/>
  <c r="V327" i="3"/>
  <c r="Y327" i="3"/>
  <c r="W327" i="3"/>
  <c r="X327" i="3"/>
  <c r="V319" i="3"/>
  <c r="W319" i="3"/>
  <c r="X319" i="3"/>
  <c r="Y319" i="3"/>
  <c r="V311" i="3"/>
  <c r="Y311" i="3"/>
  <c r="W311" i="3"/>
  <c r="X311" i="3"/>
  <c r="V303" i="3"/>
  <c r="Y303" i="3"/>
  <c r="W303" i="3"/>
  <c r="X303" i="3"/>
  <c r="X295" i="3"/>
  <c r="Y295" i="3"/>
  <c r="W295" i="3"/>
  <c r="V295" i="3"/>
  <c r="V287" i="3"/>
  <c r="W287" i="3"/>
  <c r="X287" i="3"/>
  <c r="Y287" i="3"/>
  <c r="X279" i="3"/>
  <c r="Y279" i="3"/>
  <c r="W279" i="3"/>
  <c r="V279" i="3"/>
  <c r="V271" i="3"/>
  <c r="Y271" i="3"/>
  <c r="W271" i="3"/>
  <c r="X271" i="3"/>
  <c r="X263" i="3"/>
  <c r="Y263" i="3"/>
  <c r="W263" i="3"/>
  <c r="V263" i="3"/>
  <c r="V255" i="3"/>
  <c r="W255" i="3"/>
  <c r="X255" i="3"/>
  <c r="Y255" i="3"/>
  <c r="X247" i="3"/>
  <c r="Y247" i="3"/>
  <c r="W247" i="3"/>
  <c r="V247" i="3"/>
  <c r="V239" i="3"/>
  <c r="Y239" i="3"/>
  <c r="W239" i="3"/>
  <c r="X239" i="3"/>
  <c r="W231" i="3"/>
  <c r="Y231" i="3"/>
  <c r="V231" i="3"/>
  <c r="X231" i="3"/>
  <c r="W223" i="3"/>
  <c r="V223" i="3"/>
  <c r="X223" i="3"/>
  <c r="Y223" i="3"/>
  <c r="W215" i="3"/>
  <c r="X215" i="3"/>
  <c r="Y215" i="3"/>
  <c r="V215" i="3"/>
  <c r="W207" i="3"/>
  <c r="X207" i="3"/>
  <c r="Y207" i="3"/>
  <c r="V207" i="3"/>
  <c r="W199" i="3"/>
  <c r="X199" i="3"/>
  <c r="Y199" i="3"/>
  <c r="V199" i="3"/>
  <c r="W191" i="3"/>
  <c r="X191" i="3"/>
  <c r="Y191" i="3"/>
  <c r="V191" i="3"/>
  <c r="W183" i="3"/>
  <c r="X183" i="3"/>
  <c r="Y183" i="3"/>
  <c r="V183" i="3"/>
  <c r="W175" i="3"/>
  <c r="X175" i="3"/>
  <c r="Y175" i="3"/>
  <c r="V175" i="3"/>
  <c r="W167" i="3"/>
  <c r="X167" i="3"/>
  <c r="Y167" i="3"/>
  <c r="V167" i="3"/>
  <c r="W159" i="3"/>
  <c r="X159" i="3"/>
  <c r="Y159" i="3"/>
  <c r="V159" i="3"/>
  <c r="W151" i="3"/>
  <c r="X151" i="3"/>
  <c r="Y151" i="3"/>
  <c r="V151" i="3"/>
  <c r="W143" i="3"/>
  <c r="X143" i="3"/>
  <c r="Y143" i="3"/>
  <c r="V143" i="3"/>
  <c r="Y135" i="3"/>
  <c r="W135" i="3"/>
  <c r="X135" i="3"/>
  <c r="V135" i="3"/>
  <c r="Y127" i="3"/>
  <c r="W127" i="3"/>
  <c r="X127" i="3"/>
  <c r="V127" i="3"/>
  <c r="Y119" i="3"/>
  <c r="W119" i="3"/>
  <c r="X119" i="3"/>
  <c r="V119" i="3"/>
  <c r="Y111" i="3"/>
  <c r="W111" i="3"/>
  <c r="V111" i="3"/>
  <c r="X111" i="3"/>
  <c r="Y103" i="3"/>
  <c r="W103" i="3"/>
  <c r="X103" i="3"/>
  <c r="V103" i="3"/>
  <c r="Y95" i="3"/>
  <c r="W95" i="3"/>
  <c r="X95" i="3"/>
  <c r="V95" i="3"/>
  <c r="Y87" i="3"/>
  <c r="W87" i="3"/>
  <c r="X87" i="3"/>
  <c r="V87" i="3"/>
  <c r="Y79" i="3"/>
  <c r="V79" i="3"/>
  <c r="W79" i="3"/>
  <c r="X79" i="3"/>
  <c r="Y71" i="3"/>
  <c r="W71" i="3"/>
  <c r="X71" i="3"/>
  <c r="V71" i="3"/>
  <c r="Y63" i="3"/>
  <c r="V63" i="3"/>
  <c r="W63" i="3"/>
  <c r="X63" i="3"/>
  <c r="Y55" i="3"/>
  <c r="W55" i="3"/>
  <c r="X55" i="3"/>
  <c r="V55" i="3"/>
  <c r="Y47" i="3"/>
  <c r="V47" i="3"/>
  <c r="W47" i="3"/>
  <c r="X47" i="3"/>
  <c r="Y39" i="3"/>
  <c r="W39" i="3"/>
  <c r="X39" i="3"/>
  <c r="V39" i="3"/>
  <c r="Y31" i="3"/>
  <c r="V31" i="3"/>
  <c r="W31" i="3"/>
  <c r="X31" i="3"/>
  <c r="V23" i="3"/>
  <c r="Y23" i="3"/>
  <c r="W23" i="3"/>
  <c r="X23" i="3"/>
  <c r="V15" i="3"/>
  <c r="Y15" i="3"/>
  <c r="W15" i="3"/>
  <c r="X15" i="3"/>
  <c r="V7" i="3"/>
  <c r="Y7" i="3"/>
  <c r="W7" i="3"/>
  <c r="X7" i="3"/>
  <c r="W830" i="3"/>
  <c r="V830" i="3"/>
  <c r="Y830" i="3"/>
  <c r="X830" i="3"/>
  <c r="W822" i="3"/>
  <c r="Y822" i="3"/>
  <c r="V822" i="3"/>
  <c r="X822" i="3"/>
  <c r="W814" i="3"/>
  <c r="V814" i="3"/>
  <c r="X814" i="3"/>
  <c r="Y814" i="3"/>
  <c r="W806" i="3"/>
  <c r="V806" i="3"/>
  <c r="X806" i="3"/>
  <c r="Y806" i="3"/>
  <c r="W798" i="3"/>
  <c r="V798" i="3"/>
  <c r="X798" i="3"/>
  <c r="Y798" i="3"/>
  <c r="W790" i="3"/>
  <c r="X790" i="3"/>
  <c r="Y790" i="3"/>
  <c r="V790" i="3"/>
  <c r="W782" i="3"/>
  <c r="X782" i="3"/>
  <c r="Y782" i="3"/>
  <c r="V782" i="3"/>
  <c r="W774" i="3"/>
  <c r="X774" i="3"/>
  <c r="Y774" i="3"/>
  <c r="V774" i="3"/>
  <c r="W766" i="3"/>
  <c r="X766" i="3"/>
  <c r="Y766" i="3"/>
  <c r="V766" i="3"/>
  <c r="W758" i="3"/>
  <c r="X758" i="3"/>
  <c r="Y758" i="3"/>
  <c r="V758" i="3"/>
  <c r="W750" i="3"/>
  <c r="X750" i="3"/>
  <c r="Y750" i="3"/>
  <c r="V750" i="3"/>
  <c r="W742" i="3"/>
  <c r="X742" i="3"/>
  <c r="Y742" i="3"/>
  <c r="V742" i="3"/>
  <c r="W734" i="3"/>
  <c r="X734" i="3"/>
  <c r="Y734" i="3"/>
  <c r="V734" i="3"/>
  <c r="W726" i="3"/>
  <c r="X726" i="3"/>
  <c r="Y726" i="3"/>
  <c r="V726" i="3"/>
  <c r="W718" i="3"/>
  <c r="X718" i="3"/>
  <c r="Y718" i="3"/>
  <c r="V718" i="3"/>
  <c r="W710" i="3"/>
  <c r="X710" i="3"/>
  <c r="Y710" i="3"/>
  <c r="V710" i="3"/>
  <c r="W702" i="3"/>
  <c r="X702" i="3"/>
  <c r="Y702" i="3"/>
  <c r="V702" i="3"/>
  <c r="W694" i="3"/>
  <c r="X694" i="3"/>
  <c r="Y694" i="3"/>
  <c r="V694" i="3"/>
  <c r="W686" i="3"/>
  <c r="X686" i="3"/>
  <c r="Y686" i="3"/>
  <c r="V686" i="3"/>
  <c r="W678" i="3"/>
  <c r="X678" i="3"/>
  <c r="Y678" i="3"/>
  <c r="V678" i="3"/>
  <c r="W670" i="3"/>
  <c r="X670" i="3"/>
  <c r="Y670" i="3"/>
  <c r="V670" i="3"/>
  <c r="W662" i="3"/>
  <c r="X662" i="3"/>
  <c r="Y662" i="3"/>
  <c r="V662" i="3"/>
  <c r="W654" i="3"/>
  <c r="X654" i="3"/>
  <c r="Y654" i="3"/>
  <c r="V654" i="3"/>
  <c r="W646" i="3"/>
  <c r="X646" i="3"/>
  <c r="Y646" i="3"/>
  <c r="V646" i="3"/>
  <c r="Y638" i="3"/>
  <c r="X638" i="3"/>
  <c r="V638" i="3"/>
  <c r="W638" i="3"/>
  <c r="V630" i="3"/>
  <c r="W630" i="3"/>
  <c r="X630" i="3"/>
  <c r="Y630" i="3"/>
  <c r="X622" i="3"/>
  <c r="Y622" i="3"/>
  <c r="W622" i="3"/>
  <c r="V622" i="3"/>
  <c r="V614" i="3"/>
  <c r="W614" i="3"/>
  <c r="X614" i="3"/>
  <c r="Y614" i="3"/>
  <c r="V606" i="3"/>
  <c r="Y606" i="3"/>
  <c r="W606" i="3"/>
  <c r="X606" i="3"/>
  <c r="V598" i="3"/>
  <c r="W598" i="3"/>
  <c r="X598" i="3"/>
  <c r="Y598" i="3"/>
  <c r="V590" i="3"/>
  <c r="X590" i="3"/>
  <c r="W590" i="3"/>
  <c r="Y590" i="3"/>
  <c r="V582" i="3"/>
  <c r="W582" i="3"/>
  <c r="X582" i="3"/>
  <c r="Y582" i="3"/>
  <c r="V574" i="3"/>
  <c r="Y574" i="3"/>
  <c r="W574" i="3"/>
  <c r="X574" i="3"/>
  <c r="V566" i="3"/>
  <c r="W566" i="3"/>
  <c r="X566" i="3"/>
  <c r="Y566" i="3"/>
  <c r="V558" i="3"/>
  <c r="W558" i="3"/>
  <c r="X558" i="3"/>
  <c r="Y558" i="3"/>
  <c r="V550" i="3"/>
  <c r="W550" i="3"/>
  <c r="X550" i="3"/>
  <c r="Y550" i="3"/>
  <c r="V542" i="3"/>
  <c r="Y542" i="3"/>
  <c r="W542" i="3"/>
  <c r="X542" i="3"/>
  <c r="V534" i="3"/>
  <c r="W534" i="3"/>
  <c r="X534" i="3"/>
  <c r="Y534" i="3"/>
  <c r="V526" i="3"/>
  <c r="X526" i="3"/>
  <c r="W526" i="3"/>
  <c r="Y526" i="3"/>
  <c r="V518" i="3"/>
  <c r="W518" i="3"/>
  <c r="X518" i="3"/>
  <c r="Y518" i="3"/>
  <c r="Y510" i="3"/>
  <c r="X510" i="3"/>
  <c r="V510" i="3"/>
  <c r="W510" i="3"/>
  <c r="Y502" i="3"/>
  <c r="V502" i="3"/>
  <c r="W502" i="3"/>
  <c r="X502" i="3"/>
  <c r="Y494" i="3"/>
  <c r="X494" i="3"/>
  <c r="V494" i="3"/>
  <c r="W494" i="3"/>
  <c r="Y486" i="3"/>
  <c r="V486" i="3"/>
  <c r="W486" i="3"/>
  <c r="X486" i="3"/>
  <c r="Y478" i="3"/>
  <c r="W478" i="3"/>
  <c r="X478" i="3"/>
  <c r="V478" i="3"/>
  <c r="Y470" i="3"/>
  <c r="V470" i="3"/>
  <c r="W470" i="3"/>
  <c r="X470" i="3"/>
  <c r="Y462" i="3"/>
  <c r="X462" i="3"/>
  <c r="W462" i="3"/>
  <c r="V462" i="3"/>
  <c r="Y454" i="3"/>
  <c r="X454" i="3"/>
  <c r="V454" i="3"/>
  <c r="W454" i="3"/>
  <c r="Y446" i="3"/>
  <c r="X446" i="3"/>
  <c r="W446" i="3"/>
  <c r="V446" i="3"/>
  <c r="Y438" i="3"/>
  <c r="X438" i="3"/>
  <c r="V438" i="3"/>
  <c r="W438" i="3"/>
  <c r="Y430" i="3"/>
  <c r="X430" i="3"/>
  <c r="W430" i="3"/>
  <c r="V430" i="3"/>
  <c r="Y422" i="3"/>
  <c r="X422" i="3"/>
  <c r="V422" i="3"/>
  <c r="W422" i="3"/>
  <c r="Y414" i="3"/>
  <c r="X414" i="3"/>
  <c r="W414" i="3"/>
  <c r="V414" i="3"/>
  <c r="Y406" i="3"/>
  <c r="X406" i="3"/>
  <c r="V406" i="3"/>
  <c r="W406" i="3"/>
  <c r="Y398" i="3"/>
  <c r="X398" i="3"/>
  <c r="W398" i="3"/>
  <c r="V398" i="3"/>
  <c r="Y390" i="3"/>
  <c r="X390" i="3"/>
  <c r="V390" i="3"/>
  <c r="W390" i="3"/>
  <c r="Y382" i="3"/>
  <c r="X382" i="3"/>
  <c r="W382" i="3"/>
  <c r="V382" i="3"/>
  <c r="Y374" i="3"/>
  <c r="X374" i="3"/>
  <c r="V374" i="3"/>
  <c r="W374" i="3"/>
  <c r="Y366" i="3"/>
  <c r="X366" i="3"/>
  <c r="W366" i="3"/>
  <c r="V366" i="3"/>
  <c r="Y358" i="3"/>
  <c r="X358" i="3"/>
  <c r="V358" i="3"/>
  <c r="W358" i="3"/>
  <c r="Y350" i="3"/>
  <c r="X350" i="3"/>
  <c r="W350" i="3"/>
  <c r="V350" i="3"/>
  <c r="Y342" i="3"/>
  <c r="X342" i="3"/>
  <c r="V342" i="3"/>
  <c r="W342" i="3"/>
  <c r="Y334" i="3"/>
  <c r="X334" i="3"/>
  <c r="W334" i="3"/>
  <c r="V334" i="3"/>
  <c r="Y326" i="3"/>
  <c r="X326" i="3"/>
  <c r="V326" i="3"/>
  <c r="W326" i="3"/>
  <c r="Y318" i="3"/>
  <c r="X318" i="3"/>
  <c r="W318" i="3"/>
  <c r="V318" i="3"/>
  <c r="Y310" i="3"/>
  <c r="X310" i="3"/>
  <c r="V310" i="3"/>
  <c r="W310" i="3"/>
  <c r="X302" i="3"/>
  <c r="Y302" i="3"/>
  <c r="W302" i="3"/>
  <c r="V302" i="3"/>
  <c r="X294" i="3"/>
  <c r="Y294" i="3"/>
  <c r="W294" i="3"/>
  <c r="V294" i="3"/>
  <c r="X286" i="3"/>
  <c r="Y286" i="3"/>
  <c r="W286" i="3"/>
  <c r="V286" i="3"/>
  <c r="X278" i="3"/>
  <c r="Y278" i="3"/>
  <c r="W278" i="3"/>
  <c r="V278" i="3"/>
  <c r="X270" i="3"/>
  <c r="Y270" i="3"/>
  <c r="W270" i="3"/>
  <c r="V270" i="3"/>
  <c r="X262" i="3"/>
  <c r="Y262" i="3"/>
  <c r="W262" i="3"/>
  <c r="V262" i="3"/>
  <c r="X254" i="3"/>
  <c r="Y254" i="3"/>
  <c r="W254" i="3"/>
  <c r="V254" i="3"/>
  <c r="X246" i="3"/>
  <c r="Y246" i="3"/>
  <c r="W246" i="3"/>
  <c r="V246" i="3"/>
  <c r="X238" i="3"/>
  <c r="Y238" i="3"/>
  <c r="W238" i="3"/>
  <c r="V238" i="3"/>
  <c r="V230" i="3"/>
  <c r="W230" i="3"/>
  <c r="X230" i="3"/>
  <c r="Y230" i="3"/>
  <c r="Y222" i="3"/>
  <c r="X222" i="3"/>
  <c r="V222" i="3"/>
  <c r="W222" i="3"/>
  <c r="V214" i="3"/>
  <c r="W214" i="3"/>
  <c r="X214" i="3"/>
  <c r="Y214" i="3"/>
  <c r="V206" i="3"/>
  <c r="X206" i="3"/>
  <c r="Y206" i="3"/>
  <c r="W206" i="3"/>
  <c r="V198" i="3"/>
  <c r="X198" i="3"/>
  <c r="W198" i="3"/>
  <c r="Y198" i="3"/>
  <c r="V190" i="3"/>
  <c r="X190" i="3"/>
  <c r="Y190" i="3"/>
  <c r="W190" i="3"/>
  <c r="V182" i="3"/>
  <c r="X182" i="3"/>
  <c r="W182" i="3"/>
  <c r="Y182" i="3"/>
  <c r="V174" i="3"/>
  <c r="X174" i="3"/>
  <c r="Y174" i="3"/>
  <c r="W174" i="3"/>
  <c r="V166" i="3"/>
  <c r="X166" i="3"/>
  <c r="W166" i="3"/>
  <c r="Y166" i="3"/>
  <c r="V158" i="3"/>
  <c r="X158" i="3"/>
  <c r="Y158" i="3"/>
  <c r="W158" i="3"/>
  <c r="V150" i="3"/>
  <c r="X150" i="3"/>
  <c r="W150" i="3"/>
  <c r="Y150" i="3"/>
  <c r="V142" i="3"/>
  <c r="X142" i="3"/>
  <c r="Y142" i="3"/>
  <c r="W142" i="3"/>
  <c r="W134" i="3"/>
  <c r="X134" i="3"/>
  <c r="Y134" i="3"/>
  <c r="V134" i="3"/>
  <c r="W126" i="3"/>
  <c r="X126" i="3"/>
  <c r="Y126" i="3"/>
  <c r="V126" i="3"/>
  <c r="W118" i="3"/>
  <c r="X118" i="3"/>
  <c r="Y118" i="3"/>
  <c r="V118" i="3"/>
  <c r="W110" i="3"/>
  <c r="X110" i="3"/>
  <c r="Y110" i="3"/>
  <c r="V110" i="3"/>
  <c r="W102" i="3"/>
  <c r="X102" i="3"/>
  <c r="Y102" i="3"/>
  <c r="V102" i="3"/>
  <c r="W94" i="3"/>
  <c r="X94" i="3"/>
  <c r="Y94" i="3"/>
  <c r="V94" i="3"/>
  <c r="W86" i="3"/>
  <c r="X86" i="3"/>
  <c r="Y86" i="3"/>
  <c r="V86" i="3"/>
  <c r="W78" i="3"/>
  <c r="X78" i="3"/>
  <c r="Y78" i="3"/>
  <c r="V78" i="3"/>
  <c r="W70" i="3"/>
  <c r="X70" i="3"/>
  <c r="Y70" i="3"/>
  <c r="V70" i="3"/>
  <c r="W62" i="3"/>
  <c r="X62" i="3"/>
  <c r="Y62" i="3"/>
  <c r="V62" i="3"/>
  <c r="W54" i="3"/>
  <c r="X54" i="3"/>
  <c r="Y54" i="3"/>
  <c r="V54" i="3"/>
  <c r="W46" i="3"/>
  <c r="X46" i="3"/>
  <c r="Y46" i="3"/>
  <c r="V46" i="3"/>
  <c r="W38" i="3"/>
  <c r="X38" i="3"/>
  <c r="Y38" i="3"/>
  <c r="V38" i="3"/>
  <c r="W30" i="3"/>
  <c r="X30" i="3"/>
  <c r="Y30" i="3"/>
  <c r="V30" i="3"/>
  <c r="W22" i="3"/>
  <c r="X22" i="3"/>
  <c r="Y22" i="3"/>
  <c r="V22" i="3"/>
  <c r="W14" i="3"/>
  <c r="X14" i="3"/>
  <c r="Y14" i="3"/>
  <c r="V14" i="3"/>
  <c r="W6" i="3"/>
  <c r="X6" i="3"/>
  <c r="Y6" i="3"/>
  <c r="V6" i="3"/>
  <c r="W829" i="3"/>
  <c r="X829" i="3"/>
  <c r="Y829" i="3"/>
  <c r="V829" i="3"/>
  <c r="X821" i="3"/>
  <c r="V821" i="3"/>
  <c r="W821" i="3"/>
  <c r="Y821" i="3"/>
  <c r="X813" i="3"/>
  <c r="Y813" i="3"/>
  <c r="W813" i="3"/>
  <c r="V813" i="3"/>
  <c r="W805" i="3"/>
  <c r="X805" i="3"/>
  <c r="V805" i="3"/>
  <c r="Y805" i="3"/>
  <c r="V797" i="3"/>
  <c r="W797" i="3"/>
  <c r="X797" i="3"/>
  <c r="Y797" i="3"/>
  <c r="V789" i="3"/>
  <c r="X789" i="3"/>
  <c r="W789" i="3"/>
  <c r="Y789" i="3"/>
  <c r="V781" i="3"/>
  <c r="W781" i="3"/>
  <c r="X781" i="3"/>
  <c r="Y781" i="3"/>
  <c r="V773" i="3"/>
  <c r="X773" i="3"/>
  <c r="W773" i="3"/>
  <c r="Y773" i="3"/>
  <c r="V765" i="3"/>
  <c r="Y765" i="3"/>
  <c r="W765" i="3"/>
  <c r="X765" i="3"/>
  <c r="V757" i="3"/>
  <c r="W757" i="3"/>
  <c r="X757" i="3"/>
  <c r="Y757" i="3"/>
  <c r="V749" i="3"/>
  <c r="W749" i="3"/>
  <c r="X749" i="3"/>
  <c r="Y749" i="3"/>
  <c r="V741" i="3"/>
  <c r="W741" i="3"/>
  <c r="X741" i="3"/>
  <c r="Y741" i="3"/>
  <c r="V733" i="3"/>
  <c r="W733" i="3"/>
  <c r="Y733" i="3"/>
  <c r="X733" i="3"/>
  <c r="V725" i="3"/>
  <c r="W725" i="3"/>
  <c r="X725" i="3"/>
  <c r="Y725" i="3"/>
  <c r="V717" i="3"/>
  <c r="W717" i="3"/>
  <c r="Y717" i="3"/>
  <c r="X717" i="3"/>
  <c r="V709" i="3"/>
  <c r="W709" i="3"/>
  <c r="X709" i="3"/>
  <c r="Y709" i="3"/>
  <c r="V701" i="3"/>
  <c r="Y701" i="3"/>
  <c r="W701" i="3"/>
  <c r="X701" i="3"/>
  <c r="V693" i="3"/>
  <c r="W693" i="3"/>
  <c r="X693" i="3"/>
  <c r="Y693" i="3"/>
  <c r="V685" i="3"/>
  <c r="W685" i="3"/>
  <c r="X685" i="3"/>
  <c r="Y685" i="3"/>
  <c r="V677" i="3"/>
  <c r="W677" i="3"/>
  <c r="X677" i="3"/>
  <c r="Y677" i="3"/>
  <c r="V669" i="3"/>
  <c r="W669" i="3"/>
  <c r="Y669" i="3"/>
  <c r="X669" i="3"/>
  <c r="V661" i="3"/>
  <c r="W661" i="3"/>
  <c r="X661" i="3"/>
  <c r="Y661" i="3"/>
  <c r="V653" i="3"/>
  <c r="W653" i="3"/>
  <c r="Y653" i="3"/>
  <c r="X653" i="3"/>
  <c r="Y645" i="3"/>
  <c r="V645" i="3"/>
  <c r="W645" i="3"/>
  <c r="X645" i="3"/>
  <c r="V637" i="3"/>
  <c r="W637" i="3"/>
  <c r="X637" i="3"/>
  <c r="Y637" i="3"/>
  <c r="Y629" i="3"/>
  <c r="X629" i="3"/>
  <c r="W629" i="3"/>
  <c r="V629" i="3"/>
  <c r="V621" i="3"/>
  <c r="W621" i="3"/>
  <c r="Y621" i="3"/>
  <c r="X621" i="3"/>
  <c r="Y613" i="3"/>
  <c r="X613" i="3"/>
  <c r="W613" i="3"/>
  <c r="V613" i="3"/>
  <c r="Y605" i="3"/>
  <c r="X605" i="3"/>
  <c r="V605" i="3"/>
  <c r="W605" i="3"/>
  <c r="Y597" i="3"/>
  <c r="X597" i="3"/>
  <c r="W597" i="3"/>
  <c r="V597" i="3"/>
  <c r="Y589" i="3"/>
  <c r="X589" i="3"/>
  <c r="V589" i="3"/>
  <c r="W589" i="3"/>
  <c r="Y581" i="3"/>
  <c r="X581" i="3"/>
  <c r="W581" i="3"/>
  <c r="V581" i="3"/>
  <c r="Y573" i="3"/>
  <c r="X573" i="3"/>
  <c r="V573" i="3"/>
  <c r="W573" i="3"/>
  <c r="Y565" i="3"/>
  <c r="X565" i="3"/>
  <c r="W565" i="3"/>
  <c r="V565" i="3"/>
  <c r="Y557" i="3"/>
  <c r="X557" i="3"/>
  <c r="V557" i="3"/>
  <c r="W557" i="3"/>
  <c r="Y549" i="3"/>
  <c r="X549" i="3"/>
  <c r="W549" i="3"/>
  <c r="V549" i="3"/>
  <c r="Y541" i="3"/>
  <c r="X541" i="3"/>
  <c r="V541" i="3"/>
  <c r="W541" i="3"/>
  <c r="Y533" i="3"/>
  <c r="X533" i="3"/>
  <c r="W533" i="3"/>
  <c r="V533" i="3"/>
  <c r="Y525" i="3"/>
  <c r="X525" i="3"/>
  <c r="V525" i="3"/>
  <c r="W525" i="3"/>
  <c r="Y517" i="3"/>
  <c r="X517" i="3"/>
  <c r="W517" i="3"/>
  <c r="V517" i="3"/>
  <c r="V509" i="3"/>
  <c r="X509" i="3"/>
  <c r="Y509" i="3"/>
  <c r="W509" i="3"/>
  <c r="V501" i="3"/>
  <c r="W501" i="3"/>
  <c r="X501" i="3"/>
  <c r="Y501" i="3"/>
  <c r="V493" i="3"/>
  <c r="W493" i="3"/>
  <c r="X493" i="3"/>
  <c r="Y493" i="3"/>
  <c r="V485" i="3"/>
  <c r="Y485" i="3"/>
  <c r="X485" i="3"/>
  <c r="W485" i="3"/>
  <c r="V477" i="3"/>
  <c r="W477" i="3"/>
  <c r="X477" i="3"/>
  <c r="Y477" i="3"/>
  <c r="V469" i="3"/>
  <c r="W469" i="3"/>
  <c r="X469" i="3"/>
  <c r="Y469" i="3"/>
  <c r="V461" i="3"/>
  <c r="W461" i="3"/>
  <c r="X461" i="3"/>
  <c r="Y461" i="3"/>
  <c r="V453" i="3"/>
  <c r="W453" i="3"/>
  <c r="X453" i="3"/>
  <c r="Y453" i="3"/>
  <c r="V445" i="3"/>
  <c r="W445" i="3"/>
  <c r="X445" i="3"/>
  <c r="Y445" i="3"/>
  <c r="V437" i="3"/>
  <c r="W437" i="3"/>
  <c r="X437" i="3"/>
  <c r="Y437" i="3"/>
  <c r="V429" i="3"/>
  <c r="W429" i="3"/>
  <c r="X429" i="3"/>
  <c r="Y429" i="3"/>
  <c r="V421" i="3"/>
  <c r="W421" i="3"/>
  <c r="X421" i="3"/>
  <c r="Y421" i="3"/>
  <c r="V413" i="3"/>
  <c r="W413" i="3"/>
  <c r="X413" i="3"/>
  <c r="Y413" i="3"/>
  <c r="V405" i="3"/>
  <c r="W405" i="3"/>
  <c r="X405" i="3"/>
  <c r="Y405" i="3"/>
  <c r="V397" i="3"/>
  <c r="W397" i="3"/>
  <c r="X397" i="3"/>
  <c r="Y397" i="3"/>
  <c r="V389" i="3"/>
  <c r="W389" i="3"/>
  <c r="X389" i="3"/>
  <c r="Y389" i="3"/>
  <c r="V381" i="3"/>
  <c r="W381" i="3"/>
  <c r="X381" i="3"/>
  <c r="Y381" i="3"/>
  <c r="V373" i="3"/>
  <c r="W373" i="3"/>
  <c r="X373" i="3"/>
  <c r="Y373" i="3"/>
  <c r="V365" i="3"/>
  <c r="W365" i="3"/>
  <c r="X365" i="3"/>
  <c r="Y365" i="3"/>
  <c r="V357" i="3"/>
  <c r="W357" i="3"/>
  <c r="X357" i="3"/>
  <c r="Y357" i="3"/>
  <c r="V349" i="3"/>
  <c r="W349" i="3"/>
  <c r="X349" i="3"/>
  <c r="Y349" i="3"/>
  <c r="V341" i="3"/>
  <c r="W341" i="3"/>
  <c r="X341" i="3"/>
  <c r="Y341" i="3"/>
  <c r="V333" i="3"/>
  <c r="W333" i="3"/>
  <c r="X333" i="3"/>
  <c r="Y333" i="3"/>
  <c r="V325" i="3"/>
  <c r="W325" i="3"/>
  <c r="X325" i="3"/>
  <c r="Y325" i="3"/>
  <c r="V317" i="3"/>
  <c r="W317" i="3"/>
  <c r="X317" i="3"/>
  <c r="Y317" i="3"/>
  <c r="W309" i="3"/>
  <c r="V309" i="3"/>
  <c r="X309" i="3"/>
  <c r="Y309" i="3"/>
  <c r="V301" i="3"/>
  <c r="W301" i="3"/>
  <c r="Y301" i="3"/>
  <c r="X301" i="3"/>
  <c r="V293" i="3"/>
  <c r="W293" i="3"/>
  <c r="X293" i="3"/>
  <c r="Y293" i="3"/>
  <c r="V285" i="3"/>
  <c r="W285" i="3"/>
  <c r="Y285" i="3"/>
  <c r="X285" i="3"/>
  <c r="V277" i="3"/>
  <c r="W277" i="3"/>
  <c r="X277" i="3"/>
  <c r="Y277" i="3"/>
  <c r="V269" i="3"/>
  <c r="W269" i="3"/>
  <c r="Y269" i="3"/>
  <c r="X269" i="3"/>
  <c r="V261" i="3"/>
  <c r="W261" i="3"/>
  <c r="X261" i="3"/>
  <c r="Y261" i="3"/>
  <c r="V253" i="3"/>
  <c r="W253" i="3"/>
  <c r="Y253" i="3"/>
  <c r="X253" i="3"/>
  <c r="V245" i="3"/>
  <c r="W245" i="3"/>
  <c r="X245" i="3"/>
  <c r="Y245" i="3"/>
  <c r="V237" i="3"/>
  <c r="W237" i="3"/>
  <c r="Y237" i="3"/>
  <c r="X237" i="3"/>
  <c r="Y229" i="3"/>
  <c r="V229" i="3"/>
  <c r="W229" i="3"/>
  <c r="X229" i="3"/>
  <c r="Y221" i="3"/>
  <c r="V221" i="3"/>
  <c r="W221" i="3"/>
  <c r="X221" i="3"/>
  <c r="Y213" i="3"/>
  <c r="V213" i="3"/>
  <c r="W213" i="3"/>
  <c r="X213" i="3"/>
  <c r="Y205" i="3"/>
  <c r="X205" i="3"/>
  <c r="V205" i="3"/>
  <c r="W205" i="3"/>
  <c r="Y197" i="3"/>
  <c r="W197" i="3"/>
  <c r="X197" i="3"/>
  <c r="V197" i="3"/>
  <c r="Y189" i="3"/>
  <c r="V189" i="3"/>
  <c r="W189" i="3"/>
  <c r="X189" i="3"/>
  <c r="Y181" i="3"/>
  <c r="W181" i="3"/>
  <c r="X181" i="3"/>
  <c r="V181" i="3"/>
  <c r="Y173" i="3"/>
  <c r="X173" i="3"/>
  <c r="V173" i="3"/>
  <c r="W173" i="3"/>
  <c r="Y165" i="3"/>
  <c r="W165" i="3"/>
  <c r="X165" i="3"/>
  <c r="V165" i="3"/>
  <c r="Y157" i="3"/>
  <c r="V157" i="3"/>
  <c r="X157" i="3"/>
  <c r="W157" i="3"/>
  <c r="Y149" i="3"/>
  <c r="W149" i="3"/>
  <c r="X149" i="3"/>
  <c r="V149" i="3"/>
  <c r="Y141" i="3"/>
  <c r="V141" i="3"/>
  <c r="W141" i="3"/>
  <c r="X141" i="3"/>
  <c r="V133" i="3"/>
  <c r="W133" i="3"/>
  <c r="Y133" i="3"/>
  <c r="X133" i="3"/>
  <c r="V125" i="3"/>
  <c r="Y125" i="3"/>
  <c r="X125" i="3"/>
  <c r="W125" i="3"/>
  <c r="V117" i="3"/>
  <c r="W117" i="3"/>
  <c r="Y117" i="3"/>
  <c r="X117" i="3"/>
  <c r="V109" i="3"/>
  <c r="Y109" i="3"/>
  <c r="W109" i="3"/>
  <c r="X109" i="3"/>
  <c r="V101" i="3"/>
  <c r="W101" i="3"/>
  <c r="Y101" i="3"/>
  <c r="X101" i="3"/>
  <c r="V93" i="3"/>
  <c r="Y93" i="3"/>
  <c r="W93" i="3"/>
  <c r="X93" i="3"/>
  <c r="V85" i="3"/>
  <c r="W85" i="3"/>
  <c r="X85" i="3"/>
  <c r="Y85" i="3"/>
  <c r="V77" i="3"/>
  <c r="Y77" i="3"/>
  <c r="W77" i="3"/>
  <c r="X77" i="3"/>
  <c r="V69" i="3"/>
  <c r="W69" i="3"/>
  <c r="X69" i="3"/>
  <c r="Y69" i="3"/>
  <c r="V61" i="3"/>
  <c r="Y61" i="3"/>
  <c r="W61" i="3"/>
  <c r="X61" i="3"/>
  <c r="V53" i="3"/>
  <c r="W53" i="3"/>
  <c r="X53" i="3"/>
  <c r="Y53" i="3"/>
  <c r="V45" i="3"/>
  <c r="Y45" i="3"/>
  <c r="W45" i="3"/>
  <c r="X45" i="3"/>
  <c r="V37" i="3"/>
  <c r="W37" i="3"/>
  <c r="X37" i="3"/>
  <c r="Y37" i="3"/>
  <c r="V29" i="3"/>
  <c r="Y29" i="3"/>
  <c r="W29" i="3"/>
  <c r="X29" i="3"/>
  <c r="V21" i="3"/>
  <c r="W21" i="3"/>
  <c r="X21" i="3"/>
  <c r="Y21" i="3"/>
  <c r="V13" i="3"/>
  <c r="W13" i="3"/>
  <c r="X13" i="3"/>
  <c r="Y13" i="3"/>
  <c r="V5" i="3"/>
  <c r="W5" i="3"/>
  <c r="X5" i="3"/>
  <c r="Y5" i="3"/>
  <c r="X836" i="3"/>
  <c r="Y836" i="3"/>
  <c r="V836" i="3"/>
  <c r="W836" i="3"/>
  <c r="Y828" i="3"/>
  <c r="V828" i="3"/>
  <c r="W828" i="3"/>
  <c r="X828" i="3"/>
  <c r="Y820" i="3"/>
  <c r="V820" i="3"/>
  <c r="X820" i="3"/>
  <c r="W820" i="3"/>
  <c r="Y812" i="3"/>
  <c r="V812" i="3"/>
  <c r="W812" i="3"/>
  <c r="X812" i="3"/>
  <c r="Y804" i="3"/>
  <c r="W804" i="3"/>
  <c r="X804" i="3"/>
  <c r="V804" i="3"/>
  <c r="Y796" i="3"/>
  <c r="W796" i="3"/>
  <c r="V796" i="3"/>
  <c r="X796" i="3"/>
  <c r="Y788" i="3"/>
  <c r="X788" i="3"/>
  <c r="W788" i="3"/>
  <c r="V788" i="3"/>
  <c r="Y780" i="3"/>
  <c r="X780" i="3"/>
  <c r="W780" i="3"/>
  <c r="V780" i="3"/>
  <c r="Y772" i="3"/>
  <c r="X772" i="3"/>
  <c r="W772" i="3"/>
  <c r="V772" i="3"/>
  <c r="Y764" i="3"/>
  <c r="X764" i="3"/>
  <c r="W764" i="3"/>
  <c r="V764" i="3"/>
  <c r="Y756" i="3"/>
  <c r="X756" i="3"/>
  <c r="W756" i="3"/>
  <c r="V756" i="3"/>
  <c r="Y748" i="3"/>
  <c r="X748" i="3"/>
  <c r="W748" i="3"/>
  <c r="V748" i="3"/>
  <c r="Y740" i="3"/>
  <c r="X740" i="3"/>
  <c r="V740" i="3"/>
  <c r="W740" i="3"/>
  <c r="Y732" i="3"/>
  <c r="X732" i="3"/>
  <c r="W732" i="3"/>
  <c r="V732" i="3"/>
  <c r="Y724" i="3"/>
  <c r="X724" i="3"/>
  <c r="V724" i="3"/>
  <c r="W724" i="3"/>
  <c r="Y716" i="3"/>
  <c r="X716" i="3"/>
  <c r="W716" i="3"/>
  <c r="V716" i="3"/>
  <c r="Y708" i="3"/>
  <c r="X708" i="3"/>
  <c r="V708" i="3"/>
  <c r="W708" i="3"/>
  <c r="Y700" i="3"/>
  <c r="X700" i="3"/>
  <c r="W700" i="3"/>
  <c r="V700" i="3"/>
  <c r="Y692" i="3"/>
  <c r="X692" i="3"/>
  <c r="V692" i="3"/>
  <c r="W692" i="3"/>
  <c r="Y684" i="3"/>
  <c r="X684" i="3"/>
  <c r="W684" i="3"/>
  <c r="V684" i="3"/>
  <c r="Y676" i="3"/>
  <c r="X676" i="3"/>
  <c r="V676" i="3"/>
  <c r="W676" i="3"/>
  <c r="Y668" i="3"/>
  <c r="X668" i="3"/>
  <c r="W668" i="3"/>
  <c r="V668" i="3"/>
  <c r="Y660" i="3"/>
  <c r="X660" i="3"/>
  <c r="V660" i="3"/>
  <c r="W660" i="3"/>
  <c r="Y652" i="3"/>
  <c r="X652" i="3"/>
  <c r="W652" i="3"/>
  <c r="V652" i="3"/>
  <c r="W644" i="3"/>
  <c r="X644" i="3"/>
  <c r="Y644" i="3"/>
  <c r="V644" i="3"/>
  <c r="W636" i="3"/>
  <c r="V636" i="3"/>
  <c r="X636" i="3"/>
  <c r="Y636" i="3"/>
  <c r="W628" i="3"/>
  <c r="V628" i="3"/>
  <c r="X628" i="3"/>
  <c r="Y628" i="3"/>
  <c r="V620" i="3"/>
  <c r="W620" i="3"/>
  <c r="X620" i="3"/>
  <c r="Y620" i="3"/>
  <c r="V612" i="3"/>
  <c r="W612" i="3"/>
  <c r="X612" i="3"/>
  <c r="Y612" i="3"/>
  <c r="V604" i="3"/>
  <c r="W604" i="3"/>
  <c r="X604" i="3"/>
  <c r="Y604" i="3"/>
  <c r="V596" i="3"/>
  <c r="W596" i="3"/>
  <c r="X596" i="3"/>
  <c r="Y596" i="3"/>
  <c r="V588" i="3"/>
  <c r="W588" i="3"/>
  <c r="X588" i="3"/>
  <c r="Y588" i="3"/>
  <c r="V580" i="3"/>
  <c r="W580" i="3"/>
  <c r="X580" i="3"/>
  <c r="Y580" i="3"/>
  <c r="V572" i="3"/>
  <c r="W572" i="3"/>
  <c r="X572" i="3"/>
  <c r="Y572" i="3"/>
  <c r="V564" i="3"/>
  <c r="W564" i="3"/>
  <c r="X564" i="3"/>
  <c r="Y564" i="3"/>
  <c r="V556" i="3"/>
  <c r="W556" i="3"/>
  <c r="X556" i="3"/>
  <c r="Y556" i="3"/>
  <c r="V548" i="3"/>
  <c r="W548" i="3"/>
  <c r="X548" i="3"/>
  <c r="Y548" i="3"/>
  <c r="V540" i="3"/>
  <c r="W540" i="3"/>
  <c r="X540" i="3"/>
  <c r="Y540" i="3"/>
  <c r="V532" i="3"/>
  <c r="W532" i="3"/>
  <c r="X532" i="3"/>
  <c r="Y532" i="3"/>
  <c r="V524" i="3"/>
  <c r="W524" i="3"/>
  <c r="X524" i="3"/>
  <c r="Y524" i="3"/>
  <c r="V516" i="3"/>
  <c r="W516" i="3"/>
  <c r="X516" i="3"/>
  <c r="Y516" i="3"/>
  <c r="V508" i="3"/>
  <c r="W508" i="3"/>
  <c r="X508" i="3"/>
  <c r="Y508" i="3"/>
  <c r="W500" i="3"/>
  <c r="X500" i="3"/>
  <c r="Y500" i="3"/>
  <c r="V500" i="3"/>
  <c r="Y492" i="3"/>
  <c r="V492" i="3"/>
  <c r="W492" i="3"/>
  <c r="X492" i="3"/>
  <c r="V484" i="3"/>
  <c r="W484" i="3"/>
  <c r="X484" i="3"/>
  <c r="Y484" i="3"/>
  <c r="X476" i="3"/>
  <c r="Y476" i="3"/>
  <c r="W476" i="3"/>
  <c r="V476" i="3"/>
  <c r="Y468" i="3"/>
  <c r="X468" i="3"/>
  <c r="V468" i="3"/>
  <c r="W468" i="3"/>
  <c r="V460" i="3"/>
  <c r="W460" i="3"/>
  <c r="X460" i="3"/>
  <c r="Y460" i="3"/>
  <c r="Y452" i="3"/>
  <c r="X452" i="3"/>
  <c r="V452" i="3"/>
  <c r="W452" i="3"/>
  <c r="V444" i="3"/>
  <c r="W444" i="3"/>
  <c r="X444" i="3"/>
  <c r="Y444" i="3"/>
  <c r="Y436" i="3"/>
  <c r="X436" i="3"/>
  <c r="V436" i="3"/>
  <c r="W436" i="3"/>
  <c r="V428" i="3"/>
  <c r="W428" i="3"/>
  <c r="X428" i="3"/>
  <c r="Y428" i="3"/>
  <c r="Y420" i="3"/>
  <c r="X420" i="3"/>
  <c r="V420" i="3"/>
  <c r="W420" i="3"/>
  <c r="V412" i="3"/>
  <c r="W412" i="3"/>
  <c r="X412" i="3"/>
  <c r="Y412" i="3"/>
  <c r="Y404" i="3"/>
  <c r="X404" i="3"/>
  <c r="V404" i="3"/>
  <c r="W404" i="3"/>
  <c r="V396" i="3"/>
  <c r="W396" i="3"/>
  <c r="X396" i="3"/>
  <c r="Y396" i="3"/>
  <c r="Y388" i="3"/>
  <c r="X388" i="3"/>
  <c r="V388" i="3"/>
  <c r="W388" i="3"/>
  <c r="V380" i="3"/>
  <c r="W380" i="3"/>
  <c r="X380" i="3"/>
  <c r="Y380" i="3"/>
  <c r="Y372" i="3"/>
  <c r="X372" i="3"/>
  <c r="V372" i="3"/>
  <c r="W372" i="3"/>
  <c r="V364" i="3"/>
  <c r="W364" i="3"/>
  <c r="X364" i="3"/>
  <c r="Y364" i="3"/>
  <c r="Y356" i="3"/>
  <c r="X356" i="3"/>
  <c r="V356" i="3"/>
  <c r="W356" i="3"/>
  <c r="V348" i="3"/>
  <c r="W348" i="3"/>
  <c r="X348" i="3"/>
  <c r="Y348" i="3"/>
  <c r="Y340" i="3"/>
  <c r="X340" i="3"/>
  <c r="V340" i="3"/>
  <c r="W340" i="3"/>
  <c r="V332" i="3"/>
  <c r="W332" i="3"/>
  <c r="X332" i="3"/>
  <c r="Y332" i="3"/>
  <c r="Y324" i="3"/>
  <c r="X324" i="3"/>
  <c r="V324" i="3"/>
  <c r="W324" i="3"/>
  <c r="V316" i="3"/>
  <c r="W316" i="3"/>
  <c r="X316" i="3"/>
  <c r="Y316" i="3"/>
  <c r="Y308" i="3"/>
  <c r="X308" i="3"/>
  <c r="W308" i="3"/>
  <c r="V308" i="3"/>
  <c r="Y300" i="3"/>
  <c r="V300" i="3"/>
  <c r="W300" i="3"/>
  <c r="X300" i="3"/>
  <c r="Y292" i="3"/>
  <c r="W292" i="3"/>
  <c r="X292" i="3"/>
  <c r="V292" i="3"/>
  <c r="Y284" i="3"/>
  <c r="X284" i="3"/>
  <c r="V284" i="3"/>
  <c r="W284" i="3"/>
  <c r="Y276" i="3"/>
  <c r="W276" i="3"/>
  <c r="X276" i="3"/>
  <c r="V276" i="3"/>
  <c r="Y268" i="3"/>
  <c r="V268" i="3"/>
  <c r="W268" i="3"/>
  <c r="X268" i="3"/>
  <c r="Y260" i="3"/>
  <c r="W260" i="3"/>
  <c r="X260" i="3"/>
  <c r="V260" i="3"/>
  <c r="Y252" i="3"/>
  <c r="X252" i="3"/>
  <c r="V252" i="3"/>
  <c r="W252" i="3"/>
  <c r="Y244" i="3"/>
  <c r="W244" i="3"/>
  <c r="X244" i="3"/>
  <c r="V244" i="3"/>
  <c r="Y236" i="3"/>
  <c r="V236" i="3"/>
  <c r="W236" i="3"/>
  <c r="X236" i="3"/>
  <c r="V228" i="3"/>
  <c r="W228" i="3"/>
  <c r="X228" i="3"/>
  <c r="Y228" i="3"/>
  <c r="V220" i="3"/>
  <c r="Y220" i="3"/>
  <c r="W220" i="3"/>
  <c r="X220" i="3"/>
  <c r="V212" i="3"/>
  <c r="W212" i="3"/>
  <c r="X212" i="3"/>
  <c r="Y212" i="3"/>
  <c r="V204" i="3"/>
  <c r="W204" i="3"/>
  <c r="X204" i="3"/>
  <c r="Y204" i="3"/>
  <c r="V196" i="3"/>
  <c r="W196" i="3"/>
  <c r="X196" i="3"/>
  <c r="Y196" i="3"/>
  <c r="V188" i="3"/>
  <c r="W188" i="3"/>
  <c r="X188" i="3"/>
  <c r="Y188" i="3"/>
  <c r="V180" i="3"/>
  <c r="W180" i="3"/>
  <c r="X180" i="3"/>
  <c r="Y180" i="3"/>
  <c r="V172" i="3"/>
  <c r="W172" i="3"/>
  <c r="X172" i="3"/>
  <c r="Y172" i="3"/>
  <c r="V164" i="3"/>
  <c r="W164" i="3"/>
  <c r="X164" i="3"/>
  <c r="Y164" i="3"/>
  <c r="V156" i="3"/>
  <c r="W156" i="3"/>
  <c r="X156" i="3"/>
  <c r="Y156" i="3"/>
  <c r="V148" i="3"/>
  <c r="W148" i="3"/>
  <c r="X148" i="3"/>
  <c r="Y148" i="3"/>
  <c r="V140" i="3"/>
  <c r="W140" i="3"/>
  <c r="X140" i="3"/>
  <c r="Y140" i="3"/>
  <c r="Y132" i="3"/>
  <c r="X132" i="3"/>
  <c r="V132" i="3"/>
  <c r="W132" i="3"/>
  <c r="Y124" i="3"/>
  <c r="X124" i="3"/>
  <c r="V124" i="3"/>
  <c r="W124" i="3"/>
  <c r="Y116" i="3"/>
  <c r="X116" i="3"/>
  <c r="V116" i="3"/>
  <c r="W116" i="3"/>
  <c r="Y108" i="3"/>
  <c r="X108" i="3"/>
  <c r="V108" i="3"/>
  <c r="W108" i="3"/>
  <c r="Y100" i="3"/>
  <c r="X100" i="3"/>
  <c r="V100" i="3"/>
  <c r="W100" i="3"/>
  <c r="Y92" i="3"/>
  <c r="X92" i="3"/>
  <c r="V92" i="3"/>
  <c r="W92" i="3"/>
  <c r="Y84" i="3"/>
  <c r="X84" i="3"/>
  <c r="V84" i="3"/>
  <c r="W84" i="3"/>
  <c r="Y76" i="3"/>
  <c r="X76" i="3"/>
  <c r="V76" i="3"/>
  <c r="W76" i="3"/>
  <c r="Y68" i="3"/>
  <c r="X68" i="3"/>
  <c r="V68" i="3"/>
  <c r="W68" i="3"/>
  <c r="Y60" i="3"/>
  <c r="X60" i="3"/>
  <c r="V60" i="3"/>
  <c r="W60" i="3"/>
  <c r="Y52" i="3"/>
  <c r="X52" i="3"/>
  <c r="V52" i="3"/>
  <c r="W52" i="3"/>
  <c r="Y44" i="3"/>
  <c r="X44" i="3"/>
  <c r="V44" i="3"/>
  <c r="W44" i="3"/>
  <c r="Y36" i="3"/>
  <c r="X36" i="3"/>
  <c r="V36" i="3"/>
  <c r="W36" i="3"/>
  <c r="Y28" i="3"/>
  <c r="X28" i="3"/>
  <c r="V28" i="3"/>
  <c r="W28" i="3"/>
  <c r="Y20" i="3"/>
  <c r="X20" i="3"/>
  <c r="V20" i="3"/>
  <c r="W20" i="3"/>
  <c r="Y12" i="3"/>
  <c r="X12" i="3"/>
  <c r="V12" i="3"/>
  <c r="W12" i="3"/>
  <c r="Y4" i="3"/>
  <c r="X4" i="3"/>
  <c r="V4" i="3"/>
  <c r="W4" i="3"/>
  <c r="X835" i="3"/>
  <c r="V835" i="3"/>
  <c r="W835" i="3"/>
  <c r="Y835" i="3"/>
  <c r="V827" i="3"/>
  <c r="W827" i="3"/>
  <c r="X827" i="3"/>
  <c r="Y827" i="3"/>
  <c r="V819" i="3"/>
  <c r="W819" i="3"/>
  <c r="X819" i="3"/>
  <c r="Y819" i="3"/>
  <c r="V811" i="3"/>
  <c r="Y811" i="3"/>
  <c r="W811" i="3"/>
  <c r="X811" i="3"/>
  <c r="V803" i="3"/>
  <c r="Y803" i="3"/>
  <c r="X803" i="3"/>
  <c r="W803" i="3"/>
  <c r="V795" i="3"/>
  <c r="W795" i="3"/>
  <c r="X795" i="3"/>
  <c r="Y795" i="3"/>
  <c r="V787" i="3"/>
  <c r="W787" i="3"/>
  <c r="X787" i="3"/>
  <c r="Y787" i="3"/>
  <c r="V779" i="3"/>
  <c r="W779" i="3"/>
  <c r="X779" i="3"/>
  <c r="Y779" i="3"/>
  <c r="V771" i="3"/>
  <c r="W771" i="3"/>
  <c r="X771" i="3"/>
  <c r="Y771" i="3"/>
  <c r="V763" i="3"/>
  <c r="W763" i="3"/>
  <c r="X763" i="3"/>
  <c r="Y763" i="3"/>
  <c r="V755" i="3"/>
  <c r="W755" i="3"/>
  <c r="X755" i="3"/>
  <c r="Y755" i="3"/>
  <c r="V747" i="3"/>
  <c r="W747" i="3"/>
  <c r="X747" i="3"/>
  <c r="Y747" i="3"/>
  <c r="V739" i="3"/>
  <c r="W739" i="3"/>
  <c r="X739" i="3"/>
  <c r="Y739" i="3"/>
  <c r="V731" i="3"/>
  <c r="W731" i="3"/>
  <c r="X731" i="3"/>
  <c r="Y731" i="3"/>
  <c r="V723" i="3"/>
  <c r="W723" i="3"/>
  <c r="X723" i="3"/>
  <c r="Y723" i="3"/>
  <c r="V715" i="3"/>
  <c r="W715" i="3"/>
  <c r="X715" i="3"/>
  <c r="Y715" i="3"/>
  <c r="V707" i="3"/>
  <c r="W707" i="3"/>
  <c r="X707" i="3"/>
  <c r="Y707" i="3"/>
  <c r="V699" i="3"/>
  <c r="W699" i="3"/>
  <c r="X699" i="3"/>
  <c r="Y699" i="3"/>
  <c r="V691" i="3"/>
  <c r="W691" i="3"/>
  <c r="X691" i="3"/>
  <c r="Y691" i="3"/>
  <c r="V683" i="3"/>
  <c r="W683" i="3"/>
  <c r="X683" i="3"/>
  <c r="Y683" i="3"/>
  <c r="V675" i="3"/>
  <c r="W675" i="3"/>
  <c r="X675" i="3"/>
  <c r="Y675" i="3"/>
  <c r="V667" i="3"/>
  <c r="W667" i="3"/>
  <c r="X667" i="3"/>
  <c r="Y667" i="3"/>
  <c r="V659" i="3"/>
  <c r="W659" i="3"/>
  <c r="X659" i="3"/>
  <c r="Y659" i="3"/>
  <c r="V651" i="3"/>
  <c r="W651" i="3"/>
  <c r="X651" i="3"/>
  <c r="Y651" i="3"/>
  <c r="V643" i="3"/>
  <c r="W643" i="3"/>
  <c r="X643" i="3"/>
  <c r="Y643" i="3"/>
  <c r="W635" i="3"/>
  <c r="X635" i="3"/>
  <c r="Y635" i="3"/>
  <c r="V635" i="3"/>
  <c r="V595" i="3"/>
  <c r="W595" i="3"/>
  <c r="X595" i="3"/>
  <c r="Y595" i="3"/>
  <c r="Y587" i="3"/>
  <c r="X587" i="3"/>
  <c r="V587" i="3"/>
  <c r="W587" i="3"/>
  <c r="V579" i="3"/>
  <c r="W579" i="3"/>
  <c r="X579" i="3"/>
  <c r="Y579" i="3"/>
  <c r="Y571" i="3"/>
  <c r="V571" i="3"/>
  <c r="X571" i="3"/>
  <c r="W571" i="3"/>
  <c r="V563" i="3"/>
  <c r="W563" i="3"/>
  <c r="X563" i="3"/>
  <c r="Y563" i="3"/>
  <c r="Y555" i="3"/>
  <c r="X555" i="3"/>
  <c r="V555" i="3"/>
  <c r="W555" i="3"/>
  <c r="V547" i="3"/>
  <c r="W547" i="3"/>
  <c r="X547" i="3"/>
  <c r="Y547" i="3"/>
  <c r="Y539" i="3"/>
  <c r="V539" i="3"/>
  <c r="W539" i="3"/>
  <c r="X539" i="3"/>
  <c r="V531" i="3"/>
  <c r="W531" i="3"/>
  <c r="X531" i="3"/>
  <c r="Y531" i="3"/>
  <c r="Y523" i="3"/>
  <c r="X523" i="3"/>
  <c r="V523" i="3"/>
  <c r="W523" i="3"/>
  <c r="V515" i="3"/>
  <c r="W515" i="3"/>
  <c r="X515" i="3"/>
  <c r="Y515" i="3"/>
  <c r="X507" i="3"/>
  <c r="Y507" i="3"/>
  <c r="W507" i="3"/>
  <c r="V507" i="3"/>
  <c r="X499" i="3"/>
  <c r="W499" i="3"/>
  <c r="V499" i="3"/>
  <c r="Y499" i="3"/>
  <c r="X491" i="3"/>
  <c r="V491" i="3"/>
  <c r="W491" i="3"/>
  <c r="Y491" i="3"/>
  <c r="X483" i="3"/>
  <c r="Y483" i="3"/>
  <c r="V483" i="3"/>
  <c r="W483" i="3"/>
  <c r="X475" i="3"/>
  <c r="V475" i="3"/>
  <c r="W475" i="3"/>
  <c r="Y475" i="3"/>
  <c r="X467" i="3"/>
  <c r="Y467" i="3"/>
  <c r="W467" i="3"/>
  <c r="V467" i="3"/>
  <c r="X459" i="3"/>
  <c r="Y459" i="3"/>
  <c r="W459" i="3"/>
  <c r="V459" i="3"/>
  <c r="X451" i="3"/>
  <c r="Y451" i="3"/>
  <c r="W451" i="3"/>
  <c r="V451" i="3"/>
  <c r="X443" i="3"/>
  <c r="Y443" i="3"/>
  <c r="W443" i="3"/>
  <c r="V443" i="3"/>
  <c r="X435" i="3"/>
  <c r="Y435" i="3"/>
  <c r="W435" i="3"/>
  <c r="V435" i="3"/>
  <c r="X427" i="3"/>
  <c r="Y427" i="3"/>
  <c r="W427" i="3"/>
  <c r="V427" i="3"/>
  <c r="X419" i="3"/>
  <c r="Y419" i="3"/>
  <c r="W419" i="3"/>
  <c r="V419" i="3"/>
  <c r="X411" i="3"/>
  <c r="Y411" i="3"/>
  <c r="W411" i="3"/>
  <c r="V411" i="3"/>
  <c r="X403" i="3"/>
  <c r="Y403" i="3"/>
  <c r="W403" i="3"/>
  <c r="V403" i="3"/>
  <c r="X395" i="3"/>
  <c r="Y395" i="3"/>
  <c r="W395" i="3"/>
  <c r="V395" i="3"/>
  <c r="X387" i="3"/>
  <c r="Y387" i="3"/>
  <c r="W387" i="3"/>
  <c r="V387" i="3"/>
  <c r="X379" i="3"/>
  <c r="Y379" i="3"/>
  <c r="W379" i="3"/>
  <c r="V379" i="3"/>
  <c r="X371" i="3"/>
  <c r="Y371" i="3"/>
  <c r="W371" i="3"/>
  <c r="V371" i="3"/>
  <c r="X363" i="3"/>
  <c r="Y363" i="3"/>
  <c r="W363" i="3"/>
  <c r="V363" i="3"/>
  <c r="X355" i="3"/>
  <c r="Y355" i="3"/>
  <c r="W355" i="3"/>
  <c r="V355" i="3"/>
  <c r="X347" i="3"/>
  <c r="Y347" i="3"/>
  <c r="W347" i="3"/>
  <c r="V347" i="3"/>
  <c r="X339" i="3"/>
  <c r="Y339" i="3"/>
  <c r="W339" i="3"/>
  <c r="V339" i="3"/>
  <c r="X331" i="3"/>
  <c r="Y331" i="3"/>
  <c r="W331" i="3"/>
  <c r="V331" i="3"/>
  <c r="X323" i="3"/>
  <c r="Y323" i="3"/>
  <c r="W323" i="3"/>
  <c r="V323" i="3"/>
  <c r="X315" i="3"/>
  <c r="Y315" i="3"/>
  <c r="W315" i="3"/>
  <c r="V315" i="3"/>
  <c r="Y307" i="3"/>
  <c r="V307" i="3"/>
  <c r="W307" i="3"/>
  <c r="X307" i="3"/>
  <c r="W299" i="3"/>
  <c r="X299" i="3"/>
  <c r="Y299" i="3"/>
  <c r="V299" i="3"/>
  <c r="W291" i="3"/>
  <c r="X291" i="3"/>
  <c r="Y291" i="3"/>
  <c r="V291" i="3"/>
  <c r="W283" i="3"/>
  <c r="X283" i="3"/>
  <c r="Y283" i="3"/>
  <c r="V283" i="3"/>
  <c r="W275" i="3"/>
  <c r="X275" i="3"/>
  <c r="Y275" i="3"/>
  <c r="V275" i="3"/>
  <c r="W267" i="3"/>
  <c r="X267" i="3"/>
  <c r="Y267" i="3"/>
  <c r="V267" i="3"/>
  <c r="W259" i="3"/>
  <c r="X259" i="3"/>
  <c r="Y259" i="3"/>
  <c r="V259" i="3"/>
  <c r="W251" i="3"/>
  <c r="X251" i="3"/>
  <c r="Y251" i="3"/>
  <c r="V251" i="3"/>
  <c r="W243" i="3"/>
  <c r="X243" i="3"/>
  <c r="Y243" i="3"/>
  <c r="V243" i="3"/>
  <c r="W235" i="3"/>
  <c r="X235" i="3"/>
  <c r="Y235" i="3"/>
  <c r="V235" i="3"/>
  <c r="X227" i="3"/>
  <c r="Y227" i="3"/>
  <c r="V227" i="3"/>
  <c r="W227" i="3"/>
  <c r="V219" i="3"/>
  <c r="W219" i="3"/>
  <c r="X219" i="3"/>
  <c r="Y219" i="3"/>
  <c r="W211" i="3"/>
  <c r="V211" i="3"/>
  <c r="X211" i="3"/>
  <c r="Y211" i="3"/>
  <c r="W203" i="3"/>
  <c r="Y203" i="3"/>
  <c r="X203" i="3"/>
  <c r="V203" i="3"/>
  <c r="W195" i="3"/>
  <c r="V195" i="3"/>
  <c r="X195" i="3"/>
  <c r="Y195" i="3"/>
  <c r="W187" i="3"/>
  <c r="Y187" i="3"/>
  <c r="X187" i="3"/>
  <c r="V187" i="3"/>
  <c r="W179" i="3"/>
  <c r="V179" i="3"/>
  <c r="X179" i="3"/>
  <c r="Y179" i="3"/>
  <c r="W171" i="3"/>
  <c r="Y171" i="3"/>
  <c r="X171" i="3"/>
  <c r="V171" i="3"/>
  <c r="W163" i="3"/>
  <c r="V163" i="3"/>
  <c r="X163" i="3"/>
  <c r="Y163" i="3"/>
  <c r="W155" i="3"/>
  <c r="Y155" i="3"/>
  <c r="X155" i="3"/>
  <c r="V155" i="3"/>
  <c r="W147" i="3"/>
  <c r="V147" i="3"/>
  <c r="X147" i="3"/>
  <c r="Y147" i="3"/>
  <c r="W139" i="3"/>
  <c r="Y139" i="3"/>
  <c r="X139" i="3"/>
  <c r="V139" i="3"/>
  <c r="V131" i="3"/>
  <c r="W131" i="3"/>
  <c r="X131" i="3"/>
  <c r="Y131" i="3"/>
  <c r="V123" i="3"/>
  <c r="W123" i="3"/>
  <c r="X123" i="3"/>
  <c r="Y123" i="3"/>
  <c r="V115" i="3"/>
  <c r="W115" i="3"/>
  <c r="X115" i="3"/>
  <c r="Y115" i="3"/>
  <c r="V107" i="3"/>
  <c r="W107" i="3"/>
  <c r="X107" i="3"/>
  <c r="Y107" i="3"/>
  <c r="V99" i="3"/>
  <c r="W99" i="3"/>
  <c r="X99" i="3"/>
  <c r="Y99" i="3"/>
  <c r="V91" i="3"/>
  <c r="W91" i="3"/>
  <c r="X91" i="3"/>
  <c r="Y91" i="3"/>
  <c r="V83" i="3"/>
  <c r="W83" i="3"/>
  <c r="X83" i="3"/>
  <c r="Y83" i="3"/>
  <c r="V75" i="3"/>
  <c r="W75" i="3"/>
  <c r="X75" i="3"/>
  <c r="Y75" i="3"/>
  <c r="V67" i="3"/>
  <c r="W67" i="3"/>
  <c r="X67" i="3"/>
  <c r="Y67" i="3"/>
  <c r="V59" i="3"/>
  <c r="W59" i="3"/>
  <c r="X59" i="3"/>
  <c r="Y59" i="3"/>
  <c r="V51" i="3"/>
  <c r="W51" i="3"/>
  <c r="X51" i="3"/>
  <c r="Y51" i="3"/>
  <c r="V43" i="3"/>
  <c r="W43" i="3"/>
  <c r="X43" i="3"/>
  <c r="Y43" i="3"/>
  <c r="V35" i="3"/>
  <c r="W35" i="3"/>
  <c r="X35" i="3"/>
  <c r="Y35" i="3"/>
  <c r="V27" i="3"/>
  <c r="W27" i="3"/>
  <c r="X27" i="3"/>
  <c r="Y27" i="3"/>
  <c r="V19" i="3"/>
  <c r="W19" i="3"/>
  <c r="X19" i="3"/>
  <c r="Y19" i="3"/>
  <c r="V11" i="3"/>
  <c r="W11" i="3"/>
  <c r="X11" i="3"/>
  <c r="Y11" i="3"/>
  <c r="V3" i="3"/>
  <c r="W3" i="3"/>
  <c r="X3" i="3"/>
  <c r="Y3" i="3"/>
  <c r="V611" i="3"/>
  <c r="W611" i="3"/>
  <c r="X611" i="3"/>
  <c r="Y611" i="3"/>
  <c r="V834" i="3"/>
  <c r="W834" i="3"/>
  <c r="X834" i="3"/>
  <c r="Y834" i="3"/>
  <c r="W826" i="3"/>
  <c r="X826" i="3"/>
  <c r="Y826" i="3"/>
  <c r="V826" i="3"/>
  <c r="V818" i="3"/>
  <c r="W818" i="3"/>
  <c r="X818" i="3"/>
  <c r="Y818" i="3"/>
  <c r="V810" i="3"/>
  <c r="W810" i="3"/>
  <c r="Y810" i="3"/>
  <c r="X810" i="3"/>
  <c r="X802" i="3"/>
  <c r="Y802" i="3"/>
  <c r="V802" i="3"/>
  <c r="W802" i="3"/>
  <c r="V794" i="3"/>
  <c r="W794" i="3"/>
  <c r="X794" i="3"/>
  <c r="Y794" i="3"/>
  <c r="Y786" i="3"/>
  <c r="W786" i="3"/>
  <c r="V786" i="3"/>
  <c r="X786" i="3"/>
  <c r="X778" i="3"/>
  <c r="V778" i="3"/>
  <c r="W778" i="3"/>
  <c r="Y778" i="3"/>
  <c r="Y770" i="3"/>
  <c r="V770" i="3"/>
  <c r="W770" i="3"/>
  <c r="X770" i="3"/>
  <c r="V762" i="3"/>
  <c r="W762" i="3"/>
  <c r="X762" i="3"/>
  <c r="Y762" i="3"/>
  <c r="Y754" i="3"/>
  <c r="V754" i="3"/>
  <c r="W754" i="3"/>
  <c r="X754" i="3"/>
  <c r="Y746" i="3"/>
  <c r="V746" i="3"/>
  <c r="X746" i="3"/>
  <c r="W746" i="3"/>
  <c r="Y738" i="3"/>
  <c r="W738" i="3"/>
  <c r="V738" i="3"/>
  <c r="X738" i="3"/>
  <c r="X730" i="3"/>
  <c r="V730" i="3"/>
  <c r="W730" i="3"/>
  <c r="Y730" i="3"/>
  <c r="Y722" i="3"/>
  <c r="V722" i="3"/>
  <c r="W722" i="3"/>
  <c r="X722" i="3"/>
  <c r="X714" i="3"/>
  <c r="V714" i="3"/>
  <c r="W714" i="3"/>
  <c r="Y714" i="3"/>
  <c r="Y706" i="3"/>
  <c r="V706" i="3"/>
  <c r="W706" i="3"/>
  <c r="X706" i="3"/>
  <c r="V698" i="3"/>
  <c r="W698" i="3"/>
  <c r="Y698" i="3"/>
  <c r="X698" i="3"/>
  <c r="Y690" i="3"/>
  <c r="V690" i="3"/>
  <c r="W690" i="3"/>
  <c r="X690" i="3"/>
  <c r="V682" i="3"/>
  <c r="X682" i="3"/>
  <c r="W682" i="3"/>
  <c r="Y682" i="3"/>
  <c r="Y674" i="3"/>
  <c r="V674" i="3"/>
  <c r="W674" i="3"/>
  <c r="X674" i="3"/>
  <c r="V666" i="3"/>
  <c r="W666" i="3"/>
  <c r="X666" i="3"/>
  <c r="Y666" i="3"/>
  <c r="Y658" i="3"/>
  <c r="V658" i="3"/>
  <c r="W658" i="3"/>
  <c r="X658" i="3"/>
  <c r="Y650" i="3"/>
  <c r="V650" i="3"/>
  <c r="W650" i="3"/>
  <c r="X650" i="3"/>
  <c r="Y642" i="3"/>
  <c r="X642" i="3"/>
  <c r="W642" i="3"/>
  <c r="V642" i="3"/>
  <c r="Y634" i="3"/>
  <c r="V634" i="3"/>
  <c r="W634" i="3"/>
  <c r="X634" i="3"/>
  <c r="Y626" i="3"/>
  <c r="V626" i="3"/>
  <c r="W626" i="3"/>
  <c r="X626" i="3"/>
  <c r="X618" i="3"/>
  <c r="Y618" i="3"/>
  <c r="W618" i="3"/>
  <c r="V618" i="3"/>
  <c r="X610" i="3"/>
  <c r="Y610" i="3"/>
  <c r="W610" i="3"/>
  <c r="V610" i="3"/>
  <c r="X602" i="3"/>
  <c r="Y602" i="3"/>
  <c r="W602" i="3"/>
  <c r="V602" i="3"/>
  <c r="X594" i="3"/>
  <c r="Y594" i="3"/>
  <c r="W594" i="3"/>
  <c r="V594" i="3"/>
  <c r="X586" i="3"/>
  <c r="Y586" i="3"/>
  <c r="W586" i="3"/>
  <c r="V586" i="3"/>
  <c r="X578" i="3"/>
  <c r="Y578" i="3"/>
  <c r="W578" i="3"/>
  <c r="V578" i="3"/>
  <c r="X570" i="3"/>
  <c r="Y570" i="3"/>
  <c r="W570" i="3"/>
  <c r="V570" i="3"/>
  <c r="X562" i="3"/>
  <c r="Y562" i="3"/>
  <c r="W562" i="3"/>
  <c r="V562" i="3"/>
  <c r="X554" i="3"/>
  <c r="Y554" i="3"/>
  <c r="W554" i="3"/>
  <c r="V554" i="3"/>
  <c r="X546" i="3"/>
  <c r="Y546" i="3"/>
  <c r="W546" i="3"/>
  <c r="V546" i="3"/>
  <c r="X538" i="3"/>
  <c r="Y538" i="3"/>
  <c r="W538" i="3"/>
  <c r="V538" i="3"/>
  <c r="X530" i="3"/>
  <c r="Y530" i="3"/>
  <c r="W530" i="3"/>
  <c r="V530" i="3"/>
  <c r="X522" i="3"/>
  <c r="Y522" i="3"/>
  <c r="W522" i="3"/>
  <c r="V522" i="3"/>
  <c r="X514" i="3"/>
  <c r="Y514" i="3"/>
  <c r="W514" i="3"/>
  <c r="V514" i="3"/>
  <c r="V506" i="3"/>
  <c r="W506" i="3"/>
  <c r="X506" i="3"/>
  <c r="Y506" i="3"/>
  <c r="X498" i="3"/>
  <c r="Y498" i="3"/>
  <c r="W498" i="3"/>
  <c r="V498" i="3"/>
  <c r="V490" i="3"/>
  <c r="W490" i="3"/>
  <c r="X490" i="3"/>
  <c r="Y490" i="3"/>
  <c r="V482" i="3"/>
  <c r="W482" i="3"/>
  <c r="X482" i="3"/>
  <c r="Y482" i="3"/>
  <c r="Y474" i="3"/>
  <c r="X474" i="3"/>
  <c r="V474" i="3"/>
  <c r="W474" i="3"/>
  <c r="V466" i="3"/>
  <c r="W466" i="3"/>
  <c r="X466" i="3"/>
  <c r="Y466" i="3"/>
  <c r="V458" i="3"/>
  <c r="W458" i="3"/>
  <c r="X458" i="3"/>
  <c r="Y458" i="3"/>
  <c r="V450" i="3"/>
  <c r="W450" i="3"/>
  <c r="X450" i="3"/>
  <c r="Y450" i="3"/>
  <c r="V442" i="3"/>
  <c r="W442" i="3"/>
  <c r="X442" i="3"/>
  <c r="Y442" i="3"/>
  <c r="V434" i="3"/>
  <c r="W434" i="3"/>
  <c r="X434" i="3"/>
  <c r="Y434" i="3"/>
  <c r="V426" i="3"/>
  <c r="W426" i="3"/>
  <c r="X426" i="3"/>
  <c r="Y426" i="3"/>
  <c r="V418" i="3"/>
  <c r="W418" i="3"/>
  <c r="X418" i="3"/>
  <c r="Y418" i="3"/>
  <c r="V410" i="3"/>
  <c r="W410" i="3"/>
  <c r="X410" i="3"/>
  <c r="Y410" i="3"/>
  <c r="V402" i="3"/>
  <c r="W402" i="3"/>
  <c r="X402" i="3"/>
  <c r="Y402" i="3"/>
  <c r="V394" i="3"/>
  <c r="W394" i="3"/>
  <c r="X394" i="3"/>
  <c r="Y394" i="3"/>
  <c r="V386" i="3"/>
  <c r="W386" i="3"/>
  <c r="X386" i="3"/>
  <c r="Y386" i="3"/>
  <c r="V378" i="3"/>
  <c r="W378" i="3"/>
  <c r="X378" i="3"/>
  <c r="Y378" i="3"/>
  <c r="V370" i="3"/>
  <c r="W370" i="3"/>
  <c r="X370" i="3"/>
  <c r="Y370" i="3"/>
  <c r="V362" i="3"/>
  <c r="W362" i="3"/>
  <c r="X362" i="3"/>
  <c r="Y362" i="3"/>
  <c r="V354" i="3"/>
  <c r="W354" i="3"/>
  <c r="X354" i="3"/>
  <c r="Y354" i="3"/>
  <c r="V346" i="3"/>
  <c r="W346" i="3"/>
  <c r="X346" i="3"/>
  <c r="Y346" i="3"/>
  <c r="V338" i="3"/>
  <c r="W338" i="3"/>
  <c r="X338" i="3"/>
  <c r="Y338" i="3"/>
  <c r="V330" i="3"/>
  <c r="W330" i="3"/>
  <c r="X330" i="3"/>
  <c r="Y330" i="3"/>
  <c r="V322" i="3"/>
  <c r="W322" i="3"/>
  <c r="X322" i="3"/>
  <c r="Y322" i="3"/>
  <c r="V314" i="3"/>
  <c r="W314" i="3"/>
  <c r="X314" i="3"/>
  <c r="Y314" i="3"/>
  <c r="V306" i="3"/>
  <c r="W306" i="3"/>
  <c r="X306" i="3"/>
  <c r="Y306" i="3"/>
  <c r="V298" i="3"/>
  <c r="Y298" i="3"/>
  <c r="X298" i="3"/>
  <c r="W298" i="3"/>
  <c r="V290" i="3"/>
  <c r="W290" i="3"/>
  <c r="X290" i="3"/>
  <c r="Y290" i="3"/>
  <c r="V282" i="3"/>
  <c r="Y282" i="3"/>
  <c r="X282" i="3"/>
  <c r="W282" i="3"/>
  <c r="V274" i="3"/>
  <c r="W274" i="3"/>
  <c r="X274" i="3"/>
  <c r="Y274" i="3"/>
  <c r="V266" i="3"/>
  <c r="Y266" i="3"/>
  <c r="X266" i="3"/>
  <c r="W266" i="3"/>
  <c r="V258" i="3"/>
  <c r="W258" i="3"/>
  <c r="X258" i="3"/>
  <c r="Y258" i="3"/>
  <c r="V250" i="3"/>
  <c r="Y250" i="3"/>
  <c r="X250" i="3"/>
  <c r="W250" i="3"/>
  <c r="V242" i="3"/>
  <c r="W242" i="3"/>
  <c r="X242" i="3"/>
  <c r="Y242" i="3"/>
  <c r="V234" i="3"/>
  <c r="Y234" i="3"/>
  <c r="X234" i="3"/>
  <c r="W234" i="3"/>
  <c r="X226" i="3"/>
  <c r="W226" i="3"/>
  <c r="Y226" i="3"/>
  <c r="V226" i="3"/>
  <c r="X218" i="3"/>
  <c r="V218" i="3"/>
  <c r="W218" i="3"/>
  <c r="Y218" i="3"/>
  <c r="X210" i="3"/>
  <c r="Y210" i="3"/>
  <c r="V210" i="3"/>
  <c r="W210" i="3"/>
  <c r="X202" i="3"/>
  <c r="Y202" i="3"/>
  <c r="V202" i="3"/>
  <c r="W202" i="3"/>
  <c r="X194" i="3"/>
  <c r="Y194" i="3"/>
  <c r="V194" i="3"/>
  <c r="W194" i="3"/>
  <c r="X186" i="3"/>
  <c r="Y186" i="3"/>
  <c r="W186" i="3"/>
  <c r="V186" i="3"/>
  <c r="X178" i="3"/>
  <c r="Y178" i="3"/>
  <c r="V178" i="3"/>
  <c r="W178" i="3"/>
  <c r="X170" i="3"/>
  <c r="Y170" i="3"/>
  <c r="V170" i="3"/>
  <c r="W170" i="3"/>
  <c r="X162" i="3"/>
  <c r="Y162" i="3"/>
  <c r="V162" i="3"/>
  <c r="W162" i="3"/>
  <c r="X154" i="3"/>
  <c r="Y154" i="3"/>
  <c r="V154" i="3"/>
  <c r="W154" i="3"/>
  <c r="X146" i="3"/>
  <c r="Y146" i="3"/>
  <c r="V146" i="3"/>
  <c r="W146" i="3"/>
  <c r="X138" i="3"/>
  <c r="Y138" i="3"/>
  <c r="V138" i="3"/>
  <c r="W138" i="3"/>
  <c r="V130" i="3"/>
  <c r="X130" i="3"/>
  <c r="W130" i="3"/>
  <c r="Y130" i="3"/>
  <c r="X122" i="3"/>
  <c r="Y122" i="3"/>
  <c r="V122" i="3"/>
  <c r="W122" i="3"/>
  <c r="V114" i="3"/>
  <c r="X114" i="3"/>
  <c r="Y114" i="3"/>
  <c r="W114" i="3"/>
  <c r="X106" i="3"/>
  <c r="Y106" i="3"/>
  <c r="V106" i="3"/>
  <c r="W106" i="3"/>
  <c r="V98" i="3"/>
  <c r="X98" i="3"/>
  <c r="W98" i="3"/>
  <c r="Y98" i="3"/>
  <c r="X90" i="3"/>
  <c r="Y90" i="3"/>
  <c r="V90" i="3"/>
  <c r="W90" i="3"/>
  <c r="V82" i="3"/>
  <c r="W82" i="3"/>
  <c r="X82" i="3"/>
  <c r="Y82" i="3"/>
  <c r="X74" i="3"/>
  <c r="Y74" i="3"/>
  <c r="V74" i="3"/>
  <c r="W74" i="3"/>
  <c r="V66" i="3"/>
  <c r="W66" i="3"/>
  <c r="X66" i="3"/>
  <c r="Y66" i="3"/>
  <c r="X58" i="3"/>
  <c r="Y58" i="3"/>
  <c r="V58" i="3"/>
  <c r="W58" i="3"/>
  <c r="V50" i="3"/>
  <c r="W50" i="3"/>
  <c r="X50" i="3"/>
  <c r="Y50" i="3"/>
  <c r="X42" i="3"/>
  <c r="Y42" i="3"/>
  <c r="V42" i="3"/>
  <c r="W42" i="3"/>
  <c r="V34" i="3"/>
  <c r="W34" i="3"/>
  <c r="X34" i="3"/>
  <c r="Y34" i="3"/>
  <c r="X26" i="3"/>
  <c r="Y26" i="3"/>
  <c r="V26" i="3"/>
  <c r="W26" i="3"/>
  <c r="V18" i="3"/>
  <c r="W18" i="3"/>
  <c r="X18" i="3"/>
  <c r="Y18" i="3"/>
  <c r="V10" i="3"/>
  <c r="W10" i="3"/>
  <c r="X10" i="3"/>
  <c r="Y10" i="3"/>
  <c r="Y619" i="3"/>
  <c r="X619" i="3"/>
  <c r="V619" i="3"/>
  <c r="W619" i="3"/>
  <c r="W833" i="3"/>
  <c r="X833" i="3"/>
  <c r="Y833" i="3"/>
  <c r="V833" i="3"/>
  <c r="X825" i="3"/>
  <c r="W825" i="3"/>
  <c r="Y825" i="3"/>
  <c r="V825" i="3"/>
  <c r="X817" i="3"/>
  <c r="V817" i="3"/>
  <c r="W817" i="3"/>
  <c r="Y817" i="3"/>
  <c r="X809" i="3"/>
  <c r="W809" i="3"/>
  <c r="Y809" i="3"/>
  <c r="V809" i="3"/>
  <c r="X801" i="3"/>
  <c r="W801" i="3"/>
  <c r="Y801" i="3"/>
  <c r="V801" i="3"/>
  <c r="X793" i="3"/>
  <c r="W793" i="3"/>
  <c r="V793" i="3"/>
  <c r="Y793" i="3"/>
  <c r="X785" i="3"/>
  <c r="Y785" i="3"/>
  <c r="W785" i="3"/>
  <c r="V785" i="3"/>
  <c r="X777" i="3"/>
  <c r="Y777" i="3"/>
  <c r="W777" i="3"/>
  <c r="V777" i="3"/>
  <c r="X769" i="3"/>
  <c r="Y769" i="3"/>
  <c r="W769" i="3"/>
  <c r="V769" i="3"/>
  <c r="X761" i="3"/>
  <c r="Y761" i="3"/>
  <c r="W761" i="3"/>
  <c r="V761" i="3"/>
  <c r="X753" i="3"/>
  <c r="Y753" i="3"/>
  <c r="W753" i="3"/>
  <c r="V753" i="3"/>
  <c r="X745" i="3"/>
  <c r="Y745" i="3"/>
  <c r="W745" i="3"/>
  <c r="V745" i="3"/>
  <c r="X737" i="3"/>
  <c r="Y737" i="3"/>
  <c r="W737" i="3"/>
  <c r="V737" i="3"/>
  <c r="X729" i="3"/>
  <c r="Y729" i="3"/>
  <c r="W729" i="3"/>
  <c r="V729" i="3"/>
  <c r="X721" i="3"/>
  <c r="Y721" i="3"/>
  <c r="W721" i="3"/>
  <c r="V721" i="3"/>
  <c r="X713" i="3"/>
  <c r="Y713" i="3"/>
  <c r="W713" i="3"/>
  <c r="V713" i="3"/>
  <c r="X705" i="3"/>
  <c r="Y705" i="3"/>
  <c r="W705" i="3"/>
  <c r="V705" i="3"/>
  <c r="X697" i="3"/>
  <c r="Y697" i="3"/>
  <c r="W697" i="3"/>
  <c r="V697" i="3"/>
  <c r="X689" i="3"/>
  <c r="Y689" i="3"/>
  <c r="W689" i="3"/>
  <c r="V689" i="3"/>
  <c r="X681" i="3"/>
  <c r="Y681" i="3"/>
  <c r="W681" i="3"/>
  <c r="V681" i="3"/>
  <c r="X673" i="3"/>
  <c r="Y673" i="3"/>
  <c r="W673" i="3"/>
  <c r="V673" i="3"/>
  <c r="X665" i="3"/>
  <c r="Y665" i="3"/>
  <c r="W665" i="3"/>
  <c r="V665" i="3"/>
  <c r="X657" i="3"/>
  <c r="Y657" i="3"/>
  <c r="W657" i="3"/>
  <c r="V657" i="3"/>
  <c r="X649" i="3"/>
  <c r="Y649" i="3"/>
  <c r="W649" i="3"/>
  <c r="V649" i="3"/>
  <c r="V641" i="3"/>
  <c r="W641" i="3"/>
  <c r="X641" i="3"/>
  <c r="Y641" i="3"/>
  <c r="V633" i="3"/>
  <c r="X633" i="3"/>
  <c r="Y633" i="3"/>
  <c r="W633" i="3"/>
  <c r="V625" i="3"/>
  <c r="W625" i="3"/>
  <c r="X625" i="3"/>
  <c r="Y625" i="3"/>
  <c r="V617" i="3"/>
  <c r="W617" i="3"/>
  <c r="X617" i="3"/>
  <c r="Y617" i="3"/>
  <c r="V609" i="3"/>
  <c r="W609" i="3"/>
  <c r="X609" i="3"/>
  <c r="Y609" i="3"/>
  <c r="V601" i="3"/>
  <c r="W601" i="3"/>
  <c r="X601" i="3"/>
  <c r="Y601" i="3"/>
  <c r="V593" i="3"/>
  <c r="W593" i="3"/>
  <c r="X593" i="3"/>
  <c r="Y593" i="3"/>
  <c r="V585" i="3"/>
  <c r="W585" i="3"/>
  <c r="X585" i="3"/>
  <c r="Y585" i="3"/>
  <c r="V577" i="3"/>
  <c r="W577" i="3"/>
  <c r="X577" i="3"/>
  <c r="Y577" i="3"/>
  <c r="V569" i="3"/>
  <c r="W569" i="3"/>
  <c r="X569" i="3"/>
  <c r="Y569" i="3"/>
  <c r="V561" i="3"/>
  <c r="W561" i="3"/>
  <c r="X561" i="3"/>
  <c r="Y561" i="3"/>
  <c r="V553" i="3"/>
  <c r="W553" i="3"/>
  <c r="X553" i="3"/>
  <c r="Y553" i="3"/>
  <c r="V545" i="3"/>
  <c r="W545" i="3"/>
  <c r="X545" i="3"/>
  <c r="Y545" i="3"/>
  <c r="V537" i="3"/>
  <c r="W537" i="3"/>
  <c r="X537" i="3"/>
  <c r="Y537" i="3"/>
  <c r="V529" i="3"/>
  <c r="W529" i="3"/>
  <c r="X529" i="3"/>
  <c r="Y529" i="3"/>
  <c r="V521" i="3"/>
  <c r="W521" i="3"/>
  <c r="X521" i="3"/>
  <c r="Y521" i="3"/>
  <c r="V513" i="3"/>
  <c r="W513" i="3"/>
  <c r="X513" i="3"/>
  <c r="Y513" i="3"/>
  <c r="Y505" i="3"/>
  <c r="X505" i="3"/>
  <c r="V505" i="3"/>
  <c r="W505" i="3"/>
  <c r="V497" i="3"/>
  <c r="W497" i="3"/>
  <c r="X497" i="3"/>
  <c r="Y497" i="3"/>
  <c r="W489" i="3"/>
  <c r="X489" i="3"/>
  <c r="Y489" i="3"/>
  <c r="V489" i="3"/>
  <c r="Y481" i="3"/>
  <c r="V481" i="3"/>
  <c r="W481" i="3"/>
  <c r="X481" i="3"/>
  <c r="V473" i="3"/>
  <c r="W473" i="3"/>
  <c r="X473" i="3"/>
  <c r="Y473" i="3"/>
  <c r="Y465" i="3"/>
  <c r="X465" i="3"/>
  <c r="W465" i="3"/>
  <c r="V465" i="3"/>
  <c r="Y457" i="3"/>
  <c r="V457" i="3"/>
  <c r="W457" i="3"/>
  <c r="X457" i="3"/>
  <c r="Y449" i="3"/>
  <c r="X449" i="3"/>
  <c r="W449" i="3"/>
  <c r="V449" i="3"/>
  <c r="Y441" i="3"/>
  <c r="V441" i="3"/>
  <c r="W441" i="3"/>
  <c r="X441" i="3"/>
  <c r="Y433" i="3"/>
  <c r="X433" i="3"/>
  <c r="W433" i="3"/>
  <c r="V433" i="3"/>
  <c r="Y425" i="3"/>
  <c r="V425" i="3"/>
  <c r="W425" i="3"/>
  <c r="X425" i="3"/>
  <c r="Y417" i="3"/>
  <c r="X417" i="3"/>
  <c r="W417" i="3"/>
  <c r="V417" i="3"/>
  <c r="Y409" i="3"/>
  <c r="V409" i="3"/>
  <c r="W409" i="3"/>
  <c r="X409" i="3"/>
  <c r="Y401" i="3"/>
  <c r="X401" i="3"/>
  <c r="W401" i="3"/>
  <c r="V401" i="3"/>
  <c r="Y393" i="3"/>
  <c r="V393" i="3"/>
  <c r="W393" i="3"/>
  <c r="X393" i="3"/>
  <c r="Y385" i="3"/>
  <c r="X385" i="3"/>
  <c r="W385" i="3"/>
  <c r="V385" i="3"/>
  <c r="Y377" i="3"/>
  <c r="V377" i="3"/>
  <c r="W377" i="3"/>
  <c r="X377" i="3"/>
  <c r="Y369" i="3"/>
  <c r="X369" i="3"/>
  <c r="W369" i="3"/>
  <c r="V369" i="3"/>
  <c r="Y361" i="3"/>
  <c r="V361" i="3"/>
  <c r="W361" i="3"/>
  <c r="X361" i="3"/>
  <c r="Y353" i="3"/>
  <c r="X353" i="3"/>
  <c r="W353" i="3"/>
  <c r="V353" i="3"/>
  <c r="Y345" i="3"/>
  <c r="V345" i="3"/>
  <c r="W345" i="3"/>
  <c r="X345" i="3"/>
  <c r="Y337" i="3"/>
  <c r="X337" i="3"/>
  <c r="W337" i="3"/>
  <c r="V337" i="3"/>
  <c r="Y329" i="3"/>
  <c r="V329" i="3"/>
  <c r="W329" i="3"/>
  <c r="X329" i="3"/>
  <c r="Y321" i="3"/>
  <c r="X321" i="3"/>
  <c r="W321" i="3"/>
  <c r="V321" i="3"/>
  <c r="Y313" i="3"/>
  <c r="V313" i="3"/>
  <c r="W313" i="3"/>
  <c r="X313" i="3"/>
  <c r="Y305" i="3"/>
  <c r="V305" i="3"/>
  <c r="W305" i="3"/>
  <c r="X305" i="3"/>
  <c r="Y297" i="3"/>
  <c r="X297" i="3"/>
  <c r="W297" i="3"/>
  <c r="V297" i="3"/>
  <c r="Y289" i="3"/>
  <c r="X289" i="3"/>
  <c r="V289" i="3"/>
  <c r="W289" i="3"/>
  <c r="Y281" i="3"/>
  <c r="X281" i="3"/>
  <c r="V281" i="3"/>
  <c r="W281" i="3"/>
  <c r="Y273" i="3"/>
  <c r="X273" i="3"/>
  <c r="V273" i="3"/>
  <c r="W273" i="3"/>
  <c r="Y265" i="3"/>
  <c r="X265" i="3"/>
  <c r="W265" i="3"/>
  <c r="V265" i="3"/>
  <c r="Y257" i="3"/>
  <c r="X257" i="3"/>
  <c r="V257" i="3"/>
  <c r="W257" i="3"/>
  <c r="Y249" i="3"/>
  <c r="X249" i="3"/>
  <c r="V249" i="3"/>
  <c r="W249" i="3"/>
  <c r="Y241" i="3"/>
  <c r="X241" i="3"/>
  <c r="V241" i="3"/>
  <c r="W241" i="3"/>
  <c r="Y233" i="3"/>
  <c r="X233" i="3"/>
  <c r="V233" i="3"/>
  <c r="W233" i="3"/>
  <c r="V225" i="3"/>
  <c r="W225" i="3"/>
  <c r="X225" i="3"/>
  <c r="Y225" i="3"/>
  <c r="W217" i="3"/>
  <c r="X217" i="3"/>
  <c r="Y217" i="3"/>
  <c r="V217" i="3"/>
  <c r="V209" i="3"/>
  <c r="W209" i="3"/>
  <c r="Y209" i="3"/>
  <c r="X209" i="3"/>
  <c r="V201" i="3"/>
  <c r="W201" i="3"/>
  <c r="Y201" i="3"/>
  <c r="X201" i="3"/>
  <c r="V193" i="3"/>
  <c r="W193" i="3"/>
  <c r="Y193" i="3"/>
  <c r="X193" i="3"/>
  <c r="V185" i="3"/>
  <c r="W185" i="3"/>
  <c r="Y185" i="3"/>
  <c r="X185" i="3"/>
  <c r="V177" i="3"/>
  <c r="W177" i="3"/>
  <c r="Y177" i="3"/>
  <c r="X177" i="3"/>
  <c r="V169" i="3"/>
  <c r="W169" i="3"/>
  <c r="Y169" i="3"/>
  <c r="X169" i="3"/>
  <c r="V161" i="3"/>
  <c r="W161" i="3"/>
  <c r="Y161" i="3"/>
  <c r="X161" i="3"/>
  <c r="V153" i="3"/>
  <c r="W153" i="3"/>
  <c r="Y153" i="3"/>
  <c r="X153" i="3"/>
  <c r="V145" i="3"/>
  <c r="W145" i="3"/>
  <c r="Y145" i="3"/>
  <c r="X145" i="3"/>
  <c r="X137" i="3"/>
  <c r="Y137" i="3"/>
  <c r="W137" i="3"/>
  <c r="V137" i="3"/>
  <c r="X129" i="3"/>
  <c r="Y129" i="3"/>
  <c r="W129" i="3"/>
  <c r="V129" i="3"/>
  <c r="X121" i="3"/>
  <c r="Y121" i="3"/>
  <c r="W121" i="3"/>
  <c r="V121" i="3"/>
  <c r="X113" i="3"/>
  <c r="Y113" i="3"/>
  <c r="W113" i="3"/>
  <c r="V113" i="3"/>
  <c r="X105" i="3"/>
  <c r="Y105" i="3"/>
  <c r="W105" i="3"/>
  <c r="V105" i="3"/>
  <c r="X97" i="3"/>
  <c r="Y97" i="3"/>
  <c r="W97" i="3"/>
  <c r="V97" i="3"/>
  <c r="X89" i="3"/>
  <c r="Y89" i="3"/>
  <c r="W89" i="3"/>
  <c r="V89" i="3"/>
  <c r="X81" i="3"/>
  <c r="Y81" i="3"/>
  <c r="W81" i="3"/>
  <c r="V81" i="3"/>
  <c r="X73" i="3"/>
  <c r="Y73" i="3"/>
  <c r="W73" i="3"/>
  <c r="V73" i="3"/>
  <c r="X65" i="3"/>
  <c r="Y65" i="3"/>
  <c r="W65" i="3"/>
  <c r="V65" i="3"/>
  <c r="X57" i="3"/>
  <c r="Y57" i="3"/>
  <c r="W57" i="3"/>
  <c r="V57" i="3"/>
  <c r="X49" i="3"/>
  <c r="Y49" i="3"/>
  <c r="W49" i="3"/>
  <c r="V49" i="3"/>
  <c r="X41" i="3"/>
  <c r="Y41" i="3"/>
  <c r="W41" i="3"/>
  <c r="V41" i="3"/>
  <c r="X33" i="3"/>
  <c r="Y33" i="3"/>
  <c r="W33" i="3"/>
  <c r="V33" i="3"/>
  <c r="X25" i="3"/>
  <c r="Y25" i="3"/>
  <c r="W25" i="3"/>
  <c r="V25" i="3"/>
  <c r="X17" i="3"/>
  <c r="Y17" i="3"/>
  <c r="W17" i="3"/>
  <c r="V17" i="3"/>
  <c r="X9" i="3"/>
  <c r="Y9" i="3"/>
  <c r="W9" i="3"/>
  <c r="V9" i="3"/>
  <c r="Y603" i="3"/>
  <c r="V603" i="3"/>
  <c r="W603" i="3"/>
  <c r="X603" i="3"/>
  <c r="X832" i="3"/>
  <c r="Y832" i="3"/>
  <c r="V832" i="3"/>
  <c r="W832" i="3"/>
  <c r="X824" i="3"/>
  <c r="V824" i="3"/>
  <c r="Y824" i="3"/>
  <c r="W824" i="3"/>
  <c r="Y816" i="3"/>
  <c r="V816" i="3"/>
  <c r="W816" i="3"/>
  <c r="X816" i="3"/>
  <c r="V808" i="3"/>
  <c r="W808" i="3"/>
  <c r="Y808" i="3"/>
  <c r="X808" i="3"/>
  <c r="Y800" i="3"/>
  <c r="W800" i="3"/>
  <c r="V800" i="3"/>
  <c r="X800" i="3"/>
  <c r="V792" i="3"/>
  <c r="W792" i="3"/>
  <c r="X792" i="3"/>
  <c r="Y792" i="3"/>
  <c r="V784" i="3"/>
  <c r="W784" i="3"/>
  <c r="X784" i="3"/>
  <c r="Y784" i="3"/>
  <c r="V776" i="3"/>
  <c r="W776" i="3"/>
  <c r="X776" i="3"/>
  <c r="Y776" i="3"/>
  <c r="V768" i="3"/>
  <c r="W768" i="3"/>
  <c r="X768" i="3"/>
  <c r="Y768" i="3"/>
  <c r="V760" i="3"/>
  <c r="W760" i="3"/>
  <c r="X760" i="3"/>
  <c r="Y760" i="3"/>
  <c r="V752" i="3"/>
  <c r="W752" i="3"/>
  <c r="X752" i="3"/>
  <c r="Y752" i="3"/>
  <c r="V744" i="3"/>
  <c r="W744" i="3"/>
  <c r="X744" i="3"/>
  <c r="Y744" i="3"/>
  <c r="V736" i="3"/>
  <c r="W736" i="3"/>
  <c r="X736" i="3"/>
  <c r="Y736" i="3"/>
  <c r="V728" i="3"/>
  <c r="W728" i="3"/>
  <c r="X728" i="3"/>
  <c r="Y728" i="3"/>
  <c r="V720" i="3"/>
  <c r="W720" i="3"/>
  <c r="X720" i="3"/>
  <c r="Y720" i="3"/>
  <c r="V712" i="3"/>
  <c r="W712" i="3"/>
  <c r="X712" i="3"/>
  <c r="Y712" i="3"/>
  <c r="V704" i="3"/>
  <c r="W704" i="3"/>
  <c r="X704" i="3"/>
  <c r="Y704" i="3"/>
  <c r="V696" i="3"/>
  <c r="W696" i="3"/>
  <c r="X696" i="3"/>
  <c r="Y696" i="3"/>
  <c r="V688" i="3"/>
  <c r="W688" i="3"/>
  <c r="X688" i="3"/>
  <c r="Y688" i="3"/>
  <c r="V680" i="3"/>
  <c r="W680" i="3"/>
  <c r="X680" i="3"/>
  <c r="Y680" i="3"/>
  <c r="V672" i="3"/>
  <c r="W672" i="3"/>
  <c r="X672" i="3"/>
  <c r="Y672" i="3"/>
  <c r="V664" i="3"/>
  <c r="W664" i="3"/>
  <c r="X664" i="3"/>
  <c r="Y664" i="3"/>
  <c r="V656" i="3"/>
  <c r="W656" i="3"/>
  <c r="X656" i="3"/>
  <c r="Y656" i="3"/>
  <c r="V648" i="3"/>
  <c r="W648" i="3"/>
  <c r="X648" i="3"/>
  <c r="Y648" i="3"/>
  <c r="Y640" i="3"/>
  <c r="X640" i="3"/>
  <c r="V640" i="3"/>
  <c r="W640" i="3"/>
  <c r="V632" i="3"/>
  <c r="Y632" i="3"/>
  <c r="W632" i="3"/>
  <c r="X632" i="3"/>
  <c r="W624" i="3"/>
  <c r="X624" i="3"/>
  <c r="Y624" i="3"/>
  <c r="V624" i="3"/>
  <c r="Y616" i="3"/>
  <c r="X616" i="3"/>
  <c r="V616" i="3"/>
  <c r="W616" i="3"/>
  <c r="Y608" i="3"/>
  <c r="V608" i="3"/>
  <c r="W608" i="3"/>
  <c r="X608" i="3"/>
  <c r="Y600" i="3"/>
  <c r="X600" i="3"/>
  <c r="W600" i="3"/>
  <c r="V600" i="3"/>
  <c r="Y592" i="3"/>
  <c r="V592" i="3"/>
  <c r="W592" i="3"/>
  <c r="X592" i="3"/>
  <c r="Y584" i="3"/>
  <c r="X584" i="3"/>
  <c r="W584" i="3"/>
  <c r="V584" i="3"/>
  <c r="Y576" i="3"/>
  <c r="V576" i="3"/>
  <c r="W576" i="3"/>
  <c r="X576" i="3"/>
  <c r="Y568" i="3"/>
  <c r="X568" i="3"/>
  <c r="W568" i="3"/>
  <c r="V568" i="3"/>
  <c r="Y560" i="3"/>
  <c r="V560" i="3"/>
  <c r="W560" i="3"/>
  <c r="X560" i="3"/>
  <c r="Y552" i="3"/>
  <c r="X552" i="3"/>
  <c r="V552" i="3"/>
  <c r="W552" i="3"/>
  <c r="Y544" i="3"/>
  <c r="V544" i="3"/>
  <c r="W544" i="3"/>
  <c r="X544" i="3"/>
  <c r="Y536" i="3"/>
  <c r="X536" i="3"/>
  <c r="W536" i="3"/>
  <c r="V536" i="3"/>
  <c r="Y528" i="3"/>
  <c r="V528" i="3"/>
  <c r="W528" i="3"/>
  <c r="X528" i="3"/>
  <c r="Y520" i="3"/>
  <c r="X520" i="3"/>
  <c r="V520" i="3"/>
  <c r="W520" i="3"/>
  <c r="Y512" i="3"/>
  <c r="V512" i="3"/>
  <c r="W512" i="3"/>
  <c r="X512" i="3"/>
  <c r="W504" i="3"/>
  <c r="V504" i="3"/>
  <c r="X504" i="3"/>
  <c r="Y504" i="3"/>
  <c r="W496" i="3"/>
  <c r="Y496" i="3"/>
  <c r="X496" i="3"/>
  <c r="V496" i="3"/>
  <c r="W488" i="3"/>
  <c r="V488" i="3"/>
  <c r="X488" i="3"/>
  <c r="Y488" i="3"/>
  <c r="W480" i="3"/>
  <c r="V480" i="3"/>
  <c r="X480" i="3"/>
  <c r="Y480" i="3"/>
  <c r="W472" i="3"/>
  <c r="Y472" i="3"/>
  <c r="V472" i="3"/>
  <c r="X472" i="3"/>
  <c r="W464" i="3"/>
  <c r="X464" i="3"/>
  <c r="Y464" i="3"/>
  <c r="V464" i="3"/>
  <c r="W456" i="3"/>
  <c r="X456" i="3"/>
  <c r="Y456" i="3"/>
  <c r="V456" i="3"/>
  <c r="W448" i="3"/>
  <c r="X448" i="3"/>
  <c r="Y448" i="3"/>
  <c r="V448" i="3"/>
  <c r="W440" i="3"/>
  <c r="X440" i="3"/>
  <c r="Y440" i="3"/>
  <c r="V440" i="3"/>
  <c r="W432" i="3"/>
  <c r="X432" i="3"/>
  <c r="Y432" i="3"/>
  <c r="V432" i="3"/>
  <c r="W424" i="3"/>
  <c r="X424" i="3"/>
  <c r="Y424" i="3"/>
  <c r="V424" i="3"/>
  <c r="W416" i="3"/>
  <c r="X416" i="3"/>
  <c r="Y416" i="3"/>
  <c r="V416" i="3"/>
  <c r="W408" i="3"/>
  <c r="X408" i="3"/>
  <c r="Y408" i="3"/>
  <c r="V408" i="3"/>
  <c r="W400" i="3"/>
  <c r="X400" i="3"/>
  <c r="Y400" i="3"/>
  <c r="V400" i="3"/>
  <c r="W392" i="3"/>
  <c r="X392" i="3"/>
  <c r="Y392" i="3"/>
  <c r="V392" i="3"/>
  <c r="W384" i="3"/>
  <c r="X384" i="3"/>
  <c r="Y384" i="3"/>
  <c r="V384" i="3"/>
  <c r="W376" i="3"/>
  <c r="X376" i="3"/>
  <c r="Y376" i="3"/>
  <c r="V376" i="3"/>
  <c r="W368" i="3"/>
  <c r="X368" i="3"/>
  <c r="Y368" i="3"/>
  <c r="V368" i="3"/>
  <c r="W360" i="3"/>
  <c r="X360" i="3"/>
  <c r="Y360" i="3"/>
  <c r="V360" i="3"/>
  <c r="W352" i="3"/>
  <c r="X352" i="3"/>
  <c r="Y352" i="3"/>
  <c r="V352" i="3"/>
  <c r="W344" i="3"/>
  <c r="X344" i="3"/>
  <c r="Y344" i="3"/>
  <c r="V344" i="3"/>
  <c r="W336" i="3"/>
  <c r="X336" i="3"/>
  <c r="Y336" i="3"/>
  <c r="V336" i="3"/>
  <c r="W328" i="3"/>
  <c r="X328" i="3"/>
  <c r="Y328" i="3"/>
  <c r="V328" i="3"/>
  <c r="W320" i="3"/>
  <c r="X320" i="3"/>
  <c r="Y320" i="3"/>
  <c r="V320" i="3"/>
  <c r="W312" i="3"/>
  <c r="X312" i="3"/>
  <c r="Y312" i="3"/>
  <c r="V312" i="3"/>
  <c r="V304" i="3"/>
  <c r="W304" i="3"/>
  <c r="X304" i="3"/>
  <c r="Y304" i="3"/>
  <c r="V296" i="3"/>
  <c r="W296" i="3"/>
  <c r="X296" i="3"/>
  <c r="Y296" i="3"/>
  <c r="V288" i="3"/>
  <c r="W288" i="3"/>
  <c r="X288" i="3"/>
  <c r="Y288" i="3"/>
  <c r="V280" i="3"/>
  <c r="W280" i="3"/>
  <c r="X280" i="3"/>
  <c r="Y280" i="3"/>
  <c r="V272" i="3"/>
  <c r="W272" i="3"/>
  <c r="X272" i="3"/>
  <c r="Y272" i="3"/>
  <c r="V264" i="3"/>
  <c r="W264" i="3"/>
  <c r="X264" i="3"/>
  <c r="Y264" i="3"/>
  <c r="V256" i="3"/>
  <c r="W256" i="3"/>
  <c r="X256" i="3"/>
  <c r="Y256" i="3"/>
  <c r="V248" i="3"/>
  <c r="W248" i="3"/>
  <c r="X248" i="3"/>
  <c r="Y248" i="3"/>
  <c r="V240" i="3"/>
  <c r="W240" i="3"/>
  <c r="X240" i="3"/>
  <c r="Y240" i="3"/>
  <c r="V232" i="3"/>
  <c r="W232" i="3"/>
  <c r="X232" i="3"/>
  <c r="Y232" i="3"/>
  <c r="X224" i="3"/>
  <c r="Y224" i="3"/>
  <c r="W224" i="3"/>
  <c r="V224" i="3"/>
  <c r="X216" i="3"/>
  <c r="Y216" i="3"/>
  <c r="V216" i="3"/>
  <c r="W216" i="3"/>
  <c r="V208" i="3"/>
  <c r="W208" i="3"/>
  <c r="X208" i="3"/>
  <c r="Y208" i="3"/>
  <c r="V200" i="3"/>
  <c r="X200" i="3"/>
  <c r="Y200" i="3"/>
  <c r="W200" i="3"/>
  <c r="V192" i="3"/>
  <c r="Y192" i="3"/>
  <c r="W192" i="3"/>
  <c r="X192" i="3"/>
  <c r="V184" i="3"/>
  <c r="X184" i="3"/>
  <c r="Y184" i="3"/>
  <c r="W184" i="3"/>
  <c r="V176" i="3"/>
  <c r="W176" i="3"/>
  <c r="X176" i="3"/>
  <c r="Y176" i="3"/>
  <c r="V168" i="3"/>
  <c r="X168" i="3"/>
  <c r="Y168" i="3"/>
  <c r="W168" i="3"/>
  <c r="V160" i="3"/>
  <c r="W160" i="3"/>
  <c r="X160" i="3"/>
  <c r="Y160" i="3"/>
  <c r="V152" i="3"/>
  <c r="X152" i="3"/>
  <c r="Y152" i="3"/>
  <c r="W152" i="3"/>
  <c r="V144" i="3"/>
  <c r="W144" i="3"/>
  <c r="X144" i="3"/>
  <c r="Y144" i="3"/>
  <c r="V136" i="3"/>
  <c r="W136" i="3"/>
  <c r="X136" i="3"/>
  <c r="Y136" i="3"/>
  <c r="V128" i="3"/>
  <c r="W128" i="3"/>
  <c r="X128" i="3"/>
  <c r="Y128" i="3"/>
  <c r="V120" i="3"/>
  <c r="W120" i="3"/>
  <c r="X120" i="3"/>
  <c r="Y120" i="3"/>
  <c r="V112" i="3"/>
  <c r="W112" i="3"/>
  <c r="X112" i="3"/>
  <c r="Y112" i="3"/>
  <c r="V104" i="3"/>
  <c r="W104" i="3"/>
  <c r="X104" i="3"/>
  <c r="Y104" i="3"/>
  <c r="V96" i="3"/>
  <c r="W96" i="3"/>
  <c r="X96" i="3"/>
  <c r="Y96" i="3"/>
  <c r="V88" i="3"/>
  <c r="W88" i="3"/>
  <c r="X88" i="3"/>
  <c r="Y88" i="3"/>
  <c r="V80" i="3"/>
  <c r="W80" i="3"/>
  <c r="X80" i="3"/>
  <c r="Y80" i="3"/>
  <c r="V72" i="3"/>
  <c r="W72" i="3"/>
  <c r="X72" i="3"/>
  <c r="Y72" i="3"/>
  <c r="V64" i="3"/>
  <c r="W64" i="3"/>
  <c r="X64" i="3"/>
  <c r="Y64" i="3"/>
  <c r="V56" i="3"/>
  <c r="W56" i="3"/>
  <c r="X56" i="3"/>
  <c r="Y56" i="3"/>
  <c r="V48" i="3"/>
  <c r="W48" i="3"/>
  <c r="X48" i="3"/>
  <c r="Y48" i="3"/>
  <c r="V40" i="3"/>
  <c r="W40" i="3"/>
  <c r="X40" i="3"/>
  <c r="Y40" i="3"/>
  <c r="V32" i="3"/>
  <c r="W32" i="3"/>
  <c r="X32" i="3"/>
  <c r="Y32" i="3"/>
  <c r="V24" i="3"/>
  <c r="W24" i="3"/>
  <c r="X24" i="3"/>
  <c r="Y24" i="3"/>
  <c r="V16" i="3"/>
  <c r="W16" i="3"/>
  <c r="X16" i="3"/>
  <c r="Y16" i="3"/>
  <c r="V8" i="3"/>
  <c r="W8" i="3"/>
  <c r="X8" i="3"/>
  <c r="Y8" i="3"/>
  <c r="Y2" i="3"/>
  <c r="X2" i="3"/>
  <c r="W2" i="3"/>
  <c r="AH471" i="3"/>
  <c r="AH463" i="3"/>
  <c r="AH455" i="3"/>
  <c r="AH447" i="3"/>
  <c r="AH439" i="3"/>
  <c r="AH431" i="3"/>
  <c r="AH423" i="3"/>
  <c r="AH415" i="3"/>
  <c r="AH407" i="3"/>
  <c r="AH399" i="3"/>
  <c r="AH391" i="3"/>
  <c r="AH335" i="3"/>
  <c r="AH231" i="3"/>
  <c r="AH223" i="3"/>
  <c r="AH215" i="3"/>
  <c r="AH207" i="3"/>
  <c r="AH199" i="3"/>
  <c r="AH191" i="3"/>
  <c r="AH183" i="3"/>
  <c r="AH175" i="3"/>
  <c r="AH167" i="3"/>
  <c r="AH159" i="3"/>
  <c r="AH151" i="3"/>
  <c r="AH143" i="3"/>
  <c r="AH135" i="3"/>
  <c r="AH127" i="3"/>
  <c r="AH119" i="3"/>
  <c r="AH111" i="3"/>
  <c r="AH103" i="3"/>
  <c r="AH95" i="3"/>
  <c r="AH87" i="3"/>
  <c r="AH79" i="3"/>
  <c r="AH71" i="3"/>
  <c r="AH63" i="3"/>
  <c r="AH55" i="3"/>
  <c r="AH47" i="3"/>
  <c r="AH39" i="3"/>
  <c r="AH31" i="3"/>
  <c r="AH23" i="3"/>
  <c r="AH15" i="3"/>
  <c r="AH7" i="3"/>
  <c r="AH478" i="3"/>
  <c r="AH470" i="3"/>
  <c r="AH462" i="3"/>
  <c r="AH454" i="3"/>
  <c r="AH446" i="3"/>
  <c r="AH438" i="3"/>
  <c r="AH430" i="3"/>
  <c r="AH422" i="3"/>
  <c r="AH414" i="3"/>
  <c r="AH406" i="3"/>
  <c r="AH398" i="3"/>
  <c r="AH390" i="3"/>
  <c r="AH382" i="3"/>
  <c r="AH294" i="3"/>
  <c r="AH238" i="3"/>
  <c r="AH230" i="3"/>
  <c r="AH222" i="3"/>
  <c r="AH214" i="3"/>
  <c r="AH206" i="3"/>
  <c r="AH198" i="3"/>
  <c r="AH190" i="3"/>
  <c r="AH182" i="3"/>
  <c r="AH174" i="3"/>
  <c r="AH166" i="3"/>
  <c r="AH158" i="3"/>
  <c r="AH150" i="3"/>
  <c r="AH142" i="3"/>
  <c r="AH134" i="3"/>
  <c r="AH126" i="3"/>
  <c r="AH118" i="3"/>
  <c r="AH110" i="3"/>
  <c r="AH102" i="3"/>
  <c r="AH94" i="3"/>
  <c r="AH86" i="3"/>
  <c r="AH78" i="3"/>
  <c r="AH70" i="3"/>
  <c r="AH62" i="3"/>
  <c r="AH54" i="3"/>
  <c r="AH46" i="3"/>
  <c r="AH38" i="3"/>
  <c r="AH30" i="3"/>
  <c r="AH22" i="3"/>
  <c r="AH14" i="3"/>
  <c r="AH6" i="3"/>
  <c r="AH477" i="3"/>
  <c r="AH469" i="3"/>
  <c r="AH461" i="3"/>
  <c r="AH453" i="3"/>
  <c r="AH237" i="3"/>
  <c r="AH229" i="3"/>
  <c r="AH221" i="3"/>
  <c r="AH213" i="3"/>
  <c r="AH205" i="3"/>
  <c r="AH197" i="3"/>
  <c r="AH189" i="3"/>
  <c r="AH181" i="3"/>
  <c r="AH173" i="3"/>
  <c r="AH165" i="3"/>
  <c r="AH157" i="3"/>
  <c r="AH149" i="3"/>
  <c r="AH141" i="3"/>
  <c r="AH133" i="3"/>
  <c r="AH125" i="3"/>
  <c r="AH117" i="3"/>
  <c r="AH109" i="3"/>
  <c r="AH101" i="3"/>
  <c r="AH93" i="3"/>
  <c r="AH85" i="3"/>
  <c r="AH77" i="3"/>
  <c r="AH69" i="3"/>
  <c r="AH61" i="3"/>
  <c r="AH53" i="3"/>
  <c r="AH45" i="3"/>
  <c r="AH37" i="3"/>
  <c r="AH29" i="3"/>
  <c r="AH21" i="3"/>
  <c r="AH13" i="3"/>
  <c r="AH5" i="3"/>
  <c r="AH476" i="3"/>
  <c r="AH468" i="3"/>
  <c r="AH460" i="3"/>
  <c r="AH452" i="3"/>
  <c r="AH380" i="3"/>
  <c r="AH268" i="3"/>
  <c r="AH236" i="3"/>
  <c r="AH228" i="3"/>
  <c r="AH220" i="3"/>
  <c r="AH212" i="3"/>
  <c r="AH204" i="3"/>
  <c r="AH196" i="3"/>
  <c r="AH188" i="3"/>
  <c r="AH180" i="3"/>
  <c r="AH172" i="3"/>
  <c r="AH164" i="3"/>
  <c r="AH156" i="3"/>
  <c r="AH148" i="3"/>
  <c r="AH140" i="3"/>
  <c r="AH132" i="3"/>
  <c r="AH124" i="3"/>
  <c r="AH116" i="3"/>
  <c r="AH108" i="3"/>
  <c r="AH100" i="3"/>
  <c r="AH92" i="3"/>
  <c r="AH84" i="3"/>
  <c r="AH76" i="3"/>
  <c r="AH68" i="3"/>
  <c r="AH60" i="3"/>
  <c r="AH52" i="3"/>
  <c r="AH44" i="3"/>
  <c r="AH36" i="3"/>
  <c r="AH28" i="3"/>
  <c r="AH20" i="3"/>
  <c r="AH12" i="3"/>
  <c r="AH4" i="3"/>
  <c r="AH475" i="3"/>
  <c r="AH467" i="3"/>
  <c r="AH459" i="3"/>
  <c r="AH451" i="3"/>
  <c r="AH443" i="3"/>
  <c r="AH435" i="3"/>
  <c r="AH427" i="3"/>
  <c r="AH419" i="3"/>
  <c r="AH411" i="3"/>
  <c r="AH403" i="3"/>
  <c r="AH395" i="3"/>
  <c r="AH387" i="3"/>
  <c r="AH291" i="3"/>
  <c r="AH283" i="3"/>
  <c r="AH235" i="3"/>
  <c r="AH227" i="3"/>
  <c r="AH219" i="3"/>
  <c r="AH211" i="3"/>
  <c r="AH203" i="3"/>
  <c r="AH195" i="3"/>
  <c r="AH187" i="3"/>
  <c r="AH179" i="3"/>
  <c r="AH171" i="3"/>
  <c r="AH163" i="3"/>
  <c r="AH155" i="3"/>
  <c r="AH147" i="3"/>
  <c r="AH139" i="3"/>
  <c r="AH131" i="3"/>
  <c r="AH123" i="3"/>
  <c r="AH115" i="3"/>
  <c r="AH107" i="3"/>
  <c r="AH99" i="3"/>
  <c r="AH91" i="3"/>
  <c r="AH83" i="3"/>
  <c r="AH75" i="3"/>
  <c r="AH67" i="3"/>
  <c r="AH59" i="3"/>
  <c r="AH51" i="3"/>
  <c r="AH43" i="3"/>
  <c r="AH35" i="3"/>
  <c r="AH27" i="3"/>
  <c r="AH19" i="3"/>
  <c r="AH11" i="3"/>
  <c r="AH3" i="3"/>
  <c r="AH474" i="3"/>
  <c r="AH466" i="3"/>
  <c r="AH458" i="3"/>
  <c r="AH450" i="3"/>
  <c r="AH442" i="3"/>
  <c r="AH434" i="3"/>
  <c r="AH426" i="3"/>
  <c r="AH418" i="3"/>
  <c r="AH410" i="3"/>
  <c r="AH402" i="3"/>
  <c r="AH394" i="3"/>
  <c r="AH378" i="3"/>
  <c r="AH346" i="3"/>
  <c r="AH306" i="3"/>
  <c r="AH234" i="3"/>
  <c r="AH226" i="3"/>
  <c r="AH218" i="3"/>
  <c r="AH210" i="3"/>
  <c r="AH202" i="3"/>
  <c r="AH194" i="3"/>
  <c r="AH186" i="3"/>
  <c r="AH178" i="3"/>
  <c r="AH170" i="3"/>
  <c r="AH162" i="3"/>
  <c r="AH154" i="3"/>
  <c r="AH146" i="3"/>
  <c r="AH138" i="3"/>
  <c r="AH130" i="3"/>
  <c r="AH122" i="3"/>
  <c r="AH114" i="3"/>
  <c r="AH106" i="3"/>
  <c r="AH98" i="3"/>
  <c r="AH90" i="3"/>
  <c r="AH82" i="3"/>
  <c r="AH74" i="3"/>
  <c r="AH66" i="3"/>
  <c r="AH58" i="3"/>
  <c r="AH50" i="3"/>
  <c r="AH42" i="3"/>
  <c r="AH34" i="3"/>
  <c r="AH26" i="3"/>
  <c r="AH18" i="3"/>
  <c r="AH10" i="3"/>
  <c r="AH473" i="3"/>
  <c r="AH465" i="3"/>
  <c r="AH457" i="3"/>
  <c r="AH449" i="3"/>
  <c r="AH233" i="3"/>
  <c r="AH225" i="3"/>
  <c r="AH217" i="3"/>
  <c r="AH209" i="3"/>
  <c r="AH201" i="3"/>
  <c r="AH193" i="3"/>
  <c r="AH185" i="3"/>
  <c r="AH177" i="3"/>
  <c r="AH169" i="3"/>
  <c r="AH161" i="3"/>
  <c r="AH153" i="3"/>
  <c r="AH145" i="3"/>
  <c r="AH137" i="3"/>
  <c r="AH129" i="3"/>
  <c r="AH121" i="3"/>
  <c r="AH113" i="3"/>
  <c r="AH105" i="3"/>
  <c r="AH97" i="3"/>
  <c r="AH89" i="3"/>
  <c r="AH81" i="3"/>
  <c r="AH73" i="3"/>
  <c r="AH65" i="3"/>
  <c r="AH57" i="3"/>
  <c r="AH49" i="3"/>
  <c r="AH41" i="3"/>
  <c r="AH33" i="3"/>
  <c r="AH25" i="3"/>
  <c r="AH17" i="3"/>
  <c r="AH9" i="3"/>
  <c r="AH472" i="3"/>
  <c r="AH464" i="3"/>
  <c r="AH456" i="3"/>
  <c r="AH448" i="3"/>
  <c r="AH344" i="3"/>
  <c r="AH320" i="3"/>
  <c r="AH280" i="3"/>
  <c r="AH232" i="3"/>
  <c r="AH224" i="3"/>
  <c r="AH216" i="3"/>
  <c r="AH208" i="3"/>
  <c r="AH200" i="3"/>
  <c r="AH192" i="3"/>
  <c r="AH184" i="3"/>
  <c r="AH176" i="3"/>
  <c r="AH168" i="3"/>
  <c r="AH160" i="3"/>
  <c r="AH152" i="3"/>
  <c r="AH144" i="3"/>
  <c r="AH136" i="3"/>
  <c r="AH128" i="3"/>
  <c r="AH120" i="3"/>
  <c r="AH112" i="3"/>
  <c r="AH104" i="3"/>
  <c r="AH96" i="3"/>
  <c r="AH88" i="3"/>
  <c r="AH80" i="3"/>
  <c r="AH72" i="3"/>
  <c r="AH64" i="3"/>
  <c r="AH56" i="3"/>
  <c r="AH48" i="3"/>
  <c r="AH40" i="3"/>
  <c r="AH32" i="3"/>
  <c r="AH24" i="3"/>
  <c r="AH16" i="3"/>
  <c r="AH8" i="3"/>
  <c r="AH2" i="3"/>
  <c r="V2" i="3"/>
  <c r="AH830" i="3"/>
  <c r="AH822" i="3"/>
  <c r="AH814" i="3"/>
  <c r="AH806" i="3"/>
  <c r="AH798" i="3"/>
  <c r="AH790" i="3"/>
  <c r="AH782" i="3"/>
  <c r="AH774" i="3"/>
  <c r="AH766" i="3"/>
  <c r="AH758" i="3"/>
  <c r="AH750" i="3"/>
  <c r="AH742" i="3"/>
  <c r="AH734" i="3"/>
  <c r="AH726" i="3"/>
  <c r="AH718" i="3"/>
  <c r="AH710" i="3"/>
  <c r="AH702" i="3"/>
  <c r="AH694" i="3"/>
  <c r="AH686" i="3"/>
  <c r="AH678" i="3"/>
  <c r="AH670" i="3"/>
  <c r="AH662" i="3"/>
  <c r="AH654" i="3"/>
  <c r="AH646" i="3"/>
  <c r="AH638" i="3"/>
  <c r="AH630" i="3"/>
  <c r="AH622" i="3"/>
  <c r="AH614" i="3"/>
  <c r="AH606" i="3"/>
  <c r="AH598" i="3"/>
  <c r="AH590" i="3"/>
  <c r="AH582" i="3"/>
  <c r="AH574" i="3"/>
  <c r="AH566" i="3"/>
  <c r="AH558" i="3"/>
  <c r="AH550" i="3"/>
  <c r="AH542" i="3"/>
  <c r="AH534" i="3"/>
  <c r="AH526" i="3"/>
  <c r="AH829" i="3"/>
  <c r="AH821" i="3"/>
  <c r="AH813" i="3"/>
  <c r="AH805" i="3"/>
  <c r="AH797" i="3"/>
  <c r="AH789" i="3"/>
  <c r="AH781" i="3"/>
  <c r="AH773" i="3"/>
  <c r="AH765" i="3"/>
  <c r="AH757" i="3"/>
  <c r="AH749" i="3"/>
  <c r="AH741" i="3"/>
  <c r="AH733" i="3"/>
  <c r="AH725" i="3"/>
  <c r="AH717" i="3"/>
  <c r="AH709" i="3"/>
  <c r="AH701" i="3"/>
  <c r="AH693" i="3"/>
  <c r="AH685" i="3"/>
  <c r="AH677" i="3"/>
  <c r="AH669" i="3"/>
  <c r="AH661" i="3"/>
  <c r="AH653" i="3"/>
  <c r="AH645" i="3"/>
  <c r="AH637" i="3"/>
  <c r="AH629" i="3"/>
  <c r="AH621" i="3"/>
  <c r="AH613" i="3"/>
  <c r="AH605" i="3"/>
  <c r="AH597" i="3"/>
  <c r="AH589" i="3"/>
  <c r="AH581" i="3"/>
  <c r="AH573" i="3"/>
  <c r="AH565" i="3"/>
  <c r="AH557" i="3"/>
  <c r="AH549" i="3"/>
  <c r="AH541" i="3"/>
  <c r="AH533" i="3"/>
  <c r="AH525" i="3"/>
  <c r="AH517" i="3"/>
  <c r="AH509" i="3"/>
  <c r="AH501" i="3"/>
  <c r="AH493" i="3"/>
  <c r="AH485" i="3"/>
  <c r="AH836" i="3"/>
  <c r="AH828" i="3"/>
  <c r="AH820" i="3"/>
  <c r="AH812" i="3"/>
  <c r="AH804" i="3"/>
  <c r="AH796" i="3"/>
  <c r="AH788" i="3"/>
  <c r="AH780" i="3"/>
  <c r="AH772" i="3"/>
  <c r="AH764" i="3"/>
  <c r="AH756" i="3"/>
  <c r="AH748" i="3"/>
  <c r="AH740" i="3"/>
  <c r="AH732" i="3"/>
  <c r="AH724" i="3"/>
  <c r="AH716" i="3"/>
  <c r="AH708" i="3"/>
  <c r="AH700" i="3"/>
  <c r="AH692" i="3"/>
  <c r="AH684" i="3"/>
  <c r="AH676" i="3"/>
  <c r="AH668" i="3"/>
  <c r="AH660" i="3"/>
  <c r="AH652" i="3"/>
  <c r="AH644" i="3"/>
  <c r="AH636" i="3"/>
  <c r="AH628" i="3"/>
  <c r="AH620" i="3"/>
  <c r="AH612" i="3"/>
  <c r="AH604" i="3"/>
  <c r="AH596" i="3"/>
  <c r="AH588" i="3"/>
  <c r="AH580" i="3"/>
  <c r="AH572" i="3"/>
  <c r="AH564" i="3"/>
  <c r="AH556" i="3"/>
  <c r="AH548" i="3"/>
  <c r="AH540" i="3"/>
  <c r="AH532" i="3"/>
  <c r="AH524" i="3"/>
  <c r="AH516" i="3"/>
  <c r="AH508" i="3"/>
  <c r="AH500" i="3"/>
  <c r="AH492" i="3"/>
  <c r="AH484" i="3"/>
  <c r="AH835" i="3"/>
  <c r="AH827" i="3"/>
  <c r="AH819" i="3"/>
  <c r="AH811" i="3"/>
  <c r="AH803" i="3"/>
  <c r="AH795" i="3"/>
  <c r="AH787" i="3"/>
  <c r="AH779" i="3"/>
  <c r="AH771" i="3"/>
  <c r="AH763" i="3"/>
  <c r="AH755" i="3"/>
  <c r="AH747" i="3"/>
  <c r="AH739" i="3"/>
  <c r="AH731" i="3"/>
  <c r="AH723" i="3"/>
  <c r="AH715" i="3"/>
  <c r="AH707" i="3"/>
  <c r="AH699" i="3"/>
  <c r="AH691" i="3"/>
  <c r="AH683" i="3"/>
  <c r="AH675" i="3"/>
  <c r="AH667" i="3"/>
  <c r="AH659" i="3"/>
  <c r="AH651" i="3"/>
  <c r="AH643" i="3"/>
  <c r="AH635" i="3"/>
  <c r="AH627" i="3"/>
  <c r="AH619" i="3"/>
  <c r="AH611" i="3"/>
  <c r="AH603" i="3"/>
  <c r="AH595" i="3"/>
  <c r="AH587" i="3"/>
  <c r="AH579" i="3"/>
  <c r="AH571" i="3"/>
  <c r="AH563" i="3"/>
  <c r="AH555" i="3"/>
  <c r="AH547" i="3"/>
  <c r="AH539" i="3"/>
  <c r="AH531" i="3"/>
  <c r="AH523" i="3"/>
  <c r="AH515" i="3"/>
  <c r="AH507" i="3"/>
  <c r="AH499" i="3"/>
  <c r="AH491" i="3"/>
  <c r="AH483" i="3"/>
  <c r="AH834" i="3"/>
  <c r="AH826" i="3"/>
  <c r="AH818" i="3"/>
  <c r="AH810" i="3"/>
  <c r="AH802" i="3"/>
  <c r="AH794" i="3"/>
  <c r="AH786" i="3"/>
  <c r="AH778" i="3"/>
  <c r="AH770" i="3"/>
  <c r="AH762" i="3"/>
  <c r="AH754" i="3"/>
  <c r="AH746" i="3"/>
  <c r="AH738" i="3"/>
  <c r="AH730" i="3"/>
  <c r="AH722" i="3"/>
  <c r="AH714" i="3"/>
  <c r="AH706" i="3"/>
  <c r="AH698" i="3"/>
  <c r="AH690" i="3"/>
  <c r="AH682" i="3"/>
  <c r="AH674" i="3"/>
  <c r="AH666" i="3"/>
  <c r="AH658" i="3"/>
  <c r="AH650" i="3"/>
  <c r="AH642" i="3"/>
  <c r="AH634" i="3"/>
  <c r="AH626" i="3"/>
  <c r="AH618" i="3"/>
  <c r="AH610" i="3"/>
  <c r="AH602" i="3"/>
  <c r="AH594" i="3"/>
  <c r="AH586" i="3"/>
  <c r="AH578" i="3"/>
  <c r="AH570" i="3"/>
  <c r="AH562" i="3"/>
  <c r="AH554" i="3"/>
  <c r="AH546" i="3"/>
  <c r="AH538" i="3"/>
  <c r="AH530" i="3"/>
  <c r="AH522" i="3"/>
  <c r="AH514" i="3"/>
  <c r="AH506" i="3"/>
  <c r="AH498" i="3"/>
  <c r="AH490" i="3"/>
  <c r="AH482" i="3"/>
  <c r="AH833" i="3"/>
  <c r="AH825" i="3"/>
  <c r="AH817" i="3"/>
  <c r="AH809" i="3"/>
  <c r="AH801" i="3"/>
  <c r="AH793" i="3"/>
  <c r="AH785" i="3"/>
  <c r="AH777" i="3"/>
  <c r="AH769" i="3"/>
  <c r="AH761" i="3"/>
  <c r="AH753" i="3"/>
  <c r="AH745" i="3"/>
  <c r="AH737" i="3"/>
  <c r="AH729" i="3"/>
  <c r="AH721" i="3"/>
  <c r="AH713" i="3"/>
  <c r="AH705" i="3"/>
  <c r="AH697" i="3"/>
  <c r="AH689" i="3"/>
  <c r="AH681" i="3"/>
  <c r="AH673" i="3"/>
  <c r="AH665" i="3"/>
  <c r="AH657" i="3"/>
  <c r="AH649" i="3"/>
  <c r="AH641" i="3"/>
  <c r="AH633" i="3"/>
  <c r="AH625" i="3"/>
  <c r="AH617" i="3"/>
  <c r="AH609" i="3"/>
  <c r="AH601" i="3"/>
  <c r="AH593" i="3"/>
  <c r="AH585" i="3"/>
  <c r="AH577" i="3"/>
  <c r="AH569" i="3"/>
  <c r="AH561" i="3"/>
  <c r="AH553" i="3"/>
  <c r="AH545" i="3"/>
  <c r="AH537" i="3"/>
  <c r="AH529" i="3"/>
  <c r="AH521" i="3"/>
  <c r="AH513" i="3"/>
  <c r="AH505" i="3"/>
  <c r="AH497" i="3"/>
  <c r="AH489" i="3"/>
  <c r="AH481" i="3"/>
  <c r="AH832" i="3"/>
  <c r="AH824" i="3"/>
  <c r="AH816" i="3"/>
  <c r="AH808" i="3"/>
  <c r="AH800" i="3"/>
  <c r="AH792" i="3"/>
  <c r="AH784" i="3"/>
  <c r="AH776" i="3"/>
  <c r="AH768" i="3"/>
  <c r="AH760" i="3"/>
  <c r="AH752" i="3"/>
  <c r="AH744" i="3"/>
  <c r="AH736" i="3"/>
  <c r="AH728" i="3"/>
  <c r="AH720" i="3"/>
  <c r="AH712" i="3"/>
  <c r="AH704" i="3"/>
  <c r="AH696" i="3"/>
  <c r="AH688" i="3"/>
  <c r="AH680" i="3"/>
  <c r="AH672" i="3"/>
  <c r="AH664" i="3"/>
  <c r="AH656" i="3"/>
  <c r="AH648" i="3"/>
  <c r="AH831" i="3"/>
  <c r="AH823" i="3"/>
  <c r="AH815" i="3"/>
  <c r="AH807" i="3"/>
  <c r="AH799" i="3"/>
  <c r="AH791" i="3"/>
  <c r="AH783" i="3"/>
  <c r="AH775" i="3"/>
  <c r="AH767" i="3"/>
  <c r="AH759" i="3"/>
  <c r="AH751" i="3"/>
  <c r="AH743" i="3"/>
  <c r="AH735" i="3"/>
  <c r="AH727" i="3"/>
  <c r="AH719" i="3"/>
  <c r="AH711" i="3"/>
  <c r="AH703" i="3"/>
  <c r="AH695" i="3"/>
  <c r="AH687" i="3"/>
  <c r="AH679" i="3"/>
  <c r="AH671" i="3"/>
  <c r="AH663" i="3"/>
  <c r="AH655" i="3"/>
  <c r="AH647" i="3"/>
  <c r="AH639" i="3"/>
  <c r="AH631" i="3"/>
  <c r="AH623" i="3"/>
  <c r="AH615" i="3"/>
  <c r="AH607" i="3"/>
  <c r="AH599" i="3"/>
  <c r="AH591" i="3"/>
  <c r="AH518" i="3"/>
  <c r="AH510" i="3"/>
  <c r="AH502" i="3"/>
  <c r="AH494" i="3"/>
  <c r="AH486" i="3"/>
  <c r="AH640" i="3"/>
  <c r="AH632" i="3"/>
  <c r="AH624" i="3"/>
  <c r="AH616" i="3"/>
  <c r="AH608" i="3"/>
  <c r="AH600" i="3"/>
  <c r="AH592" i="3"/>
  <c r="AH584" i="3"/>
  <c r="AH576" i="3"/>
  <c r="AH568" i="3"/>
  <c r="AH560" i="3"/>
  <c r="AH552" i="3"/>
  <c r="AH544" i="3"/>
  <c r="AH536" i="3"/>
  <c r="AH528" i="3"/>
  <c r="AH520" i="3"/>
  <c r="AH512" i="3"/>
  <c r="AH504" i="3"/>
  <c r="AH496" i="3"/>
  <c r="AH488" i="3"/>
  <c r="AH480" i="3"/>
  <c r="AH583" i="3"/>
  <c r="AH575" i="3"/>
  <c r="AH567" i="3"/>
  <c r="AH559" i="3"/>
  <c r="AH551" i="3"/>
  <c r="AH543" i="3"/>
  <c r="AH535" i="3"/>
  <c r="AH527" i="3"/>
  <c r="AH519" i="3"/>
  <c r="AH511" i="3"/>
  <c r="AH503" i="3"/>
  <c r="AH495" i="3"/>
  <c r="AH487" i="3"/>
  <c r="AH479" i="3"/>
  <c r="AH441" i="3"/>
  <c r="AH433" i="3"/>
  <c r="AH425" i="3"/>
  <c r="AH417" i="3"/>
  <c r="AH409" i="3"/>
  <c r="AH401" i="3"/>
  <c r="AH393" i="3"/>
  <c r="AH385" i="3"/>
  <c r="AH377" i="3"/>
  <c r="AH369" i="3"/>
  <c r="AH361" i="3"/>
  <c r="AH353" i="3"/>
  <c r="AH345" i="3"/>
  <c r="AH337" i="3"/>
  <c r="AH329" i="3"/>
  <c r="AH321" i="3"/>
  <c r="AH313" i="3"/>
  <c r="AH305" i="3"/>
  <c r="AH297" i="3"/>
  <c r="AH289" i="3"/>
  <c r="AH281" i="3"/>
  <c r="AH273" i="3"/>
  <c r="AH265" i="3"/>
  <c r="AH257" i="3"/>
  <c r="AH249" i="3"/>
  <c r="AH241" i="3"/>
  <c r="AH440" i="3"/>
  <c r="AH432" i="3"/>
  <c r="AH424" i="3"/>
  <c r="AH416" i="3"/>
  <c r="AH408" i="3"/>
  <c r="AH400" i="3"/>
  <c r="AH392" i="3"/>
  <c r="AH384" i="3"/>
  <c r="AH376" i="3"/>
  <c r="AH368" i="3"/>
  <c r="AH360" i="3"/>
  <c r="AH352" i="3"/>
  <c r="AH336" i="3"/>
  <c r="AH328" i="3"/>
  <c r="AH312" i="3"/>
  <c r="AH304" i="3"/>
  <c r="AH296" i="3"/>
  <c r="AH288" i="3"/>
  <c r="AH272" i="3"/>
  <c r="AH264" i="3"/>
  <c r="AH256" i="3"/>
  <c r="AH248" i="3"/>
  <c r="AH240" i="3"/>
  <c r="AH383" i="3"/>
  <c r="AH375" i="3"/>
  <c r="AH367" i="3"/>
  <c r="AH359" i="3"/>
  <c r="AH351" i="3"/>
  <c r="AH343" i="3"/>
  <c r="AH327" i="3"/>
  <c r="AH319" i="3"/>
  <c r="AH311" i="3"/>
  <c r="AH303" i="3"/>
  <c r="AH295" i="3"/>
  <c r="AH287" i="3"/>
  <c r="AH279" i="3"/>
  <c r="AH271" i="3"/>
  <c r="AH263" i="3"/>
  <c r="AH255" i="3"/>
  <c r="AH247" i="3"/>
  <c r="AH239" i="3"/>
  <c r="AH374" i="3"/>
  <c r="AH366" i="3"/>
  <c r="AH358" i="3"/>
  <c r="AH350" i="3"/>
  <c r="AH342" i="3"/>
  <c r="AH334" i="3"/>
  <c r="AH326" i="3"/>
  <c r="AH318" i="3"/>
  <c r="AH310" i="3"/>
  <c r="AH302" i="3"/>
  <c r="AH286" i="3"/>
  <c r="AH278" i="3"/>
  <c r="AH270" i="3"/>
  <c r="AH262" i="3"/>
  <c r="AH254" i="3"/>
  <c r="AH246" i="3"/>
  <c r="AH445" i="3"/>
  <c r="AH437" i="3"/>
  <c r="AH429" i="3"/>
  <c r="AH421" i="3"/>
  <c r="AH413" i="3"/>
  <c r="AH405" i="3"/>
  <c r="AH397" i="3"/>
  <c r="AH389" i="3"/>
  <c r="AH381" i="3"/>
  <c r="AH373" i="3"/>
  <c r="AH365" i="3"/>
  <c r="AH357" i="3"/>
  <c r="AH349" i="3"/>
  <c r="AH341" i="3"/>
  <c r="AH333" i="3"/>
  <c r="AH325" i="3"/>
  <c r="AH317" i="3"/>
  <c r="AH309" i="3"/>
  <c r="AH301" i="3"/>
  <c r="AH293" i="3"/>
  <c r="AH285" i="3"/>
  <c r="AH277" i="3"/>
  <c r="AH269" i="3"/>
  <c r="AH261" i="3"/>
  <c r="AH253" i="3"/>
  <c r="AH245" i="3"/>
  <c r="AH444" i="3"/>
  <c r="AH436" i="3"/>
  <c r="AH428" i="3"/>
  <c r="AH420" i="3"/>
  <c r="AH412" i="3"/>
  <c r="AH404" i="3"/>
  <c r="AH396" i="3"/>
  <c r="AH388" i="3"/>
  <c r="AH372" i="3"/>
  <c r="AH364" i="3"/>
  <c r="AH356" i="3"/>
  <c r="AH348" i="3"/>
  <c r="AH340" i="3"/>
  <c r="AH332" i="3"/>
  <c r="AH324" i="3"/>
  <c r="AH316" i="3"/>
  <c r="AH308" i="3"/>
  <c r="AH300" i="3"/>
  <c r="AH292" i="3"/>
  <c r="AH284" i="3"/>
  <c r="AH276" i="3"/>
  <c r="AH260" i="3"/>
  <c r="AH252" i="3"/>
  <c r="AH244" i="3"/>
  <c r="AH379" i="3"/>
  <c r="AH371" i="3"/>
  <c r="AH363" i="3"/>
  <c r="AH355" i="3"/>
  <c r="AH347" i="3"/>
  <c r="AH339" i="3"/>
  <c r="AH331" i="3"/>
  <c r="AH323" i="3"/>
  <c r="AH315" i="3"/>
  <c r="AH307" i="3"/>
  <c r="AH299" i="3"/>
  <c r="AH275" i="3"/>
  <c r="AH267" i="3"/>
  <c r="AH259" i="3"/>
  <c r="AH251" i="3"/>
  <c r="AH243" i="3"/>
  <c r="AH386" i="3"/>
  <c r="AH370" i="3"/>
  <c r="AH362" i="3"/>
  <c r="AH354" i="3"/>
  <c r="AH338" i="3"/>
  <c r="AH330" i="3"/>
  <c r="AH322" i="3"/>
  <c r="AH314" i="3"/>
  <c r="AH298" i="3"/>
  <c r="AH290" i="3"/>
  <c r="AH282" i="3"/>
  <c r="AH274" i="3"/>
  <c r="AH266" i="3"/>
  <c r="AH258" i="3"/>
  <c r="AH250" i="3"/>
  <c r="AH242" i="3"/>
  <c r="B59" i="3"/>
  <c r="AB59" i="3" s="1"/>
  <c r="B67" i="3"/>
  <c r="AB67" i="3" s="1"/>
  <c r="AC44" i="3"/>
  <c r="AC60" i="3"/>
  <c r="B43" i="3"/>
  <c r="AB43" i="3" s="1"/>
  <c r="AC52" i="3"/>
  <c r="AC68" i="3"/>
  <c r="B53" i="3"/>
  <c r="AB53" i="3" s="1"/>
  <c r="AC88" i="3"/>
  <c r="AC62" i="3"/>
  <c r="B45" i="3"/>
  <c r="AB45" i="3" s="1"/>
  <c r="AC38" i="3"/>
  <c r="AC19" i="3"/>
  <c r="B39" i="3"/>
  <c r="AB39" i="3" s="1"/>
  <c r="B47" i="3"/>
  <c r="AB47" i="3" s="1"/>
  <c r="B55" i="3"/>
  <c r="AB55" i="3" s="1"/>
  <c r="B63" i="3"/>
  <c r="AB63" i="3" s="1"/>
  <c r="B71" i="3"/>
  <c r="AB71" i="3" s="1"/>
  <c r="AC36" i="3"/>
  <c r="B37" i="3"/>
  <c r="AB37" i="3" s="1"/>
  <c r="B6" i="3"/>
  <c r="AC54" i="3"/>
  <c r="AC56" i="3"/>
  <c r="B61" i="3"/>
  <c r="AB61" i="3" s="1"/>
  <c r="B10" i="3"/>
  <c r="B14" i="3"/>
  <c r="B22" i="3"/>
  <c r="AB22" i="3" s="1"/>
  <c r="B41" i="3"/>
  <c r="AB41" i="3" s="1"/>
  <c r="B49" i="3"/>
  <c r="AB49" i="3" s="1"/>
  <c r="B57" i="3"/>
  <c r="AB57" i="3" s="1"/>
  <c r="B65" i="3"/>
  <c r="AB65" i="3" s="1"/>
  <c r="AC76" i="3"/>
  <c r="B69" i="3"/>
  <c r="AB69" i="3" s="1"/>
  <c r="AD3" i="3"/>
  <c r="AC7" i="3"/>
  <c r="AC11" i="3"/>
  <c r="AC15" i="3"/>
  <c r="AC26" i="3"/>
  <c r="AC34" i="3"/>
  <c r="AC66" i="3"/>
  <c r="AD28" i="3"/>
  <c r="AD30" i="3"/>
  <c r="AD32" i="3"/>
  <c r="AD46" i="3"/>
  <c r="AD48" i="3"/>
  <c r="AD50" i="3"/>
  <c r="AD9" i="3"/>
  <c r="AD13" i="3"/>
  <c r="AD17" i="3"/>
  <c r="AD25" i="3"/>
  <c r="AD33" i="3"/>
  <c r="AD4" i="3"/>
  <c r="AD8" i="3"/>
  <c r="AD12" i="3"/>
  <c r="AD16" i="3"/>
  <c r="AD24" i="3"/>
  <c r="AD90" i="3"/>
  <c r="B90" i="3"/>
  <c r="AB90" i="3" s="1"/>
  <c r="AC90" i="3"/>
  <c r="AD94" i="3"/>
  <c r="AC94" i="3"/>
  <c r="B94" i="3"/>
  <c r="AB94" i="3" s="1"/>
  <c r="AD98" i="3"/>
  <c r="AC98" i="3"/>
  <c r="B98" i="3"/>
  <c r="AB98" i="3" s="1"/>
  <c r="AD102" i="3"/>
  <c r="B102" i="3"/>
  <c r="AB102" i="3" s="1"/>
  <c r="AC102" i="3"/>
  <c r="AD106" i="3"/>
  <c r="AC106" i="3"/>
  <c r="B106" i="3"/>
  <c r="AB106" i="3" s="1"/>
  <c r="AD110" i="3"/>
  <c r="AC110" i="3"/>
  <c r="B110" i="3"/>
  <c r="AB110" i="3" s="1"/>
  <c r="AD114" i="3"/>
  <c r="AC114" i="3"/>
  <c r="B114" i="3"/>
  <c r="AB114" i="3" s="1"/>
  <c r="AD118" i="3"/>
  <c r="AC118" i="3"/>
  <c r="B118" i="3"/>
  <c r="AB118" i="3" s="1"/>
  <c r="AD122" i="3"/>
  <c r="AC122" i="3"/>
  <c r="B122" i="3"/>
  <c r="AB122" i="3" s="1"/>
  <c r="AD126" i="3"/>
  <c r="AC126" i="3"/>
  <c r="B126" i="3"/>
  <c r="AB126" i="3" s="1"/>
  <c r="AC134" i="3"/>
  <c r="B145" i="3"/>
  <c r="AB145" i="3" s="1"/>
  <c r="AD5" i="3"/>
  <c r="AD21" i="3"/>
  <c r="AD27" i="3"/>
  <c r="AD31" i="3"/>
  <c r="AD20" i="3"/>
  <c r="AC4" i="3"/>
  <c r="AC8" i="3"/>
  <c r="AC12" i="3"/>
  <c r="AC16" i="3"/>
  <c r="AC20" i="3"/>
  <c r="AC24" i="3"/>
  <c r="AD40" i="3"/>
  <c r="AD70" i="3"/>
  <c r="AD72" i="3"/>
  <c r="AD74" i="3"/>
  <c r="AD78" i="3"/>
  <c r="AD82" i="3"/>
  <c r="AD86" i="3"/>
  <c r="AD88" i="3"/>
  <c r="AD91" i="3"/>
  <c r="AC91" i="3"/>
  <c r="B91" i="3"/>
  <c r="AB91" i="3" s="1"/>
  <c r="AD95" i="3"/>
  <c r="B95" i="3"/>
  <c r="AB95" i="3" s="1"/>
  <c r="AC95" i="3"/>
  <c r="AD99" i="3"/>
  <c r="AC99" i="3"/>
  <c r="B99" i="3"/>
  <c r="AB99" i="3" s="1"/>
  <c r="AD103" i="3"/>
  <c r="AC103" i="3"/>
  <c r="B103" i="3"/>
  <c r="AB103" i="3" s="1"/>
  <c r="AD107" i="3"/>
  <c r="AC107" i="3"/>
  <c r="B107" i="3"/>
  <c r="AB107" i="3" s="1"/>
  <c r="AD111" i="3"/>
  <c r="AC111" i="3"/>
  <c r="B111" i="3"/>
  <c r="AB111" i="3" s="1"/>
  <c r="AD115" i="3"/>
  <c r="AC115" i="3"/>
  <c r="B115" i="3"/>
  <c r="AB115" i="3" s="1"/>
  <c r="AD119" i="3"/>
  <c r="AC119" i="3"/>
  <c r="B119" i="3"/>
  <c r="AB119" i="3" s="1"/>
  <c r="AD123" i="3"/>
  <c r="AC123" i="3"/>
  <c r="B123" i="3"/>
  <c r="AB123" i="3" s="1"/>
  <c r="AD127" i="3"/>
  <c r="AC127" i="3"/>
  <c r="B127" i="3"/>
  <c r="AB127" i="3" s="1"/>
  <c r="B140" i="3"/>
  <c r="AB140" i="3" s="1"/>
  <c r="AD42" i="3"/>
  <c r="AD58" i="3"/>
  <c r="AD64" i="3"/>
  <c r="AD80" i="3"/>
  <c r="B5" i="3"/>
  <c r="B9" i="3"/>
  <c r="B13" i="3"/>
  <c r="B17" i="3"/>
  <c r="AB17" i="3" s="1"/>
  <c r="B21" i="3"/>
  <c r="AB21" i="3" s="1"/>
  <c r="B25" i="3"/>
  <c r="AB25" i="3" s="1"/>
  <c r="B27" i="3"/>
  <c r="AB27" i="3" s="1"/>
  <c r="AC28" i="3"/>
  <c r="AC30" i="3"/>
  <c r="B31" i="3"/>
  <c r="AB31" i="3" s="1"/>
  <c r="AC32" i="3"/>
  <c r="B33" i="3"/>
  <c r="AB33" i="3" s="1"/>
  <c r="AC40" i="3"/>
  <c r="AC42" i="3"/>
  <c r="AC46" i="3"/>
  <c r="AC48" i="3"/>
  <c r="AC50" i="3"/>
  <c r="AC58" i="3"/>
  <c r="AC64" i="3"/>
  <c r="AC70" i="3"/>
  <c r="AC72" i="3"/>
  <c r="B73" i="3"/>
  <c r="AB73" i="3" s="1"/>
  <c r="AC74" i="3"/>
  <c r="B75" i="3"/>
  <c r="AB75" i="3" s="1"/>
  <c r="B77" i="3"/>
  <c r="AB77" i="3" s="1"/>
  <c r="AC78" i="3"/>
  <c r="B79" i="3"/>
  <c r="AB79" i="3" s="1"/>
  <c r="AC80" i="3"/>
  <c r="B81" i="3"/>
  <c r="AB81" i="3" s="1"/>
  <c r="AC82" i="3"/>
  <c r="B83" i="3"/>
  <c r="AB83" i="3" s="1"/>
  <c r="B85" i="3"/>
  <c r="AB85" i="3" s="1"/>
  <c r="AC86" i="3"/>
  <c r="B87" i="3"/>
  <c r="AB87" i="3" s="1"/>
  <c r="B141" i="3"/>
  <c r="AB141" i="3" s="1"/>
  <c r="B154" i="3"/>
  <c r="AB154" i="3" s="1"/>
  <c r="AD60" i="3"/>
  <c r="AD62" i="3"/>
  <c r="AD66" i="3"/>
  <c r="AD68" i="3"/>
  <c r="AD76" i="3"/>
  <c r="AD84" i="3"/>
  <c r="AC3" i="3"/>
  <c r="AD834" i="3"/>
  <c r="AD830" i="3"/>
  <c r="AD826" i="3"/>
  <c r="AD822" i="3"/>
  <c r="B836" i="3"/>
  <c r="AB836" i="3" s="1"/>
  <c r="AC834" i="3"/>
  <c r="B832" i="3"/>
  <c r="AB832" i="3" s="1"/>
  <c r="AC830" i="3"/>
  <c r="B835" i="3"/>
  <c r="AB835" i="3" s="1"/>
  <c r="AC833" i="3"/>
  <c r="B831" i="3"/>
  <c r="AB831" i="3" s="1"/>
  <c r="AD836" i="3"/>
  <c r="AD832" i="3"/>
  <c r="AC836" i="3"/>
  <c r="B834" i="3"/>
  <c r="AB834" i="3" s="1"/>
  <c r="AC832" i="3"/>
  <c r="B830" i="3"/>
  <c r="AB830" i="3" s="1"/>
  <c r="AC828" i="3"/>
  <c r="B826" i="3"/>
  <c r="AB826" i="3" s="1"/>
  <c r="AC824" i="3"/>
  <c r="B822" i="3"/>
  <c r="AB822" i="3" s="1"/>
  <c r="AC820" i="3"/>
  <c r="B818" i="3"/>
  <c r="AB818" i="3" s="1"/>
  <c r="AC835" i="3"/>
  <c r="AC831" i="3"/>
  <c r="AC827" i="3"/>
  <c r="AC812" i="3"/>
  <c r="AD814" i="3"/>
  <c r="B810" i="3"/>
  <c r="AB810" i="3" s="1"/>
  <c r="B827" i="3"/>
  <c r="AB827" i="3" s="1"/>
  <c r="B824" i="3"/>
  <c r="AB824" i="3" s="1"/>
  <c r="AC814" i="3"/>
  <c r="AD828" i="3"/>
  <c r="AC826" i="3"/>
  <c r="AD820" i="3"/>
  <c r="AD816" i="3"/>
  <c r="B812" i="3"/>
  <c r="AB812" i="3" s="1"/>
  <c r="AD808" i="3"/>
  <c r="B819" i="3"/>
  <c r="AB819" i="3" s="1"/>
  <c r="AC816" i="3"/>
  <c r="AC808" i="3"/>
  <c r="AC806" i="3"/>
  <c r="B814" i="3"/>
  <c r="AB814" i="3" s="1"/>
  <c r="AD810" i="3"/>
  <c r="B788" i="3"/>
  <c r="AB788" i="3" s="1"/>
  <c r="AC786" i="3"/>
  <c r="B828" i="3"/>
  <c r="AB828" i="3" s="1"/>
  <c r="B823" i="3"/>
  <c r="AB823" i="3" s="1"/>
  <c r="B820" i="3"/>
  <c r="AB820" i="3" s="1"/>
  <c r="AD818" i="3"/>
  <c r="AC810" i="3"/>
  <c r="AD824" i="3"/>
  <c r="AC822" i="3"/>
  <c r="AC818" i="3"/>
  <c r="B816" i="3"/>
  <c r="AB816" i="3" s="1"/>
  <c r="AD812" i="3"/>
  <c r="AC787" i="3"/>
  <c r="AC755" i="3"/>
  <c r="B808" i="3"/>
  <c r="AB808" i="3" s="1"/>
  <c r="AD804" i="3"/>
  <c r="B802" i="3"/>
  <c r="AB802" i="3" s="1"/>
  <c r="AD800" i="3"/>
  <c r="B798" i="3"/>
  <c r="AB798" i="3" s="1"/>
  <c r="AD796" i="3"/>
  <c r="B794" i="3"/>
  <c r="AB794" i="3" s="1"/>
  <c r="AD792" i="3"/>
  <c r="B790" i="3"/>
  <c r="AB790" i="3" s="1"/>
  <c r="B806" i="3"/>
  <c r="AB806" i="3" s="1"/>
  <c r="AC804" i="3"/>
  <c r="AC800" i="3"/>
  <c r="AC796" i="3"/>
  <c r="AC792" i="3"/>
  <c r="AC807" i="3"/>
  <c r="B803" i="3"/>
  <c r="AB803" i="3" s="1"/>
  <c r="AC801" i="3"/>
  <c r="B799" i="3"/>
  <c r="AB799" i="3" s="1"/>
  <c r="AC797" i="3"/>
  <c r="B795" i="3"/>
  <c r="AB795" i="3" s="1"/>
  <c r="B791" i="3"/>
  <c r="AB791" i="3" s="1"/>
  <c r="B787" i="3"/>
  <c r="AB787" i="3" s="1"/>
  <c r="B784" i="3"/>
  <c r="AB784" i="3" s="1"/>
  <c r="B780" i="3"/>
  <c r="AB780" i="3" s="1"/>
  <c r="B776" i="3"/>
  <c r="AB776" i="3" s="1"/>
  <c r="AC765" i="3"/>
  <c r="B763" i="3"/>
  <c r="AB763" i="3" s="1"/>
  <c r="AC805" i="3"/>
  <c r="AC783" i="3"/>
  <c r="AC779" i="3"/>
  <c r="AC775" i="3"/>
  <c r="B772" i="3"/>
  <c r="AB772" i="3" s="1"/>
  <c r="B764" i="3"/>
  <c r="AB764" i="3" s="1"/>
  <c r="B804" i="3"/>
  <c r="AB804" i="3" s="1"/>
  <c r="AD802" i="3"/>
  <c r="B800" i="3"/>
  <c r="AB800" i="3" s="1"/>
  <c r="AD798" i="3"/>
  <c r="B796" i="3"/>
  <c r="AB796" i="3" s="1"/>
  <c r="AD794" i="3"/>
  <c r="B792" i="3"/>
  <c r="AB792" i="3" s="1"/>
  <c r="AD790" i="3"/>
  <c r="B807" i="3"/>
  <c r="AB807" i="3" s="1"/>
  <c r="AC802" i="3"/>
  <c r="AC798" i="3"/>
  <c r="AC794" i="3"/>
  <c r="AC790" i="3"/>
  <c r="B765" i="3"/>
  <c r="AB765" i="3" s="1"/>
  <c r="AD750" i="3"/>
  <c r="AD746" i="3"/>
  <c r="AD742" i="3"/>
  <c r="AD806" i="3"/>
  <c r="B805" i="3"/>
  <c r="AB805" i="3" s="1"/>
  <c r="AC803" i="3"/>
  <c r="B783" i="3"/>
  <c r="AB783" i="3" s="1"/>
  <c r="B779" i="3"/>
  <c r="AB779" i="3" s="1"/>
  <c r="B775" i="3"/>
  <c r="AB775" i="3" s="1"/>
  <c r="AC763" i="3"/>
  <c r="AC759" i="3"/>
  <c r="AC785" i="3"/>
  <c r="AC777" i="3"/>
  <c r="AC749" i="3"/>
  <c r="B746" i="3"/>
  <c r="AB746" i="3" s="1"/>
  <c r="AD713" i="3"/>
  <c r="AD705" i="3"/>
  <c r="AD697" i="3"/>
  <c r="B755" i="3"/>
  <c r="AB755" i="3" s="1"/>
  <c r="AC747" i="3"/>
  <c r="AD745" i="3"/>
  <c r="AD740" i="3"/>
  <c r="AC737" i="3"/>
  <c r="AD732" i="3"/>
  <c r="AC729" i="3"/>
  <c r="AD724" i="3"/>
  <c r="AC721" i="3"/>
  <c r="AD716" i="3"/>
  <c r="AC713" i="3"/>
  <c r="AD708" i="3"/>
  <c r="AC705" i="3"/>
  <c r="AD700" i="3"/>
  <c r="AC762" i="3"/>
  <c r="B759" i="3"/>
  <c r="AB759" i="3" s="1"/>
  <c r="B757" i="3"/>
  <c r="AB757" i="3" s="1"/>
  <c r="B751" i="3"/>
  <c r="AB751" i="3" s="1"/>
  <c r="AC745" i="3"/>
  <c r="B742" i="3"/>
  <c r="AB742" i="3" s="1"/>
  <c r="AC740" i="3"/>
  <c r="AC732" i="3"/>
  <c r="AC724" i="3"/>
  <c r="AC716" i="3"/>
  <c r="AC708" i="3"/>
  <c r="AC692" i="3"/>
  <c r="AC683" i="3"/>
  <c r="AC750" i="3"/>
  <c r="B749" i="3"/>
  <c r="AB749" i="3" s="1"/>
  <c r="AC743" i="3"/>
  <c r="AC703" i="3"/>
  <c r="AC781" i="3"/>
  <c r="AC773" i="3"/>
  <c r="B756" i="3"/>
  <c r="AB756" i="3" s="1"/>
  <c r="B747" i="3"/>
  <c r="AB747" i="3" s="1"/>
  <c r="AD733" i="3"/>
  <c r="AD725" i="3"/>
  <c r="AD717" i="3"/>
  <c r="AD709" i="3"/>
  <c r="AD701" i="3"/>
  <c r="B768" i="3"/>
  <c r="AB768" i="3" s="1"/>
  <c r="AC746" i="3"/>
  <c r="B745" i="3"/>
  <c r="AB745" i="3" s="1"/>
  <c r="AD736" i="3"/>
  <c r="AC733" i="3"/>
  <c r="AC725" i="3"/>
  <c r="AC717" i="3"/>
  <c r="AC709" i="3"/>
  <c r="AC701" i="3"/>
  <c r="AC693" i="3"/>
  <c r="B750" i="3"/>
  <c r="AB750" i="3" s="1"/>
  <c r="B743" i="3"/>
  <c r="AB743" i="3" s="1"/>
  <c r="AC757" i="3"/>
  <c r="AC751" i="3"/>
  <c r="AD749" i="3"/>
  <c r="AC742" i="3"/>
  <c r="AC739" i="3"/>
  <c r="AD734" i="3"/>
  <c r="AC731" i="3"/>
  <c r="AD726" i="3"/>
  <c r="AC723" i="3"/>
  <c r="AD718" i="3"/>
  <c r="AC715" i="3"/>
  <c r="AC698" i="3"/>
  <c r="AD692" i="3"/>
  <c r="AD679" i="3"/>
  <c r="B678" i="3"/>
  <c r="AB678" i="3" s="1"/>
  <c r="B658" i="3"/>
  <c r="AB658" i="3" s="1"/>
  <c r="AC654" i="3"/>
  <c r="B650" i="3"/>
  <c r="AB650" i="3" s="1"/>
  <c r="AC646" i="3"/>
  <c r="B642" i="3"/>
  <c r="AB642" i="3" s="1"/>
  <c r="AC638" i="3"/>
  <c r="B634" i="3"/>
  <c r="AB634" i="3" s="1"/>
  <c r="AC630" i="3"/>
  <c r="B626" i="3"/>
  <c r="AB626" i="3" s="1"/>
  <c r="AD710" i="3"/>
  <c r="AC679" i="3"/>
  <c r="AC697" i="3"/>
  <c r="AC676" i="3"/>
  <c r="B660" i="3"/>
  <c r="AB660" i="3" s="1"/>
  <c r="AC656" i="3"/>
  <c r="B652" i="3"/>
  <c r="AB652" i="3" s="1"/>
  <c r="AC648" i="3"/>
  <c r="B644" i="3"/>
  <c r="AB644" i="3" s="1"/>
  <c r="AC640" i="3"/>
  <c r="AC691" i="3"/>
  <c r="B686" i="3"/>
  <c r="AB686" i="3" s="1"/>
  <c r="AC684" i="3"/>
  <c r="AD678" i="3"/>
  <c r="AD675" i="3"/>
  <c r="AC658" i="3"/>
  <c r="B654" i="3"/>
  <c r="AB654" i="3" s="1"/>
  <c r="AC650" i="3"/>
  <c r="B646" i="3"/>
  <c r="AB646" i="3" s="1"/>
  <c r="B638" i="3"/>
  <c r="AB638" i="3" s="1"/>
  <c r="AC634" i="3"/>
  <c r="B630" i="3"/>
  <c r="AB630" i="3" s="1"/>
  <c r="AC626" i="3"/>
  <c r="B622" i="3"/>
  <c r="AB622" i="3" s="1"/>
  <c r="AC618" i="3"/>
  <c r="AD693" i="3"/>
  <c r="AC690" i="3"/>
  <c r="AC675" i="3"/>
  <c r="AC699" i="3"/>
  <c r="AD683" i="3"/>
  <c r="AC680" i="3"/>
  <c r="AC660" i="3"/>
  <c r="B656" i="3"/>
  <c r="AB656" i="3" s="1"/>
  <c r="AC652" i="3"/>
  <c r="B648" i="3"/>
  <c r="AB648" i="3" s="1"/>
  <c r="AC644" i="3"/>
  <c r="AC707" i="3"/>
  <c r="AD702" i="3"/>
  <c r="AC689" i="3"/>
  <c r="B632" i="3"/>
  <c r="AB632" i="3" s="1"/>
  <c r="AC628" i="3"/>
  <c r="AC601" i="3"/>
  <c r="B598" i="3"/>
  <c r="AB598" i="3" s="1"/>
  <c r="AC587" i="3"/>
  <c r="AC584" i="3"/>
  <c r="AC580" i="3"/>
  <c r="AC575" i="3"/>
  <c r="AC567" i="3"/>
  <c r="AC604" i="3"/>
  <c r="AC596" i="3"/>
  <c r="AC590" i="3"/>
  <c r="B640" i="3"/>
  <c r="AB640" i="3" s="1"/>
  <c r="AC636" i="3"/>
  <c r="AC620" i="3"/>
  <c r="B618" i="3"/>
  <c r="AB618" i="3" s="1"/>
  <c r="B616" i="3"/>
  <c r="AB616" i="3" s="1"/>
  <c r="B614" i="3"/>
  <c r="AB614" i="3" s="1"/>
  <c r="B612" i="3"/>
  <c r="AB612" i="3" s="1"/>
  <c r="B610" i="3"/>
  <c r="AB610" i="3" s="1"/>
  <c r="B608" i="3"/>
  <c r="AB608" i="3" s="1"/>
  <c r="B606" i="3"/>
  <c r="AB606" i="3" s="1"/>
  <c r="B628" i="3"/>
  <c r="AB628" i="3" s="1"/>
  <c r="AC624" i="3"/>
  <c r="AC622" i="3"/>
  <c r="AC602" i="3"/>
  <c r="B580" i="3"/>
  <c r="AB580" i="3" s="1"/>
  <c r="B604" i="3"/>
  <c r="AB604" i="3" s="1"/>
  <c r="B596" i="3"/>
  <c r="AB596" i="3" s="1"/>
  <c r="B590" i="3"/>
  <c r="AB590" i="3" s="1"/>
  <c r="AC588" i="3"/>
  <c r="B584" i="3"/>
  <c r="AB584" i="3" s="1"/>
  <c r="B575" i="3"/>
  <c r="AB575" i="3" s="1"/>
  <c r="B636" i="3"/>
  <c r="AB636" i="3" s="1"/>
  <c r="AC632" i="3"/>
  <c r="B620" i="3"/>
  <c r="AB620" i="3" s="1"/>
  <c r="B624" i="3"/>
  <c r="AB624" i="3" s="1"/>
  <c r="B602" i="3"/>
  <c r="AB602" i="3" s="1"/>
  <c r="B597" i="3"/>
  <c r="AB597" i="3" s="1"/>
  <c r="AC595" i="3"/>
  <c r="AC592" i="3"/>
  <c r="AC616" i="3"/>
  <c r="AC614" i="3"/>
  <c r="AC612" i="3"/>
  <c r="AC610" i="3"/>
  <c r="AC608" i="3"/>
  <c r="AC606" i="3"/>
  <c r="B588" i="3"/>
  <c r="AB588" i="3" s="1"/>
  <c r="AC593" i="3"/>
  <c r="AC586" i="3"/>
  <c r="B561" i="3"/>
  <c r="AB561" i="3" s="1"/>
  <c r="B583" i="3"/>
  <c r="AB583" i="3" s="1"/>
  <c r="B577" i="3"/>
  <c r="AB577" i="3" s="1"/>
  <c r="B569" i="3"/>
  <c r="AB569" i="3" s="1"/>
  <c r="B559" i="3"/>
  <c r="AB559" i="3" s="1"/>
  <c r="B557" i="3"/>
  <c r="AB557" i="3" s="1"/>
  <c r="B555" i="3"/>
  <c r="AB555" i="3" s="1"/>
  <c r="B553" i="3"/>
  <c r="AB553" i="3" s="1"/>
  <c r="B551" i="3"/>
  <c r="AB551" i="3" s="1"/>
  <c r="B549" i="3"/>
  <c r="AB549" i="3" s="1"/>
  <c r="B547" i="3"/>
  <c r="AB547" i="3" s="1"/>
  <c r="B545" i="3"/>
  <c r="AB545" i="3" s="1"/>
  <c r="B542" i="3"/>
  <c r="AB542" i="3" s="1"/>
  <c r="AC573" i="3"/>
  <c r="AC558" i="3"/>
  <c r="AC556" i="3"/>
  <c r="AC554" i="3"/>
  <c r="AC552" i="3"/>
  <c r="AC550" i="3"/>
  <c r="AC548" i="3"/>
  <c r="AC546" i="3"/>
  <c r="AC544" i="3"/>
  <c r="AC598" i="3"/>
  <c r="B586" i="3"/>
  <c r="AB586" i="3" s="1"/>
  <c r="B543" i="3"/>
  <c r="AB543" i="3" s="1"/>
  <c r="AC541" i="3"/>
  <c r="B539" i="3"/>
  <c r="AB539" i="3" s="1"/>
  <c r="AC537" i="3"/>
  <c r="B535" i="3"/>
  <c r="AB535" i="3" s="1"/>
  <c r="AC533" i="3"/>
  <c r="B531" i="3"/>
  <c r="AB531" i="3" s="1"/>
  <c r="AC529" i="3"/>
  <c r="B527" i="3"/>
  <c r="AB527" i="3" s="1"/>
  <c r="AC525" i="3"/>
  <c r="B523" i="3"/>
  <c r="AB523" i="3" s="1"/>
  <c r="B592" i="3"/>
  <c r="AB592" i="3" s="1"/>
  <c r="B576" i="3"/>
  <c r="AB576" i="3" s="1"/>
  <c r="AC572" i="3"/>
  <c r="B568" i="3"/>
  <c r="AB568" i="3" s="1"/>
  <c r="AC565" i="3"/>
  <c r="AC563" i="3"/>
  <c r="B519" i="3"/>
  <c r="AB519" i="3" s="1"/>
  <c r="B511" i="3"/>
  <c r="AB511" i="3" s="1"/>
  <c r="B573" i="3"/>
  <c r="AB573" i="3" s="1"/>
  <c r="AC561" i="3"/>
  <c r="B558" i="3"/>
  <c r="AB558" i="3" s="1"/>
  <c r="B556" i="3"/>
  <c r="AB556" i="3" s="1"/>
  <c r="B554" i="3"/>
  <c r="AB554" i="3" s="1"/>
  <c r="B552" i="3"/>
  <c r="AB552" i="3" s="1"/>
  <c r="B550" i="3"/>
  <c r="AB550" i="3" s="1"/>
  <c r="B548" i="3"/>
  <c r="AB548" i="3" s="1"/>
  <c r="B546" i="3"/>
  <c r="AB546" i="3" s="1"/>
  <c r="B544" i="3"/>
  <c r="AB544" i="3" s="1"/>
  <c r="AC542" i="3"/>
  <c r="AC577" i="3"/>
  <c r="AC569" i="3"/>
  <c r="AC559" i="3"/>
  <c r="AC557" i="3"/>
  <c r="AC555" i="3"/>
  <c r="AC553" i="3"/>
  <c r="AC551" i="3"/>
  <c r="AC549" i="3"/>
  <c r="AC547" i="3"/>
  <c r="AC545" i="3"/>
  <c r="B567" i="3"/>
  <c r="AB567" i="3" s="1"/>
  <c r="B565" i="3"/>
  <c r="AB565" i="3" s="1"/>
  <c r="AC521" i="3"/>
  <c r="B518" i="3"/>
  <c r="AB518" i="3" s="1"/>
  <c r="AC509" i="3"/>
  <c r="AC517" i="3"/>
  <c r="AC507" i="3"/>
  <c r="B503" i="3"/>
  <c r="AB503" i="3" s="1"/>
  <c r="B501" i="3"/>
  <c r="AB501" i="3" s="1"/>
  <c r="B486" i="3"/>
  <c r="AB486" i="3" s="1"/>
  <c r="B473" i="3"/>
  <c r="AB473" i="3" s="1"/>
  <c r="AD466" i="3"/>
  <c r="AD462" i="3"/>
  <c r="AC514" i="3"/>
  <c r="AC498" i="3"/>
  <c r="B497" i="3"/>
  <c r="AB497" i="3" s="1"/>
  <c r="AC485" i="3"/>
  <c r="AC481" i="3"/>
  <c r="AD477" i="3"/>
  <c r="B509" i="3"/>
  <c r="AB509" i="3" s="1"/>
  <c r="B494" i="3"/>
  <c r="AB494" i="3" s="1"/>
  <c r="AC483" i="3"/>
  <c r="B479" i="3"/>
  <c r="AB479" i="3" s="1"/>
  <c r="B449" i="3"/>
  <c r="AB449" i="3" s="1"/>
  <c r="B517" i="3"/>
  <c r="AB517" i="3" s="1"/>
  <c r="B505" i="3"/>
  <c r="AB505" i="3" s="1"/>
  <c r="AC493" i="3"/>
  <c r="AD469" i="3"/>
  <c r="AC501" i="3"/>
  <c r="AC482" i="3"/>
  <c r="B481" i="3"/>
  <c r="AB481" i="3" s="1"/>
  <c r="AD475" i="3"/>
  <c r="B474" i="3"/>
  <c r="AB474" i="3" s="1"/>
  <c r="AD473" i="3"/>
  <c r="B510" i="3"/>
  <c r="AB510" i="3" s="1"/>
  <c r="AC499" i="3"/>
  <c r="B495" i="3"/>
  <c r="AB495" i="3" s="1"/>
  <c r="B493" i="3"/>
  <c r="AB493" i="3" s="1"/>
  <c r="B478" i="3"/>
  <c r="AB478" i="3" s="1"/>
  <c r="AC475" i="3"/>
  <c r="B469" i="3"/>
  <c r="AB469" i="3" s="1"/>
  <c r="AC468" i="3"/>
  <c r="AC449" i="3"/>
  <c r="AC441" i="3"/>
  <c r="AC471" i="3"/>
  <c r="AC456" i="3"/>
  <c r="AD449" i="3"/>
  <c r="B448" i="3"/>
  <c r="AB448" i="3" s="1"/>
  <c r="AD444" i="3"/>
  <c r="B440" i="3"/>
  <c r="AB440" i="3" s="1"/>
  <c r="B412" i="3"/>
  <c r="AB412" i="3" s="1"/>
  <c r="B404" i="3"/>
  <c r="AB404" i="3" s="1"/>
  <c r="B396" i="3"/>
  <c r="AB396" i="3" s="1"/>
  <c r="B388" i="3"/>
  <c r="AB388" i="3" s="1"/>
  <c r="B380" i="3"/>
  <c r="AB380" i="3" s="1"/>
  <c r="B368" i="3"/>
  <c r="AB368" i="3" s="1"/>
  <c r="AD458" i="3"/>
  <c r="AC454" i="3"/>
  <c r="AD447" i="3"/>
  <c r="AC444" i="3"/>
  <c r="B443" i="3"/>
  <c r="AB443" i="3" s="1"/>
  <c r="AD438" i="3"/>
  <c r="B436" i="3"/>
  <c r="AB436" i="3" s="1"/>
  <c r="AC435" i="3"/>
  <c r="B431" i="3"/>
  <c r="AB431" i="3" s="1"/>
  <c r="AC427" i="3"/>
  <c r="B423" i="3"/>
  <c r="AB423" i="3" s="1"/>
  <c r="AC419" i="3"/>
  <c r="B415" i="3"/>
  <c r="AB415" i="3" s="1"/>
  <c r="AC411" i="3"/>
  <c r="B407" i="3"/>
  <c r="AB407" i="3" s="1"/>
  <c r="AD468" i="3"/>
  <c r="AD464" i="3"/>
  <c r="AC458" i="3"/>
  <c r="AD452" i="3"/>
  <c r="B441" i="3"/>
  <c r="AB441" i="3" s="1"/>
  <c r="AD439" i="3"/>
  <c r="AC438" i="3"/>
  <c r="B434" i="3"/>
  <c r="AB434" i="3" s="1"/>
  <c r="AC430" i="3"/>
  <c r="B426" i="3"/>
  <c r="AB426" i="3" s="1"/>
  <c r="AC422" i="3"/>
  <c r="B418" i="3"/>
  <c r="AB418" i="3" s="1"/>
  <c r="AC414" i="3"/>
  <c r="B410" i="3"/>
  <c r="AB410" i="3" s="1"/>
  <c r="AC464" i="3"/>
  <c r="AD460" i="3"/>
  <c r="AC452" i="3"/>
  <c r="AC439" i="3"/>
  <c r="AC433" i="3"/>
  <c r="B429" i="3"/>
  <c r="AB429" i="3" s="1"/>
  <c r="AC425" i="3"/>
  <c r="B421" i="3"/>
  <c r="AB421" i="3" s="1"/>
  <c r="AC417" i="3"/>
  <c r="AC409" i="3"/>
  <c r="B405" i="3"/>
  <c r="AB405" i="3" s="1"/>
  <c r="AC401" i="3"/>
  <c r="B397" i="3"/>
  <c r="AB397" i="3" s="1"/>
  <c r="AC393" i="3"/>
  <c r="B389" i="3"/>
  <c r="AB389" i="3" s="1"/>
  <c r="B502" i="3"/>
  <c r="AB502" i="3" s="1"/>
  <c r="B487" i="3"/>
  <c r="AB487" i="3" s="1"/>
  <c r="AC460" i="3"/>
  <c r="AD448" i="3"/>
  <c r="AD440" i="3"/>
  <c r="AC491" i="3"/>
  <c r="B477" i="3"/>
  <c r="AB477" i="3" s="1"/>
  <c r="AC448" i="3"/>
  <c r="B444" i="3"/>
  <c r="AB444" i="3" s="1"/>
  <c r="B442" i="3"/>
  <c r="AB442" i="3" s="1"/>
  <c r="AC440" i="3"/>
  <c r="AC436" i="3"/>
  <c r="AC431" i="3"/>
  <c r="AC423" i="3"/>
  <c r="AC415" i="3"/>
  <c r="AC407" i="3"/>
  <c r="AC399" i="3"/>
  <c r="AC391" i="3"/>
  <c r="AC383" i="3"/>
  <c r="AC375" i="3"/>
  <c r="AC369" i="3"/>
  <c r="AC361" i="3"/>
  <c r="AC466" i="3"/>
  <c r="AD453" i="3"/>
  <c r="B452" i="3"/>
  <c r="AB452" i="3" s="1"/>
  <c r="AC451" i="3"/>
  <c r="B485" i="3"/>
  <c r="AB485" i="3" s="1"/>
  <c r="AC462" i="3"/>
  <c r="AD456" i="3"/>
  <c r="AC446" i="3"/>
  <c r="AD441" i="3"/>
  <c r="B439" i="3"/>
  <c r="AB439" i="3" s="1"/>
  <c r="B433" i="3"/>
  <c r="AB433" i="3" s="1"/>
  <c r="AC429" i="3"/>
  <c r="B425" i="3"/>
  <c r="AB425" i="3" s="1"/>
  <c r="AC421" i="3"/>
  <c r="B417" i="3"/>
  <c r="AB417" i="3" s="1"/>
  <c r="AC413" i="3"/>
  <c r="B409" i="3"/>
  <c r="AB409" i="3" s="1"/>
  <c r="AC405" i="3"/>
  <c r="B401" i="3"/>
  <c r="AB401" i="3" s="1"/>
  <c r="AC397" i="3"/>
  <c r="B393" i="3"/>
  <c r="AB393" i="3" s="1"/>
  <c r="AC389" i="3"/>
  <c r="B385" i="3"/>
  <c r="AB385" i="3" s="1"/>
  <c r="AC406" i="3"/>
  <c r="B381" i="3"/>
  <c r="AB381" i="3" s="1"/>
  <c r="B353" i="3"/>
  <c r="AB353" i="3" s="1"/>
  <c r="AC351" i="3"/>
  <c r="B342" i="3"/>
  <c r="AB342" i="3" s="1"/>
  <c r="B334" i="3"/>
  <c r="AB334" i="3" s="1"/>
  <c r="B326" i="3"/>
  <c r="AB326" i="3" s="1"/>
  <c r="B318" i="3"/>
  <c r="AB318" i="3" s="1"/>
  <c r="B310" i="3"/>
  <c r="AB310" i="3" s="1"/>
  <c r="B386" i="3"/>
  <c r="AB386" i="3" s="1"/>
  <c r="AC385" i="3"/>
  <c r="B383" i="3"/>
  <c r="AB383" i="3" s="1"/>
  <c r="B378" i="3"/>
  <c r="AB378" i="3" s="1"/>
  <c r="AC377" i="3"/>
  <c r="B369" i="3"/>
  <c r="AB369" i="3" s="1"/>
  <c r="B359" i="3"/>
  <c r="AB359" i="3" s="1"/>
  <c r="AC339" i="3"/>
  <c r="AC331" i="3"/>
  <c r="B399" i="3"/>
  <c r="AB399" i="3" s="1"/>
  <c r="B375" i="3"/>
  <c r="AB375" i="3" s="1"/>
  <c r="B371" i="3"/>
  <c r="AB371" i="3" s="1"/>
  <c r="B367" i="3"/>
  <c r="AB367" i="3" s="1"/>
  <c r="B347" i="3"/>
  <c r="AB347" i="3" s="1"/>
  <c r="B343" i="3"/>
  <c r="AB343" i="3" s="1"/>
  <c r="B336" i="3"/>
  <c r="AB336" i="3" s="1"/>
  <c r="B328" i="3"/>
  <c r="AB328" i="3" s="1"/>
  <c r="B320" i="3"/>
  <c r="AB320" i="3" s="1"/>
  <c r="B402" i="3"/>
  <c r="AB402" i="3" s="1"/>
  <c r="AC398" i="3"/>
  <c r="B362" i="3"/>
  <c r="AB362" i="3" s="1"/>
  <c r="B360" i="3"/>
  <c r="AB360" i="3" s="1"/>
  <c r="B351" i="3"/>
  <c r="AB351" i="3" s="1"/>
  <c r="B377" i="3"/>
  <c r="AB377" i="3" s="1"/>
  <c r="AC366" i="3"/>
  <c r="B391" i="3"/>
  <c r="AB391" i="3" s="1"/>
  <c r="AC381" i="3"/>
  <c r="AC353" i="3"/>
  <c r="B394" i="3"/>
  <c r="AB394" i="3" s="1"/>
  <c r="AC390" i="3"/>
  <c r="B361" i="3"/>
  <c r="AB361" i="3" s="1"/>
  <c r="AC359" i="3"/>
  <c r="AC356" i="3"/>
  <c r="AC347" i="3"/>
  <c r="AC371" i="3"/>
  <c r="AC367" i="3"/>
  <c r="AC343" i="3"/>
  <c r="B312" i="3"/>
  <c r="AB312" i="3" s="1"/>
  <c r="AD300" i="3"/>
  <c r="AC297" i="3"/>
  <c r="AD292" i="3"/>
  <c r="AD284" i="3"/>
  <c r="AD276" i="3"/>
  <c r="AD268" i="3"/>
  <c r="AD260" i="3"/>
  <c r="AD252" i="3"/>
  <c r="AD244" i="3"/>
  <c r="AD231" i="3"/>
  <c r="AD223" i="3"/>
  <c r="AC350" i="3"/>
  <c r="AC315" i="3"/>
  <c r="AC292" i="3"/>
  <c r="AD287" i="3"/>
  <c r="AC284" i="3"/>
  <c r="AC276" i="3"/>
  <c r="AC268" i="3"/>
  <c r="AC260" i="3"/>
  <c r="AC252" i="3"/>
  <c r="AC336" i="3"/>
  <c r="AC334" i="3"/>
  <c r="AC328" i="3"/>
  <c r="AC205" i="3"/>
  <c r="AC342" i="3"/>
  <c r="B340" i="3"/>
  <c r="AB340" i="3" s="1"/>
  <c r="B337" i="3"/>
  <c r="AB337" i="3" s="1"/>
  <c r="AC333" i="3"/>
  <c r="B329" i="3"/>
  <c r="AB329" i="3" s="1"/>
  <c r="AC326" i="3"/>
  <c r="AC306" i="3"/>
  <c r="AC298" i="3"/>
  <c r="B357" i="3"/>
  <c r="AB357" i="3" s="1"/>
  <c r="B345" i="3"/>
  <c r="AB345" i="3" s="1"/>
  <c r="AC325" i="3"/>
  <c r="B308" i="3"/>
  <c r="AB308" i="3" s="1"/>
  <c r="AD296" i="3"/>
  <c r="AD288" i="3"/>
  <c r="AD280" i="3"/>
  <c r="AD272" i="3"/>
  <c r="B324" i="3"/>
  <c r="AB324" i="3" s="1"/>
  <c r="AC323" i="3"/>
  <c r="B319" i="3"/>
  <c r="AB319" i="3" s="1"/>
  <c r="B313" i="3"/>
  <c r="AB313" i="3" s="1"/>
  <c r="AC312" i="3"/>
  <c r="B311" i="3"/>
  <c r="AB311" i="3" s="1"/>
  <c r="AC304" i="3"/>
  <c r="AD299" i="3"/>
  <c r="AC296" i="3"/>
  <c r="AD291" i="3"/>
  <c r="AC288" i="3"/>
  <c r="AD283" i="3"/>
  <c r="AC280" i="3"/>
  <c r="B344" i="3"/>
  <c r="AB344" i="3" s="1"/>
  <c r="B338" i="3"/>
  <c r="AB338" i="3" s="1"/>
  <c r="B330" i="3"/>
  <c r="AB330" i="3" s="1"/>
  <c r="AC320" i="3"/>
  <c r="AC307" i="3"/>
  <c r="AD302" i="3"/>
  <c r="AD294" i="3"/>
  <c r="AD286" i="3"/>
  <c r="AD278" i="3"/>
  <c r="AD270" i="3"/>
  <c r="AD262" i="3"/>
  <c r="B354" i="3"/>
  <c r="AB354" i="3" s="1"/>
  <c r="B321" i="3"/>
  <c r="AB321" i="3" s="1"/>
  <c r="AC318" i="3"/>
  <c r="AC310" i="3"/>
  <c r="AD305" i="3"/>
  <c r="AC302" i="3"/>
  <c r="AD297" i="3"/>
  <c r="AC294" i="3"/>
  <c r="AD289" i="3"/>
  <c r="AC286" i="3"/>
  <c r="AD281" i="3"/>
  <c r="AC278" i="3"/>
  <c r="AD273" i="3"/>
  <c r="AD254" i="3"/>
  <c r="AC246" i="3"/>
  <c r="AC244" i="3"/>
  <c r="AC238" i="3"/>
  <c r="AC234" i="3"/>
  <c r="B233" i="3"/>
  <c r="AB233" i="3" s="1"/>
  <c r="AD229" i="3"/>
  <c r="B227" i="3"/>
  <c r="AB227" i="3" s="1"/>
  <c r="AC223" i="3"/>
  <c r="B221" i="3"/>
  <c r="AB221" i="3" s="1"/>
  <c r="AD219" i="3"/>
  <c r="B217" i="3"/>
  <c r="AB217" i="3" s="1"/>
  <c r="AD215" i="3"/>
  <c r="AC210" i="3"/>
  <c r="AD205" i="3"/>
  <c r="AD202" i="3"/>
  <c r="AC194" i="3"/>
  <c r="AC186" i="3"/>
  <c r="AC272" i="3"/>
  <c r="AC256" i="3"/>
  <c r="AC254" i="3"/>
  <c r="AD232" i="3"/>
  <c r="B231" i="3"/>
  <c r="AB231" i="3" s="1"/>
  <c r="AC229" i="3"/>
  <c r="B222" i="3"/>
  <c r="AB222" i="3" s="1"/>
  <c r="AC219" i="3"/>
  <c r="AC215" i="3"/>
  <c r="B213" i="3"/>
  <c r="AB213" i="3" s="1"/>
  <c r="AD211" i="3"/>
  <c r="B209" i="3"/>
  <c r="AB209" i="3" s="1"/>
  <c r="B204" i="3"/>
  <c r="AB204" i="3" s="1"/>
  <c r="B199" i="3"/>
  <c r="AB199" i="3" s="1"/>
  <c r="AC195" i="3"/>
  <c r="B191" i="3"/>
  <c r="AB191" i="3" s="1"/>
  <c r="AC187" i="3"/>
  <c r="B183" i="3"/>
  <c r="AB183" i="3" s="1"/>
  <c r="AC179" i="3"/>
  <c r="B175" i="3"/>
  <c r="AB175" i="3" s="1"/>
  <c r="AC171" i="3"/>
  <c r="B167" i="3"/>
  <c r="AB167" i="3" s="1"/>
  <c r="B237" i="3"/>
  <c r="AB237" i="3" s="1"/>
  <c r="AD206" i="3"/>
  <c r="AD275" i="3"/>
  <c r="AD265" i="3"/>
  <c r="B223" i="3"/>
  <c r="AB223" i="3" s="1"/>
  <c r="AC206" i="3"/>
  <c r="B205" i="3"/>
  <c r="AB205" i="3" s="1"/>
  <c r="AD203" i="3"/>
  <c r="AD267" i="3"/>
  <c r="AD253" i="3"/>
  <c r="AC245" i="3"/>
  <c r="AC236" i="3"/>
  <c r="AC233" i="3"/>
  <c r="B229" i="3"/>
  <c r="AB229" i="3" s="1"/>
  <c r="AC227" i="3"/>
  <c r="AD222" i="3"/>
  <c r="AC221" i="3"/>
  <c r="AC217" i="3"/>
  <c r="B215" i="3"/>
  <c r="AB215" i="3" s="1"/>
  <c r="AC270" i="3"/>
  <c r="AC262" i="3"/>
  <c r="AD257" i="3"/>
  <c r="AC253" i="3"/>
  <c r="B232" i="3"/>
  <c r="AB232" i="3" s="1"/>
  <c r="AC222" i="3"/>
  <c r="B219" i="3"/>
  <c r="AB219" i="3" s="1"/>
  <c r="AC213" i="3"/>
  <c r="AC209" i="3"/>
  <c r="AD204" i="3"/>
  <c r="AC199" i="3"/>
  <c r="B195" i="3"/>
  <c r="AB195" i="3" s="1"/>
  <c r="AD264" i="3"/>
  <c r="AD237" i="3"/>
  <c r="AC231" i="3"/>
  <c r="B206" i="3"/>
  <c r="AB206" i="3" s="1"/>
  <c r="AC204" i="3"/>
  <c r="AD269" i="3"/>
  <c r="AC264" i="3"/>
  <c r="AD261" i="3"/>
  <c r="AC250" i="3"/>
  <c r="AC248" i="3"/>
  <c r="AD246" i="3"/>
  <c r="AC242" i="3"/>
  <c r="AC240" i="3"/>
  <c r="AD238" i="3"/>
  <c r="AC237" i="3"/>
  <c r="AD234" i="3"/>
  <c r="B224" i="3"/>
  <c r="AB224" i="3" s="1"/>
  <c r="AC218" i="3"/>
  <c r="AD210" i="3"/>
  <c r="B203" i="3"/>
  <c r="AB203" i="3" s="1"/>
  <c r="AC201" i="3"/>
  <c r="AC183" i="3"/>
  <c r="AC139" i="3"/>
  <c r="AD2" i="3"/>
  <c r="AC203" i="3"/>
  <c r="AC178" i="3"/>
  <c r="AC151" i="3"/>
  <c r="AC131" i="3"/>
  <c r="B210" i="3"/>
  <c r="AB210" i="3" s="1"/>
  <c r="AC182" i="3"/>
  <c r="B181" i="3"/>
  <c r="AB181" i="3" s="1"/>
  <c r="B170" i="3"/>
  <c r="AB170" i="3" s="1"/>
  <c r="AC169" i="3"/>
  <c r="B166" i="3"/>
  <c r="AB166" i="3" s="1"/>
  <c r="B159" i="3"/>
  <c r="AB159" i="3" s="1"/>
  <c r="B153" i="3"/>
  <c r="AB153" i="3" s="1"/>
  <c r="B150" i="3"/>
  <c r="AB150" i="3" s="1"/>
  <c r="B147" i="3"/>
  <c r="AB147" i="3" s="1"/>
  <c r="B142" i="3"/>
  <c r="AB142" i="3" s="1"/>
  <c r="AC136" i="3"/>
  <c r="B130" i="3"/>
  <c r="AB130" i="3" s="1"/>
  <c r="AC198" i="3"/>
  <c r="B187" i="3"/>
  <c r="AB187" i="3" s="1"/>
  <c r="AC163" i="3"/>
  <c r="B143" i="3"/>
  <c r="AB143" i="3" s="1"/>
  <c r="B139" i="3"/>
  <c r="AB139" i="3" s="1"/>
  <c r="B134" i="3"/>
  <c r="AB134" i="3" s="1"/>
  <c r="B135" i="3"/>
  <c r="AB135" i="3" s="1"/>
  <c r="B131" i="3"/>
  <c r="AB131" i="3" s="1"/>
  <c r="B2" i="3"/>
  <c r="B178" i="3"/>
  <c r="AB178" i="3" s="1"/>
  <c r="AC177" i="3"/>
  <c r="B174" i="3"/>
  <c r="AB174" i="3" s="1"/>
  <c r="AC167" i="3"/>
  <c r="B162" i="3"/>
  <c r="AB162" i="3" s="1"/>
  <c r="AC161" i="3"/>
  <c r="AC158" i="3"/>
  <c r="AC155" i="3"/>
  <c r="B151" i="3"/>
  <c r="AB151" i="3" s="1"/>
  <c r="B148" i="3"/>
  <c r="AB148" i="3" s="1"/>
  <c r="AD213" i="3"/>
  <c r="B202" i="3"/>
  <c r="AB202" i="3" s="1"/>
  <c r="B171" i="3"/>
  <c r="AB171" i="3" s="1"/>
  <c r="AC138" i="3"/>
  <c r="AC129" i="3"/>
  <c r="AC212" i="3"/>
  <c r="B194" i="3"/>
  <c r="AB194" i="3" s="1"/>
  <c r="AC193" i="3"/>
  <c r="B182" i="3"/>
  <c r="AB182" i="3" s="1"/>
  <c r="AC175" i="3"/>
  <c r="AC166" i="3"/>
  <c r="B165" i="3"/>
  <c r="AB165" i="3" s="1"/>
  <c r="B163" i="3"/>
  <c r="AB163" i="3" s="1"/>
  <c r="AC153" i="3"/>
  <c r="AC150" i="3"/>
  <c r="AC142" i="3"/>
  <c r="B132" i="3"/>
  <c r="AB132" i="3" s="1"/>
  <c r="AC130" i="3"/>
  <c r="AC191" i="3"/>
  <c r="B186" i="3"/>
  <c r="AB186" i="3" s="1"/>
  <c r="AC185" i="3"/>
  <c r="B179" i="3"/>
  <c r="AB179" i="3" s="1"/>
  <c r="AC170" i="3"/>
  <c r="AC159" i="3"/>
  <c r="B155" i="3"/>
  <c r="AB155" i="3" s="1"/>
  <c r="AC147" i="3"/>
  <c r="AC143" i="3"/>
  <c r="AD6" i="3"/>
  <c r="AD10" i="3"/>
  <c r="AD14" i="3"/>
  <c r="AD18" i="3"/>
  <c r="AD22" i="3"/>
  <c r="AD92" i="3"/>
  <c r="AC92" i="3"/>
  <c r="B92" i="3"/>
  <c r="AB92" i="3" s="1"/>
  <c r="AD96" i="3"/>
  <c r="AC96" i="3"/>
  <c r="B96" i="3"/>
  <c r="AB96" i="3" s="1"/>
  <c r="AD100" i="3"/>
  <c r="AC100" i="3"/>
  <c r="B100" i="3"/>
  <c r="AB100" i="3" s="1"/>
  <c r="AD104" i="3"/>
  <c r="AC104" i="3"/>
  <c r="B104" i="3"/>
  <c r="AB104" i="3" s="1"/>
  <c r="AD108" i="3"/>
  <c r="AC108" i="3"/>
  <c r="B108" i="3"/>
  <c r="AB108" i="3" s="1"/>
  <c r="AD112" i="3"/>
  <c r="AC112" i="3"/>
  <c r="B112" i="3"/>
  <c r="AB112" i="3" s="1"/>
  <c r="AD116" i="3"/>
  <c r="AC116" i="3"/>
  <c r="B116" i="3"/>
  <c r="AB116" i="3" s="1"/>
  <c r="AD120" i="3"/>
  <c r="AC120" i="3"/>
  <c r="B120" i="3"/>
  <c r="AB120" i="3" s="1"/>
  <c r="AD124" i="3"/>
  <c r="AC124" i="3"/>
  <c r="B124" i="3"/>
  <c r="AB124" i="3" s="1"/>
  <c r="AD11" i="3"/>
  <c r="AD15" i="3"/>
  <c r="AD34" i="3"/>
  <c r="AD36" i="3"/>
  <c r="AD38" i="3"/>
  <c r="AC2" i="3"/>
  <c r="B4" i="3"/>
  <c r="AC6" i="3"/>
  <c r="B8" i="3"/>
  <c r="AC10" i="3"/>
  <c r="B12" i="3"/>
  <c r="AC14" i="3"/>
  <c r="B16" i="3"/>
  <c r="AB16" i="3" s="1"/>
  <c r="AC18" i="3"/>
  <c r="B20" i="3"/>
  <c r="AB20" i="3" s="1"/>
  <c r="AC22" i="3"/>
  <c r="B24" i="3"/>
  <c r="AB24" i="3" s="1"/>
  <c r="AD89" i="3"/>
  <c r="B89" i="3"/>
  <c r="AB89" i="3" s="1"/>
  <c r="B149" i="3"/>
  <c r="AB149" i="3" s="1"/>
  <c r="AD19" i="3"/>
  <c r="AD23" i="3"/>
  <c r="AD26" i="3"/>
  <c r="AD44" i="3"/>
  <c r="AD52" i="3"/>
  <c r="AD56" i="3"/>
  <c r="AD37" i="3"/>
  <c r="AD39" i="3"/>
  <c r="AD41" i="3"/>
  <c r="AD43" i="3"/>
  <c r="AD45" i="3"/>
  <c r="AD49" i="3"/>
  <c r="AD53" i="3"/>
  <c r="AD57" i="3"/>
  <c r="AD69" i="3"/>
  <c r="AD71" i="3"/>
  <c r="AD79" i="3"/>
  <c r="AD81" i="3"/>
  <c r="AD85" i="3"/>
  <c r="AD87" i="3"/>
  <c r="AC89" i="3"/>
  <c r="AD93" i="3"/>
  <c r="AC93" i="3"/>
  <c r="B93" i="3"/>
  <c r="AB93" i="3" s="1"/>
  <c r="AD97" i="3"/>
  <c r="B97" i="3"/>
  <c r="AB97" i="3" s="1"/>
  <c r="AC97" i="3"/>
  <c r="AD101" i="3"/>
  <c r="AC101" i="3"/>
  <c r="B101" i="3"/>
  <c r="AB101" i="3" s="1"/>
  <c r="AD105" i="3"/>
  <c r="AC105" i="3"/>
  <c r="B105" i="3"/>
  <c r="AB105" i="3" s="1"/>
  <c r="AD109" i="3"/>
  <c r="AC109" i="3"/>
  <c r="B109" i="3"/>
  <c r="AB109" i="3" s="1"/>
  <c r="AD113" i="3"/>
  <c r="AC113" i="3"/>
  <c r="B113" i="3"/>
  <c r="AB113" i="3" s="1"/>
  <c r="AD117" i="3"/>
  <c r="AC117" i="3"/>
  <c r="B117" i="3"/>
  <c r="AB117" i="3" s="1"/>
  <c r="AD121" i="3"/>
  <c r="AC121" i="3"/>
  <c r="B121" i="3"/>
  <c r="AB121" i="3" s="1"/>
  <c r="AD125" i="3"/>
  <c r="AC125" i="3"/>
  <c r="B125" i="3"/>
  <c r="AB125" i="3" s="1"/>
  <c r="AD7" i="3"/>
  <c r="AD54" i="3"/>
  <c r="AD29" i="3"/>
  <c r="AD35" i="3"/>
  <c r="AD47" i="3"/>
  <c r="AD51" i="3"/>
  <c r="AD55" i="3"/>
  <c r="AD59" i="3"/>
  <c r="AD61" i="3"/>
  <c r="AD63" i="3"/>
  <c r="AD65" i="3"/>
  <c r="AD67" i="3"/>
  <c r="AD73" i="3"/>
  <c r="AD75" i="3"/>
  <c r="AD77" i="3"/>
  <c r="AD83" i="3"/>
  <c r="B3" i="3"/>
  <c r="AC5" i="3"/>
  <c r="B7" i="3"/>
  <c r="AC9" i="3"/>
  <c r="B11" i="3"/>
  <c r="AC13" i="3"/>
  <c r="B15" i="3"/>
  <c r="AC17" i="3"/>
  <c r="B19" i="3"/>
  <c r="AB19" i="3" s="1"/>
  <c r="AC21" i="3"/>
  <c r="B23" i="3"/>
  <c r="AB23" i="3" s="1"/>
  <c r="AC25" i="3"/>
  <c r="B26" i="3"/>
  <c r="AB26" i="3" s="1"/>
  <c r="AC27" i="3"/>
  <c r="B28" i="3"/>
  <c r="AB28" i="3" s="1"/>
  <c r="AC29" i="3"/>
  <c r="B30" i="3"/>
  <c r="AB30" i="3" s="1"/>
  <c r="AC31" i="3"/>
  <c r="B32" i="3"/>
  <c r="AB32" i="3" s="1"/>
  <c r="AC33" i="3"/>
  <c r="B34" i="3"/>
  <c r="AB34" i="3" s="1"/>
  <c r="AC35" i="3"/>
  <c r="B36" i="3"/>
  <c r="AB36" i="3" s="1"/>
  <c r="AC37" i="3"/>
  <c r="B38" i="3"/>
  <c r="AB38" i="3" s="1"/>
  <c r="AC39" i="3"/>
  <c r="B40" i="3"/>
  <c r="AB40" i="3" s="1"/>
  <c r="AC41" i="3"/>
  <c r="B42" i="3"/>
  <c r="AB42" i="3" s="1"/>
  <c r="AC43" i="3"/>
  <c r="B44" i="3"/>
  <c r="AB44" i="3" s="1"/>
  <c r="AC45" i="3"/>
  <c r="B46" i="3"/>
  <c r="AB46" i="3" s="1"/>
  <c r="AC47" i="3"/>
  <c r="B48" i="3"/>
  <c r="AB48" i="3" s="1"/>
  <c r="AC49" i="3"/>
  <c r="B50" i="3"/>
  <c r="AB50" i="3" s="1"/>
  <c r="AC51" i="3"/>
  <c r="B52" i="3"/>
  <c r="AB52" i="3" s="1"/>
  <c r="AC53" i="3"/>
  <c r="B54" i="3"/>
  <c r="AB54" i="3" s="1"/>
  <c r="AC55" i="3"/>
  <c r="B56" i="3"/>
  <c r="AB56" i="3" s="1"/>
  <c r="AC57" i="3"/>
  <c r="B58" i="3"/>
  <c r="AB58" i="3" s="1"/>
  <c r="AC59" i="3"/>
  <c r="B60" i="3"/>
  <c r="AB60" i="3" s="1"/>
  <c r="AC61" i="3"/>
  <c r="B62" i="3"/>
  <c r="AB62" i="3" s="1"/>
  <c r="AC63" i="3"/>
  <c r="B64" i="3"/>
  <c r="AB64" i="3" s="1"/>
  <c r="AC65" i="3"/>
  <c r="B66" i="3"/>
  <c r="AB66" i="3" s="1"/>
  <c r="AC67" i="3"/>
  <c r="B68" i="3"/>
  <c r="AB68" i="3" s="1"/>
  <c r="AC69" i="3"/>
  <c r="B70" i="3"/>
  <c r="AB70" i="3" s="1"/>
  <c r="AC71" i="3"/>
  <c r="B72" i="3"/>
  <c r="AB72" i="3" s="1"/>
  <c r="AC73" i="3"/>
  <c r="B74" i="3"/>
  <c r="AB74" i="3" s="1"/>
  <c r="AC75" i="3"/>
  <c r="B76" i="3"/>
  <c r="AB76" i="3" s="1"/>
  <c r="AC77" i="3"/>
  <c r="B78" i="3"/>
  <c r="AB78" i="3" s="1"/>
  <c r="AC79" i="3"/>
  <c r="B80" i="3"/>
  <c r="AB80" i="3" s="1"/>
  <c r="AC81" i="3"/>
  <c r="B82" i="3"/>
  <c r="AB82" i="3" s="1"/>
  <c r="AC83" i="3"/>
  <c r="B84" i="3"/>
  <c r="AB84" i="3" s="1"/>
  <c r="AC85" i="3"/>
  <c r="B86" i="3"/>
  <c r="AB86" i="3" s="1"/>
  <c r="AC87" i="3"/>
  <c r="B88" i="3"/>
  <c r="AB88" i="3" s="1"/>
  <c r="B157" i="3"/>
  <c r="AB157" i="3" s="1"/>
  <c r="AD130" i="3"/>
  <c r="AD142" i="3"/>
  <c r="AD150" i="3"/>
  <c r="AD153" i="3"/>
  <c r="AD156" i="3"/>
  <c r="AC156" i="3"/>
  <c r="B156" i="3"/>
  <c r="AB156" i="3" s="1"/>
  <c r="B164" i="3"/>
  <c r="AB164" i="3" s="1"/>
  <c r="AD166" i="3"/>
  <c r="AD168" i="3"/>
  <c r="B168" i="3"/>
  <c r="AB168" i="3" s="1"/>
  <c r="AC168" i="3"/>
  <c r="B172" i="3"/>
  <c r="AB172" i="3" s="1"/>
  <c r="AD181" i="3"/>
  <c r="AC181" i="3"/>
  <c r="B185" i="3"/>
  <c r="AB185" i="3" s="1"/>
  <c r="B188" i="3"/>
  <c r="AB188" i="3" s="1"/>
  <c r="B196" i="3"/>
  <c r="AB196" i="3" s="1"/>
  <c r="AC211" i="3"/>
  <c r="B218" i="3"/>
  <c r="AB218" i="3" s="1"/>
  <c r="AD129" i="3"/>
  <c r="AD138" i="3"/>
  <c r="B193" i="3"/>
  <c r="AB193" i="3" s="1"/>
  <c r="AD197" i="3"/>
  <c r="AC197" i="3"/>
  <c r="B197" i="3"/>
  <c r="AB197" i="3" s="1"/>
  <c r="AD221" i="3"/>
  <c r="AD146" i="3"/>
  <c r="AD158" i="3"/>
  <c r="AD161" i="3"/>
  <c r="AD173" i="3"/>
  <c r="AC173" i="3"/>
  <c r="AD177" i="3"/>
  <c r="B177" i="3"/>
  <c r="AB177" i="3" s="1"/>
  <c r="AD189" i="3"/>
  <c r="AC189" i="3"/>
  <c r="AD235" i="3"/>
  <c r="AD240" i="3"/>
  <c r="AD137" i="3"/>
  <c r="AD145" i="3"/>
  <c r="AC146" i="3"/>
  <c r="AD149" i="3"/>
  <c r="AD152" i="3"/>
  <c r="B152" i="3"/>
  <c r="AB152" i="3" s="1"/>
  <c r="AC152" i="3"/>
  <c r="B201" i="3"/>
  <c r="AB201" i="3" s="1"/>
  <c r="AD133" i="3"/>
  <c r="AD128" i="3"/>
  <c r="B128" i="3"/>
  <c r="AB128" i="3" s="1"/>
  <c r="AC133" i="3"/>
  <c r="AC137" i="3"/>
  <c r="AD141" i="3"/>
  <c r="AC128" i="3"/>
  <c r="AD132" i="3"/>
  <c r="AC132" i="3"/>
  <c r="AD136" i="3"/>
  <c r="B136" i="3"/>
  <c r="AB136" i="3" s="1"/>
  <c r="AC141" i="3"/>
  <c r="AC145" i="3"/>
  <c r="AC149" i="3"/>
  <c r="AD165" i="3"/>
  <c r="AC165" i="3"/>
  <c r="AD169" i="3"/>
  <c r="B169" i="3"/>
  <c r="AB169" i="3" s="1"/>
  <c r="AD182" i="3"/>
  <c r="AD184" i="3"/>
  <c r="B184" i="3"/>
  <c r="AB184" i="3" s="1"/>
  <c r="AC184" i="3"/>
  <c r="AC208" i="3"/>
  <c r="AD208" i="3"/>
  <c r="B208" i="3"/>
  <c r="AB208" i="3" s="1"/>
  <c r="AD248" i="3"/>
  <c r="AD140" i="3"/>
  <c r="AC140" i="3"/>
  <c r="AD144" i="3"/>
  <c r="B144" i="3"/>
  <c r="AB144" i="3" s="1"/>
  <c r="AD154" i="3"/>
  <c r="AD157" i="3"/>
  <c r="AD160" i="3"/>
  <c r="B160" i="3"/>
  <c r="AB160" i="3" s="1"/>
  <c r="AC160" i="3"/>
  <c r="AD190" i="3"/>
  <c r="B190" i="3"/>
  <c r="AB190" i="3" s="1"/>
  <c r="AD192" i="3"/>
  <c r="B192" i="3"/>
  <c r="AB192" i="3" s="1"/>
  <c r="AC192" i="3"/>
  <c r="AC202" i="3"/>
  <c r="B214" i="3"/>
  <c r="AB214" i="3" s="1"/>
  <c r="AD227" i="3"/>
  <c r="B129" i="3"/>
  <c r="AB129" i="3" s="1"/>
  <c r="AD135" i="3"/>
  <c r="B138" i="3"/>
  <c r="AB138" i="3" s="1"/>
  <c r="AC144" i="3"/>
  <c r="AD148" i="3"/>
  <c r="AC148" i="3"/>
  <c r="AC154" i="3"/>
  <c r="AC157" i="3"/>
  <c r="AD162" i="3"/>
  <c r="AD174" i="3"/>
  <c r="AD176" i="3"/>
  <c r="B176" i="3"/>
  <c r="AB176" i="3" s="1"/>
  <c r="AC176" i="3"/>
  <c r="B180" i="3"/>
  <c r="AB180" i="3" s="1"/>
  <c r="AC190" i="3"/>
  <c r="B216" i="3"/>
  <c r="AB216" i="3" s="1"/>
  <c r="B133" i="3"/>
  <c r="AB133" i="3" s="1"/>
  <c r="AD134" i="3"/>
  <c r="AC135" i="3"/>
  <c r="B137" i="3"/>
  <c r="AB137" i="3" s="1"/>
  <c r="AD143" i="3"/>
  <c r="B146" i="3"/>
  <c r="AB146" i="3" s="1"/>
  <c r="B158" i="3"/>
  <c r="AB158" i="3" s="1"/>
  <c r="B161" i="3"/>
  <c r="AB161" i="3" s="1"/>
  <c r="AC162" i="3"/>
  <c r="B173" i="3"/>
  <c r="AB173" i="3" s="1"/>
  <c r="AC174" i="3"/>
  <c r="B189" i="3"/>
  <c r="AB189" i="3" s="1"/>
  <c r="AD207" i="3"/>
  <c r="AC207" i="3"/>
  <c r="B207" i="3"/>
  <c r="AB207" i="3" s="1"/>
  <c r="B230" i="3"/>
  <c r="AB230" i="3" s="1"/>
  <c r="AD200" i="3"/>
  <c r="AD225" i="3"/>
  <c r="B228" i="3"/>
  <c r="AB228" i="3" s="1"/>
  <c r="B259" i="3"/>
  <c r="AB259" i="3" s="1"/>
  <c r="AD151" i="3"/>
  <c r="AD159" i="3"/>
  <c r="AD167" i="3"/>
  <c r="AD175" i="3"/>
  <c r="AD183" i="3"/>
  <c r="AD191" i="3"/>
  <c r="AD199" i="3"/>
  <c r="AC200" i="3"/>
  <c r="AD209" i="3"/>
  <c r="B211" i="3"/>
  <c r="AB211" i="3" s="1"/>
  <c r="AC214" i="3"/>
  <c r="AD218" i="3"/>
  <c r="AC225" i="3"/>
  <c r="AC228" i="3"/>
  <c r="B235" i="3"/>
  <c r="AB235" i="3" s="1"/>
  <c r="B253" i="3"/>
  <c r="AB253" i="3" s="1"/>
  <c r="AC259" i="3"/>
  <c r="AD198" i="3"/>
  <c r="B212" i="3"/>
  <c r="AB212" i="3" s="1"/>
  <c r="AD214" i="3"/>
  <c r="AD217" i="3"/>
  <c r="AD228" i="3"/>
  <c r="AD233" i="3"/>
  <c r="B236" i="3"/>
  <c r="AB236" i="3" s="1"/>
  <c r="B245" i="3"/>
  <c r="AB245" i="3" s="1"/>
  <c r="B255" i="3"/>
  <c r="AB255" i="3" s="1"/>
  <c r="AD255" i="3"/>
  <c r="AC255" i="3"/>
  <c r="AD259" i="3"/>
  <c r="B267" i="3"/>
  <c r="AB267" i="3" s="1"/>
  <c r="AC267" i="3"/>
  <c r="B220" i="3"/>
  <c r="AB220" i="3" s="1"/>
  <c r="AC224" i="3"/>
  <c r="B239" i="3"/>
  <c r="AB239" i="3" s="1"/>
  <c r="AC239" i="3"/>
  <c r="B243" i="3"/>
  <c r="AB243" i="3" s="1"/>
  <c r="B247" i="3"/>
  <c r="AB247" i="3" s="1"/>
  <c r="AC247" i="3"/>
  <c r="B251" i="3"/>
  <c r="AB251" i="3" s="1"/>
  <c r="AD164" i="3"/>
  <c r="AD172" i="3"/>
  <c r="AD180" i="3"/>
  <c r="AD188" i="3"/>
  <c r="AD196" i="3"/>
  <c r="AD212" i="3"/>
  <c r="AC216" i="3"/>
  <c r="AC220" i="3"/>
  <c r="AD224" i="3"/>
  <c r="B226" i="3"/>
  <c r="AB226" i="3" s="1"/>
  <c r="AC230" i="3"/>
  <c r="AD236" i="3"/>
  <c r="AD239" i="3"/>
  <c r="B241" i="3"/>
  <c r="AB241" i="3" s="1"/>
  <c r="AC241" i="3"/>
  <c r="AC243" i="3"/>
  <c r="AD245" i="3"/>
  <c r="AD247" i="3"/>
  <c r="B249" i="3"/>
  <c r="AB249" i="3" s="1"/>
  <c r="AC249" i="3"/>
  <c r="AC251" i="3"/>
  <c r="B258" i="3"/>
  <c r="AB258" i="3" s="1"/>
  <c r="AD258" i="3"/>
  <c r="AD131" i="3"/>
  <c r="AD139" i="3"/>
  <c r="AD147" i="3"/>
  <c r="AD155" i="3"/>
  <c r="AD163" i="3"/>
  <c r="AC164" i="3"/>
  <c r="AD171" i="3"/>
  <c r="AC172" i="3"/>
  <c r="AD179" i="3"/>
  <c r="AC180" i="3"/>
  <c r="AD187" i="3"/>
  <c r="AC188" i="3"/>
  <c r="AD195" i="3"/>
  <c r="AC196" i="3"/>
  <c r="B200" i="3"/>
  <c r="AB200" i="3" s="1"/>
  <c r="AD216" i="3"/>
  <c r="AD220" i="3"/>
  <c r="B225" i="3"/>
  <c r="AB225" i="3" s="1"/>
  <c r="AC226" i="3"/>
  <c r="AD230" i="3"/>
  <c r="AC232" i="3"/>
  <c r="AC235" i="3"/>
  <c r="AD241" i="3"/>
  <c r="AD243" i="3"/>
  <c r="AD249" i="3"/>
  <c r="AD251" i="3"/>
  <c r="B256" i="3"/>
  <c r="AB256" i="3" s="1"/>
  <c r="AC258" i="3"/>
  <c r="B263" i="3"/>
  <c r="AB263" i="3" s="1"/>
  <c r="AD263" i="3"/>
  <c r="AC263" i="3"/>
  <c r="AD170" i="3"/>
  <c r="AD178" i="3"/>
  <c r="AD186" i="3"/>
  <c r="AD194" i="3"/>
  <c r="AD226" i="3"/>
  <c r="B234" i="3"/>
  <c r="AB234" i="3" s="1"/>
  <c r="B261" i="3"/>
  <c r="AB261" i="3" s="1"/>
  <c r="B266" i="3"/>
  <c r="AB266" i="3" s="1"/>
  <c r="AD266" i="3"/>
  <c r="AD185" i="3"/>
  <c r="AD193" i="3"/>
  <c r="B198" i="3"/>
  <c r="AB198" i="3" s="1"/>
  <c r="AD201" i="3"/>
  <c r="B240" i="3"/>
  <c r="AB240" i="3" s="1"/>
  <c r="B242" i="3"/>
  <c r="AB242" i="3" s="1"/>
  <c r="AD242" i="3"/>
  <c r="B248" i="3"/>
  <c r="AB248" i="3" s="1"/>
  <c r="B250" i="3"/>
  <c r="AB250" i="3" s="1"/>
  <c r="AD250" i="3"/>
  <c r="AD256" i="3"/>
  <c r="AC261" i="3"/>
  <c r="AC266" i="3"/>
  <c r="B269" i="3"/>
  <c r="AB269" i="3" s="1"/>
  <c r="AC269" i="3"/>
  <c r="B275" i="3"/>
  <c r="AB275" i="3" s="1"/>
  <c r="B283" i="3"/>
  <c r="AB283" i="3" s="1"/>
  <c r="B291" i="3"/>
  <c r="AB291" i="3" s="1"/>
  <c r="B299" i="3"/>
  <c r="AB299" i="3" s="1"/>
  <c r="AD307" i="3"/>
  <c r="B307" i="3"/>
  <c r="AB307" i="3" s="1"/>
  <c r="AD322" i="3"/>
  <c r="AC322" i="3"/>
  <c r="AD332" i="3"/>
  <c r="AC332" i="3"/>
  <c r="B264" i="3"/>
  <c r="AB264" i="3" s="1"/>
  <c r="B272" i="3"/>
  <c r="AB272" i="3" s="1"/>
  <c r="AC275" i="3"/>
  <c r="B280" i="3"/>
  <c r="AB280" i="3" s="1"/>
  <c r="AC283" i="3"/>
  <c r="B288" i="3"/>
  <c r="AB288" i="3" s="1"/>
  <c r="AC291" i="3"/>
  <c r="B296" i="3"/>
  <c r="AB296" i="3" s="1"/>
  <c r="AC299" i="3"/>
  <c r="B304" i="3"/>
  <c r="AB304" i="3" s="1"/>
  <c r="AD316" i="3"/>
  <c r="AC316" i="3"/>
  <c r="AD327" i="3"/>
  <c r="AC327" i="3"/>
  <c r="AD335" i="3"/>
  <c r="B335" i="3"/>
  <c r="AB335" i="3" s="1"/>
  <c r="AC335" i="3"/>
  <c r="B352" i="3"/>
  <c r="AB352" i="3" s="1"/>
  <c r="B277" i="3"/>
  <c r="AB277" i="3" s="1"/>
  <c r="B285" i="3"/>
  <c r="AB285" i="3" s="1"/>
  <c r="B293" i="3"/>
  <c r="AB293" i="3" s="1"/>
  <c r="B301" i="3"/>
  <c r="AB301" i="3" s="1"/>
  <c r="AD314" i="3"/>
  <c r="AC314" i="3"/>
  <c r="B323" i="3"/>
  <c r="AB323" i="3" s="1"/>
  <c r="AD325" i="3"/>
  <c r="B325" i="3"/>
  <c r="AB325" i="3" s="1"/>
  <c r="AD341" i="3"/>
  <c r="B341" i="3"/>
  <c r="AB341" i="3" s="1"/>
  <c r="B274" i="3"/>
  <c r="AB274" i="3" s="1"/>
  <c r="AC277" i="3"/>
  <c r="B282" i="3"/>
  <c r="AB282" i="3" s="1"/>
  <c r="AC285" i="3"/>
  <c r="B290" i="3"/>
  <c r="AB290" i="3" s="1"/>
  <c r="AC293" i="3"/>
  <c r="B298" i="3"/>
  <c r="AB298" i="3" s="1"/>
  <c r="AC301" i="3"/>
  <c r="AD304" i="3"/>
  <c r="B306" i="3"/>
  <c r="AB306" i="3" s="1"/>
  <c r="AC321" i="3"/>
  <c r="AD333" i="3"/>
  <c r="B333" i="3"/>
  <c r="AB333" i="3" s="1"/>
  <c r="AC341" i="3"/>
  <c r="B355" i="3"/>
  <c r="AB355" i="3" s="1"/>
  <c r="AC373" i="3"/>
  <c r="B271" i="3"/>
  <c r="AB271" i="3" s="1"/>
  <c r="AC274" i="3"/>
  <c r="AD277" i="3"/>
  <c r="B279" i="3"/>
  <c r="AB279" i="3" s="1"/>
  <c r="AC282" i="3"/>
  <c r="AD285" i="3"/>
  <c r="B287" i="3"/>
  <c r="AB287" i="3" s="1"/>
  <c r="AC290" i="3"/>
  <c r="AD293" i="3"/>
  <c r="B295" i="3"/>
  <c r="AB295" i="3" s="1"/>
  <c r="AD301" i="3"/>
  <c r="B303" i="3"/>
  <c r="AB303" i="3" s="1"/>
  <c r="AD309" i="3"/>
  <c r="B309" i="3"/>
  <c r="AB309" i="3" s="1"/>
  <c r="AD330" i="3"/>
  <c r="AC330" i="3"/>
  <c r="B349" i="3"/>
  <c r="AB349" i="3" s="1"/>
  <c r="B244" i="3"/>
  <c r="AB244" i="3" s="1"/>
  <c r="B252" i="3"/>
  <c r="AB252" i="3" s="1"/>
  <c r="B260" i="3"/>
  <c r="AB260" i="3" s="1"/>
  <c r="B268" i="3"/>
  <c r="AB268" i="3" s="1"/>
  <c r="AC271" i="3"/>
  <c r="AD274" i="3"/>
  <c r="B276" i="3"/>
  <c r="AB276" i="3" s="1"/>
  <c r="AC279" i="3"/>
  <c r="AD282" i="3"/>
  <c r="B284" i="3"/>
  <c r="AB284" i="3" s="1"/>
  <c r="AC287" i="3"/>
  <c r="AD290" i="3"/>
  <c r="B292" i="3"/>
  <c r="AB292" i="3" s="1"/>
  <c r="AC295" i="3"/>
  <c r="AD298" i="3"/>
  <c r="B300" i="3"/>
  <c r="AB300" i="3" s="1"/>
  <c r="AC303" i="3"/>
  <c r="AD306" i="3"/>
  <c r="AC309" i="3"/>
  <c r="AD311" i="3"/>
  <c r="AC311" i="3"/>
  <c r="AC313" i="3"/>
  <c r="AD315" i="3"/>
  <c r="B315" i="3"/>
  <c r="AB315" i="3" s="1"/>
  <c r="AD319" i="3"/>
  <c r="AC319" i="3"/>
  <c r="B322" i="3"/>
  <c r="AB322" i="3" s="1"/>
  <c r="AD324" i="3"/>
  <c r="AC324" i="3"/>
  <c r="B332" i="3"/>
  <c r="AB332" i="3" s="1"/>
  <c r="B339" i="3"/>
  <c r="AB339" i="3" s="1"/>
  <c r="B363" i="3"/>
  <c r="AB363" i="3" s="1"/>
  <c r="B257" i="3"/>
  <c r="AB257" i="3" s="1"/>
  <c r="B265" i="3"/>
  <c r="AB265" i="3" s="1"/>
  <c r="AD271" i="3"/>
  <c r="B273" i="3"/>
  <c r="AB273" i="3" s="1"/>
  <c r="AD279" i="3"/>
  <c r="B281" i="3"/>
  <c r="AB281" i="3" s="1"/>
  <c r="B289" i="3"/>
  <c r="AB289" i="3" s="1"/>
  <c r="AD295" i="3"/>
  <c r="B297" i="3"/>
  <c r="AB297" i="3" s="1"/>
  <c r="AC300" i="3"/>
  <c r="AD303" i="3"/>
  <c r="B305" i="3"/>
  <c r="AB305" i="3" s="1"/>
  <c r="AD308" i="3"/>
  <c r="B316" i="3"/>
  <c r="AB316" i="3" s="1"/>
  <c r="AD317" i="3"/>
  <c r="B317" i="3"/>
  <c r="AB317" i="3" s="1"/>
  <c r="B327" i="3"/>
  <c r="AB327" i="3" s="1"/>
  <c r="B331" i="3"/>
  <c r="AB331" i="3" s="1"/>
  <c r="AD345" i="3"/>
  <c r="AC345" i="3"/>
  <c r="B238" i="3"/>
  <c r="AB238" i="3" s="1"/>
  <c r="B246" i="3"/>
  <c r="AB246" i="3" s="1"/>
  <c r="B254" i="3"/>
  <c r="AB254" i="3" s="1"/>
  <c r="AC257" i="3"/>
  <c r="B262" i="3"/>
  <c r="AB262" i="3" s="1"/>
  <c r="AC265" i="3"/>
  <c r="B270" i="3"/>
  <c r="AB270" i="3" s="1"/>
  <c r="AC273" i="3"/>
  <c r="B278" i="3"/>
  <c r="AB278" i="3" s="1"/>
  <c r="AC281" i="3"/>
  <c r="B286" i="3"/>
  <c r="AB286" i="3" s="1"/>
  <c r="AC289" i="3"/>
  <c r="B294" i="3"/>
  <c r="AB294" i="3" s="1"/>
  <c r="B302" i="3"/>
  <c r="AB302" i="3" s="1"/>
  <c r="AC305" i="3"/>
  <c r="AC308" i="3"/>
  <c r="B314" i="3"/>
  <c r="AB314" i="3" s="1"/>
  <c r="AC317" i="3"/>
  <c r="AC329" i="3"/>
  <c r="AC337" i="3"/>
  <c r="AD340" i="3"/>
  <c r="AC340" i="3"/>
  <c r="AC364" i="3"/>
  <c r="B370" i="3"/>
  <c r="AB370" i="3" s="1"/>
  <c r="AD312" i="3"/>
  <c r="AD320" i="3"/>
  <c r="AD328" i="3"/>
  <c r="AD336" i="3"/>
  <c r="AD347" i="3"/>
  <c r="AD356" i="3"/>
  <c r="B356" i="3"/>
  <c r="AB356" i="3" s="1"/>
  <c r="B435" i="3"/>
  <c r="AB435" i="3" s="1"/>
  <c r="AD346" i="3"/>
  <c r="AD378" i="3"/>
  <c r="AC378" i="3"/>
  <c r="B390" i="3"/>
  <c r="AB390" i="3" s="1"/>
  <c r="AD403" i="3"/>
  <c r="B403" i="3"/>
  <c r="AB403" i="3" s="1"/>
  <c r="B411" i="3"/>
  <c r="AB411" i="3" s="1"/>
  <c r="B416" i="3"/>
  <c r="AB416" i="3" s="1"/>
  <c r="AD436" i="3"/>
  <c r="AD310" i="3"/>
  <c r="AD318" i="3"/>
  <c r="AD326" i="3"/>
  <c r="AD334" i="3"/>
  <c r="AD342" i="3"/>
  <c r="AC346" i="3"/>
  <c r="AD350" i="3"/>
  <c r="B350" i="3"/>
  <c r="AB350" i="3" s="1"/>
  <c r="AD366" i="3"/>
  <c r="B366" i="3"/>
  <c r="AB366" i="3" s="1"/>
  <c r="AD376" i="3"/>
  <c r="AC376" i="3"/>
  <c r="B376" i="3"/>
  <c r="AB376" i="3" s="1"/>
  <c r="AD400" i="3"/>
  <c r="AC400" i="3"/>
  <c r="B400" i="3"/>
  <c r="AB400" i="3" s="1"/>
  <c r="AC403" i="3"/>
  <c r="B422" i="3"/>
  <c r="AB422" i="3" s="1"/>
  <c r="AD437" i="3"/>
  <c r="AD363" i="3"/>
  <c r="AD372" i="3"/>
  <c r="AC372" i="3"/>
  <c r="B372" i="3"/>
  <c r="AB372" i="3" s="1"/>
  <c r="AD374" i="3"/>
  <c r="B374" i="3"/>
  <c r="AB374" i="3" s="1"/>
  <c r="AD384" i="3"/>
  <c r="AC384" i="3"/>
  <c r="B384" i="3"/>
  <c r="AB384" i="3" s="1"/>
  <c r="AD387" i="3"/>
  <c r="B387" i="3"/>
  <c r="AB387" i="3" s="1"/>
  <c r="B427" i="3"/>
  <c r="AB427" i="3" s="1"/>
  <c r="B432" i="3"/>
  <c r="AB432" i="3" s="1"/>
  <c r="AD349" i="3"/>
  <c r="AD355" i="3"/>
  <c r="AD358" i="3"/>
  <c r="B358" i="3"/>
  <c r="AB358" i="3" s="1"/>
  <c r="AC363" i="3"/>
  <c r="AD365" i="3"/>
  <c r="B365" i="3"/>
  <c r="AB365" i="3" s="1"/>
  <c r="AD370" i="3"/>
  <c r="AC370" i="3"/>
  <c r="AC374" i="3"/>
  <c r="AD379" i="3"/>
  <c r="B379" i="3"/>
  <c r="AB379" i="3" s="1"/>
  <c r="AD382" i="3"/>
  <c r="B382" i="3"/>
  <c r="AB382" i="3" s="1"/>
  <c r="AC387" i="3"/>
  <c r="B398" i="3"/>
  <c r="AB398" i="3" s="1"/>
  <c r="B408" i="3"/>
  <c r="AB408" i="3" s="1"/>
  <c r="B413" i="3"/>
  <c r="AB413" i="3" s="1"/>
  <c r="AC447" i="3"/>
  <c r="AD323" i="3"/>
  <c r="AD331" i="3"/>
  <c r="AD339" i="3"/>
  <c r="AC349" i="3"/>
  <c r="AD352" i="3"/>
  <c r="AC352" i="3"/>
  <c r="AC355" i="3"/>
  <c r="AC358" i="3"/>
  <c r="AC365" i="3"/>
  <c r="AC379" i="3"/>
  <c r="AC382" i="3"/>
  <c r="B414" i="3"/>
  <c r="AB414" i="3" s="1"/>
  <c r="AD338" i="3"/>
  <c r="AD344" i="3"/>
  <c r="AC344" i="3"/>
  <c r="B346" i="3"/>
  <c r="AB346" i="3" s="1"/>
  <c r="AD348" i="3"/>
  <c r="B348" i="3"/>
  <c r="AB348" i="3" s="1"/>
  <c r="AD354" i="3"/>
  <c r="AC354" i="3"/>
  <c r="AD357" i="3"/>
  <c r="AD395" i="3"/>
  <c r="B395" i="3"/>
  <c r="AB395" i="3" s="1"/>
  <c r="B419" i="3"/>
  <c r="AB419" i="3" s="1"/>
  <c r="B424" i="3"/>
  <c r="AB424" i="3" s="1"/>
  <c r="AD313" i="3"/>
  <c r="AD321" i="3"/>
  <c r="AD329" i="3"/>
  <c r="AD337" i="3"/>
  <c r="AC338" i="3"/>
  <c r="AC348" i="3"/>
  <c r="AC357" i="3"/>
  <c r="AD362" i="3"/>
  <c r="AC362" i="3"/>
  <c r="AD364" i="3"/>
  <c r="B364" i="3"/>
  <c r="AB364" i="3" s="1"/>
  <c r="AD373" i="3"/>
  <c r="B373" i="3"/>
  <c r="AB373" i="3" s="1"/>
  <c r="AD392" i="3"/>
  <c r="AC392" i="3"/>
  <c r="B392" i="3"/>
  <c r="AB392" i="3" s="1"/>
  <c r="AC395" i="3"/>
  <c r="B406" i="3"/>
  <c r="AB406" i="3" s="1"/>
  <c r="B430" i="3"/>
  <c r="AB430" i="3" s="1"/>
  <c r="B450" i="3"/>
  <c r="AB450" i="3" s="1"/>
  <c r="AD386" i="3"/>
  <c r="AD394" i="3"/>
  <c r="AD402" i="3"/>
  <c r="AD410" i="3"/>
  <c r="AD418" i="3"/>
  <c r="AD426" i="3"/>
  <c r="AD434" i="3"/>
  <c r="AD451" i="3"/>
  <c r="AC453" i="3"/>
  <c r="B453" i="3"/>
  <c r="AB453" i="3" s="1"/>
  <c r="B459" i="3"/>
  <c r="AB459" i="3" s="1"/>
  <c r="AD459" i="3"/>
  <c r="AC459" i="3"/>
  <c r="B472" i="3"/>
  <c r="AB472" i="3" s="1"/>
  <c r="AD472" i="3"/>
  <c r="AC472" i="3"/>
  <c r="AD353" i="3"/>
  <c r="AD361" i="3"/>
  <c r="AD369" i="3"/>
  <c r="AD375" i="3"/>
  <c r="AD383" i="3"/>
  <c r="AC386" i="3"/>
  <c r="AD391" i="3"/>
  <c r="AC394" i="3"/>
  <c r="AD399" i="3"/>
  <c r="AC402" i="3"/>
  <c r="AD407" i="3"/>
  <c r="AC410" i="3"/>
  <c r="AD415" i="3"/>
  <c r="AC418" i="3"/>
  <c r="AD423" i="3"/>
  <c r="AC426" i="3"/>
  <c r="AD431" i="3"/>
  <c r="AC434" i="3"/>
  <c r="AD443" i="3"/>
  <c r="B447" i="3"/>
  <c r="AB447" i="3" s="1"/>
  <c r="B463" i="3"/>
  <c r="AB463" i="3" s="1"/>
  <c r="AD463" i="3"/>
  <c r="AC463" i="3"/>
  <c r="AD360" i="3"/>
  <c r="AD368" i="3"/>
  <c r="AD380" i="3"/>
  <c r="AD388" i="3"/>
  <c r="AD396" i="3"/>
  <c r="AD404" i="3"/>
  <c r="AD412" i="3"/>
  <c r="AD420" i="3"/>
  <c r="AD428" i="3"/>
  <c r="AC443" i="3"/>
  <c r="AC445" i="3"/>
  <c r="B445" i="3"/>
  <c r="AB445" i="3" s="1"/>
  <c r="B457" i="3"/>
  <c r="AB457" i="3" s="1"/>
  <c r="AC457" i="3"/>
  <c r="AD457" i="3"/>
  <c r="B467" i="3"/>
  <c r="AB467" i="3" s="1"/>
  <c r="AD467" i="3"/>
  <c r="AC467" i="3"/>
  <c r="AD506" i="3"/>
  <c r="B506" i="3"/>
  <c r="AB506" i="3" s="1"/>
  <c r="AC506" i="3"/>
  <c r="AD343" i="3"/>
  <c r="AD351" i="3"/>
  <c r="AD359" i="3"/>
  <c r="AC360" i="3"/>
  <c r="AD367" i="3"/>
  <c r="AC368" i="3"/>
  <c r="AD377" i="3"/>
  <c r="AC380" i="3"/>
  <c r="AD385" i="3"/>
  <c r="AC388" i="3"/>
  <c r="AD393" i="3"/>
  <c r="AC396" i="3"/>
  <c r="AD401" i="3"/>
  <c r="AC404" i="3"/>
  <c r="AD409" i="3"/>
  <c r="AC412" i="3"/>
  <c r="AD417" i="3"/>
  <c r="AC420" i="3"/>
  <c r="AD425" i="3"/>
  <c r="AC428" i="3"/>
  <c r="AD433" i="3"/>
  <c r="AD445" i="3"/>
  <c r="B476" i="3"/>
  <c r="AB476" i="3" s="1"/>
  <c r="AC476" i="3"/>
  <c r="AD476" i="3"/>
  <c r="AD390" i="3"/>
  <c r="AD398" i="3"/>
  <c r="AD406" i="3"/>
  <c r="AD414" i="3"/>
  <c r="AD422" i="3"/>
  <c r="AD430" i="3"/>
  <c r="B438" i="3"/>
  <c r="AB438" i="3" s="1"/>
  <c r="AC450" i="3"/>
  <c r="AD450" i="3"/>
  <c r="B455" i="3"/>
  <c r="AB455" i="3" s="1"/>
  <c r="AD455" i="3"/>
  <c r="AC455" i="3"/>
  <c r="AD411" i="3"/>
  <c r="AD419" i="3"/>
  <c r="AD427" i="3"/>
  <c r="AD435" i="3"/>
  <c r="AC442" i="3"/>
  <c r="AD442" i="3"/>
  <c r="B451" i="3"/>
  <c r="AB451" i="3" s="1"/>
  <c r="B454" i="3"/>
  <c r="AB454" i="3" s="1"/>
  <c r="AD454" i="3"/>
  <c r="AD408" i="3"/>
  <c r="AD416" i="3"/>
  <c r="AD424" i="3"/>
  <c r="AD432" i="3"/>
  <c r="B437" i="3"/>
  <c r="AB437" i="3" s="1"/>
  <c r="AD461" i="3"/>
  <c r="B470" i="3"/>
  <c r="AB470" i="3" s="1"/>
  <c r="AD371" i="3"/>
  <c r="AD381" i="3"/>
  <c r="AD389" i="3"/>
  <c r="AD397" i="3"/>
  <c r="AD405" i="3"/>
  <c r="AC408" i="3"/>
  <c r="AD413" i="3"/>
  <c r="AC416" i="3"/>
  <c r="B420" i="3"/>
  <c r="AB420" i="3" s="1"/>
  <c r="AD421" i="3"/>
  <c r="AC424" i="3"/>
  <c r="B428" i="3"/>
  <c r="AB428" i="3" s="1"/>
  <c r="AD429" i="3"/>
  <c r="AC432" i="3"/>
  <c r="AC437" i="3"/>
  <c r="B446" i="3"/>
  <c r="AB446" i="3" s="1"/>
  <c r="AD446" i="3"/>
  <c r="AD465" i="3"/>
  <c r="AD489" i="3"/>
  <c r="B489" i="3"/>
  <c r="AB489" i="3" s="1"/>
  <c r="AC489" i="3"/>
  <c r="B456" i="3"/>
  <c r="AB456" i="3" s="1"/>
  <c r="B460" i="3"/>
  <c r="AB460" i="3" s="1"/>
  <c r="B464" i="3"/>
  <c r="AB464" i="3" s="1"/>
  <c r="AD482" i="3"/>
  <c r="B482" i="3"/>
  <c r="AB482" i="3" s="1"/>
  <c r="AD497" i="3"/>
  <c r="AC531" i="3"/>
  <c r="B471" i="3"/>
  <c r="AB471" i="3" s="1"/>
  <c r="AC473" i="3"/>
  <c r="AD480" i="3"/>
  <c r="AC480" i="3"/>
  <c r="B480" i="3"/>
  <c r="AB480" i="3" s="1"/>
  <c r="AD484" i="3"/>
  <c r="B484" i="3"/>
  <c r="AB484" i="3" s="1"/>
  <c r="AC484" i="3"/>
  <c r="AC486" i="3"/>
  <c r="AC497" i="3"/>
  <c r="AD526" i="3"/>
  <c r="B526" i="3"/>
  <c r="AB526" i="3" s="1"/>
  <c r="AC526" i="3"/>
  <c r="B560" i="3"/>
  <c r="AB560" i="3" s="1"/>
  <c r="AD513" i="3"/>
  <c r="AC518" i="3"/>
  <c r="AC527" i="3"/>
  <c r="B532" i="3"/>
  <c r="AB532" i="3" s="1"/>
  <c r="B533" i="3"/>
  <c r="AB533" i="3" s="1"/>
  <c r="AC469" i="3"/>
  <c r="AD471" i="3"/>
  <c r="AC478" i="3"/>
  <c r="AD504" i="3"/>
  <c r="AC504" i="3"/>
  <c r="B504" i="3"/>
  <c r="AB504" i="3" s="1"/>
  <c r="AD508" i="3"/>
  <c r="B508" i="3"/>
  <c r="AB508" i="3" s="1"/>
  <c r="AC508" i="3"/>
  <c r="AC510" i="3"/>
  <c r="AC513" i="3"/>
  <c r="AD522" i="3"/>
  <c r="B522" i="3"/>
  <c r="AB522" i="3" s="1"/>
  <c r="AC522" i="3"/>
  <c r="AD534" i="3"/>
  <c r="AC535" i="3"/>
  <c r="B458" i="3"/>
  <c r="AB458" i="3" s="1"/>
  <c r="B462" i="3"/>
  <c r="AB462" i="3" s="1"/>
  <c r="B466" i="3"/>
  <c r="AB466" i="3" s="1"/>
  <c r="AD474" i="3"/>
  <c r="AC474" i="3"/>
  <c r="AD481" i="3"/>
  <c r="AD498" i="3"/>
  <c r="B498" i="3"/>
  <c r="AB498" i="3" s="1"/>
  <c r="AD516" i="3"/>
  <c r="B516" i="3"/>
  <c r="AB516" i="3" s="1"/>
  <c r="AC516" i="3"/>
  <c r="AC523" i="3"/>
  <c r="AD528" i="3"/>
  <c r="AC528" i="3"/>
  <c r="B528" i="3"/>
  <c r="AB528" i="3" s="1"/>
  <c r="B536" i="3"/>
  <c r="AB536" i="3" s="1"/>
  <c r="B537" i="3"/>
  <c r="AB537" i="3" s="1"/>
  <c r="AC579" i="3"/>
  <c r="AC477" i="3"/>
  <c r="AD496" i="3"/>
  <c r="AC496" i="3"/>
  <c r="B496" i="3"/>
  <c r="AB496" i="3" s="1"/>
  <c r="AD500" i="3"/>
  <c r="B500" i="3"/>
  <c r="AB500" i="3" s="1"/>
  <c r="AC500" i="3"/>
  <c r="AC502" i="3"/>
  <c r="B514" i="3"/>
  <c r="AB514" i="3" s="1"/>
  <c r="B529" i="3"/>
  <c r="AB529" i="3" s="1"/>
  <c r="AC539" i="3"/>
  <c r="B581" i="3"/>
  <c r="AB581" i="3" s="1"/>
  <c r="B461" i="3"/>
  <c r="AB461" i="3" s="1"/>
  <c r="B465" i="3"/>
  <c r="AB465" i="3" s="1"/>
  <c r="AD470" i="3"/>
  <c r="AC470" i="3"/>
  <c r="AD490" i="3"/>
  <c r="B490" i="3"/>
  <c r="AB490" i="3" s="1"/>
  <c r="AD505" i="3"/>
  <c r="AD520" i="3"/>
  <c r="AC520" i="3"/>
  <c r="B520" i="3"/>
  <c r="AB520" i="3" s="1"/>
  <c r="AD524" i="3"/>
  <c r="AC524" i="3"/>
  <c r="B524" i="3"/>
  <c r="AB524" i="3" s="1"/>
  <c r="B540" i="3"/>
  <c r="AB540" i="3" s="1"/>
  <c r="B541" i="3"/>
  <c r="AB541" i="3" s="1"/>
  <c r="AC461" i="3"/>
  <c r="AC465" i="3"/>
  <c r="B468" i="3"/>
  <c r="AB468" i="3" s="1"/>
  <c r="B475" i="3"/>
  <c r="AB475" i="3" s="1"/>
  <c r="AD488" i="3"/>
  <c r="AC488" i="3"/>
  <c r="B488" i="3"/>
  <c r="AB488" i="3" s="1"/>
  <c r="AC490" i="3"/>
  <c r="AD492" i="3"/>
  <c r="B492" i="3"/>
  <c r="AB492" i="3" s="1"/>
  <c r="AC492" i="3"/>
  <c r="AC494" i="3"/>
  <c r="AC505" i="3"/>
  <c r="AD512" i="3"/>
  <c r="AC512" i="3"/>
  <c r="B512" i="3"/>
  <c r="AB512" i="3" s="1"/>
  <c r="B513" i="3"/>
  <c r="AB513" i="3" s="1"/>
  <c r="B521" i="3"/>
  <c r="AB521" i="3" s="1"/>
  <c r="B525" i="3"/>
  <c r="AB525" i="3" s="1"/>
  <c r="AD530" i="3"/>
  <c r="B530" i="3"/>
  <c r="AB530" i="3" s="1"/>
  <c r="AC530" i="3"/>
  <c r="AC543" i="3"/>
  <c r="AD485" i="3"/>
  <c r="AD493" i="3"/>
  <c r="AD501" i="3"/>
  <c r="AD509" i="3"/>
  <c r="AD517" i="3"/>
  <c r="AD566" i="3"/>
  <c r="AD538" i="3"/>
  <c r="AD542" i="3"/>
  <c r="AD545" i="3"/>
  <c r="AD547" i="3"/>
  <c r="AD549" i="3"/>
  <c r="AD551" i="3"/>
  <c r="AD553" i="3"/>
  <c r="AD555" i="3"/>
  <c r="AD557" i="3"/>
  <c r="AD483" i="3"/>
  <c r="AD491" i="3"/>
  <c r="AD499" i="3"/>
  <c r="AD507" i="3"/>
  <c r="AD515" i="3"/>
  <c r="AC534" i="3"/>
  <c r="AC538" i="3"/>
  <c r="AD563" i="3"/>
  <c r="AD572" i="3"/>
  <c r="B572" i="3"/>
  <c r="AB572" i="3" s="1"/>
  <c r="B574" i="3"/>
  <c r="AB574" i="3" s="1"/>
  <c r="AD594" i="3"/>
  <c r="B594" i="3"/>
  <c r="AB594" i="3" s="1"/>
  <c r="AC594" i="3"/>
  <c r="AD514" i="3"/>
  <c r="AC515" i="3"/>
  <c r="AD521" i="3"/>
  <c r="AD525" i="3"/>
  <c r="AD529" i="3"/>
  <c r="AD533" i="3"/>
  <c r="AD537" i="3"/>
  <c r="AD541" i="3"/>
  <c r="AD591" i="3"/>
  <c r="AC591" i="3"/>
  <c r="B591" i="3"/>
  <c r="AB591" i="3" s="1"/>
  <c r="B570" i="3"/>
  <c r="AB570" i="3" s="1"/>
  <c r="AD578" i="3"/>
  <c r="B578" i="3"/>
  <c r="AB578" i="3" s="1"/>
  <c r="AC578" i="3"/>
  <c r="AD581" i="3"/>
  <c r="AC581" i="3"/>
  <c r="AD585" i="3"/>
  <c r="B585" i="3"/>
  <c r="AB585" i="3" s="1"/>
  <c r="AC585" i="3"/>
  <c r="AD532" i="3"/>
  <c r="AD536" i="3"/>
  <c r="AD540" i="3"/>
  <c r="AD544" i="3"/>
  <c r="AD546" i="3"/>
  <c r="AD548" i="3"/>
  <c r="AD550" i="3"/>
  <c r="AD552" i="3"/>
  <c r="AD554" i="3"/>
  <c r="AD556" i="3"/>
  <c r="AD558" i="3"/>
  <c r="AD560" i="3"/>
  <c r="AC560" i="3"/>
  <c r="AD562" i="3"/>
  <c r="AC562" i="3"/>
  <c r="B562" i="3"/>
  <c r="AB562" i="3" s="1"/>
  <c r="AD479" i="3"/>
  <c r="AD487" i="3"/>
  <c r="AD495" i="3"/>
  <c r="AD503" i="3"/>
  <c r="AD511" i="3"/>
  <c r="AD519" i="3"/>
  <c r="AC532" i="3"/>
  <c r="B534" i="3"/>
  <c r="AB534" i="3" s="1"/>
  <c r="AC536" i="3"/>
  <c r="B538" i="3"/>
  <c r="AB538" i="3" s="1"/>
  <c r="AC540" i="3"/>
  <c r="AD564" i="3"/>
  <c r="B564" i="3"/>
  <c r="AB564" i="3" s="1"/>
  <c r="AD568" i="3"/>
  <c r="AC568" i="3"/>
  <c r="AD576" i="3"/>
  <c r="AC576" i="3"/>
  <c r="B582" i="3"/>
  <c r="AB582" i="3" s="1"/>
  <c r="AD589" i="3"/>
  <c r="AC589" i="3"/>
  <c r="B589" i="3"/>
  <c r="AB589" i="3" s="1"/>
  <c r="AD478" i="3"/>
  <c r="AC479" i="3"/>
  <c r="B483" i="3"/>
  <c r="AB483" i="3" s="1"/>
  <c r="AD486" i="3"/>
  <c r="AC487" i="3"/>
  <c r="B491" i="3"/>
  <c r="AB491" i="3" s="1"/>
  <c r="AD494" i="3"/>
  <c r="AC495" i="3"/>
  <c r="B499" i="3"/>
  <c r="AB499" i="3" s="1"/>
  <c r="AD502" i="3"/>
  <c r="AC503" i="3"/>
  <c r="B507" i="3"/>
  <c r="AB507" i="3" s="1"/>
  <c r="AD510" i="3"/>
  <c r="AC511" i="3"/>
  <c r="B515" i="3"/>
  <c r="AB515" i="3" s="1"/>
  <c r="AD518" i="3"/>
  <c r="AC519" i="3"/>
  <c r="AD523" i="3"/>
  <c r="AD527" i="3"/>
  <c r="AD531" i="3"/>
  <c r="AD535" i="3"/>
  <c r="AD539" i="3"/>
  <c r="AD543" i="3"/>
  <c r="B563" i="3"/>
  <c r="AB563" i="3" s="1"/>
  <c r="AC564" i="3"/>
  <c r="AD571" i="3"/>
  <c r="B571" i="3"/>
  <c r="AB571" i="3" s="1"/>
  <c r="AC571" i="3"/>
  <c r="AD579" i="3"/>
  <c r="B579" i="3"/>
  <c r="AB579" i="3" s="1"/>
  <c r="AD599" i="3"/>
  <c r="AC599" i="3"/>
  <c r="B599" i="3"/>
  <c r="AB599" i="3" s="1"/>
  <c r="AD565" i="3"/>
  <c r="AC566" i="3"/>
  <c r="AD573" i="3"/>
  <c r="AC574" i="3"/>
  <c r="AD583" i="3"/>
  <c r="AC583" i="3"/>
  <c r="AD586" i="3"/>
  <c r="AD592" i="3"/>
  <c r="AD595" i="3"/>
  <c r="B595" i="3"/>
  <c r="AB595" i="3" s="1"/>
  <c r="AD621" i="3"/>
  <c r="B621" i="3"/>
  <c r="AB621" i="3" s="1"/>
  <c r="AC621" i="3"/>
  <c r="B637" i="3"/>
  <c r="AB637" i="3" s="1"/>
  <c r="B645" i="3"/>
  <c r="AB645" i="3" s="1"/>
  <c r="AD603" i="3"/>
  <c r="B603" i="3"/>
  <c r="AB603" i="3" s="1"/>
  <c r="AC603" i="3"/>
  <c r="B657" i="3"/>
  <c r="AB657" i="3" s="1"/>
  <c r="B682" i="3"/>
  <c r="AB682" i="3" s="1"/>
  <c r="AD600" i="3"/>
  <c r="AD605" i="3"/>
  <c r="AC605" i="3"/>
  <c r="AD619" i="3"/>
  <c r="B619" i="3"/>
  <c r="AB619" i="3" s="1"/>
  <c r="AC619" i="3"/>
  <c r="B629" i="3"/>
  <c r="AB629" i="3" s="1"/>
  <c r="AD635" i="3"/>
  <c r="B635" i="3"/>
  <c r="AB635" i="3" s="1"/>
  <c r="AC635" i="3"/>
  <c r="B641" i="3"/>
  <c r="AB641" i="3" s="1"/>
  <c r="B647" i="3"/>
  <c r="AB647" i="3" s="1"/>
  <c r="AD570" i="3"/>
  <c r="AD582" i="3"/>
  <c r="AC600" i="3"/>
  <c r="AD607" i="3"/>
  <c r="AC607" i="3"/>
  <c r="B607" i="3"/>
  <c r="AB607" i="3" s="1"/>
  <c r="AD609" i="3"/>
  <c r="AC609" i="3"/>
  <c r="B609" i="3"/>
  <c r="AB609" i="3" s="1"/>
  <c r="AD611" i="3"/>
  <c r="B611" i="3"/>
  <c r="AB611" i="3" s="1"/>
  <c r="AC611" i="3"/>
  <c r="AD613" i="3"/>
  <c r="B613" i="3"/>
  <c r="AB613" i="3" s="1"/>
  <c r="AC613" i="3"/>
  <c r="AD615" i="3"/>
  <c r="AC615" i="3"/>
  <c r="B615" i="3"/>
  <c r="AB615" i="3" s="1"/>
  <c r="AD617" i="3"/>
  <c r="AC617" i="3"/>
  <c r="B617" i="3"/>
  <c r="AB617" i="3" s="1"/>
  <c r="B653" i="3"/>
  <c r="AB653" i="3" s="1"/>
  <c r="AD561" i="3"/>
  <c r="B566" i="3"/>
  <c r="AB566" i="3" s="1"/>
  <c r="AD569" i="3"/>
  <c r="AC570" i="3"/>
  <c r="AD577" i="3"/>
  <c r="AC582" i="3"/>
  <c r="AD593" i="3"/>
  <c r="B593" i="3"/>
  <c r="AB593" i="3" s="1"/>
  <c r="AD597" i="3"/>
  <c r="AC597" i="3"/>
  <c r="AD627" i="3"/>
  <c r="B627" i="3"/>
  <c r="AB627" i="3" s="1"/>
  <c r="AC627" i="3"/>
  <c r="B677" i="3"/>
  <c r="AB677" i="3" s="1"/>
  <c r="B633" i="3"/>
  <c r="AB633" i="3" s="1"/>
  <c r="AD639" i="3"/>
  <c r="AC639" i="3"/>
  <c r="B639" i="3"/>
  <c r="AB639" i="3" s="1"/>
  <c r="B649" i="3"/>
  <c r="AB649" i="3" s="1"/>
  <c r="AD686" i="3"/>
  <c r="AD559" i="3"/>
  <c r="AD567" i="3"/>
  <c r="AD575" i="3"/>
  <c r="AD584" i="3"/>
  <c r="AD587" i="3"/>
  <c r="B587" i="3"/>
  <c r="AB587" i="3" s="1"/>
  <c r="AD601" i="3"/>
  <c r="B601" i="3"/>
  <c r="AB601" i="3" s="1"/>
  <c r="B655" i="3"/>
  <c r="AB655" i="3" s="1"/>
  <c r="AD574" i="3"/>
  <c r="B600" i="3"/>
  <c r="AB600" i="3" s="1"/>
  <c r="B605" i="3"/>
  <c r="AB605" i="3" s="1"/>
  <c r="AD623" i="3"/>
  <c r="AC623" i="3"/>
  <c r="B623" i="3"/>
  <c r="AB623" i="3" s="1"/>
  <c r="B625" i="3"/>
  <c r="AB625" i="3" s="1"/>
  <c r="AD631" i="3"/>
  <c r="AC631" i="3"/>
  <c r="B631" i="3"/>
  <c r="AB631" i="3" s="1"/>
  <c r="B661" i="3"/>
  <c r="AB661" i="3" s="1"/>
  <c r="AC665" i="3"/>
  <c r="AC669" i="3"/>
  <c r="AC673" i="3"/>
  <c r="AD580" i="3"/>
  <c r="AD588" i="3"/>
  <c r="AD596" i="3"/>
  <c r="AD604" i="3"/>
  <c r="AD612" i="3"/>
  <c r="AD620" i="3"/>
  <c r="AD628" i="3"/>
  <c r="AC629" i="3"/>
  <c r="AD636" i="3"/>
  <c r="AC637" i="3"/>
  <c r="AD644" i="3"/>
  <c r="AC645" i="3"/>
  <c r="AD652" i="3"/>
  <c r="AC653" i="3"/>
  <c r="AD660" i="3"/>
  <c r="AC661" i="3"/>
  <c r="B695" i="3"/>
  <c r="AB695" i="3" s="1"/>
  <c r="AD695" i="3"/>
  <c r="AC695" i="3"/>
  <c r="AD707" i="3"/>
  <c r="AD643" i="3"/>
  <c r="AD651" i="3"/>
  <c r="AD659" i="3"/>
  <c r="AD664" i="3"/>
  <c r="B664" i="3"/>
  <c r="AB664" i="3" s="1"/>
  <c r="AD668" i="3"/>
  <c r="B668" i="3"/>
  <c r="AB668" i="3" s="1"/>
  <c r="AD672" i="3"/>
  <c r="B672" i="3"/>
  <c r="AB672" i="3" s="1"/>
  <c r="B680" i="3"/>
  <c r="AB680" i="3" s="1"/>
  <c r="B683" i="3"/>
  <c r="AB683" i="3" s="1"/>
  <c r="AD699" i="3"/>
  <c r="AD602" i="3"/>
  <c r="AD610" i="3"/>
  <c r="AD618" i="3"/>
  <c r="AD626" i="3"/>
  <c r="AD634" i="3"/>
  <c r="AD642" i="3"/>
  <c r="AC643" i="3"/>
  <c r="AD650" i="3"/>
  <c r="AC651" i="3"/>
  <c r="AD658" i="3"/>
  <c r="AC659" i="3"/>
  <c r="AC664" i="3"/>
  <c r="AC668" i="3"/>
  <c r="AC672" i="3"/>
  <c r="B675" i="3"/>
  <c r="AB675" i="3" s="1"/>
  <c r="AC678" i="3"/>
  <c r="B681" i="3"/>
  <c r="AB681" i="3" s="1"/>
  <c r="AD681" i="3"/>
  <c r="AC681" i="3"/>
  <c r="AD625" i="3"/>
  <c r="AD633" i="3"/>
  <c r="AD641" i="3"/>
  <c r="AC642" i="3"/>
  <c r="AD649" i="3"/>
  <c r="AD657" i="3"/>
  <c r="AD663" i="3"/>
  <c r="B663" i="3"/>
  <c r="AB663" i="3" s="1"/>
  <c r="AD667" i="3"/>
  <c r="B667" i="3"/>
  <c r="AB667" i="3" s="1"/>
  <c r="AD671" i="3"/>
  <c r="B671" i="3"/>
  <c r="AB671" i="3" s="1"/>
  <c r="B684" i="3"/>
  <c r="AB684" i="3" s="1"/>
  <c r="B687" i="3"/>
  <c r="AB687" i="3" s="1"/>
  <c r="AD687" i="3"/>
  <c r="AC687" i="3"/>
  <c r="B696" i="3"/>
  <c r="AB696" i="3" s="1"/>
  <c r="AD696" i="3"/>
  <c r="AC696" i="3"/>
  <c r="B712" i="3"/>
  <c r="AB712" i="3" s="1"/>
  <c r="AD712" i="3"/>
  <c r="AC712" i="3"/>
  <c r="AD739" i="3"/>
  <c r="AD608" i="3"/>
  <c r="AD616" i="3"/>
  <c r="AD624" i="3"/>
  <c r="AC625" i="3"/>
  <c r="AD632" i="3"/>
  <c r="AC633" i="3"/>
  <c r="AD640" i="3"/>
  <c r="AC641" i="3"/>
  <c r="AD648" i="3"/>
  <c r="AC649" i="3"/>
  <c r="AD656" i="3"/>
  <c r="AC657" i="3"/>
  <c r="AC663" i="3"/>
  <c r="AC667" i="3"/>
  <c r="AC671" i="3"/>
  <c r="B685" i="3"/>
  <c r="AB685" i="3" s="1"/>
  <c r="AD685" i="3"/>
  <c r="AC685" i="3"/>
  <c r="AD691" i="3"/>
  <c r="B704" i="3"/>
  <c r="AB704" i="3" s="1"/>
  <c r="AD704" i="3"/>
  <c r="AC704" i="3"/>
  <c r="AD723" i="3"/>
  <c r="AD647" i="3"/>
  <c r="AD655" i="3"/>
  <c r="AD662" i="3"/>
  <c r="B662" i="3"/>
  <c r="AB662" i="3" s="1"/>
  <c r="AD666" i="3"/>
  <c r="B666" i="3"/>
  <c r="AB666" i="3" s="1"/>
  <c r="AD670" i="3"/>
  <c r="B670" i="3"/>
  <c r="AB670" i="3" s="1"/>
  <c r="AD674" i="3"/>
  <c r="B674" i="3"/>
  <c r="AB674" i="3" s="1"/>
  <c r="B676" i="3"/>
  <c r="AB676" i="3" s="1"/>
  <c r="AC682" i="3"/>
  <c r="B694" i="3"/>
  <c r="AB694" i="3" s="1"/>
  <c r="AC694" i="3"/>
  <c r="AD590" i="3"/>
  <c r="AD598" i="3"/>
  <c r="AD606" i="3"/>
  <c r="AD614" i="3"/>
  <c r="AD622" i="3"/>
  <c r="AD630" i="3"/>
  <c r="AD638" i="3"/>
  <c r="B643" i="3"/>
  <c r="AB643" i="3" s="1"/>
  <c r="AD646" i="3"/>
  <c r="AC647" i="3"/>
  <c r="B651" i="3"/>
  <c r="AB651" i="3" s="1"/>
  <c r="AD654" i="3"/>
  <c r="AC655" i="3"/>
  <c r="B659" i="3"/>
  <c r="AB659" i="3" s="1"/>
  <c r="AC662" i="3"/>
  <c r="AC666" i="3"/>
  <c r="AC670" i="3"/>
  <c r="AC674" i="3"/>
  <c r="B679" i="3"/>
  <c r="AB679" i="3" s="1"/>
  <c r="AD682" i="3"/>
  <c r="B688" i="3"/>
  <c r="AB688" i="3" s="1"/>
  <c r="AD688" i="3"/>
  <c r="AC688" i="3"/>
  <c r="AD694" i="3"/>
  <c r="B741" i="3"/>
  <c r="AB741" i="3" s="1"/>
  <c r="B752" i="3"/>
  <c r="AB752" i="3" s="1"/>
  <c r="AD629" i="3"/>
  <c r="AD637" i="3"/>
  <c r="AD645" i="3"/>
  <c r="AD653" i="3"/>
  <c r="AD661" i="3"/>
  <c r="AD665" i="3"/>
  <c r="B665" i="3"/>
  <c r="AB665" i="3" s="1"/>
  <c r="AD669" i="3"/>
  <c r="B669" i="3"/>
  <c r="AB669" i="3" s="1"/>
  <c r="AD673" i="3"/>
  <c r="B673" i="3"/>
  <c r="AB673" i="3" s="1"/>
  <c r="AD677" i="3"/>
  <c r="AC677" i="3"/>
  <c r="AC686" i="3"/>
  <c r="AD715" i="3"/>
  <c r="AD731" i="3"/>
  <c r="B720" i="3"/>
  <c r="AB720" i="3" s="1"/>
  <c r="B728" i="3"/>
  <c r="AB728" i="3" s="1"/>
  <c r="B736" i="3"/>
  <c r="AB736" i="3" s="1"/>
  <c r="AD744" i="3"/>
  <c r="AD751" i="3"/>
  <c r="AD753" i="3"/>
  <c r="B753" i="3"/>
  <c r="AB753" i="3" s="1"/>
  <c r="AC791" i="3"/>
  <c r="AC799" i="3"/>
  <c r="B693" i="3"/>
  <c r="AB693" i="3" s="1"/>
  <c r="B701" i="3"/>
  <c r="AB701" i="3" s="1"/>
  <c r="B709" i="3"/>
  <c r="AB709" i="3" s="1"/>
  <c r="B717" i="3"/>
  <c r="AB717" i="3" s="1"/>
  <c r="AC720" i="3"/>
  <c r="B725" i="3"/>
  <c r="AB725" i="3" s="1"/>
  <c r="AC728" i="3"/>
  <c r="B733" i="3"/>
  <c r="AB733" i="3" s="1"/>
  <c r="AC736" i="3"/>
  <c r="AC744" i="3"/>
  <c r="AC753" i="3"/>
  <c r="B760" i="3"/>
  <c r="AB760" i="3" s="1"/>
  <c r="B690" i="3"/>
  <c r="AB690" i="3" s="1"/>
  <c r="B698" i="3"/>
  <c r="AB698" i="3" s="1"/>
  <c r="B706" i="3"/>
  <c r="AB706" i="3" s="1"/>
  <c r="B714" i="3"/>
  <c r="AB714" i="3" s="1"/>
  <c r="AD720" i="3"/>
  <c r="B722" i="3"/>
  <c r="AB722" i="3" s="1"/>
  <c r="AD728" i="3"/>
  <c r="B730" i="3"/>
  <c r="AB730" i="3" s="1"/>
  <c r="B738" i="3"/>
  <c r="AB738" i="3" s="1"/>
  <c r="AD748" i="3"/>
  <c r="AD766" i="3"/>
  <c r="AC766" i="3"/>
  <c r="B766" i="3"/>
  <c r="AB766" i="3" s="1"/>
  <c r="B789" i="3"/>
  <c r="AB789" i="3" s="1"/>
  <c r="B797" i="3"/>
  <c r="AB797" i="3" s="1"/>
  <c r="B703" i="3"/>
  <c r="AB703" i="3" s="1"/>
  <c r="AC706" i="3"/>
  <c r="B711" i="3"/>
  <c r="AB711" i="3" s="1"/>
  <c r="AC714" i="3"/>
  <c r="B719" i="3"/>
  <c r="AB719" i="3" s="1"/>
  <c r="AC722" i="3"/>
  <c r="B727" i="3"/>
  <c r="AB727" i="3" s="1"/>
  <c r="AC730" i="3"/>
  <c r="B735" i="3"/>
  <c r="AB735" i="3" s="1"/>
  <c r="AC738" i="3"/>
  <c r="AC741" i="3"/>
  <c r="AC748" i="3"/>
  <c r="B761" i="3"/>
  <c r="AB761" i="3" s="1"/>
  <c r="AD676" i="3"/>
  <c r="AD680" i="3"/>
  <c r="AD684" i="3"/>
  <c r="AD690" i="3"/>
  <c r="B692" i="3"/>
  <c r="AB692" i="3" s="1"/>
  <c r="AD698" i="3"/>
  <c r="B700" i="3"/>
  <c r="AB700" i="3" s="1"/>
  <c r="AD706" i="3"/>
  <c r="B708" i="3"/>
  <c r="AB708" i="3" s="1"/>
  <c r="AC711" i="3"/>
  <c r="AD714" i="3"/>
  <c r="B716" i="3"/>
  <c r="AB716" i="3" s="1"/>
  <c r="AC719" i="3"/>
  <c r="AD722" i="3"/>
  <c r="B724" i="3"/>
  <c r="AB724" i="3" s="1"/>
  <c r="AC727" i="3"/>
  <c r="AD730" i="3"/>
  <c r="B732" i="3"/>
  <c r="AB732" i="3" s="1"/>
  <c r="AC735" i="3"/>
  <c r="AD738" i="3"/>
  <c r="B740" i="3"/>
  <c r="AB740" i="3" s="1"/>
  <c r="AD741" i="3"/>
  <c r="AD743" i="3"/>
  <c r="AD752" i="3"/>
  <c r="AC795" i="3"/>
  <c r="B689" i="3"/>
  <c r="AB689" i="3" s="1"/>
  <c r="B697" i="3"/>
  <c r="AB697" i="3" s="1"/>
  <c r="AC700" i="3"/>
  <c r="AD703" i="3"/>
  <c r="B705" i="3"/>
  <c r="AB705" i="3" s="1"/>
  <c r="AD711" i="3"/>
  <c r="B713" i="3"/>
  <c r="AB713" i="3" s="1"/>
  <c r="AD719" i="3"/>
  <c r="B721" i="3"/>
  <c r="AB721" i="3" s="1"/>
  <c r="AD727" i="3"/>
  <c r="B729" i="3"/>
  <c r="AB729" i="3" s="1"/>
  <c r="AD735" i="3"/>
  <c r="B737" i="3"/>
  <c r="AB737" i="3" s="1"/>
  <c r="B744" i="3"/>
  <c r="AB744" i="3" s="1"/>
  <c r="AC752" i="3"/>
  <c r="AD754" i="3"/>
  <c r="B754" i="3"/>
  <c r="AB754" i="3" s="1"/>
  <c r="AC754" i="3"/>
  <c r="B702" i="3"/>
  <c r="AB702" i="3" s="1"/>
  <c r="B710" i="3"/>
  <c r="AB710" i="3" s="1"/>
  <c r="B718" i="3"/>
  <c r="AB718" i="3" s="1"/>
  <c r="B726" i="3"/>
  <c r="AB726" i="3" s="1"/>
  <c r="B734" i="3"/>
  <c r="AB734" i="3" s="1"/>
  <c r="AD747" i="3"/>
  <c r="B769" i="3"/>
  <c r="AB769" i="3" s="1"/>
  <c r="B793" i="3"/>
  <c r="AB793" i="3" s="1"/>
  <c r="B801" i="3"/>
  <c r="AB801" i="3" s="1"/>
  <c r="AD689" i="3"/>
  <c r="B691" i="3"/>
  <c r="AB691" i="3" s="1"/>
  <c r="B699" i="3"/>
  <c r="AB699" i="3" s="1"/>
  <c r="AC702" i="3"/>
  <c r="B707" i="3"/>
  <c r="AB707" i="3" s="1"/>
  <c r="AC710" i="3"/>
  <c r="B715" i="3"/>
  <c r="AB715" i="3" s="1"/>
  <c r="AC718" i="3"/>
  <c r="AD721" i="3"/>
  <c r="B723" i="3"/>
  <c r="AB723" i="3" s="1"/>
  <c r="AC726" i="3"/>
  <c r="AD729" i="3"/>
  <c r="B731" i="3"/>
  <c r="AB731" i="3" s="1"/>
  <c r="AC734" i="3"/>
  <c r="AD737" i="3"/>
  <c r="B739" i="3"/>
  <c r="AB739" i="3" s="1"/>
  <c r="B748" i="3"/>
  <c r="AB748" i="3" s="1"/>
  <c r="AD770" i="3"/>
  <c r="B770" i="3"/>
  <c r="AB770" i="3" s="1"/>
  <c r="AC770" i="3"/>
  <c r="AD767" i="3"/>
  <c r="AD771" i="3"/>
  <c r="AD811" i="3"/>
  <c r="AC811" i="3"/>
  <c r="B811" i="3"/>
  <c r="AB811" i="3" s="1"/>
  <c r="AD758" i="3"/>
  <c r="AC758" i="3"/>
  <c r="AD762" i="3"/>
  <c r="B762" i="3"/>
  <c r="AB762" i="3" s="1"/>
  <c r="AC767" i="3"/>
  <c r="AC771" i="3"/>
  <c r="AD773" i="3"/>
  <c r="AD777" i="3"/>
  <c r="AD781" i="3"/>
  <c r="AD785" i="3"/>
  <c r="B815" i="3"/>
  <c r="AB815" i="3" s="1"/>
  <c r="AD761" i="3"/>
  <c r="AD789" i="3"/>
  <c r="AD793" i="3"/>
  <c r="AD797" i="3"/>
  <c r="AD801" i="3"/>
  <c r="AD760" i="3"/>
  <c r="AC761" i="3"/>
  <c r="AD769" i="3"/>
  <c r="AC789" i="3"/>
  <c r="AC793" i="3"/>
  <c r="AD756" i="3"/>
  <c r="AC760" i="3"/>
  <c r="B767" i="3"/>
  <c r="AB767" i="3" s="1"/>
  <c r="AD768" i="3"/>
  <c r="AC769" i="3"/>
  <c r="B771" i="3"/>
  <c r="AB771" i="3" s="1"/>
  <c r="AD774" i="3"/>
  <c r="B774" i="3"/>
  <c r="AB774" i="3" s="1"/>
  <c r="AD778" i="3"/>
  <c r="B778" i="3"/>
  <c r="AB778" i="3" s="1"/>
  <c r="AD782" i="3"/>
  <c r="B782" i="3"/>
  <c r="AB782" i="3" s="1"/>
  <c r="AD755" i="3"/>
  <c r="AC756" i="3"/>
  <c r="B758" i="3"/>
  <c r="AB758" i="3" s="1"/>
  <c r="AD764" i="3"/>
  <c r="AC768" i="3"/>
  <c r="B773" i="3"/>
  <c r="AB773" i="3" s="1"/>
  <c r="AC774" i="3"/>
  <c r="B777" i="3"/>
  <c r="AB777" i="3" s="1"/>
  <c r="AC778" i="3"/>
  <c r="B781" i="3"/>
  <c r="AB781" i="3" s="1"/>
  <c r="AC782" i="3"/>
  <c r="B785" i="3"/>
  <c r="AB785" i="3" s="1"/>
  <c r="AD759" i="3"/>
  <c r="AD763" i="3"/>
  <c r="AC764" i="3"/>
  <c r="AD791" i="3"/>
  <c r="AD795" i="3"/>
  <c r="AD799" i="3"/>
  <c r="AD803" i="3"/>
  <c r="AD827" i="3"/>
  <c r="AD833" i="3"/>
  <c r="AD786" i="3"/>
  <c r="AD809" i="3"/>
  <c r="B809" i="3"/>
  <c r="AB809" i="3" s="1"/>
  <c r="AD817" i="3"/>
  <c r="B817" i="3"/>
  <c r="AB817" i="3" s="1"/>
  <c r="AD821" i="3"/>
  <c r="B821" i="3"/>
  <c r="AB821" i="3" s="1"/>
  <c r="AD829" i="3"/>
  <c r="B829" i="3"/>
  <c r="AB829" i="3" s="1"/>
  <c r="AD805" i="3"/>
  <c r="AD807" i="3"/>
  <c r="AC809" i="3"/>
  <c r="AC817" i="3"/>
  <c r="AC821" i="3"/>
  <c r="AC829" i="3"/>
  <c r="AD831" i="3"/>
  <c r="AD815" i="3"/>
  <c r="AC815" i="3"/>
  <c r="AD823" i="3"/>
  <c r="AD772" i="3"/>
  <c r="AD776" i="3"/>
  <c r="AD780" i="3"/>
  <c r="AD784" i="3"/>
  <c r="AD788" i="3"/>
  <c r="AD835" i="3"/>
  <c r="AD757" i="3"/>
  <c r="AD765" i="3"/>
  <c r="AC772" i="3"/>
  <c r="AC776" i="3"/>
  <c r="AC780" i="3"/>
  <c r="AC784" i="3"/>
  <c r="B786" i="3"/>
  <c r="AB786" i="3" s="1"/>
  <c r="AC788" i="3"/>
  <c r="AD813" i="3"/>
  <c r="B813" i="3"/>
  <c r="AB813" i="3" s="1"/>
  <c r="AD819" i="3"/>
  <c r="AC819" i="3"/>
  <c r="AD825" i="3"/>
  <c r="B825" i="3"/>
  <c r="AB825" i="3" s="1"/>
  <c r="AD775" i="3"/>
  <c r="AD779" i="3"/>
  <c r="AD783" i="3"/>
  <c r="AD787" i="3"/>
  <c r="AC813" i="3"/>
  <c r="AC825" i="3"/>
  <c r="AC823" i="3"/>
  <c r="B833" i="3"/>
  <c r="AB833" i="3" s="1"/>
  <c r="D67" i="4" l="1"/>
  <c r="B67" i="4"/>
  <c r="C67" i="4"/>
  <c r="F44" i="2"/>
  <c r="F45" i="2"/>
  <c r="L2" i="2"/>
  <c r="F43" i="2"/>
  <c r="F53" i="2"/>
  <c r="F58" i="2" s="1"/>
  <c r="J2" i="2"/>
  <c r="C53" i="2"/>
  <c r="C56" i="2" s="1"/>
  <c r="D53" i="2"/>
  <c r="D59" i="2" s="1"/>
  <c r="E53" i="2"/>
  <c r="E60" i="2" s="1"/>
  <c r="B53" i="2"/>
  <c r="B60" i="2" s="1"/>
  <c r="AU853" i="3"/>
  <c r="D853" i="3"/>
  <c r="W853" i="3" s="1"/>
  <c r="B38" i="2"/>
  <c r="C36" i="2" s="1"/>
  <c r="AV418" i="3"/>
  <c r="AV290" i="3"/>
  <c r="AV762" i="3"/>
  <c r="AV337" i="3"/>
  <c r="AV280" i="3"/>
  <c r="AV408" i="3"/>
  <c r="AV473" i="3"/>
  <c r="AV314" i="3"/>
  <c r="AV410" i="3"/>
  <c r="AV442" i="3"/>
  <c r="AV474" i="3"/>
  <c r="AV602" i="3"/>
  <c r="AV634" i="3"/>
  <c r="AV666" i="3"/>
  <c r="AV698" i="3"/>
  <c r="AV730" i="3"/>
  <c r="AV794" i="3"/>
  <c r="AV729" i="3"/>
  <c r="AV793" i="3"/>
  <c r="AV186" i="3"/>
  <c r="AV378" i="3"/>
  <c r="AV506" i="3"/>
  <c r="AV538" i="3"/>
  <c r="AV570" i="3"/>
  <c r="AV826" i="3"/>
  <c r="AV17" i="3"/>
  <c r="AV209" i="3"/>
  <c r="AV273" i="3"/>
  <c r="AV497" i="3"/>
  <c r="AV561" i="3"/>
  <c r="AV178" i="3"/>
  <c r="AV774" i="3"/>
  <c r="AV352" i="3"/>
  <c r="AV728" i="3"/>
  <c r="AV792" i="3"/>
  <c r="AV249" i="3"/>
  <c r="AV313" i="3"/>
  <c r="AV377" i="3"/>
  <c r="AV409" i="3"/>
  <c r="AV742" i="3"/>
  <c r="AV81" i="3"/>
  <c r="AV401" i="3"/>
  <c r="AV625" i="3"/>
  <c r="AV262" i="3"/>
  <c r="AV526" i="3"/>
  <c r="AV590" i="3"/>
  <c r="AV654" i="3"/>
  <c r="AV718" i="3"/>
  <c r="AV806" i="3"/>
  <c r="AV759" i="3"/>
  <c r="AV47" i="3"/>
  <c r="AV152" i="3"/>
  <c r="AV58" i="3"/>
  <c r="AV250" i="3"/>
  <c r="AV282" i="3"/>
  <c r="AV582" i="3"/>
  <c r="AV710" i="3"/>
  <c r="AV655" i="3"/>
  <c r="AV783" i="3"/>
  <c r="AV239" i="3"/>
  <c r="AV287" i="3"/>
  <c r="AV351" i="3"/>
  <c r="AV326" i="3"/>
  <c r="AV522" i="3"/>
  <c r="AV714" i="3"/>
  <c r="AV390" i="3"/>
  <c r="AV386" i="3"/>
  <c r="AV711" i="3"/>
  <c r="AV457" i="3"/>
  <c r="AV74" i="3"/>
  <c r="AV330" i="3"/>
  <c r="AV394" i="3"/>
  <c r="AV586" i="3"/>
  <c r="AV650" i="3"/>
  <c r="AV778" i="3"/>
  <c r="AV322" i="3"/>
  <c r="AV354" i="3"/>
  <c r="AV542" i="3"/>
  <c r="AV606" i="3"/>
  <c r="AV670" i="3"/>
  <c r="AV458" i="3"/>
  <c r="AV72" i="3"/>
  <c r="AV266" i="3"/>
  <c r="AV782" i="3"/>
  <c r="AV462" i="3"/>
  <c r="AV646" i="3"/>
  <c r="AV678" i="3"/>
  <c r="AV798" i="3"/>
  <c r="AV734" i="3"/>
  <c r="AV263" i="3"/>
  <c r="AV649" i="3"/>
  <c r="AV455" i="3"/>
  <c r="AV258" i="3"/>
  <c r="AV450" i="3"/>
  <c r="AV518" i="3"/>
  <c r="AV461" i="3"/>
  <c r="AV286" i="3"/>
  <c r="AV318" i="3"/>
  <c r="AV350" i="3"/>
  <c r="AV414" i="3"/>
  <c r="AV446" i="3"/>
  <c r="AV478" i="3"/>
  <c r="AV449" i="3"/>
  <c r="AV269" i="3"/>
  <c r="AV333" i="3"/>
  <c r="AV397" i="3"/>
  <c r="AV194" i="3"/>
  <c r="AV10" i="3"/>
  <c r="AV406" i="3"/>
  <c r="AV393" i="3"/>
  <c r="AV184" i="3"/>
  <c r="AV80" i="3"/>
  <c r="AV439" i="3"/>
  <c r="AV34" i="3"/>
  <c r="AV98" i="3"/>
  <c r="AV162" i="3"/>
  <c r="AV119" i="3"/>
  <c r="AV73" i="3"/>
  <c r="AV137" i="3"/>
  <c r="AV265" i="3"/>
  <c r="AV329" i="3"/>
  <c r="AV242" i="3"/>
  <c r="AV306" i="3"/>
  <c r="AV370" i="3"/>
  <c r="AV434" i="3"/>
  <c r="AV126" i="3"/>
  <c r="AV183" i="3"/>
  <c r="AV66" i="3"/>
  <c r="AV130" i="3"/>
  <c r="AV311" i="3"/>
  <c r="AV214" i="3"/>
  <c r="AV278" i="3"/>
  <c r="AV342" i="3"/>
  <c r="AV18" i="3"/>
  <c r="AV82" i="3"/>
  <c r="AV146" i="3"/>
  <c r="AV210" i="3"/>
  <c r="AV274" i="3"/>
  <c r="AV338" i="3"/>
  <c r="AV402" i="3"/>
  <c r="AV79" i="3"/>
  <c r="AV154" i="3"/>
  <c r="AV222" i="3"/>
  <c r="AV90" i="3"/>
  <c r="AV218" i="3"/>
  <c r="AV62" i="3"/>
  <c r="AV86" i="3"/>
  <c r="AV26" i="3"/>
  <c r="AV118" i="3"/>
  <c r="AV127" i="3"/>
  <c r="AV145" i="3"/>
  <c r="AV138" i="3"/>
  <c r="AV202" i="3"/>
  <c r="AV616" i="3"/>
  <c r="AV191" i="3"/>
  <c r="AV121" i="3"/>
  <c r="AV185" i="3"/>
  <c r="AV54" i="3"/>
  <c r="AV647" i="3"/>
  <c r="AV533" i="3"/>
  <c r="AV597" i="3"/>
  <c r="AV661" i="3"/>
  <c r="AV725" i="3"/>
  <c r="AV789" i="3"/>
  <c r="AV727" i="3"/>
  <c r="AV713" i="3"/>
  <c r="AV537" i="3"/>
  <c r="AV601" i="3"/>
  <c r="AV496" i="3"/>
  <c r="AV519" i="3"/>
  <c r="AV190" i="3"/>
  <c r="AV226" i="3"/>
  <c r="AV671" i="3"/>
  <c r="AV482" i="3"/>
  <c r="AV546" i="3"/>
  <c r="AV610" i="3"/>
  <c r="AV674" i="3"/>
  <c r="AV738" i="3"/>
  <c r="AV802" i="3"/>
  <c r="AV688" i="3"/>
  <c r="AV752" i="3"/>
  <c r="AV5" i="3"/>
  <c r="AV69" i="3"/>
  <c r="AV133" i="3"/>
  <c r="AV197" i="3"/>
  <c r="AV8" i="3"/>
  <c r="AV254" i="3"/>
  <c r="AV382" i="3"/>
  <c r="AV122" i="3"/>
  <c r="AV466" i="3"/>
  <c r="AV530" i="3"/>
  <c r="AV594" i="3"/>
  <c r="AV658" i="3"/>
  <c r="AV722" i="3"/>
  <c r="AV786" i="3"/>
  <c r="AV199" i="3"/>
  <c r="AV50" i="3"/>
  <c r="AV114" i="3"/>
  <c r="AV55" i="3"/>
  <c r="AV9" i="3"/>
  <c r="AV201" i="3"/>
  <c r="AV182" i="3"/>
  <c r="AV495" i="3"/>
  <c r="AV623" i="3"/>
  <c r="AV512" i="3"/>
  <c r="AV640" i="3"/>
  <c r="AV641" i="3"/>
  <c r="AV833" i="3"/>
  <c r="AV31" i="3"/>
  <c r="AV57" i="3"/>
  <c r="AV511" i="3"/>
  <c r="AV528" i="3"/>
  <c r="AV16" i="3"/>
  <c r="AV487" i="3"/>
  <c r="AV743" i="3"/>
  <c r="AV807" i="3"/>
  <c r="AV568" i="3"/>
  <c r="AV498" i="3"/>
  <c r="AV562" i="3"/>
  <c r="AV626" i="3"/>
  <c r="AV690" i="3"/>
  <c r="AV754" i="3"/>
  <c r="AV818" i="3"/>
  <c r="AV456" i="3"/>
  <c r="AV584" i="3"/>
  <c r="AV514" i="3"/>
  <c r="AV578" i="3"/>
  <c r="AV706" i="3"/>
  <c r="AV770" i="3"/>
  <c r="AV834" i="3"/>
  <c r="AV150" i="3"/>
  <c r="AV22" i="3"/>
  <c r="AV336" i="3"/>
  <c r="AV375" i="3"/>
  <c r="AV489" i="3"/>
  <c r="AV553" i="3"/>
  <c r="AV617" i="3"/>
  <c r="AV809" i="3"/>
  <c r="AV383" i="3"/>
  <c r="AV760" i="3"/>
  <c r="AV761" i="3"/>
  <c r="AV255" i="3"/>
  <c r="AV472" i="3"/>
  <c r="AV536" i="3"/>
  <c r="AV721" i="3"/>
  <c r="AV736" i="3"/>
  <c r="AV399" i="3"/>
  <c r="AV463" i="3"/>
  <c r="AV591" i="3"/>
  <c r="AV296" i="3"/>
  <c r="AV424" i="3"/>
  <c r="AV808" i="3"/>
  <c r="AV60" i="3"/>
  <c r="AV124" i="3"/>
  <c r="AV188" i="3"/>
  <c r="AV252" i="3"/>
  <c r="AV316" i="3"/>
  <c r="AV380" i="3"/>
  <c r="AV444" i="3"/>
  <c r="AV508" i="3"/>
  <c r="AV572" i="3"/>
  <c r="AV636" i="3"/>
  <c r="AV700" i="3"/>
  <c r="AV764" i="3"/>
  <c r="AV828" i="3"/>
  <c r="AV799" i="3"/>
  <c r="AV417" i="3"/>
  <c r="AV423" i="3"/>
  <c r="AV679" i="3"/>
  <c r="AV168" i="3"/>
  <c r="AV680" i="3"/>
  <c r="AV745" i="3"/>
  <c r="AV35" i="3"/>
  <c r="AV99" i="3"/>
  <c r="AV163" i="3"/>
  <c r="AV227" i="3"/>
  <c r="AV291" i="3"/>
  <c r="AV355" i="3"/>
  <c r="AV419" i="3"/>
  <c r="AV483" i="3"/>
  <c r="AV547" i="3"/>
  <c r="AV611" i="3"/>
  <c r="AV675" i="3"/>
  <c r="AV739" i="3"/>
  <c r="AV803" i="3"/>
  <c r="AV21" i="3"/>
  <c r="AV85" i="3"/>
  <c r="AV149" i="3"/>
  <c r="AV213" i="3"/>
  <c r="AV285" i="3"/>
  <c r="AV349" i="3"/>
  <c r="AV413" i="3"/>
  <c r="AV485" i="3"/>
  <c r="AV549" i="3"/>
  <c r="AV613" i="3"/>
  <c r="AV677" i="3"/>
  <c r="AV741" i="3"/>
  <c r="AV805" i="3"/>
  <c r="AV560" i="3"/>
  <c r="AV823" i="3"/>
  <c r="AV440" i="3"/>
  <c r="AV824" i="3"/>
  <c r="AV505" i="3"/>
  <c r="AV569" i="3"/>
  <c r="AV633" i="3"/>
  <c r="AV642" i="3"/>
  <c r="AV63" i="3"/>
  <c r="AV200" i="3"/>
  <c r="AV392" i="3"/>
  <c r="AV648" i="3"/>
  <c r="AV777" i="3"/>
  <c r="AV135" i="3"/>
  <c r="AV271" i="3"/>
  <c r="AV527" i="3"/>
  <c r="AV4" i="3"/>
  <c r="AV68" i="3"/>
  <c r="AV132" i="3"/>
  <c r="AV196" i="3"/>
  <c r="AV260" i="3"/>
  <c r="AV324" i="3"/>
  <c r="AV388" i="3"/>
  <c r="AV452" i="3"/>
  <c r="AV516" i="3"/>
  <c r="AV580" i="3"/>
  <c r="AV644" i="3"/>
  <c r="AV708" i="3"/>
  <c r="AV772" i="3"/>
  <c r="AV836" i="3"/>
  <c r="AV343" i="3"/>
  <c r="AV535" i="3"/>
  <c r="AV663" i="3"/>
  <c r="AV24" i="3"/>
  <c r="AV88" i="3"/>
  <c r="AV600" i="3"/>
  <c r="AV25" i="3"/>
  <c r="AV89" i="3"/>
  <c r="AV153" i="3"/>
  <c r="AV217" i="3"/>
  <c r="AV281" i="3"/>
  <c r="AV345" i="3"/>
  <c r="AV15" i="3"/>
  <c r="AV599" i="3"/>
  <c r="AV664" i="3"/>
  <c r="AV665" i="3"/>
  <c r="AV231" i="3"/>
  <c r="AV360" i="3"/>
  <c r="AV41" i="3"/>
  <c r="AV105" i="3"/>
  <c r="AV169" i="3"/>
  <c r="AV233" i="3"/>
  <c r="AV297" i="3"/>
  <c r="AV361" i="3"/>
  <c r="AV103" i="3"/>
  <c r="AV167" i="3"/>
  <c r="AV697" i="3"/>
  <c r="AV53" i="3"/>
  <c r="AV117" i="3"/>
  <c r="AV181" i="3"/>
  <c r="AV253" i="3"/>
  <c r="AV317" i="3"/>
  <c r="AV381" i="3"/>
  <c r="AV445" i="3"/>
  <c r="AV517" i="3"/>
  <c r="AV581" i="3"/>
  <c r="AV645" i="3"/>
  <c r="AV709" i="3"/>
  <c r="AV773" i="3"/>
  <c r="AV111" i="3"/>
  <c r="AV175" i="3"/>
  <c r="AV120" i="3"/>
  <c r="AV248" i="3"/>
  <c r="AV312" i="3"/>
  <c r="AV504" i="3"/>
  <c r="AV825" i="3"/>
  <c r="AV344" i="3"/>
  <c r="AV391" i="3"/>
  <c r="AV583" i="3"/>
  <c r="AV56" i="3"/>
  <c r="AV575" i="3"/>
  <c r="AV767" i="3"/>
  <c r="AV128" i="3"/>
  <c r="AV775" i="3"/>
  <c r="AV520" i="3"/>
  <c r="AV776" i="3"/>
  <c r="AV346" i="3"/>
  <c r="AV550" i="3"/>
  <c r="AV614" i="3"/>
  <c r="AV486" i="3"/>
  <c r="AV335" i="3"/>
  <c r="AV656" i="3"/>
  <c r="AV529" i="3"/>
  <c r="AV593" i="3"/>
  <c r="AV23" i="3"/>
  <c r="AV415" i="3"/>
  <c r="AV479" i="3"/>
  <c r="AV480" i="3"/>
  <c r="AV95" i="3"/>
  <c r="AV159" i="3"/>
  <c r="AV615" i="3"/>
  <c r="AV681" i="3"/>
  <c r="AV28" i="3"/>
  <c r="AV92" i="3"/>
  <c r="AV156" i="3"/>
  <c r="AV220" i="3"/>
  <c r="AV284" i="3"/>
  <c r="AV348" i="3"/>
  <c r="AV412" i="3"/>
  <c r="AV476" i="3"/>
  <c r="AV540" i="3"/>
  <c r="AV604" i="3"/>
  <c r="AV668" i="3"/>
  <c r="AV732" i="3"/>
  <c r="AV796" i="3"/>
  <c r="AV49" i="3"/>
  <c r="AV113" i="3"/>
  <c r="AV177" i="3"/>
  <c r="AV241" i="3"/>
  <c r="AV305" i="3"/>
  <c r="AV369" i="3"/>
  <c r="AV689" i="3"/>
  <c r="AV247" i="3"/>
  <c r="AV376" i="3"/>
  <c r="AV441" i="3"/>
  <c r="AV208" i="3"/>
  <c r="AV785" i="3"/>
  <c r="AV367" i="3"/>
  <c r="AV432" i="3"/>
  <c r="AV631" i="3"/>
  <c r="AV300" i="3"/>
  <c r="AV364" i="3"/>
  <c r="AV428" i="3"/>
  <c r="AV492" i="3"/>
  <c r="AV556" i="3"/>
  <c r="AV620" i="3"/>
  <c r="AV684" i="3"/>
  <c r="AV748" i="3"/>
  <c r="AV812" i="3"/>
  <c r="AV704" i="3"/>
  <c r="AV45" i="3"/>
  <c r="AV109" i="3"/>
  <c r="AV173" i="3"/>
  <c r="AV245" i="3"/>
  <c r="AV309" i="3"/>
  <c r="AV373" i="3"/>
  <c r="AV437" i="3"/>
  <c r="AV509" i="3"/>
  <c r="AV573" i="3"/>
  <c r="AV637" i="3"/>
  <c r="AV701" i="3"/>
  <c r="AV765" i="3"/>
  <c r="AV829" i="3"/>
  <c r="AV327" i="3"/>
  <c r="AV264" i="3"/>
  <c r="AV328" i="3"/>
  <c r="AV521" i="3"/>
  <c r="AV585" i="3"/>
  <c r="AV3" i="3"/>
  <c r="AV67" i="3"/>
  <c r="AV131" i="3"/>
  <c r="AV195" i="3"/>
  <c r="AV259" i="3"/>
  <c r="AV323" i="3"/>
  <c r="AV387" i="3"/>
  <c r="AV451" i="3"/>
  <c r="AV515" i="3"/>
  <c r="AV579" i="3"/>
  <c r="AV643" i="3"/>
  <c r="AV707" i="3"/>
  <c r="AV771" i="3"/>
  <c r="AV835" i="3"/>
  <c r="AV624" i="3"/>
  <c r="AV433" i="3"/>
  <c r="AV503" i="3"/>
  <c r="AV696" i="3"/>
  <c r="AV51" i="3"/>
  <c r="AV115" i="3"/>
  <c r="AV179" i="3"/>
  <c r="AV243" i="3"/>
  <c r="AV307" i="3"/>
  <c r="AV371" i="3"/>
  <c r="AV435" i="3"/>
  <c r="AV499" i="3"/>
  <c r="AV563" i="3"/>
  <c r="AV627" i="3"/>
  <c r="AV691" i="3"/>
  <c r="AV755" i="3"/>
  <c r="AV819" i="3"/>
  <c r="AV44" i="3"/>
  <c r="AV108" i="3"/>
  <c r="AV172" i="3"/>
  <c r="AV236" i="3"/>
  <c r="AV37" i="3"/>
  <c r="AV101" i="3"/>
  <c r="AV165" i="3"/>
  <c r="AV229" i="3"/>
  <c r="AV301" i="3"/>
  <c r="AV365" i="3"/>
  <c r="AV429" i="3"/>
  <c r="AV501" i="3"/>
  <c r="AV565" i="3"/>
  <c r="AV629" i="3"/>
  <c r="AV693" i="3"/>
  <c r="AV757" i="3"/>
  <c r="AV821" i="3"/>
  <c r="AV447" i="3"/>
  <c r="AV448" i="3"/>
  <c r="AV769" i="3"/>
  <c r="AV567" i="3"/>
  <c r="AV695" i="3"/>
  <c r="AV632" i="3"/>
  <c r="AV59" i="3"/>
  <c r="AV123" i="3"/>
  <c r="AV187" i="3"/>
  <c r="AV251" i="3"/>
  <c r="AV315" i="3"/>
  <c r="AV379" i="3"/>
  <c r="AV443" i="3"/>
  <c r="AV507" i="3"/>
  <c r="AV571" i="3"/>
  <c r="AV635" i="3"/>
  <c r="AV699" i="3"/>
  <c r="AV763" i="3"/>
  <c r="AV827" i="3"/>
  <c r="AV39" i="3"/>
  <c r="AV303" i="3"/>
  <c r="AV431" i="3"/>
  <c r="AV559" i="3"/>
  <c r="AV687" i="3"/>
  <c r="AV751" i="3"/>
  <c r="AV815" i="3"/>
  <c r="AV48" i="3"/>
  <c r="AV112" i="3"/>
  <c r="AV176" i="3"/>
  <c r="AV240" i="3"/>
  <c r="AV304" i="3"/>
  <c r="AV368" i="3"/>
  <c r="AV816" i="3"/>
  <c r="AV753" i="3"/>
  <c r="AV817" i="3"/>
  <c r="AV43" i="3"/>
  <c r="AV107" i="3"/>
  <c r="AV171" i="3"/>
  <c r="AV235" i="3"/>
  <c r="AV299" i="3"/>
  <c r="AV363" i="3"/>
  <c r="AV427" i="3"/>
  <c r="AV491" i="3"/>
  <c r="AV555" i="3"/>
  <c r="AV619" i="3"/>
  <c r="AV683" i="3"/>
  <c r="AV747" i="3"/>
  <c r="AV811" i="3"/>
  <c r="AV36" i="3"/>
  <c r="AV100" i="3"/>
  <c r="AV164" i="3"/>
  <c r="AV228" i="3"/>
  <c r="AV292" i="3"/>
  <c r="AV356" i="3"/>
  <c r="AV420" i="3"/>
  <c r="AV484" i="3"/>
  <c r="AV548" i="3"/>
  <c r="AV612" i="3"/>
  <c r="AV676" i="3"/>
  <c r="AV740" i="3"/>
  <c r="AV804" i="3"/>
  <c r="AV29" i="3"/>
  <c r="AV93" i="3"/>
  <c r="AV157" i="3"/>
  <c r="AV221" i="3"/>
  <c r="AV293" i="3"/>
  <c r="AV357" i="3"/>
  <c r="AV421" i="3"/>
  <c r="AV493" i="3"/>
  <c r="AV557" i="3"/>
  <c r="AV621" i="3"/>
  <c r="AV685" i="3"/>
  <c r="AV749" i="3"/>
  <c r="AV813" i="3"/>
  <c r="AV46" i="3"/>
  <c r="AV110" i="3"/>
  <c r="AV174" i="3"/>
  <c r="AV246" i="3"/>
  <c r="AV310" i="3"/>
  <c r="AV374" i="3"/>
  <c r="AV438" i="3"/>
  <c r="AV510" i="3"/>
  <c r="AV574" i="3"/>
  <c r="AV638" i="3"/>
  <c r="AV702" i="3"/>
  <c r="AV766" i="3"/>
  <c r="AV830" i="3"/>
  <c r="AV319" i="3"/>
  <c r="AV639" i="3"/>
  <c r="AV703" i="3"/>
  <c r="AV831" i="3"/>
  <c r="AV64" i="3"/>
  <c r="AV192" i="3"/>
  <c r="AV256" i="3"/>
  <c r="AV320" i="3"/>
  <c r="AV384" i="3"/>
  <c r="AV576" i="3"/>
  <c r="AV768" i="3"/>
  <c r="AV832" i="3"/>
  <c r="AV65" i="3"/>
  <c r="AV129" i="3"/>
  <c r="AV193" i="3"/>
  <c r="AV257" i="3"/>
  <c r="AV321" i="3"/>
  <c r="AV385" i="3"/>
  <c r="AV513" i="3"/>
  <c r="AV577" i="3"/>
  <c r="AV705" i="3"/>
  <c r="AV52" i="3"/>
  <c r="AV116" i="3"/>
  <c r="AV180" i="3"/>
  <c r="AV244" i="3"/>
  <c r="AV308" i="3"/>
  <c r="AV372" i="3"/>
  <c r="AV436" i="3"/>
  <c r="AV500" i="3"/>
  <c r="AV564" i="3"/>
  <c r="AV628" i="3"/>
  <c r="AV692" i="3"/>
  <c r="AV756" i="3"/>
  <c r="AV820" i="3"/>
  <c r="AV6" i="3"/>
  <c r="AV70" i="3"/>
  <c r="AV134" i="3"/>
  <c r="AV198" i="3"/>
  <c r="AV270" i="3"/>
  <c r="AV334" i="3"/>
  <c r="AV398" i="3"/>
  <c r="AV470" i="3"/>
  <c r="AV534" i="3"/>
  <c r="AV598" i="3"/>
  <c r="AV662" i="3"/>
  <c r="AV726" i="3"/>
  <c r="AV790" i="3"/>
  <c r="AV7" i="3"/>
  <c r="AV71" i="3"/>
  <c r="AV719" i="3"/>
  <c r="AV144" i="3"/>
  <c r="AV272" i="3"/>
  <c r="AV400" i="3"/>
  <c r="AV464" i="3"/>
  <c r="AV592" i="3"/>
  <c r="AV720" i="3"/>
  <c r="AV784" i="3"/>
  <c r="AV465" i="3"/>
  <c r="AV657" i="3"/>
  <c r="AV11" i="3"/>
  <c r="AV75" i="3"/>
  <c r="AV139" i="3"/>
  <c r="AV203" i="3"/>
  <c r="AV267" i="3"/>
  <c r="AV331" i="3"/>
  <c r="AV395" i="3"/>
  <c r="AV459" i="3"/>
  <c r="AV523" i="3"/>
  <c r="AV587" i="3"/>
  <c r="AV651" i="3"/>
  <c r="AV715" i="3"/>
  <c r="AV779" i="3"/>
  <c r="AV61" i="3"/>
  <c r="AV125" i="3"/>
  <c r="AV189" i="3"/>
  <c r="AV261" i="3"/>
  <c r="AV325" i="3"/>
  <c r="AV389" i="3"/>
  <c r="AV453" i="3"/>
  <c r="AV525" i="3"/>
  <c r="AV589" i="3"/>
  <c r="AV653" i="3"/>
  <c r="AV717" i="3"/>
  <c r="AV781" i="3"/>
  <c r="AV14" i="3"/>
  <c r="AV78" i="3"/>
  <c r="AV142" i="3"/>
  <c r="AV143" i="3"/>
  <c r="AV215" i="3"/>
  <c r="AV279" i="3"/>
  <c r="AV407" i="3"/>
  <c r="AV471" i="3"/>
  <c r="AV791" i="3"/>
  <c r="AV216" i="3"/>
  <c r="AV19" i="3"/>
  <c r="AV83" i="3"/>
  <c r="AV147" i="3"/>
  <c r="AV211" i="3"/>
  <c r="AV275" i="3"/>
  <c r="AV339" i="3"/>
  <c r="AV403" i="3"/>
  <c r="AV467" i="3"/>
  <c r="AV531" i="3"/>
  <c r="AV595" i="3"/>
  <c r="AV659" i="3"/>
  <c r="AV723" i="3"/>
  <c r="AV787" i="3"/>
  <c r="AV12" i="3"/>
  <c r="AV76" i="3"/>
  <c r="AV140" i="3"/>
  <c r="AV204" i="3"/>
  <c r="AV268" i="3"/>
  <c r="AV332" i="3"/>
  <c r="AV396" i="3"/>
  <c r="AV460" i="3"/>
  <c r="AV524" i="3"/>
  <c r="AV588" i="3"/>
  <c r="AV652" i="3"/>
  <c r="AV716" i="3"/>
  <c r="AV780" i="3"/>
  <c r="AV136" i="3"/>
  <c r="AV87" i="3"/>
  <c r="AV151" i="3"/>
  <c r="AV223" i="3"/>
  <c r="AV543" i="3"/>
  <c r="AV607" i="3"/>
  <c r="AV735" i="3"/>
  <c r="AV32" i="3"/>
  <c r="AV96" i="3"/>
  <c r="AV160" i="3"/>
  <c r="AV224" i="3"/>
  <c r="AV288" i="3"/>
  <c r="AV416" i="3"/>
  <c r="AV544" i="3"/>
  <c r="AV608" i="3"/>
  <c r="AV672" i="3"/>
  <c r="AV800" i="3"/>
  <c r="AV33" i="3"/>
  <c r="AV97" i="3"/>
  <c r="AV161" i="3"/>
  <c r="AV225" i="3"/>
  <c r="AV289" i="3"/>
  <c r="AV353" i="3"/>
  <c r="AV481" i="3"/>
  <c r="AV545" i="3"/>
  <c r="AV609" i="3"/>
  <c r="AV673" i="3"/>
  <c r="AV737" i="3"/>
  <c r="AV801" i="3"/>
  <c r="AV27" i="3"/>
  <c r="AV91" i="3"/>
  <c r="AV155" i="3"/>
  <c r="AV219" i="3"/>
  <c r="AV283" i="3"/>
  <c r="AV347" i="3"/>
  <c r="AV411" i="3"/>
  <c r="AV475" i="3"/>
  <c r="AV539" i="3"/>
  <c r="AV603" i="3"/>
  <c r="AV667" i="3"/>
  <c r="AV731" i="3"/>
  <c r="AV795" i="3"/>
  <c r="AV20" i="3"/>
  <c r="AV84" i="3"/>
  <c r="AV148" i="3"/>
  <c r="AV212" i="3"/>
  <c r="AV276" i="3"/>
  <c r="AV340" i="3"/>
  <c r="AV404" i="3"/>
  <c r="AV468" i="3"/>
  <c r="AV532" i="3"/>
  <c r="AV596" i="3"/>
  <c r="AV660" i="3"/>
  <c r="AV724" i="3"/>
  <c r="AV788" i="3"/>
  <c r="AV13" i="3"/>
  <c r="AV77" i="3"/>
  <c r="AV141" i="3"/>
  <c r="AV205" i="3"/>
  <c r="AV277" i="3"/>
  <c r="AV341" i="3"/>
  <c r="AV405" i="3"/>
  <c r="AV469" i="3"/>
  <c r="AV541" i="3"/>
  <c r="AV605" i="3"/>
  <c r="AV669" i="3"/>
  <c r="AV733" i="3"/>
  <c r="AV797" i="3"/>
  <c r="AV30" i="3"/>
  <c r="AV94" i="3"/>
  <c r="AV158" i="3"/>
  <c r="AV230" i="3"/>
  <c r="AV294" i="3"/>
  <c r="AV358" i="3"/>
  <c r="AV422" i="3"/>
  <c r="AV494" i="3"/>
  <c r="AV558" i="3"/>
  <c r="AV622" i="3"/>
  <c r="AV686" i="3"/>
  <c r="AV750" i="3"/>
  <c r="AV814" i="3"/>
  <c r="AV712" i="3"/>
  <c r="AV295" i="3"/>
  <c r="AV359" i="3"/>
  <c r="AV551" i="3"/>
  <c r="AV40" i="3"/>
  <c r="AV104" i="3"/>
  <c r="AV232" i="3"/>
  <c r="AV488" i="3"/>
  <c r="AV552" i="3"/>
  <c r="AV744" i="3"/>
  <c r="AV425" i="3"/>
  <c r="AV42" i="3"/>
  <c r="AV106" i="3"/>
  <c r="AV170" i="3"/>
  <c r="AV234" i="3"/>
  <c r="AV298" i="3"/>
  <c r="AV362" i="3"/>
  <c r="AV426" i="3"/>
  <c r="AV490" i="3"/>
  <c r="AV554" i="3"/>
  <c r="AV618" i="3"/>
  <c r="AV682" i="3"/>
  <c r="AV746" i="3"/>
  <c r="AV810" i="3"/>
  <c r="AV38" i="3"/>
  <c r="AV102" i="3"/>
  <c r="AV166" i="3"/>
  <c r="AV238" i="3"/>
  <c r="AV302" i="3"/>
  <c r="AV366" i="3"/>
  <c r="AV430" i="3"/>
  <c r="AV502" i="3"/>
  <c r="AV566" i="3"/>
  <c r="AV630" i="3"/>
  <c r="AV694" i="3"/>
  <c r="AV758" i="3"/>
  <c r="AV822" i="3"/>
  <c r="P124" i="2"/>
  <c r="AV2" i="3"/>
  <c r="J3" i="2"/>
  <c r="J4" i="2"/>
  <c r="L4" i="2"/>
  <c r="F56" i="2" l="1"/>
  <c r="F57" i="2"/>
  <c r="F60" i="2"/>
  <c r="F59" i="2"/>
  <c r="D56" i="2"/>
  <c r="D58" i="2"/>
  <c r="E59" i="2"/>
  <c r="B56" i="2"/>
  <c r="C60" i="2"/>
  <c r="E57" i="2"/>
  <c r="E56" i="2"/>
  <c r="C59" i="2"/>
  <c r="B59" i="2"/>
  <c r="C58" i="2"/>
  <c r="B58" i="2"/>
  <c r="B57" i="2"/>
  <c r="C57" i="2"/>
  <c r="E58" i="2"/>
  <c r="D57" i="2"/>
  <c r="D60" i="2"/>
  <c r="X853" i="3"/>
  <c r="V853" i="3"/>
  <c r="Y853" i="3"/>
  <c r="Z853" i="3"/>
  <c r="AS853" i="3" a="1"/>
  <c r="AS853" i="3" s="1"/>
  <c r="AT853" i="3" a="1"/>
  <c r="AT853" i="3" s="1"/>
  <c r="AH853" i="3"/>
  <c r="C31" i="2"/>
  <c r="C37" i="2"/>
  <c r="C32" i="2"/>
  <c r="C33" i="2"/>
  <c r="C34" i="2"/>
  <c r="C35" i="2"/>
  <c r="P125" i="2"/>
  <c r="L3" i="2"/>
  <c r="P126" i="2" l="1"/>
  <c r="AV853" i="3"/>
  <c r="D850" i="3"/>
  <c r="W850" i="3" s="1"/>
  <c r="AU850" i="3"/>
  <c r="AS850" i="3" l="1" a="1"/>
  <c r="AS850" i="3" s="1"/>
  <c r="AT850" i="3" a="1"/>
  <c r="AT850" i="3" s="1"/>
  <c r="V850" i="3"/>
  <c r="Z850" i="3"/>
  <c r="Y850" i="3"/>
  <c r="X850" i="3"/>
  <c r="AH850" i="3"/>
  <c r="AV850" i="3" l="1"/>
  <c r="AW938" i="3" s="1"/>
  <c r="AW405" i="3"/>
  <c r="AW733" i="3"/>
  <c r="AW783" i="3"/>
  <c r="AW229" i="3"/>
  <c r="AW65" i="3"/>
  <c r="AW146" i="3"/>
  <c r="AW630" i="3"/>
  <c r="AW461" i="3"/>
  <c r="AW836" i="3"/>
  <c r="AW369" i="3"/>
  <c r="AW614" i="3"/>
  <c r="AW446" i="3"/>
  <c r="AW70" i="3"/>
  <c r="AW186" i="3"/>
  <c r="AW717" i="3"/>
  <c r="AW29" i="3"/>
  <c r="AW204" i="3"/>
  <c r="AW268" i="3"/>
  <c r="AW23" i="3"/>
  <c r="AW520" i="3"/>
  <c r="AW371" i="3"/>
  <c r="AW597" i="3"/>
  <c r="AW555" i="3"/>
  <c r="AW105" i="3"/>
  <c r="AW611" i="3"/>
  <c r="AW762" i="3"/>
  <c r="AW225" i="3"/>
  <c r="AW299" i="3"/>
  <c r="AW484" i="3"/>
  <c r="AW770" i="3"/>
  <c r="AW679" i="3"/>
  <c r="AW577" i="3"/>
  <c r="AW343" i="3"/>
  <c r="AW413" i="3"/>
  <c r="AW213" i="3"/>
  <c r="AW259" i="3"/>
  <c r="AW277" i="3"/>
  <c r="AW324" i="3"/>
  <c r="AW423" i="3"/>
  <c r="AW129" i="3"/>
  <c r="AW610" i="3"/>
  <c r="AW792" i="3"/>
  <c r="AW845" i="3"/>
  <c r="AW624" i="3"/>
  <c r="AW442" i="3"/>
  <c r="AW71" i="3"/>
  <c r="AW376" i="3"/>
  <c r="AW515" i="3"/>
  <c r="AW561" i="3"/>
  <c r="AW631" i="3"/>
  <c r="AW344" i="3"/>
  <c r="AW583" i="3"/>
  <c r="AW194" i="3"/>
  <c r="AW592" i="3"/>
  <c r="AW566" i="3"/>
  <c r="AW735" i="3"/>
  <c r="AW398" i="3"/>
  <c r="AW440" i="3"/>
  <c r="AW574" i="3"/>
  <c r="AW466" i="3"/>
  <c r="AW445" i="3"/>
  <c r="AW117" i="3"/>
  <c r="AW656" i="3"/>
  <c r="AW602" i="3"/>
  <c r="AW192" i="3"/>
  <c r="AW381" i="3"/>
  <c r="AW491" i="3"/>
  <c r="AW205" i="3"/>
  <c r="AW290" i="3"/>
  <c r="AW473" i="3"/>
  <c r="AW846" i="3"/>
  <c r="AW102" i="3"/>
  <c r="AW607" i="3"/>
  <c r="AW758" i="3"/>
  <c r="AW197" i="3"/>
  <c r="AW350" i="3"/>
  <c r="AW567" i="3"/>
  <c r="AW121" i="3"/>
  <c r="AW533" i="3"/>
  <c r="AW823" i="3"/>
  <c r="AW365" i="3"/>
  <c r="AW457" i="3"/>
  <c r="AW801" i="3"/>
  <c r="AW53" i="3"/>
  <c r="AW6" i="3"/>
  <c r="AW252" i="3"/>
  <c r="AW551" i="3"/>
  <c r="AW56" i="3"/>
  <c r="AW91" i="3"/>
  <c r="AW746" i="3"/>
  <c r="AW773" i="3"/>
  <c r="AW818" i="3"/>
  <c r="AW304" i="3"/>
  <c r="AW633" i="3"/>
  <c r="AW269" i="3"/>
  <c r="AW82" i="3"/>
  <c r="AW292" i="3"/>
  <c r="AW422" i="3"/>
  <c r="AW692" i="3"/>
  <c r="AW16" i="3"/>
  <c r="AW306" i="3"/>
  <c r="AW608" i="3"/>
  <c r="AW672" i="3"/>
  <c r="AW550" i="3"/>
  <c r="AW816" i="3"/>
  <c r="AW138" i="3"/>
  <c r="AW219" i="3"/>
  <c r="AW842" i="3"/>
  <c r="AW141" i="3"/>
  <c r="AW772" i="3"/>
  <c r="AW586" i="3"/>
  <c r="AW525" i="3"/>
  <c r="AW666" i="3"/>
  <c r="AW139" i="3"/>
  <c r="AW272" i="3"/>
  <c r="AW753" i="3"/>
  <c r="AW835" i="3"/>
  <c r="AW217" i="3"/>
  <c r="AW471" i="3"/>
  <c r="AW327" i="3"/>
  <c r="AW180" i="3"/>
  <c r="AW554" i="3"/>
  <c r="AW396" i="3"/>
  <c r="AW732" i="3"/>
  <c r="AW700" i="3"/>
  <c r="AW123" i="3"/>
  <c r="AW579" i="3"/>
  <c r="AW814" i="3"/>
  <c r="AW553" i="3"/>
  <c r="AW587" i="3"/>
  <c r="AW429" i="3"/>
  <c r="AW15" i="3"/>
  <c r="AW532" i="3"/>
  <c r="AW612" i="3"/>
  <c r="AW751" i="3"/>
  <c r="AW761" i="3"/>
  <c r="AW676" i="3"/>
  <c r="AW750" i="3"/>
  <c r="AW599" i="3"/>
  <c r="AW124" i="3"/>
  <c r="AW464" i="3"/>
  <c r="AW45" i="3"/>
  <c r="AW326" i="3"/>
  <c r="AW261" i="3"/>
  <c r="AW838" i="3"/>
  <c r="AW839" i="3"/>
  <c r="AW22" i="3"/>
  <c r="AW187" i="3"/>
  <c r="AW110" i="3"/>
  <c r="AW460" i="3"/>
  <c r="AW51" i="3"/>
  <c r="AW130" i="3"/>
  <c r="AW531" i="3"/>
  <c r="AW635" i="3"/>
  <c r="AW315" i="3"/>
  <c r="AW364" i="3"/>
  <c r="AW806" i="3"/>
  <c r="AW42" i="3"/>
  <c r="AW153" i="3"/>
  <c r="AW50" i="3"/>
  <c r="AW322" i="3"/>
  <c r="AW455" i="3"/>
  <c r="AW321" i="3"/>
  <c r="AW190" i="3"/>
  <c r="AW639" i="3"/>
  <c r="AW847" i="3"/>
  <c r="AW239" i="3"/>
  <c r="AW811" i="3"/>
  <c r="AW715" i="3"/>
  <c r="AW548" i="3"/>
  <c r="AW654" i="3"/>
  <c r="AW667" i="3"/>
  <c r="AW52" i="3"/>
  <c r="AW112" i="3"/>
  <c r="AW559" i="3"/>
  <c r="AW623" i="3"/>
  <c r="AW648" i="3"/>
  <c r="AW10" i="3"/>
  <c r="AW808" i="3"/>
  <c r="AW394" i="3"/>
  <c r="AW216" i="3"/>
  <c r="AW739" i="3"/>
  <c r="AW664" i="3"/>
  <c r="AW500" i="3"/>
  <c r="AW17" i="3"/>
  <c r="AW77" i="3"/>
  <c r="AW778" i="3"/>
  <c r="AW184" i="3"/>
  <c r="AW536" i="3"/>
  <c r="AW260" i="3"/>
  <c r="AW826" i="3"/>
  <c r="AW547" i="3"/>
  <c r="AW581" i="3"/>
  <c r="AW837" i="3"/>
  <c r="AW380" i="3"/>
  <c r="AW810" i="3"/>
  <c r="AW430" i="3"/>
  <c r="AW12" i="3"/>
  <c r="AW849" i="3"/>
  <c r="AW570" i="3"/>
  <c r="AW848" i="3"/>
  <c r="AW517" i="3"/>
  <c r="AW480" i="3"/>
  <c r="AW726" i="3"/>
  <c r="AW208" i="3"/>
  <c r="AW34" i="3"/>
  <c r="AW622" i="3"/>
  <c r="AW62" i="3"/>
  <c r="AW4" i="3"/>
  <c r="AW331" i="3"/>
  <c r="AW720" i="3"/>
  <c r="AW832" i="3"/>
  <c r="AW54" i="3"/>
  <c r="AW812" i="3"/>
  <c r="AW162" i="3"/>
  <c r="AW458" i="3"/>
  <c r="AW768" i="3"/>
  <c r="AW195" i="3"/>
  <c r="AW295" i="3"/>
  <c r="AW393" i="3"/>
  <c r="AW467" i="3"/>
  <c r="AW281" i="3"/>
  <c r="AW651" i="3"/>
  <c r="AW736" i="3"/>
  <c r="AW303" i="3"/>
  <c r="AW240" i="3"/>
  <c r="AW94" i="3"/>
  <c r="AW47" i="3"/>
  <c r="AW678" i="3"/>
  <c r="AW771" i="3"/>
  <c r="AW168" i="3"/>
  <c r="AW704" i="3"/>
  <c r="AW504" i="3"/>
  <c r="AW530" i="3"/>
  <c r="AW545" i="3"/>
  <c r="AW311" i="3"/>
  <c r="AW96" i="3"/>
  <c r="AW382" i="3"/>
  <c r="AW397" i="3"/>
  <c r="AW596" i="3"/>
  <c r="AW431" i="3"/>
  <c r="AW800" i="3"/>
  <c r="AW44" i="3"/>
  <c r="AW790" i="3"/>
  <c r="AW685" i="3"/>
  <c r="AW752" i="3"/>
  <c r="AW791" i="3"/>
  <c r="AW390" i="3"/>
  <c r="AW308" i="3"/>
  <c r="AW59" i="3"/>
  <c r="AW747" i="3"/>
  <c r="AW339" i="3"/>
  <c r="AW511" i="3"/>
  <c r="AW710" i="3"/>
  <c r="AW125" i="3"/>
  <c r="AW538" i="3"/>
  <c r="AW67" i="3"/>
  <c r="AW372" i="3"/>
  <c r="AW595" i="3"/>
  <c r="AW659" i="3"/>
  <c r="AW495" i="3"/>
  <c r="AW626" i="3"/>
  <c r="AW655" i="3"/>
  <c r="AW690" i="3"/>
  <c r="AW85" i="3"/>
  <c r="AW98" i="3"/>
  <c r="AW834" i="3"/>
  <c r="AW249" i="3"/>
  <c r="AW705" i="3"/>
  <c r="AW143" i="3"/>
  <c r="AW210" i="3"/>
  <c r="AW421" i="3"/>
  <c r="AW535" i="3"/>
  <c r="AW485" i="3"/>
  <c r="AW66" i="3"/>
  <c r="AW807" i="3"/>
  <c r="AW775" i="3"/>
  <c r="AW166" i="3"/>
  <c r="AW686" i="3"/>
  <c r="AW132" i="3"/>
  <c r="AW472" i="3"/>
  <c r="AW238" i="3"/>
  <c r="AW122" i="3"/>
  <c r="AW185" i="3"/>
  <c r="AW378" i="3"/>
  <c r="AW711" i="3"/>
  <c r="AW589" i="3"/>
  <c r="AW407" i="3"/>
  <c r="AW713" i="3"/>
  <c r="AW211" i="3"/>
  <c r="AW830" i="3"/>
  <c r="AW133" i="3"/>
  <c r="AW501" i="3"/>
  <c r="AW106" i="3"/>
  <c r="AW36" i="3"/>
  <c r="AW468" i="3"/>
  <c r="AW87" i="3"/>
  <c r="AW470" i="3"/>
  <c r="AW267" i="3"/>
  <c r="AW576" i="3"/>
  <c r="AW278" i="3"/>
  <c r="AW668" i="3"/>
  <c r="AW474" i="3"/>
  <c r="AW799" i="3"/>
  <c r="AW718" i="3"/>
  <c r="AW11" i="3"/>
  <c r="AW182" i="3"/>
  <c r="AW796" i="3"/>
  <c r="AW227" i="3"/>
  <c r="AW183" i="3"/>
  <c r="AW103" i="3"/>
  <c r="AW83" i="3"/>
  <c r="AW256" i="3"/>
  <c r="AW688" i="3"/>
  <c r="AW288" i="3"/>
  <c r="AW683" i="3"/>
  <c r="AW159" i="3"/>
  <c r="AW776" i="3"/>
  <c r="AW351" i="3"/>
  <c r="AW829" i="3"/>
  <c r="AW404" i="3"/>
  <c r="AW618" i="3"/>
  <c r="AW370" i="3"/>
  <c r="AW361" i="3"/>
  <c r="AW443" i="3"/>
  <c r="AW420" i="3"/>
  <c r="AW178" i="3"/>
  <c r="AW787" i="3"/>
  <c r="AW437" i="3"/>
  <c r="AW113" i="3"/>
  <c r="AW557" i="3"/>
  <c r="AW158" i="3"/>
  <c r="AW625" i="3"/>
  <c r="AW262" i="3"/>
  <c r="AW785" i="3"/>
  <c r="AW176" i="3"/>
  <c r="AW97" i="3"/>
  <c r="AW824" i="3"/>
  <c r="AW274" i="3"/>
  <c r="AW414" i="3"/>
  <c r="AW628" i="3"/>
  <c r="AW28" i="3"/>
  <c r="AW649" i="3"/>
  <c r="AW409" i="3"/>
  <c r="AW198" i="3"/>
  <c r="AW663" i="3"/>
  <c r="AW825" i="3"/>
  <c r="AW744" i="3"/>
  <c r="AW258" i="3"/>
  <c r="AW479" i="3"/>
  <c r="AW724" i="3"/>
  <c r="AW169" i="3"/>
  <c r="AW436" i="3"/>
  <c r="AW271" i="3"/>
  <c r="AW346" i="3"/>
  <c r="AW293" i="3"/>
  <c r="AW765" i="3"/>
  <c r="AW193" i="3"/>
  <c r="AW502" i="3"/>
  <c r="AW670" i="3"/>
  <c r="AW734" i="3"/>
  <c r="AW223" i="3"/>
  <c r="AW632" i="3"/>
  <c r="AW137" i="3"/>
  <c r="AW827" i="3"/>
  <c r="AW729" i="3"/>
  <c r="AW565" i="3"/>
  <c r="AW797" i="3"/>
  <c r="AW693" i="3"/>
  <c r="AW503" i="3"/>
  <c r="AW152" i="3"/>
  <c r="AW794" i="3"/>
  <c r="AW456" i="3"/>
  <c r="AW131" i="3"/>
  <c r="AW275" i="3"/>
  <c r="AW309" i="3"/>
  <c r="AW255" i="3"/>
  <c r="AW549" i="3"/>
  <c r="AW509" i="3"/>
  <c r="AW698" i="3"/>
  <c r="AW241" i="3"/>
  <c r="AW283" i="3"/>
  <c r="AW742" i="3"/>
  <c r="AW35" i="3"/>
  <c r="AW27" i="3"/>
  <c r="AW743" i="3"/>
  <c r="AW492" i="3"/>
  <c r="AW236" i="3"/>
  <c r="AW585" i="3"/>
  <c r="AW689" i="3"/>
  <c r="AW338" i="3"/>
  <c r="AW730" i="3"/>
  <c r="AW99" i="3"/>
  <c r="AW706" i="3"/>
  <c r="AW767" i="3"/>
  <c r="AW172" i="3"/>
  <c r="AW136" i="3"/>
  <c r="AW757" i="3"/>
  <c r="AW359" i="3"/>
  <c r="AW108" i="3"/>
  <c r="AW330" i="3"/>
  <c r="AW233" i="3"/>
  <c r="AW345" i="3"/>
  <c r="AW402" i="3"/>
  <c r="AW314" i="3"/>
  <c r="AW318" i="3"/>
  <c r="AW482" i="3"/>
  <c r="AW486" i="3"/>
  <c r="AW433" i="3"/>
  <c r="AW703" i="3"/>
  <c r="AW142" i="3"/>
  <c r="AW449" i="3"/>
  <c r="AW5" i="3"/>
  <c r="AW621" i="3"/>
  <c r="AW499" i="3"/>
  <c r="AW708" i="3"/>
  <c r="AW488" i="3"/>
  <c r="AW709" i="3"/>
  <c r="AW462" i="3"/>
  <c r="AW605" i="3"/>
  <c r="AW373" i="3"/>
  <c r="AW755" i="3"/>
  <c r="AW481" i="3"/>
  <c r="AW109" i="3"/>
  <c r="AW543" i="3"/>
  <c r="AW653" i="3"/>
  <c r="AW542" i="3"/>
  <c r="AW173" i="3"/>
  <c r="AW222" i="3"/>
  <c r="AW728" i="3"/>
  <c r="AW199" i="3"/>
  <c r="AW516" i="3"/>
  <c r="AW723" i="3"/>
  <c r="AW55" i="3"/>
  <c r="AW235" i="3"/>
  <c r="AW616" i="3"/>
  <c r="AW114" i="3"/>
  <c r="AW384" i="3"/>
  <c r="AW527" i="3"/>
  <c r="AW86" i="3"/>
  <c r="AW181" i="3"/>
  <c r="AW936" i="3" l="1"/>
  <c r="AW937" i="3"/>
  <c r="AW934" i="3"/>
  <c r="AW935" i="3"/>
  <c r="AW932" i="3"/>
  <c r="AW933" i="3"/>
  <c r="AW930" i="3"/>
  <c r="AW931" i="3"/>
  <c r="AW928" i="3"/>
  <c r="AW929" i="3"/>
  <c r="AW926" i="3"/>
  <c r="AW927" i="3"/>
  <c r="AW924" i="3"/>
  <c r="AW925" i="3"/>
  <c r="AW922" i="3"/>
  <c r="AW923" i="3"/>
  <c r="AW920" i="3"/>
  <c r="AW921" i="3"/>
  <c r="AW918" i="3"/>
  <c r="AW919" i="3"/>
  <c r="AW916" i="3"/>
  <c r="AW917" i="3"/>
  <c r="AW914" i="3"/>
  <c r="AW915" i="3"/>
  <c r="AW72" i="3"/>
  <c r="AW913" i="3"/>
  <c r="AW399" i="3"/>
  <c r="AW506" i="3"/>
  <c r="AW911" i="3"/>
  <c r="AW912" i="3"/>
  <c r="AW909" i="3"/>
  <c r="AW910" i="3"/>
  <c r="AW907" i="3"/>
  <c r="AW908" i="3"/>
  <c r="AW905" i="3"/>
  <c r="AW906" i="3"/>
  <c r="AW903" i="3"/>
  <c r="AW904" i="3"/>
  <c r="AW901" i="3"/>
  <c r="AW902" i="3"/>
  <c r="AW899" i="3"/>
  <c r="AW900" i="3"/>
  <c r="AW897" i="3"/>
  <c r="AW898" i="3"/>
  <c r="AW895" i="3"/>
  <c r="AW896" i="3"/>
  <c r="AW893" i="3"/>
  <c r="AW894" i="3"/>
  <c r="AW891" i="3"/>
  <c r="AW892" i="3"/>
  <c r="AW889" i="3"/>
  <c r="AW890" i="3"/>
  <c r="AW887" i="3"/>
  <c r="AW888" i="3"/>
  <c r="AW885" i="3"/>
  <c r="AW886" i="3"/>
  <c r="AW883" i="3"/>
  <c r="AW884" i="3"/>
  <c r="AW881" i="3"/>
  <c r="AW882" i="3"/>
  <c r="AW879" i="3"/>
  <c r="AW880" i="3"/>
  <c r="AW150" i="3"/>
  <c r="AW427" i="3"/>
  <c r="AW58" i="3"/>
  <c r="AW401" i="3"/>
  <c r="AW642" i="3"/>
  <c r="AW877" i="3"/>
  <c r="AW878" i="3"/>
  <c r="AW875" i="3"/>
  <c r="AW876" i="3"/>
  <c r="AW873" i="3"/>
  <c r="AW874" i="3"/>
  <c r="AW871" i="3"/>
  <c r="AW872" i="3"/>
  <c r="AW869" i="3"/>
  <c r="AW870" i="3"/>
  <c r="AW867" i="3"/>
  <c r="AW868" i="3"/>
  <c r="AW865" i="3"/>
  <c r="AW866" i="3"/>
  <c r="AW863" i="3"/>
  <c r="AW864" i="3"/>
  <c r="AW385" i="3"/>
  <c r="AW37" i="3"/>
  <c r="AW60" i="3"/>
  <c r="AW498" i="3"/>
  <c r="AW537" i="3"/>
  <c r="AW389" i="3"/>
  <c r="AW749" i="3"/>
  <c r="AW528" i="3"/>
  <c r="AW357" i="3"/>
  <c r="AW419" i="3"/>
  <c r="AW452" i="3"/>
  <c r="AW647" i="3"/>
  <c r="AW738" i="3"/>
  <c r="AW569" i="3"/>
  <c r="AW861" i="3"/>
  <c r="AW862" i="3"/>
  <c r="AW859" i="3"/>
  <c r="AW860" i="3"/>
  <c r="AW857" i="3"/>
  <c r="AW858" i="3"/>
  <c r="AW507" i="3"/>
  <c r="AW856" i="3"/>
  <c r="AW652" i="3"/>
  <c r="AW220" i="3"/>
  <c r="AW388" i="3"/>
  <c r="AW657" i="3"/>
  <c r="AW694" i="3"/>
  <c r="AW383" i="3"/>
  <c r="AW226" i="3"/>
  <c r="AW147" i="3"/>
  <c r="AW14" i="3"/>
  <c r="AW673" i="3"/>
  <c r="AW196" i="3"/>
  <c r="AW562" i="3"/>
  <c r="AW448" i="3"/>
  <c r="AW523" i="3"/>
  <c r="AW444" i="3"/>
  <c r="AW417" i="3"/>
  <c r="AW26" i="3"/>
  <c r="AW435" i="3"/>
  <c r="AW701" i="3"/>
  <c r="AW93" i="3"/>
  <c r="AW280" i="3"/>
  <c r="AW224" i="3"/>
  <c r="AW242" i="3"/>
  <c r="AW284" i="3"/>
  <c r="AW606" i="3"/>
  <c r="AW209" i="3"/>
  <c r="AW627" i="3"/>
  <c r="AW854" i="3"/>
  <c r="AW855" i="3"/>
  <c r="AW853" i="3"/>
  <c r="AW2" i="3"/>
  <c r="AW851" i="3"/>
  <c r="AW852" i="3"/>
  <c r="AW18" i="3"/>
  <c r="AW81" i="3"/>
  <c r="AW174" i="3"/>
  <c r="AW111" i="3"/>
  <c r="AW333" i="3"/>
  <c r="AW426" i="3"/>
  <c r="AW514" i="3"/>
  <c r="AW563" i="3"/>
  <c r="AW411" i="3"/>
  <c r="AW8" i="3"/>
  <c r="AW243" i="3"/>
  <c r="AW126" i="3"/>
  <c r="AW769" i="3"/>
  <c r="AW560" i="3"/>
  <c r="AW375" i="3"/>
  <c r="AW629" i="3"/>
  <c r="AW702" i="3"/>
  <c r="AW230" i="3"/>
  <c r="AW541" i="3"/>
  <c r="AW329" i="3"/>
  <c r="AW600" i="3"/>
  <c r="AW312" i="3"/>
  <c r="AW425" i="3"/>
  <c r="AW840" i="3"/>
  <c r="AW546" i="3"/>
  <c r="AW483" i="3"/>
  <c r="AW151" i="3"/>
  <c r="AW155" i="3"/>
  <c r="AW774" i="3"/>
  <c r="AW741" i="3"/>
  <c r="AW95" i="3"/>
  <c r="AW341" i="3"/>
  <c r="AW821" i="3"/>
  <c r="AW722" i="3"/>
  <c r="AW20" i="3"/>
  <c r="AW171" i="3"/>
  <c r="AW786" i="3"/>
  <c r="AW552" i="3"/>
  <c r="AW745" i="3"/>
  <c r="AW57" i="3"/>
  <c r="AW833" i="3"/>
  <c r="AW39" i="3"/>
  <c r="AW643" i="3"/>
  <c r="AW441" i="3"/>
  <c r="AW582" i="3"/>
  <c r="AW780" i="3"/>
  <c r="AW798" i="3"/>
  <c r="AW285" i="3"/>
  <c r="AW228" i="3"/>
  <c r="AW406" i="3"/>
  <c r="AW619" i="3"/>
  <c r="AW128" i="3"/>
  <c r="AW756" i="3"/>
  <c r="AW544" i="3"/>
  <c r="AW215" i="3"/>
  <c r="AW30" i="3"/>
  <c r="AW512" i="3"/>
  <c r="AW669" i="3"/>
  <c r="AW822" i="3"/>
  <c r="AW160" i="3"/>
  <c r="AW418" i="3"/>
  <c r="AW463" i="3"/>
  <c r="AW684" i="3"/>
  <c r="AW712" i="3"/>
  <c r="AW522" i="3"/>
  <c r="AW674" i="3"/>
  <c r="AW613" i="3"/>
  <c r="AW641" i="3"/>
  <c r="AW358" i="3"/>
  <c r="AW428" i="3"/>
  <c r="AW434" i="3"/>
  <c r="AW539" i="3"/>
  <c r="AW368" i="3"/>
  <c r="AW580" i="3"/>
  <c r="AW319" i="3"/>
  <c r="AW636" i="3"/>
  <c r="AW521" i="3"/>
  <c r="AW90" i="3"/>
  <c r="AW424" i="3"/>
  <c r="AW73" i="3"/>
  <c r="AW273" i="3"/>
  <c r="AW201" i="3"/>
  <c r="AW510" i="3"/>
  <c r="AW200" i="3"/>
  <c r="AW475" i="3"/>
  <c r="AW118" i="3"/>
  <c r="AW337" i="3"/>
  <c r="AW813" i="3"/>
  <c r="AW650" i="3"/>
  <c r="AW75" i="3"/>
  <c r="AW578" i="3"/>
  <c r="AW682" i="3"/>
  <c r="AW310" i="3"/>
  <c r="AW367" i="3"/>
  <c r="AW843" i="3"/>
  <c r="AW279" i="3"/>
  <c r="AW601" i="3"/>
  <c r="AW254" i="3"/>
  <c r="AW817" i="3"/>
  <c r="AW844" i="3"/>
  <c r="AW234" i="3"/>
  <c r="AW534" i="3"/>
  <c r="AW386" i="3"/>
  <c r="AW348" i="3"/>
  <c r="AW13" i="3"/>
  <c r="AW291" i="3"/>
  <c r="AW40" i="3"/>
  <c r="AW104" i="3"/>
  <c r="AW69" i="3"/>
  <c r="AW363" i="3"/>
  <c r="AW266" i="3"/>
  <c r="AW782" i="3"/>
  <c r="AW157" i="3"/>
  <c r="AW766" i="3"/>
  <c r="AW493" i="3"/>
  <c r="AW297" i="3"/>
  <c r="AW764" i="3"/>
  <c r="AW831" i="3"/>
  <c r="AW763" i="3"/>
  <c r="AW335" i="3"/>
  <c r="AW214" i="3"/>
  <c r="AW620" i="3"/>
  <c r="AW496" i="3"/>
  <c r="AW33" i="3"/>
  <c r="AW721" i="3"/>
  <c r="AW640" i="3"/>
  <c r="AW556" i="3"/>
  <c r="AW638" i="3"/>
  <c r="AW244" i="3"/>
  <c r="AW593" i="3"/>
  <c r="AW320" i="3"/>
  <c r="AW820" i="3"/>
  <c r="AW7" i="3"/>
  <c r="AW253" i="3"/>
  <c r="AW850" i="3"/>
  <c r="AW777" i="3"/>
  <c r="AW677" i="3"/>
  <c r="AW387" i="3"/>
  <c r="AW127" i="3"/>
  <c r="AW377" i="3"/>
  <c r="AW591" i="3"/>
  <c r="AW135" i="3"/>
  <c r="AW245" i="3"/>
  <c r="AW164" i="3"/>
  <c r="AW257" i="3"/>
  <c r="AW251" i="3"/>
  <c r="AW250" i="3"/>
  <c r="AW575" i="3"/>
  <c r="AW232" i="3"/>
  <c r="AW32" i="3"/>
  <c r="AW270" i="3"/>
  <c r="AW707" i="3"/>
  <c r="AW202" i="3"/>
  <c r="AW809" i="3"/>
  <c r="AW740" i="3"/>
  <c r="AW298" i="3"/>
  <c r="AW248" i="3"/>
  <c r="AW264" i="3"/>
  <c r="AW725" i="3"/>
  <c r="AW263" i="3"/>
  <c r="AW573" i="3"/>
  <c r="AW9" i="3"/>
  <c r="AW156" i="3"/>
  <c r="AW524" i="3"/>
  <c r="AW697" i="3"/>
  <c r="AW21" i="3"/>
  <c r="AW100" i="3"/>
  <c r="AW637" i="3"/>
  <c r="AW526" i="3"/>
  <c r="AW571" i="3"/>
  <c r="AW568" i="3"/>
  <c r="AW699" i="3"/>
  <c r="AW594" i="3"/>
  <c r="AW804" i="3"/>
  <c r="AW316" i="3"/>
  <c r="AW115" i="3"/>
  <c r="AW781" i="3"/>
  <c r="AW391" i="3"/>
  <c r="AW64" i="3"/>
  <c r="AW61" i="3"/>
  <c r="AW301" i="3"/>
  <c r="AW356" i="3"/>
  <c r="AW161" i="3"/>
  <c r="AW497" i="3"/>
  <c r="AW49" i="3"/>
  <c r="AW48" i="3"/>
  <c r="AW78" i="3"/>
  <c r="AW478" i="3"/>
  <c r="AW447" i="3"/>
  <c r="AW513" i="3"/>
  <c r="AW803" i="3"/>
  <c r="AW300" i="3"/>
  <c r="AW203" i="3"/>
  <c r="AW189" i="3"/>
  <c r="AW604" i="3"/>
  <c r="AW323" i="3"/>
  <c r="AW439" i="3"/>
  <c r="AW779" i="3"/>
  <c r="AW334" i="3"/>
  <c r="AW788" i="3"/>
  <c r="AW340" i="3"/>
  <c r="AW505" i="3"/>
  <c r="AW815" i="3"/>
  <c r="AW681" i="3"/>
  <c r="AW459" i="3"/>
  <c r="AW175" i="3"/>
  <c r="AW89" i="3"/>
  <c r="AW395" i="3"/>
  <c r="AW634" i="3"/>
  <c r="AW282" i="3"/>
  <c r="AW265" i="3"/>
  <c r="AW31" i="3"/>
  <c r="AW24" i="3"/>
  <c r="AW352" i="3"/>
  <c r="AW819" i="3"/>
  <c r="AW802" i="3"/>
  <c r="AW221" i="3"/>
  <c r="AW170" i="3"/>
  <c r="AW163" i="3"/>
  <c r="AW360" i="3"/>
  <c r="AW167" i="3"/>
  <c r="AW841" i="3"/>
  <c r="AW191" i="3"/>
  <c r="AW403" i="3"/>
  <c r="AW218" i="3"/>
  <c r="AW412" i="3"/>
  <c r="AW247" i="3"/>
  <c r="AW140" i="3"/>
  <c r="AW675" i="3"/>
  <c r="AW80" i="3"/>
  <c r="AW519" i="3"/>
  <c r="AW760" i="3"/>
  <c r="AW246" i="3"/>
  <c r="AW609" i="3"/>
  <c r="AW294" i="3"/>
  <c r="AW302" i="3"/>
  <c r="AW354" i="3"/>
  <c r="AW289" i="3"/>
  <c r="AW719" i="3"/>
  <c r="AW74" i="3"/>
  <c r="AW347" i="3"/>
  <c r="AW695" i="3"/>
  <c r="AW584" i="3"/>
  <c r="AW144" i="3"/>
  <c r="AW696" i="3"/>
  <c r="AW795" i="3"/>
  <c r="AW336" i="3"/>
  <c r="AW46" i="3"/>
  <c r="AW154" i="3"/>
  <c r="AW453" i="3"/>
  <c r="AW188" i="3"/>
  <c r="AW366" i="3"/>
  <c r="AW68" i="3"/>
  <c r="AW84" i="3"/>
  <c r="AW107" i="3"/>
  <c r="AW145" i="3"/>
  <c r="AW165" i="3"/>
  <c r="AW379" i="3"/>
  <c r="AW615" i="3"/>
  <c r="AW671" i="3"/>
  <c r="AW529" i="3"/>
  <c r="AW687" i="3"/>
  <c r="AW416" i="3"/>
  <c r="AW342" i="3"/>
  <c r="AW43" i="3"/>
  <c r="AW691" i="3"/>
  <c r="AW588" i="3"/>
  <c r="AW88" i="3"/>
  <c r="AW353" i="3"/>
  <c r="AW408" i="3"/>
  <c r="AW19" i="3"/>
  <c r="AW793" i="3"/>
  <c r="AW325" i="3"/>
  <c r="AW101" i="3"/>
  <c r="AW494" i="3"/>
  <c r="AW805" i="3"/>
  <c r="AW76" i="3"/>
  <c r="AW307" i="3"/>
  <c r="AW476" i="3"/>
  <c r="AW25" i="3"/>
  <c r="AW490" i="3"/>
  <c r="AW572" i="3"/>
  <c r="AW3" i="3"/>
  <c r="AW38" i="3"/>
  <c r="AW748" i="3"/>
  <c r="AW564" i="3"/>
  <c r="AW661" i="3"/>
  <c r="AW598" i="3"/>
  <c r="AW465" i="3"/>
  <c r="AW287" i="3"/>
  <c r="AW660" i="3"/>
  <c r="AW276" i="3"/>
  <c r="AW362" i="3"/>
  <c r="AW119" i="3"/>
  <c r="AW212" i="3"/>
  <c r="AW148" i="3"/>
  <c r="AW149" i="3"/>
  <c r="AW727" i="3"/>
  <c r="AW450" i="3"/>
  <c r="AW558" i="3"/>
  <c r="AW665" i="3"/>
  <c r="AW116" i="3"/>
  <c r="AW332" i="3"/>
  <c r="AW680" i="3"/>
  <c r="AW231" i="3"/>
  <c r="AW737" i="3"/>
  <c r="AW400" i="3"/>
  <c r="AW603" i="3"/>
  <c r="AW415" i="3"/>
  <c r="AW540" i="3"/>
  <c r="AW317" i="3"/>
  <c r="AW489" i="3"/>
  <c r="AW644" i="3"/>
  <c r="AW469" i="3"/>
  <c r="AW392" i="3"/>
  <c r="AW590" i="3"/>
  <c r="AW374" i="3"/>
  <c r="AW432" i="3"/>
  <c r="AW120" i="3"/>
  <c r="AW179" i="3"/>
  <c r="AW759" i="3"/>
  <c r="AW349" i="3"/>
  <c r="AW313" i="3"/>
  <c r="AW645" i="3"/>
  <c r="AW658" i="3"/>
  <c r="AW508" i="3"/>
  <c r="AW828" i="3"/>
  <c r="AW355" i="3"/>
  <c r="AW518" i="3"/>
  <c r="AW714" i="3"/>
  <c r="AW487" i="3"/>
  <c r="AW754" i="3"/>
  <c r="AW177" i="3"/>
  <c r="AW92" i="3"/>
  <c r="AW63" i="3"/>
  <c r="AW296" i="3"/>
  <c r="AW784" i="3"/>
  <c r="AW328" i="3"/>
  <c r="AW134" i="3"/>
  <c r="AW716" i="3"/>
  <c r="AW451" i="3"/>
  <c r="AW646" i="3"/>
  <c r="AW410" i="3"/>
  <c r="AW305" i="3"/>
  <c r="AW79" i="3"/>
  <c r="AW41" i="3"/>
  <c r="AW731" i="3"/>
  <c r="AW286" i="3"/>
  <c r="AW438" i="3"/>
  <c r="AW789" i="3"/>
  <c r="AW617" i="3"/>
  <c r="AW66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<sst xmlns="http://schemas.openxmlformats.org/spreadsheetml/2006/main" count="3981" uniqueCount="393">
  <si>
    <t>Date</t>
  </si>
  <si>
    <t>Location</t>
  </si>
  <si>
    <t>Trainer</t>
  </si>
  <si>
    <t>Time</t>
  </si>
  <si>
    <t>ClassType</t>
  </si>
  <si>
    <t>Red Min</t>
  </si>
  <si>
    <t>Orange Min</t>
  </si>
  <si>
    <t>Green Min</t>
  </si>
  <si>
    <t>Blue Min</t>
  </si>
  <si>
    <t>Gray Min</t>
  </si>
  <si>
    <t>Max HR</t>
  </si>
  <si>
    <t>Avg HR</t>
  </si>
  <si>
    <t>Splat</t>
  </si>
  <si>
    <t>Calories</t>
  </si>
  <si>
    <t>Morn_Even</t>
  </si>
  <si>
    <t>State</t>
  </si>
  <si>
    <t>Week_Month</t>
  </si>
  <si>
    <t>Weekday</t>
  </si>
  <si>
    <t>Year</t>
  </si>
  <si>
    <t>Latitude</t>
  </si>
  <si>
    <t>Longitude</t>
  </si>
  <si>
    <t>ExtraExpenses</t>
  </si>
  <si>
    <t>Goal</t>
  </si>
  <si>
    <t>Monthly_Cost</t>
  </si>
  <si>
    <t>Dunn Lorring, VA</t>
  </si>
  <si>
    <t>Audrey</t>
  </si>
  <si>
    <t>4:30PM</t>
  </si>
  <si>
    <t>Virginia</t>
  </si>
  <si>
    <t>Kandace</t>
  </si>
  <si>
    <t>Kacie</t>
  </si>
  <si>
    <t>Rosslyn, VA</t>
  </si>
  <si>
    <t>Courtney1</t>
  </si>
  <si>
    <t>10:30AM</t>
  </si>
  <si>
    <t>14th Street, DC</t>
  </si>
  <si>
    <t>Tiffany</t>
  </si>
  <si>
    <t>11:30AM</t>
  </si>
  <si>
    <t>Washington, DC</t>
  </si>
  <si>
    <t>Demi</t>
  </si>
  <si>
    <t>2:00PM</t>
  </si>
  <si>
    <t>5:30PM</t>
  </si>
  <si>
    <t>Foggy Bottom, DC</t>
  </si>
  <si>
    <t>Damani</t>
  </si>
  <si>
    <t>8:30AM</t>
  </si>
  <si>
    <t>Orange 3G</t>
  </si>
  <si>
    <t>Orange 60 Tornado</t>
  </si>
  <si>
    <t>9:30AM</t>
  </si>
  <si>
    <t>Chuck</t>
  </si>
  <si>
    <t>Orange 60</t>
  </si>
  <si>
    <t>Orange 60 Minute</t>
  </si>
  <si>
    <t>Phil</t>
  </si>
  <si>
    <t>6:45PM</t>
  </si>
  <si>
    <t>Thomas Circle, DC</t>
  </si>
  <si>
    <t>Ash</t>
  </si>
  <si>
    <t>4:15PM</t>
  </si>
  <si>
    <t>Erich</t>
  </si>
  <si>
    <t>Mt. Vernon Triangle/Shaw, DC</t>
  </si>
  <si>
    <t>Rachel1</t>
  </si>
  <si>
    <t>5:45PM</t>
  </si>
  <si>
    <t>9:45AM</t>
  </si>
  <si>
    <t>Abbey</t>
  </si>
  <si>
    <t>Navy Yard, DC</t>
  </si>
  <si>
    <t>Joe</t>
  </si>
  <si>
    <t>Ron</t>
  </si>
  <si>
    <t>Myke</t>
  </si>
  <si>
    <t>Marcus</t>
  </si>
  <si>
    <t>Robin</t>
  </si>
  <si>
    <t>Kenna</t>
  </si>
  <si>
    <t>Georgia</t>
  </si>
  <si>
    <t>Kara</t>
  </si>
  <si>
    <t>7:45AM</t>
  </si>
  <si>
    <t>1:00PM</t>
  </si>
  <si>
    <t>Darrell</t>
  </si>
  <si>
    <t>Luke</t>
  </si>
  <si>
    <t>Madison</t>
  </si>
  <si>
    <t>Shayna</t>
  </si>
  <si>
    <t>Dwayne</t>
  </si>
  <si>
    <t>8:45AM</t>
  </si>
  <si>
    <t>Jersey City, NJ</t>
  </si>
  <si>
    <t>Herlentz</t>
  </si>
  <si>
    <t>9:15AM</t>
  </si>
  <si>
    <t>New Jersey</t>
  </si>
  <si>
    <t>8:15AM</t>
  </si>
  <si>
    <t>Micha</t>
  </si>
  <si>
    <t>12:00PM</t>
  </si>
  <si>
    <t>6:30AM</t>
  </si>
  <si>
    <t>Georgetown, DC</t>
  </si>
  <si>
    <t>Rachel2</t>
  </si>
  <si>
    <t>Jenn</t>
  </si>
  <si>
    <t>9:00AM</t>
  </si>
  <si>
    <t>7:15AM</t>
  </si>
  <si>
    <t>Gabi</t>
  </si>
  <si>
    <t>Cleveland Park, DC</t>
  </si>
  <si>
    <t>Eva</t>
  </si>
  <si>
    <t>9:10AM</t>
  </si>
  <si>
    <t>Anthony</t>
  </si>
  <si>
    <t>Orange 60 MIN 3G - Reduced Capacity Mask Optional</t>
  </si>
  <si>
    <t>Angie</t>
  </si>
  <si>
    <t>Lauren</t>
  </si>
  <si>
    <t>Miles</t>
  </si>
  <si>
    <t>Orange 60 MIN 2G - Mask Optional</t>
  </si>
  <si>
    <t>Alex</t>
  </si>
  <si>
    <t>Tenleytown, DC</t>
  </si>
  <si>
    <t>Jackie</t>
  </si>
  <si>
    <t>5:35PM</t>
  </si>
  <si>
    <t>Orange 60 MIN 2G</t>
  </si>
  <si>
    <t>Orange 60 MIN 3G - Mask Optional</t>
  </si>
  <si>
    <t>Katie</t>
  </si>
  <si>
    <t>7:10AM</t>
  </si>
  <si>
    <t>Brennan</t>
  </si>
  <si>
    <t>Joanna</t>
  </si>
  <si>
    <t>6:15AM</t>
  </si>
  <si>
    <t>Belmont, MA</t>
  </si>
  <si>
    <t>Lily</t>
  </si>
  <si>
    <t>7:30AM</t>
  </si>
  <si>
    <t>Orange 60 MIN 3G - Reduced Capacity</t>
  </si>
  <si>
    <t>Massachusetts</t>
  </si>
  <si>
    <t>Carissa</t>
  </si>
  <si>
    <t>Orange 60 MIN 3G</t>
  </si>
  <si>
    <t>Genna</t>
  </si>
  <si>
    <t>Britnie</t>
  </si>
  <si>
    <t>Tina</t>
  </si>
  <si>
    <t>Hamden - North Haven, CT</t>
  </si>
  <si>
    <t>Cathy</t>
  </si>
  <si>
    <t>Connecticut</t>
  </si>
  <si>
    <t>Drew</t>
  </si>
  <si>
    <t>Slabtown, OR</t>
  </si>
  <si>
    <t>Rylee</t>
  </si>
  <si>
    <t>4:00PM</t>
  </si>
  <si>
    <t>Orange 60 MIN 3G - Mask Required</t>
  </si>
  <si>
    <t>Oregon</t>
  </si>
  <si>
    <t>Kyle</t>
  </si>
  <si>
    <t>2:45PM</t>
  </si>
  <si>
    <t>Orange 60 MIN 3G - Reduced Capacity Mask Required</t>
  </si>
  <si>
    <t>Ennis</t>
  </si>
  <si>
    <t>Julie</t>
  </si>
  <si>
    <t>Orange 60 MIN 2G - Mask Required</t>
  </si>
  <si>
    <t>Tylae</t>
  </si>
  <si>
    <t>7:00AM</t>
  </si>
  <si>
    <t>Brighton, MA</t>
  </si>
  <si>
    <t>Lydia</t>
  </si>
  <si>
    <t>Courtney2</t>
  </si>
  <si>
    <t>Eric</t>
  </si>
  <si>
    <t>Aaron</t>
  </si>
  <si>
    <t>5:25PM</t>
  </si>
  <si>
    <t>4:20PM</t>
  </si>
  <si>
    <t>Orange 60 - Tornado</t>
  </si>
  <si>
    <t>Jamel</t>
  </si>
  <si>
    <t>Anna</t>
  </si>
  <si>
    <t>Julie2</t>
  </si>
  <si>
    <t>Central West End, MO</t>
  </si>
  <si>
    <t>Alexandra</t>
  </si>
  <si>
    <t>Missouri</t>
  </si>
  <si>
    <t>Nashville-Midtown, TN</t>
  </si>
  <si>
    <t>Jess</t>
  </si>
  <si>
    <t>Tennessee</t>
  </si>
  <si>
    <t>Travis</t>
  </si>
  <si>
    <t>Fort Worth - Montgomery Plaza, TX</t>
  </si>
  <si>
    <t>Maria</t>
  </si>
  <si>
    <t>Texas</t>
  </si>
  <si>
    <t>8:00AM</t>
  </si>
  <si>
    <t>Arlington - Ballston, VA</t>
  </si>
  <si>
    <t>Jess2</t>
  </si>
  <si>
    <t>Bethesda, MD</t>
  </si>
  <si>
    <t>Lily2</t>
  </si>
  <si>
    <t>Maryland</t>
  </si>
  <si>
    <t>Tony</t>
  </si>
  <si>
    <t>10:45AM</t>
  </si>
  <si>
    <t>Bryn</t>
  </si>
  <si>
    <t>Nick</t>
  </si>
  <si>
    <t>Kyle2</t>
  </si>
  <si>
    <t>Justin</t>
  </si>
  <si>
    <t>6:30PM</t>
  </si>
  <si>
    <t>Flora</t>
  </si>
  <si>
    <t>5:20PM</t>
  </si>
  <si>
    <t>7:05AM</t>
  </si>
  <si>
    <t>Holly</t>
  </si>
  <si>
    <t>Andrew</t>
  </si>
  <si>
    <t>Christine</t>
  </si>
  <si>
    <t>8:05AM</t>
  </si>
  <si>
    <t>11:20AM</t>
  </si>
  <si>
    <t>10:15AM</t>
  </si>
  <si>
    <t>Roxanne</t>
  </si>
  <si>
    <t>Benji</t>
  </si>
  <si>
    <t>10:00AM</t>
  </si>
  <si>
    <t>6:05AM</t>
  </si>
  <si>
    <t>Kaya</t>
  </si>
  <si>
    <t>Nickole</t>
  </si>
  <si>
    <t>Kelly</t>
  </si>
  <si>
    <t>Elizabeth</t>
  </si>
  <si>
    <t>Aitana</t>
  </si>
  <si>
    <t>9:20AM</t>
  </si>
  <si>
    <t>Marco</t>
  </si>
  <si>
    <t>12:30PM</t>
  </si>
  <si>
    <t>Greg</t>
  </si>
  <si>
    <t>Kendall Square, MA</t>
  </si>
  <si>
    <t>Sydney</t>
  </si>
  <si>
    <t>Abby</t>
  </si>
  <si>
    <t>Goat Blocks, OR</t>
  </si>
  <si>
    <t>Alyssa</t>
  </si>
  <si>
    <t>4:45PM</t>
  </si>
  <si>
    <t>Portland - South Waterfront, OR</t>
  </si>
  <si>
    <t>Lorenzo</t>
  </si>
  <si>
    <t>Oscar</t>
  </si>
  <si>
    <t>Jonathan</t>
  </si>
  <si>
    <t>11:45AM</t>
  </si>
  <si>
    <t>6:00AM</t>
  </si>
  <si>
    <t>Cippy</t>
  </si>
  <si>
    <t>Elle</t>
  </si>
  <si>
    <t>Pearl District, OR</t>
  </si>
  <si>
    <t>Lauren2</t>
  </si>
  <si>
    <t>Katya</t>
  </si>
  <si>
    <t>RyRy</t>
  </si>
  <si>
    <t>Elissa</t>
  </si>
  <si>
    <t>Niko</t>
  </si>
  <si>
    <t>Adam</t>
  </si>
  <si>
    <t>5:15PM</t>
  </si>
  <si>
    <t>Clement</t>
  </si>
  <si>
    <t>Katie2</t>
  </si>
  <si>
    <t>Alisa</t>
  </si>
  <si>
    <t>Chloe</t>
  </si>
  <si>
    <t>Jeff</t>
  </si>
  <si>
    <t>Taryn</t>
  </si>
  <si>
    <t>Toni</t>
  </si>
  <si>
    <t>Duviel</t>
  </si>
  <si>
    <t>Brandon</t>
  </si>
  <si>
    <t>Cara</t>
  </si>
  <si>
    <t>Camille</t>
  </si>
  <si>
    <t>Christina</t>
  </si>
  <si>
    <t>Hazel Dell, WA</t>
  </si>
  <si>
    <t>Washington</t>
  </si>
  <si>
    <t>Fionn</t>
  </si>
  <si>
    <t>Ashlyn</t>
  </si>
  <si>
    <t>East Vancouver/Camas, WA</t>
  </si>
  <si>
    <t>Christian</t>
  </si>
  <si>
    <t>Haley</t>
  </si>
  <si>
    <t>Kelly2</t>
  </si>
  <si>
    <t>Lauren3</t>
  </si>
  <si>
    <t>Danielle</t>
  </si>
  <si>
    <t>Arielle</t>
  </si>
  <si>
    <t>Joe2</t>
  </si>
  <si>
    <t>Lafayette</t>
  </si>
  <si>
    <t>Kate</t>
  </si>
  <si>
    <t>VisitNum</t>
  </si>
  <si>
    <t>VisitNum_Month</t>
  </si>
  <si>
    <t>ClassLength</t>
  </si>
  <si>
    <t>DaysSince</t>
  </si>
  <si>
    <t>Mon_Yr</t>
  </si>
  <si>
    <t>Twelve_or_Above</t>
  </si>
  <si>
    <t>Gray_Perc</t>
  </si>
  <si>
    <t>Blue_Perc</t>
  </si>
  <si>
    <t>Green_Perc</t>
  </si>
  <si>
    <t>Orange_Perc</t>
  </si>
  <si>
    <t>Red_Perc</t>
  </si>
  <si>
    <t>Cost_Per_Class</t>
  </si>
  <si>
    <t>Calories_Month</t>
  </si>
  <si>
    <t>SplatPts_Month</t>
  </si>
  <si>
    <t>Month</t>
  </si>
  <si>
    <t>Calories_Splat</t>
  </si>
  <si>
    <t>Visits_Studio</t>
  </si>
  <si>
    <t>State_Perc</t>
  </si>
  <si>
    <t>Visits_Trainer</t>
  </si>
  <si>
    <t>ScaleSplat</t>
  </si>
  <si>
    <t>ScaleCalories</t>
  </si>
  <si>
    <t>ScaleCombine</t>
  </si>
  <si>
    <t>ScaleMin</t>
  </si>
  <si>
    <t>CompositeScore</t>
  </si>
  <si>
    <t>MONYEAR</t>
  </si>
  <si>
    <t>Cal_Min</t>
  </si>
  <si>
    <t>Jahzelle</t>
  </si>
  <si>
    <t>Both</t>
  </si>
  <si>
    <t>2025 Goals</t>
  </si>
  <si>
    <t>Classes</t>
  </si>
  <si>
    <t>Count</t>
  </si>
  <si>
    <t>Sunday</t>
  </si>
  <si>
    <t>Monday</t>
  </si>
  <si>
    <t>Tuesday</t>
  </si>
  <si>
    <t>Wednesday</t>
  </si>
  <si>
    <t>Thursday</t>
  </si>
  <si>
    <t>Friday</t>
  </si>
  <si>
    <t>Saturday</t>
  </si>
  <si>
    <t>Num</t>
  </si>
  <si>
    <t>Abby2</t>
  </si>
  <si>
    <t>Hannah</t>
  </si>
  <si>
    <t>Jen</t>
  </si>
  <si>
    <t>Imputation</t>
  </si>
  <si>
    <t>Green</t>
  </si>
  <si>
    <t>Gray</t>
  </si>
  <si>
    <t>Blue</t>
  </si>
  <si>
    <t>Total</t>
  </si>
  <si>
    <t>Totals</t>
  </si>
  <si>
    <t>Years</t>
  </si>
  <si>
    <t>Choose Year:</t>
  </si>
  <si>
    <t>Days Since</t>
  </si>
  <si>
    <t>&gt;=5</t>
  </si>
  <si>
    <t>Anthony2</t>
  </si>
  <si>
    <t>Sierra</t>
  </si>
  <si>
    <t>TREAD 50</t>
  </si>
  <si>
    <t>SE Powell, OR</t>
  </si>
  <si>
    <t>Kendra</t>
  </si>
  <si>
    <t>Justin2</t>
  </si>
  <si>
    <t>Dalton</t>
  </si>
  <si>
    <t>Tiffany2</t>
  </si>
  <si>
    <t>% of 25</t>
  </si>
  <si>
    <t>Taylor</t>
  </si>
  <si>
    <t>Aaron2</t>
  </si>
  <si>
    <t>Through Today</t>
  </si>
  <si>
    <t>By Class Rate</t>
  </si>
  <si>
    <t># Classes</t>
  </si>
  <si>
    <t>Avg Class Rate</t>
  </si>
  <si>
    <t>Today vs. 365 Days Ago</t>
  </si>
  <si>
    <t>Today vs. Class Rate (2025)</t>
  </si>
  <si>
    <t>Today vs. Avg Class Rate</t>
  </si>
  <si>
    <t>2026 Goals</t>
  </si>
  <si>
    <t>3-2019</t>
  </si>
  <si>
    <t>4-2019</t>
  </si>
  <si>
    <t>5-2019</t>
  </si>
  <si>
    <t>6-2019</t>
  </si>
  <si>
    <t>7-2019</t>
  </si>
  <si>
    <t>8-2019</t>
  </si>
  <si>
    <t>9-2019</t>
  </si>
  <si>
    <t>10-2019</t>
  </si>
  <si>
    <t>11-2019</t>
  </si>
  <si>
    <t>12-2019</t>
  </si>
  <si>
    <t>1-2020</t>
  </si>
  <si>
    <t>2-2020</t>
  </si>
  <si>
    <t>3-2020</t>
  </si>
  <si>
    <t>5-2021</t>
  </si>
  <si>
    <t>6-2021</t>
  </si>
  <si>
    <t>7-2021</t>
  </si>
  <si>
    <t>8-2021</t>
  </si>
  <si>
    <t>9-2021</t>
  </si>
  <si>
    <t>10-2021</t>
  </si>
  <si>
    <t>11-2021</t>
  </si>
  <si>
    <t>12-2021</t>
  </si>
  <si>
    <t>1-2022</t>
  </si>
  <si>
    <t>2-2022</t>
  </si>
  <si>
    <t>3-2022</t>
  </si>
  <si>
    <t>4-2022</t>
  </si>
  <si>
    <t>5-2022</t>
  </si>
  <si>
    <t>6-2022</t>
  </si>
  <si>
    <t>7-2022</t>
  </si>
  <si>
    <t>8-2022</t>
  </si>
  <si>
    <t>9-2022</t>
  </si>
  <si>
    <t>10-2022</t>
  </si>
  <si>
    <t>11-2022</t>
  </si>
  <si>
    <t>12-2022</t>
  </si>
  <si>
    <t>1-2023</t>
  </si>
  <si>
    <t>2-2023</t>
  </si>
  <si>
    <t>3-2023</t>
  </si>
  <si>
    <t>4-2023</t>
  </si>
  <si>
    <t>5-2023</t>
  </si>
  <si>
    <t>6-2023</t>
  </si>
  <si>
    <t>7-2023</t>
  </si>
  <si>
    <t>8-2023</t>
  </si>
  <si>
    <t>9-2023</t>
  </si>
  <si>
    <t>10-2023</t>
  </si>
  <si>
    <t>11-2023</t>
  </si>
  <si>
    <t>12-2023</t>
  </si>
  <si>
    <t>1-2024</t>
  </si>
  <si>
    <t>2-2024</t>
  </si>
  <si>
    <t>3-2024</t>
  </si>
  <si>
    <t>4-2024</t>
  </si>
  <si>
    <t>5-2024</t>
  </si>
  <si>
    <t>6-2024</t>
  </si>
  <si>
    <t>7-2024</t>
  </si>
  <si>
    <t>8-2024</t>
  </si>
  <si>
    <t>9-2024</t>
  </si>
  <si>
    <t>10-2024</t>
  </si>
  <si>
    <t>11-2024</t>
  </si>
  <si>
    <t>12-2024</t>
  </si>
  <si>
    <t>1-2025</t>
  </si>
  <si>
    <t>2-2025</t>
  </si>
  <si>
    <t>3-2025</t>
  </si>
  <si>
    <t>4-2025</t>
  </si>
  <si>
    <t>5-2025</t>
  </si>
  <si>
    <t>6-2025</t>
  </si>
  <si>
    <t>7-2025</t>
  </si>
  <si>
    <t>8-2025</t>
  </si>
  <si>
    <t>9-2025</t>
  </si>
  <si>
    <t>10-2025</t>
  </si>
  <si>
    <t>11-2025</t>
  </si>
  <si>
    <t>12-2025</t>
  </si>
  <si>
    <t>1-2026</t>
  </si>
  <si>
    <t>2-2026</t>
  </si>
  <si>
    <t>3-2026</t>
  </si>
  <si>
    <t>GrayMin</t>
  </si>
  <si>
    <t>BlueMin</t>
  </si>
  <si>
    <t>GreenMin</t>
  </si>
  <si>
    <t>OrangeMin</t>
  </si>
  <si>
    <t>RedMin</t>
  </si>
  <si>
    <t>Quarter</t>
  </si>
  <si>
    <t>Year-Qtr</t>
  </si>
  <si>
    <t>4-2026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</si>
</sst>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0"/>
    <numFmt numFmtId="165" formatCode="0.0"/>
    <numFmt numFmtId="166" formatCode="0.0%"/>
    <numFmt numFmtId="167" formatCode="yyyy\-mm\-dd;@"/>
    <numFmt numFmtId="168" formatCode="[$-409]d\-mmm\-yy;@"/>
    <numFmt numFmtId="169" formatCode="0.0000000"/>
    <numFmt numFmtId="170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Arial Unicode MS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4F81BD"/>
        <bgColor rgb="FF4F81BD"/>
      </patternFill>
    </fill>
    <fill>
      <patternFill patternType="solid">
        <fgColor rgb="FFB8CCE4"/>
        <bgColor rgb="FFB8CCE4"/>
      </patternFill>
    </fill>
    <fill>
      <patternFill patternType="solid">
        <fgColor rgb="FFDCE6F1"/>
        <bgColor rgb="FFDCE6F1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rgb="FFFFFFFF"/>
      </left>
      <right style="thin">
        <color rgb="FFFFFFFF"/>
      </right>
      <top/>
      <bottom style="thick">
        <color rgb="FFFFFFFF"/>
      </bottom>
      <diagonal/>
    </border>
    <border>
      <left style="thin">
        <color rgb="FFFFFFFF"/>
      </left>
      <right style="thin">
        <color rgb="FFFFFFFF"/>
      </right>
      <top style="thick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4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40">
    <xf numFmtId="0" fontId="0" fillId="0" borderId="0" xfId="0"/>
    <xf numFmtId="0" fontId="1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5" fillId="3" borderId="2" xfId="0" applyFont="1" applyFill="1" applyBorder="1" applyAlignment="1">
      <alignment horizontal="center"/>
    </xf>
    <xf numFmtId="0" fontId="6" fillId="4" borderId="3" xfId="0" applyFont="1" applyFill="1" applyBorder="1"/>
    <xf numFmtId="0" fontId="6" fillId="5" borderId="4" xfId="0" applyFont="1" applyFill="1" applyBorder="1"/>
    <xf numFmtId="0" fontId="6" fillId="4" borderId="4" xfId="0" applyFont="1" applyFill="1" applyBorder="1"/>
    <xf numFmtId="164" fontId="0" fillId="0" borderId="0" xfId="0" applyNumberFormat="1"/>
    <xf numFmtId="0" fontId="4" fillId="2" borderId="5" xfId="0" applyFont="1" applyFill="1" applyBorder="1" applyAlignment="1">
      <alignment horizontal="center"/>
    </xf>
    <xf numFmtId="167" fontId="4" fillId="6" borderId="6" xfId="0" applyNumberFormat="1" applyFont="1" applyFill="1" applyBorder="1" applyAlignment="1">
      <alignment horizontal="left" indent="1"/>
    </xf>
    <xf numFmtId="0" fontId="1" fillId="0" borderId="0" xfId="0" applyFont="1"/>
    <xf numFmtId="0" fontId="1" fillId="0" borderId="7" xfId="0" applyFont="1" applyBorder="1"/>
    <xf numFmtId="166" fontId="1" fillId="0" borderId="7" xfId="2" applyNumberFormat="1" applyFont="1" applyBorder="1"/>
    <xf numFmtId="166" fontId="1" fillId="0" borderId="0" xfId="2" applyNumberFormat="1" applyFont="1"/>
    <xf numFmtId="0" fontId="4" fillId="2" borderId="0" xfId="0" applyFont="1" applyFill="1" applyAlignment="1">
      <alignment horizontal="center"/>
    </xf>
    <xf numFmtId="166" fontId="3" fillId="2" borderId="1" xfId="2" applyNumberFormat="1" applyFont="1" applyFill="1" applyBorder="1"/>
    <xf numFmtId="166" fontId="4" fillId="2" borderId="1" xfId="2" applyNumberFormat="1" applyFont="1" applyFill="1" applyBorder="1" applyAlignment="1">
      <alignment horizontal="center"/>
    </xf>
    <xf numFmtId="165" fontId="4" fillId="2" borderId="1" xfId="0" applyNumberFormat="1" applyFont="1" applyFill="1" applyBorder="1" applyAlignment="1">
      <alignment horizontal="center"/>
    </xf>
    <xf numFmtId="165" fontId="3" fillId="2" borderId="1" xfId="0" applyNumberFormat="1" applyFont="1" applyFill="1" applyBorder="1"/>
    <xf numFmtId="44" fontId="3" fillId="2" borderId="1" xfId="1" applyFont="1" applyFill="1" applyBorder="1"/>
    <xf numFmtId="44" fontId="4" fillId="2" borderId="1" xfId="1" applyFont="1" applyFill="1" applyBorder="1" applyAlignment="1">
      <alignment horizontal="center"/>
    </xf>
    <xf numFmtId="168" fontId="0" fillId="0" borderId="0" xfId="0" applyNumberFormat="1"/>
    <xf numFmtId="0" fontId="0" fillId="7" borderId="8" xfId="0" applyFill="1" applyBorder="1"/>
    <xf numFmtId="166" fontId="0" fillId="0" borderId="0" xfId="2" applyNumberFormat="1" applyFont="1"/>
    <xf numFmtId="44" fontId="0" fillId="0" borderId="0" xfId="1" applyFont="1"/>
    <xf numFmtId="165" fontId="0" fillId="0" borderId="0" xfId="0" applyNumberFormat="1"/>
    <xf numFmtId="0" fontId="0" fillId="0" borderId="0" xfId="0" applyAlignment="1">
      <alignment horizontal="left"/>
    </xf>
    <xf numFmtId="169" fontId="0" fillId="0" borderId="0" xfId="0" applyNumberFormat="1"/>
    <xf numFmtId="168" fontId="0" fillId="6" borderId="9" xfId="0" applyNumberFormat="1" applyFill="1" applyBorder="1"/>
    <xf numFmtId="1" fontId="0" fillId="0" borderId="0" xfId="0" applyNumberFormat="1"/>
    <xf numFmtId="15" fontId="0" fillId="0" borderId="0" xfId="0" applyNumberFormat="1"/>
    <xf numFmtId="170" fontId="0" fillId="0" borderId="0" xfId="3" applyNumberFormat="1" applyFont="1"/>
    <xf numFmtId="170" fontId="0" fillId="0" borderId="0" xfId="0" applyNumberFormat="1"/>
    <xf numFmtId="0" fontId="0" fillId="0" borderId="0" xfId="0" applyAlignment="1">
      <alignment horizontal="right"/>
    </xf>
    <xf numFmtId="0" fontId="6" fillId="4" borderId="0" xfId="0" applyFont="1" applyFill="1"/>
    <xf numFmtId="14" fontId="0" fillId="0" borderId="0" xfId="0" applyNumberFormat="1"/>
    <xf numFmtId="0" fontId="7" fillId="0" borderId="0" xfId="0" applyFont="1"/>
    <xf numFmtId="0" fontId="0" fillId="0" borderId="0" xfId="0" applyNumberFormat="1"/>
    <xf numFmtId="49" fontId="0" fillId="0" borderId="0" xfId="0" applyNumberFormat="1"/>
  </cellXfs>
  <cellStyles count="4">
    <cellStyle name="Comma" xfId="3" builtinId="3"/>
    <cellStyle name="Currency" xfId="1" builtinId="4"/>
    <cellStyle name="Normal" xfId="0" builtinId="0"/>
    <cellStyle name="Percent" xfId="2" builtinId="5"/>
  </cellStyles>
  <dxfs count="34"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family val="2"/>
        <scheme val="none"/>
      </font>
    </dxf>
    <dxf>
      <numFmt numFmtId="0" formatCode="General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0" formatCode="General"/>
    </dxf>
    <dxf>
      <numFmt numFmtId="0" formatCode="General"/>
    </dxf>
    <dxf>
      <numFmt numFmtId="0" formatCode="General"/>
    </dxf>
    <dxf>
      <numFmt numFmtId="166" formatCode="0.0%"/>
    </dxf>
    <dxf>
      <numFmt numFmtId="0" formatCode="General"/>
    </dxf>
    <dxf>
      <numFmt numFmtId="0" formatCode="General"/>
    </dxf>
    <dxf>
      <numFmt numFmtId="165" formatCode="0.0"/>
    </dxf>
    <dxf>
      <numFmt numFmtId="0" formatCode="General"/>
    </dxf>
    <dxf>
      <numFmt numFmtId="0" formatCode="General"/>
    </dxf>
    <dxf>
      <numFmt numFmtId="0" formatCode="General"/>
    </dxf>
    <dxf>
      <numFmt numFmtId="165" formatCode="0.0"/>
    </dxf>
    <dxf>
      <numFmt numFmtId="0" formatCode="General"/>
    </dxf>
    <dxf>
      <numFmt numFmtId="165" formatCode="0.0"/>
    </dxf>
    <dxf>
      <numFmt numFmtId="165" formatCode="0.0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0" formatCode="General"/>
    </dxf>
    <dxf>
      <numFmt numFmtId="168" formatCode="[$-409]d\-mmm\-yy;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Minutes'!$B$1</c:f>
              <c:strCache>
                <c:ptCount val="1"/>
                <c:pt idx="0">
                  <c:v>GrayMin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'Monthly Minutes'!$A$2:$A$74</c:f>
              <c:strCache>
                <c:ptCount val="73"/>
                <c:pt idx="0">
                  <c:v>3-2019</c:v>
                </c:pt>
                <c:pt idx="1">
                  <c:v>4-2019</c:v>
                </c:pt>
                <c:pt idx="2">
                  <c:v>5-2019</c:v>
                </c:pt>
                <c:pt idx="3">
                  <c:v>6-2019</c:v>
                </c:pt>
                <c:pt idx="4">
                  <c:v>7-2019</c:v>
                </c:pt>
                <c:pt idx="5">
                  <c:v>8-2019</c:v>
                </c:pt>
                <c:pt idx="6">
                  <c:v>9-2019</c:v>
                </c:pt>
                <c:pt idx="7">
                  <c:v>10-2019</c:v>
                </c:pt>
                <c:pt idx="8">
                  <c:v>11-2019</c:v>
                </c:pt>
                <c:pt idx="9">
                  <c:v>12-2019</c:v>
                </c:pt>
                <c:pt idx="10">
                  <c:v>1-2020</c:v>
                </c:pt>
                <c:pt idx="11">
                  <c:v>2-2020</c:v>
                </c:pt>
                <c:pt idx="12">
                  <c:v>3-2020</c:v>
                </c:pt>
                <c:pt idx="13">
                  <c:v>5-2021</c:v>
                </c:pt>
                <c:pt idx="14">
                  <c:v>6-2021</c:v>
                </c:pt>
                <c:pt idx="15">
                  <c:v>7-2021</c:v>
                </c:pt>
                <c:pt idx="16">
                  <c:v>8-2021</c:v>
                </c:pt>
                <c:pt idx="17">
                  <c:v>9-2021</c:v>
                </c:pt>
                <c:pt idx="18">
                  <c:v>10-2021</c:v>
                </c:pt>
                <c:pt idx="19">
                  <c:v>11-2021</c:v>
                </c:pt>
                <c:pt idx="20">
                  <c:v>12-2021</c:v>
                </c:pt>
                <c:pt idx="21">
                  <c:v>1-2022</c:v>
                </c:pt>
                <c:pt idx="22">
                  <c:v>2-2022</c:v>
                </c:pt>
                <c:pt idx="23">
                  <c:v>3-2022</c:v>
                </c:pt>
                <c:pt idx="24">
                  <c:v>4-2022</c:v>
                </c:pt>
                <c:pt idx="25">
                  <c:v>5-2022</c:v>
                </c:pt>
                <c:pt idx="26">
                  <c:v>6-2022</c:v>
                </c:pt>
                <c:pt idx="27">
                  <c:v>7-2022</c:v>
                </c:pt>
                <c:pt idx="28">
                  <c:v>8-2022</c:v>
                </c:pt>
                <c:pt idx="29">
                  <c:v>9-2022</c:v>
                </c:pt>
                <c:pt idx="30">
                  <c:v>10-2022</c:v>
                </c:pt>
                <c:pt idx="31">
                  <c:v>11-2022</c:v>
                </c:pt>
                <c:pt idx="32">
                  <c:v>12-2022</c:v>
                </c:pt>
                <c:pt idx="33">
                  <c:v>1-2023</c:v>
                </c:pt>
                <c:pt idx="34">
                  <c:v>2-2023</c:v>
                </c:pt>
                <c:pt idx="35">
                  <c:v>3-2023</c:v>
                </c:pt>
                <c:pt idx="36">
                  <c:v>4-2023</c:v>
                </c:pt>
                <c:pt idx="37">
                  <c:v>5-2023</c:v>
                </c:pt>
                <c:pt idx="38">
                  <c:v>6-2023</c:v>
                </c:pt>
                <c:pt idx="39">
                  <c:v>7-2023</c:v>
                </c:pt>
                <c:pt idx="40">
                  <c:v>8-2023</c:v>
                </c:pt>
                <c:pt idx="41">
                  <c:v>9-2023</c:v>
                </c:pt>
                <c:pt idx="42">
                  <c:v>10-2023</c:v>
                </c:pt>
                <c:pt idx="43">
                  <c:v>11-2023</c:v>
                </c:pt>
                <c:pt idx="44">
                  <c:v>12-2023</c:v>
                </c:pt>
                <c:pt idx="45">
                  <c:v>1-2024</c:v>
                </c:pt>
                <c:pt idx="46">
                  <c:v>2-2024</c:v>
                </c:pt>
                <c:pt idx="47">
                  <c:v>3-2024</c:v>
                </c:pt>
                <c:pt idx="48">
                  <c:v>4-2024</c:v>
                </c:pt>
                <c:pt idx="49">
                  <c:v>5-2024</c:v>
                </c:pt>
                <c:pt idx="50">
                  <c:v>6-2024</c:v>
                </c:pt>
                <c:pt idx="51">
                  <c:v>7-2024</c:v>
                </c:pt>
                <c:pt idx="52">
                  <c:v>8-2024</c:v>
                </c:pt>
                <c:pt idx="53">
                  <c:v>9-2024</c:v>
                </c:pt>
                <c:pt idx="54">
                  <c:v>10-2024</c:v>
                </c:pt>
                <c:pt idx="55">
                  <c:v>11-2024</c:v>
                </c:pt>
                <c:pt idx="56">
                  <c:v>12-2024</c:v>
                </c:pt>
                <c:pt idx="57">
                  <c:v>1-2025</c:v>
                </c:pt>
                <c:pt idx="58">
                  <c:v>2-2025</c:v>
                </c:pt>
                <c:pt idx="59">
                  <c:v>3-2025</c:v>
                </c:pt>
                <c:pt idx="60">
                  <c:v>4-2025</c:v>
                </c:pt>
                <c:pt idx="61">
                  <c:v>5-2025</c:v>
                </c:pt>
                <c:pt idx="62">
                  <c:v>6-2025</c:v>
                </c:pt>
                <c:pt idx="63">
                  <c:v>7-2025</c:v>
                </c:pt>
                <c:pt idx="64">
                  <c:v>8-2025</c:v>
                </c:pt>
                <c:pt idx="65">
                  <c:v>9-2025</c:v>
                </c:pt>
                <c:pt idx="66">
                  <c:v>10-2025</c:v>
                </c:pt>
                <c:pt idx="67">
                  <c:v>11-2025</c:v>
                </c:pt>
                <c:pt idx="68">
                  <c:v>12-2025</c:v>
                </c:pt>
                <c:pt idx="69">
                  <c:v>1-2026</c:v>
                </c:pt>
                <c:pt idx="70">
                  <c:v>2-2026</c:v>
                </c:pt>
                <c:pt idx="71">
                  <c:v>3-2026</c:v>
                </c:pt>
                <c:pt idx="72">
                  <c:v>4-2026</c:v>
                </c:pt>
              </c:strCache>
            </c:strRef>
          </c:cat>
          <c:val>
            <c:numRef>
              <c:f>'Monthly Minutes'!$B$2:$B$74</c:f>
              <c:numCache>
                <c:formatCode>0.0</c:formatCode>
                <c:ptCount val="73"/>
                <c:pt idx="0">
                  <c:v>15.666666666666666</c:v>
                </c:pt>
                <c:pt idx="1">
                  <c:v>27.205555555666667</c:v>
                </c:pt>
                <c:pt idx="2">
                  <c:v>15.1958333335</c:v>
                </c:pt>
                <c:pt idx="3">
                  <c:v>11.856666666600001</c:v>
                </c:pt>
                <c:pt idx="4">
                  <c:v>11.069696969727271</c:v>
                </c:pt>
                <c:pt idx="5">
                  <c:v>14.172727272727274</c:v>
                </c:pt>
                <c:pt idx="6">
                  <c:v>16.990196078470586</c:v>
                </c:pt>
                <c:pt idx="7">
                  <c:v>17.269607843235296</c:v>
                </c:pt>
                <c:pt idx="8">
                  <c:v>14.382222222266668</c:v>
                </c:pt>
                <c:pt idx="9">
                  <c:v>13.767857142785713</c:v>
                </c:pt>
                <c:pt idx="10">
                  <c:v>15.824999999928574</c:v>
                </c:pt>
                <c:pt idx="11">
                  <c:v>15.0135416666875</c:v>
                </c:pt>
                <c:pt idx="12">
                  <c:v>18.331249999999997</c:v>
                </c:pt>
                <c:pt idx="13">
                  <c:v>7</c:v>
                </c:pt>
                <c:pt idx="14">
                  <c:v>17.0625</c:v>
                </c:pt>
                <c:pt idx="15">
                  <c:v>18.529411764705884</c:v>
                </c:pt>
                <c:pt idx="16">
                  <c:v>9.6111111111111107</c:v>
                </c:pt>
                <c:pt idx="17">
                  <c:v>9.6923076923076916</c:v>
                </c:pt>
                <c:pt idx="18">
                  <c:v>11.066666666666666</c:v>
                </c:pt>
                <c:pt idx="19">
                  <c:v>9.5</c:v>
                </c:pt>
                <c:pt idx="20">
                  <c:v>7.8</c:v>
                </c:pt>
                <c:pt idx="21">
                  <c:v>8</c:v>
                </c:pt>
                <c:pt idx="22">
                  <c:v>10.928571428571429</c:v>
                </c:pt>
                <c:pt idx="23">
                  <c:v>13.071428571428571</c:v>
                </c:pt>
                <c:pt idx="24">
                  <c:v>13.666666666666666</c:v>
                </c:pt>
                <c:pt idx="25">
                  <c:v>15.928571428571429</c:v>
                </c:pt>
                <c:pt idx="26">
                  <c:v>14.142857142857142</c:v>
                </c:pt>
                <c:pt idx="27">
                  <c:v>14.055555555555555</c:v>
                </c:pt>
                <c:pt idx="28">
                  <c:v>13.823529411764707</c:v>
                </c:pt>
                <c:pt idx="29">
                  <c:v>11.357142857142858</c:v>
                </c:pt>
                <c:pt idx="30">
                  <c:v>12.2</c:v>
                </c:pt>
                <c:pt idx="31">
                  <c:v>9.6875</c:v>
                </c:pt>
                <c:pt idx="32">
                  <c:v>10.111111111111111</c:v>
                </c:pt>
                <c:pt idx="33">
                  <c:v>11.8125</c:v>
                </c:pt>
                <c:pt idx="34">
                  <c:v>13.8</c:v>
                </c:pt>
                <c:pt idx="35">
                  <c:v>13.357142857142858</c:v>
                </c:pt>
                <c:pt idx="36">
                  <c:v>15.066666666666666</c:v>
                </c:pt>
                <c:pt idx="37">
                  <c:v>11.333333333333334</c:v>
                </c:pt>
                <c:pt idx="38">
                  <c:v>14.076923076923077</c:v>
                </c:pt>
                <c:pt idx="39">
                  <c:v>13.8</c:v>
                </c:pt>
                <c:pt idx="40">
                  <c:v>10.199999999999999</c:v>
                </c:pt>
                <c:pt idx="41">
                  <c:v>15.153846153846153</c:v>
                </c:pt>
                <c:pt idx="42">
                  <c:v>13.533333333333333</c:v>
                </c:pt>
                <c:pt idx="43">
                  <c:v>15.466666666666667</c:v>
                </c:pt>
                <c:pt idx="44">
                  <c:v>12.25</c:v>
                </c:pt>
                <c:pt idx="45">
                  <c:v>15.375</c:v>
                </c:pt>
                <c:pt idx="46">
                  <c:v>12.384615384615385</c:v>
                </c:pt>
                <c:pt idx="47">
                  <c:v>14.76923076923077</c:v>
                </c:pt>
                <c:pt idx="48">
                  <c:v>17.23076923076923</c:v>
                </c:pt>
                <c:pt idx="49">
                  <c:v>18.285714285714285</c:v>
                </c:pt>
                <c:pt idx="50">
                  <c:v>18.285714285714285</c:v>
                </c:pt>
                <c:pt idx="51">
                  <c:v>19.600000000000001</c:v>
                </c:pt>
                <c:pt idx="52">
                  <c:v>17.777777777777779</c:v>
                </c:pt>
                <c:pt idx="53">
                  <c:v>17.214285714285715</c:v>
                </c:pt>
                <c:pt idx="54">
                  <c:v>14.571428571428571</c:v>
                </c:pt>
                <c:pt idx="55">
                  <c:v>17</c:v>
                </c:pt>
                <c:pt idx="56">
                  <c:v>14.25</c:v>
                </c:pt>
                <c:pt idx="57">
                  <c:v>14.6875</c:v>
                </c:pt>
                <c:pt idx="58">
                  <c:v>16.25</c:v>
                </c:pt>
                <c:pt idx="59">
                  <c:v>17.3125</c:v>
                </c:pt>
                <c:pt idx="60">
                  <c:v>16.384615384615383</c:v>
                </c:pt>
                <c:pt idx="61">
                  <c:v>15.214285714285714</c:v>
                </c:pt>
                <c:pt idx="62">
                  <c:v>15.25</c:v>
                </c:pt>
                <c:pt idx="63">
                  <c:v>18.416666666666668</c:v>
                </c:pt>
                <c:pt idx="64">
                  <c:v>18.285714285714285</c:v>
                </c:pt>
                <c:pt idx="65">
                  <c:v>20.274725274725274</c:v>
                </c:pt>
                <c:pt idx="66">
                  <c:v>16.933333333333334</c:v>
                </c:pt>
                <c:pt idx="67">
                  <c:v>19.083333333333332</c:v>
                </c:pt>
                <c:pt idx="68">
                  <c:v>17.181818181818183</c:v>
                </c:pt>
                <c:pt idx="69">
                  <c:v>15.466666666666667</c:v>
                </c:pt>
                <c:pt idx="70">
                  <c:v>18.153846153846153</c:v>
                </c:pt>
                <c:pt idx="71">
                  <c:v>17.142857142857142</c:v>
                </c:pt>
                <c:pt idx="72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40-8246-8F5D-811FFEF53225}"/>
            </c:ext>
          </c:extLst>
        </c:ser>
        <c:ser>
          <c:idx val="1"/>
          <c:order val="1"/>
          <c:tx>
            <c:strRef>
              <c:f>'Monthly Minutes'!$C$1</c:f>
              <c:strCache>
                <c:ptCount val="1"/>
                <c:pt idx="0">
                  <c:v>BlueMin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strRef>
              <c:f>'Monthly Minutes'!$A$2:$A$74</c:f>
              <c:strCache>
                <c:ptCount val="73"/>
                <c:pt idx="0">
                  <c:v>3-2019</c:v>
                </c:pt>
                <c:pt idx="1">
                  <c:v>4-2019</c:v>
                </c:pt>
                <c:pt idx="2">
                  <c:v>5-2019</c:v>
                </c:pt>
                <c:pt idx="3">
                  <c:v>6-2019</c:v>
                </c:pt>
                <c:pt idx="4">
                  <c:v>7-2019</c:v>
                </c:pt>
                <c:pt idx="5">
                  <c:v>8-2019</c:v>
                </c:pt>
                <c:pt idx="6">
                  <c:v>9-2019</c:v>
                </c:pt>
                <c:pt idx="7">
                  <c:v>10-2019</c:v>
                </c:pt>
                <c:pt idx="8">
                  <c:v>11-2019</c:v>
                </c:pt>
                <c:pt idx="9">
                  <c:v>12-2019</c:v>
                </c:pt>
                <c:pt idx="10">
                  <c:v>1-2020</c:v>
                </c:pt>
                <c:pt idx="11">
                  <c:v>2-2020</c:v>
                </c:pt>
                <c:pt idx="12">
                  <c:v>3-2020</c:v>
                </c:pt>
                <c:pt idx="13">
                  <c:v>5-2021</c:v>
                </c:pt>
                <c:pt idx="14">
                  <c:v>6-2021</c:v>
                </c:pt>
                <c:pt idx="15">
                  <c:v>7-2021</c:v>
                </c:pt>
                <c:pt idx="16">
                  <c:v>8-2021</c:v>
                </c:pt>
                <c:pt idx="17">
                  <c:v>9-2021</c:v>
                </c:pt>
                <c:pt idx="18">
                  <c:v>10-2021</c:v>
                </c:pt>
                <c:pt idx="19">
                  <c:v>11-2021</c:v>
                </c:pt>
                <c:pt idx="20">
                  <c:v>12-2021</c:v>
                </c:pt>
                <c:pt idx="21">
                  <c:v>1-2022</c:v>
                </c:pt>
                <c:pt idx="22">
                  <c:v>2-2022</c:v>
                </c:pt>
                <c:pt idx="23">
                  <c:v>3-2022</c:v>
                </c:pt>
                <c:pt idx="24">
                  <c:v>4-2022</c:v>
                </c:pt>
                <c:pt idx="25">
                  <c:v>5-2022</c:v>
                </c:pt>
                <c:pt idx="26">
                  <c:v>6-2022</c:v>
                </c:pt>
                <c:pt idx="27">
                  <c:v>7-2022</c:v>
                </c:pt>
                <c:pt idx="28">
                  <c:v>8-2022</c:v>
                </c:pt>
                <c:pt idx="29">
                  <c:v>9-2022</c:v>
                </c:pt>
                <c:pt idx="30">
                  <c:v>10-2022</c:v>
                </c:pt>
                <c:pt idx="31">
                  <c:v>11-2022</c:v>
                </c:pt>
                <c:pt idx="32">
                  <c:v>12-2022</c:v>
                </c:pt>
                <c:pt idx="33">
                  <c:v>1-2023</c:v>
                </c:pt>
                <c:pt idx="34">
                  <c:v>2-2023</c:v>
                </c:pt>
                <c:pt idx="35">
                  <c:v>3-2023</c:v>
                </c:pt>
                <c:pt idx="36">
                  <c:v>4-2023</c:v>
                </c:pt>
                <c:pt idx="37">
                  <c:v>5-2023</c:v>
                </c:pt>
                <c:pt idx="38">
                  <c:v>6-2023</c:v>
                </c:pt>
                <c:pt idx="39">
                  <c:v>7-2023</c:v>
                </c:pt>
                <c:pt idx="40">
                  <c:v>8-2023</c:v>
                </c:pt>
                <c:pt idx="41">
                  <c:v>9-2023</c:v>
                </c:pt>
                <c:pt idx="42">
                  <c:v>10-2023</c:v>
                </c:pt>
                <c:pt idx="43">
                  <c:v>11-2023</c:v>
                </c:pt>
                <c:pt idx="44">
                  <c:v>12-2023</c:v>
                </c:pt>
                <c:pt idx="45">
                  <c:v>1-2024</c:v>
                </c:pt>
                <c:pt idx="46">
                  <c:v>2-2024</c:v>
                </c:pt>
                <c:pt idx="47">
                  <c:v>3-2024</c:v>
                </c:pt>
                <c:pt idx="48">
                  <c:v>4-2024</c:v>
                </c:pt>
                <c:pt idx="49">
                  <c:v>5-2024</c:v>
                </c:pt>
                <c:pt idx="50">
                  <c:v>6-2024</c:v>
                </c:pt>
                <c:pt idx="51">
                  <c:v>7-2024</c:v>
                </c:pt>
                <c:pt idx="52">
                  <c:v>8-2024</c:v>
                </c:pt>
                <c:pt idx="53">
                  <c:v>9-2024</c:v>
                </c:pt>
                <c:pt idx="54">
                  <c:v>10-2024</c:v>
                </c:pt>
                <c:pt idx="55">
                  <c:v>11-2024</c:v>
                </c:pt>
                <c:pt idx="56">
                  <c:v>12-2024</c:v>
                </c:pt>
                <c:pt idx="57">
                  <c:v>1-2025</c:v>
                </c:pt>
                <c:pt idx="58">
                  <c:v>2-2025</c:v>
                </c:pt>
                <c:pt idx="59">
                  <c:v>3-2025</c:v>
                </c:pt>
                <c:pt idx="60">
                  <c:v>4-2025</c:v>
                </c:pt>
                <c:pt idx="61">
                  <c:v>5-2025</c:v>
                </c:pt>
                <c:pt idx="62">
                  <c:v>6-2025</c:v>
                </c:pt>
                <c:pt idx="63">
                  <c:v>7-2025</c:v>
                </c:pt>
                <c:pt idx="64">
                  <c:v>8-2025</c:v>
                </c:pt>
                <c:pt idx="65">
                  <c:v>9-2025</c:v>
                </c:pt>
                <c:pt idx="66">
                  <c:v>10-2025</c:v>
                </c:pt>
                <c:pt idx="67">
                  <c:v>11-2025</c:v>
                </c:pt>
                <c:pt idx="68">
                  <c:v>12-2025</c:v>
                </c:pt>
                <c:pt idx="69">
                  <c:v>1-2026</c:v>
                </c:pt>
                <c:pt idx="70">
                  <c:v>2-2026</c:v>
                </c:pt>
                <c:pt idx="71">
                  <c:v>3-2026</c:v>
                </c:pt>
                <c:pt idx="72">
                  <c:v>4-2026</c:v>
                </c:pt>
              </c:strCache>
            </c:strRef>
          </c:cat>
          <c:val>
            <c:numRef>
              <c:f>'Monthly Minutes'!$C$2:$C$74</c:f>
              <c:numCache>
                <c:formatCode>0.0</c:formatCode>
                <c:ptCount val="73"/>
                <c:pt idx="0">
                  <c:v>18</c:v>
                </c:pt>
                <c:pt idx="1">
                  <c:v>9.0722222223333322</c:v>
                </c:pt>
                <c:pt idx="2">
                  <c:v>14.745833333</c:v>
                </c:pt>
                <c:pt idx="3">
                  <c:v>17.556666666600002</c:v>
                </c:pt>
                <c:pt idx="4">
                  <c:v>15.690909091000002</c:v>
                </c:pt>
                <c:pt idx="5">
                  <c:v>11.633333333272729</c:v>
                </c:pt>
                <c:pt idx="6">
                  <c:v>12.701960784294116</c:v>
                </c:pt>
                <c:pt idx="7">
                  <c:v>10.725490196176471</c:v>
                </c:pt>
                <c:pt idx="8">
                  <c:v>11.8877777778</c:v>
                </c:pt>
                <c:pt idx="9">
                  <c:v>12.204761904642856</c:v>
                </c:pt>
                <c:pt idx="10">
                  <c:v>11.761904762</c:v>
                </c:pt>
                <c:pt idx="11">
                  <c:v>12.853124999937497</c:v>
                </c:pt>
                <c:pt idx="12">
                  <c:v>12.177083333375</c:v>
                </c:pt>
                <c:pt idx="13">
                  <c:v>12.4</c:v>
                </c:pt>
                <c:pt idx="14">
                  <c:v>13.25</c:v>
                </c:pt>
                <c:pt idx="15">
                  <c:v>13.058823529411764</c:v>
                </c:pt>
                <c:pt idx="16">
                  <c:v>14.777777777777779</c:v>
                </c:pt>
                <c:pt idx="17">
                  <c:v>15.76923076923077</c:v>
                </c:pt>
                <c:pt idx="18">
                  <c:v>15</c:v>
                </c:pt>
                <c:pt idx="19">
                  <c:v>16.714285714285715</c:v>
                </c:pt>
                <c:pt idx="20">
                  <c:v>16.2</c:v>
                </c:pt>
                <c:pt idx="21">
                  <c:v>13.5</c:v>
                </c:pt>
                <c:pt idx="22">
                  <c:v>15.428571428571429</c:v>
                </c:pt>
                <c:pt idx="23">
                  <c:v>14.214285714285714</c:v>
                </c:pt>
                <c:pt idx="24">
                  <c:v>16.466666666666665</c:v>
                </c:pt>
                <c:pt idx="25">
                  <c:v>13.571428571428571</c:v>
                </c:pt>
                <c:pt idx="26">
                  <c:v>15.285714285714286</c:v>
                </c:pt>
                <c:pt idx="27">
                  <c:v>15.333333333333334</c:v>
                </c:pt>
                <c:pt idx="28">
                  <c:v>16.294117647058822</c:v>
                </c:pt>
                <c:pt idx="29">
                  <c:v>14.928571428571429</c:v>
                </c:pt>
                <c:pt idx="30">
                  <c:v>14.933333333333334</c:v>
                </c:pt>
                <c:pt idx="31">
                  <c:v>13.8125</c:v>
                </c:pt>
                <c:pt idx="32">
                  <c:v>14.333333333333334</c:v>
                </c:pt>
                <c:pt idx="33">
                  <c:v>13.5625</c:v>
                </c:pt>
                <c:pt idx="34">
                  <c:v>15.733333333333333</c:v>
                </c:pt>
                <c:pt idx="35">
                  <c:v>13.428571428571429</c:v>
                </c:pt>
                <c:pt idx="36">
                  <c:v>12.2</c:v>
                </c:pt>
                <c:pt idx="37">
                  <c:v>14</c:v>
                </c:pt>
                <c:pt idx="38">
                  <c:v>14.153846153846153</c:v>
                </c:pt>
                <c:pt idx="39">
                  <c:v>17</c:v>
                </c:pt>
                <c:pt idx="40">
                  <c:v>16.5</c:v>
                </c:pt>
                <c:pt idx="41">
                  <c:v>15.846153846153847</c:v>
                </c:pt>
                <c:pt idx="42">
                  <c:v>17.066666666666666</c:v>
                </c:pt>
                <c:pt idx="43">
                  <c:v>14.933333333333334</c:v>
                </c:pt>
                <c:pt idx="44">
                  <c:v>14</c:v>
                </c:pt>
                <c:pt idx="45">
                  <c:v>14.875</c:v>
                </c:pt>
                <c:pt idx="46">
                  <c:v>15.23076923076923</c:v>
                </c:pt>
                <c:pt idx="47">
                  <c:v>16.153846153846153</c:v>
                </c:pt>
                <c:pt idx="48">
                  <c:v>14.923076923076923</c:v>
                </c:pt>
                <c:pt idx="49">
                  <c:v>12.785714285714286</c:v>
                </c:pt>
                <c:pt idx="50">
                  <c:v>15.142857142857142</c:v>
                </c:pt>
                <c:pt idx="51">
                  <c:v>13.4</c:v>
                </c:pt>
                <c:pt idx="52">
                  <c:v>14.222222222222221</c:v>
                </c:pt>
                <c:pt idx="53">
                  <c:v>15.428571428571429</c:v>
                </c:pt>
                <c:pt idx="54">
                  <c:v>16.142857142857142</c:v>
                </c:pt>
                <c:pt idx="55">
                  <c:v>14.571428571428571</c:v>
                </c:pt>
                <c:pt idx="56">
                  <c:v>14</c:v>
                </c:pt>
                <c:pt idx="57">
                  <c:v>16.1875</c:v>
                </c:pt>
                <c:pt idx="58">
                  <c:v>15.25</c:v>
                </c:pt>
                <c:pt idx="59">
                  <c:v>14.6875</c:v>
                </c:pt>
                <c:pt idx="60">
                  <c:v>14.692307692307692</c:v>
                </c:pt>
                <c:pt idx="61">
                  <c:v>16.5</c:v>
                </c:pt>
                <c:pt idx="62">
                  <c:v>15.5</c:v>
                </c:pt>
                <c:pt idx="63">
                  <c:v>12.166666666666666</c:v>
                </c:pt>
                <c:pt idx="64">
                  <c:v>14.857142857142858</c:v>
                </c:pt>
                <c:pt idx="65">
                  <c:v>14.241758241758243</c:v>
                </c:pt>
                <c:pt idx="66">
                  <c:v>13.933333333333334</c:v>
                </c:pt>
                <c:pt idx="67">
                  <c:v>13.166666666666666</c:v>
                </c:pt>
                <c:pt idx="68">
                  <c:v>12.454545454545455</c:v>
                </c:pt>
                <c:pt idx="69">
                  <c:v>12.8</c:v>
                </c:pt>
                <c:pt idx="70">
                  <c:v>15.692307692307692</c:v>
                </c:pt>
                <c:pt idx="71">
                  <c:v>16.642857142857142</c:v>
                </c:pt>
                <c:pt idx="72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40-8246-8F5D-811FFEF53225}"/>
            </c:ext>
          </c:extLst>
        </c:ser>
        <c:ser>
          <c:idx val="2"/>
          <c:order val="2"/>
          <c:tx>
            <c:strRef>
              <c:f>'Monthly Minutes'!$D$1</c:f>
              <c:strCache>
                <c:ptCount val="1"/>
                <c:pt idx="0">
                  <c:v>GreenMin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'Monthly Minutes'!$A$2:$A$74</c:f>
              <c:strCache>
                <c:ptCount val="73"/>
                <c:pt idx="0">
                  <c:v>3-2019</c:v>
                </c:pt>
                <c:pt idx="1">
                  <c:v>4-2019</c:v>
                </c:pt>
                <c:pt idx="2">
                  <c:v>5-2019</c:v>
                </c:pt>
                <c:pt idx="3">
                  <c:v>6-2019</c:v>
                </c:pt>
                <c:pt idx="4">
                  <c:v>7-2019</c:v>
                </c:pt>
                <c:pt idx="5">
                  <c:v>8-2019</c:v>
                </c:pt>
                <c:pt idx="6">
                  <c:v>9-2019</c:v>
                </c:pt>
                <c:pt idx="7">
                  <c:v>10-2019</c:v>
                </c:pt>
                <c:pt idx="8">
                  <c:v>11-2019</c:v>
                </c:pt>
                <c:pt idx="9">
                  <c:v>12-2019</c:v>
                </c:pt>
                <c:pt idx="10">
                  <c:v>1-2020</c:v>
                </c:pt>
                <c:pt idx="11">
                  <c:v>2-2020</c:v>
                </c:pt>
                <c:pt idx="12">
                  <c:v>3-2020</c:v>
                </c:pt>
                <c:pt idx="13">
                  <c:v>5-2021</c:v>
                </c:pt>
                <c:pt idx="14">
                  <c:v>6-2021</c:v>
                </c:pt>
                <c:pt idx="15">
                  <c:v>7-2021</c:v>
                </c:pt>
                <c:pt idx="16">
                  <c:v>8-2021</c:v>
                </c:pt>
                <c:pt idx="17">
                  <c:v>9-2021</c:v>
                </c:pt>
                <c:pt idx="18">
                  <c:v>10-2021</c:v>
                </c:pt>
                <c:pt idx="19">
                  <c:v>11-2021</c:v>
                </c:pt>
                <c:pt idx="20">
                  <c:v>12-2021</c:v>
                </c:pt>
                <c:pt idx="21">
                  <c:v>1-2022</c:v>
                </c:pt>
                <c:pt idx="22">
                  <c:v>2-2022</c:v>
                </c:pt>
                <c:pt idx="23">
                  <c:v>3-2022</c:v>
                </c:pt>
                <c:pt idx="24">
                  <c:v>4-2022</c:v>
                </c:pt>
                <c:pt idx="25">
                  <c:v>5-2022</c:v>
                </c:pt>
                <c:pt idx="26">
                  <c:v>6-2022</c:v>
                </c:pt>
                <c:pt idx="27">
                  <c:v>7-2022</c:v>
                </c:pt>
                <c:pt idx="28">
                  <c:v>8-2022</c:v>
                </c:pt>
                <c:pt idx="29">
                  <c:v>9-2022</c:v>
                </c:pt>
                <c:pt idx="30">
                  <c:v>10-2022</c:v>
                </c:pt>
                <c:pt idx="31">
                  <c:v>11-2022</c:v>
                </c:pt>
                <c:pt idx="32">
                  <c:v>12-2022</c:v>
                </c:pt>
                <c:pt idx="33">
                  <c:v>1-2023</c:v>
                </c:pt>
                <c:pt idx="34">
                  <c:v>2-2023</c:v>
                </c:pt>
                <c:pt idx="35">
                  <c:v>3-2023</c:v>
                </c:pt>
                <c:pt idx="36">
                  <c:v>4-2023</c:v>
                </c:pt>
                <c:pt idx="37">
                  <c:v>5-2023</c:v>
                </c:pt>
                <c:pt idx="38">
                  <c:v>6-2023</c:v>
                </c:pt>
                <c:pt idx="39">
                  <c:v>7-2023</c:v>
                </c:pt>
                <c:pt idx="40">
                  <c:v>8-2023</c:v>
                </c:pt>
                <c:pt idx="41">
                  <c:v>9-2023</c:v>
                </c:pt>
                <c:pt idx="42">
                  <c:v>10-2023</c:v>
                </c:pt>
                <c:pt idx="43">
                  <c:v>11-2023</c:v>
                </c:pt>
                <c:pt idx="44">
                  <c:v>12-2023</c:v>
                </c:pt>
                <c:pt idx="45">
                  <c:v>1-2024</c:v>
                </c:pt>
                <c:pt idx="46">
                  <c:v>2-2024</c:v>
                </c:pt>
                <c:pt idx="47">
                  <c:v>3-2024</c:v>
                </c:pt>
                <c:pt idx="48">
                  <c:v>4-2024</c:v>
                </c:pt>
                <c:pt idx="49">
                  <c:v>5-2024</c:v>
                </c:pt>
                <c:pt idx="50">
                  <c:v>6-2024</c:v>
                </c:pt>
                <c:pt idx="51">
                  <c:v>7-2024</c:v>
                </c:pt>
                <c:pt idx="52">
                  <c:v>8-2024</c:v>
                </c:pt>
                <c:pt idx="53">
                  <c:v>9-2024</c:v>
                </c:pt>
                <c:pt idx="54">
                  <c:v>10-2024</c:v>
                </c:pt>
                <c:pt idx="55">
                  <c:v>11-2024</c:v>
                </c:pt>
                <c:pt idx="56">
                  <c:v>12-2024</c:v>
                </c:pt>
                <c:pt idx="57">
                  <c:v>1-2025</c:v>
                </c:pt>
                <c:pt idx="58">
                  <c:v>2-2025</c:v>
                </c:pt>
                <c:pt idx="59">
                  <c:v>3-2025</c:v>
                </c:pt>
                <c:pt idx="60">
                  <c:v>4-2025</c:v>
                </c:pt>
                <c:pt idx="61">
                  <c:v>5-2025</c:v>
                </c:pt>
                <c:pt idx="62">
                  <c:v>6-2025</c:v>
                </c:pt>
                <c:pt idx="63">
                  <c:v>7-2025</c:v>
                </c:pt>
                <c:pt idx="64">
                  <c:v>8-2025</c:v>
                </c:pt>
                <c:pt idx="65">
                  <c:v>9-2025</c:v>
                </c:pt>
                <c:pt idx="66">
                  <c:v>10-2025</c:v>
                </c:pt>
                <c:pt idx="67">
                  <c:v>11-2025</c:v>
                </c:pt>
                <c:pt idx="68">
                  <c:v>12-2025</c:v>
                </c:pt>
                <c:pt idx="69">
                  <c:v>1-2026</c:v>
                </c:pt>
                <c:pt idx="70">
                  <c:v>2-2026</c:v>
                </c:pt>
                <c:pt idx="71">
                  <c:v>3-2026</c:v>
                </c:pt>
                <c:pt idx="72">
                  <c:v>4-2026</c:v>
                </c:pt>
              </c:strCache>
            </c:strRef>
          </c:cat>
          <c:val>
            <c:numRef>
              <c:f>'Monthly Minutes'!$D$2:$D$74</c:f>
              <c:numCache>
                <c:formatCode>0.0</c:formatCode>
                <c:ptCount val="73"/>
                <c:pt idx="0">
                  <c:v>21.666666666666668</c:v>
                </c:pt>
                <c:pt idx="1">
                  <c:v>12.4</c:v>
                </c:pt>
                <c:pt idx="2">
                  <c:v>16.183333333250001</c:v>
                </c:pt>
                <c:pt idx="3">
                  <c:v>17.653333333300001</c:v>
                </c:pt>
                <c:pt idx="4">
                  <c:v>16.089393939454546</c:v>
                </c:pt>
                <c:pt idx="5">
                  <c:v>16.986363636363635</c:v>
                </c:pt>
                <c:pt idx="6">
                  <c:v>14.050980392058825</c:v>
                </c:pt>
                <c:pt idx="7">
                  <c:v>14.466666666764706</c:v>
                </c:pt>
                <c:pt idx="8">
                  <c:v>14.547777777799999</c:v>
                </c:pt>
                <c:pt idx="9">
                  <c:v>16.659523809500001</c:v>
                </c:pt>
                <c:pt idx="10">
                  <c:v>15.298809523857141</c:v>
                </c:pt>
                <c:pt idx="11">
                  <c:v>14.897916666562498</c:v>
                </c:pt>
                <c:pt idx="12">
                  <c:v>14.156250000000002</c:v>
                </c:pt>
                <c:pt idx="13">
                  <c:v>22.8</c:v>
                </c:pt>
                <c:pt idx="14">
                  <c:v>15.1875</c:v>
                </c:pt>
                <c:pt idx="15">
                  <c:v>12.588235294117647</c:v>
                </c:pt>
                <c:pt idx="16">
                  <c:v>19.444444444444443</c:v>
                </c:pt>
                <c:pt idx="17">
                  <c:v>17.692307692307693</c:v>
                </c:pt>
                <c:pt idx="18">
                  <c:v>14.933333333333334</c:v>
                </c:pt>
                <c:pt idx="19">
                  <c:v>16.785714285714285</c:v>
                </c:pt>
                <c:pt idx="20">
                  <c:v>18.399999999999999</c:v>
                </c:pt>
                <c:pt idx="21">
                  <c:v>18.5</c:v>
                </c:pt>
                <c:pt idx="22">
                  <c:v>18.571428571428573</c:v>
                </c:pt>
                <c:pt idx="23">
                  <c:v>15.928571428571429</c:v>
                </c:pt>
                <c:pt idx="24">
                  <c:v>16.2</c:v>
                </c:pt>
                <c:pt idx="25">
                  <c:v>15.214285714285714</c:v>
                </c:pt>
                <c:pt idx="26">
                  <c:v>14.428571428571429</c:v>
                </c:pt>
                <c:pt idx="27">
                  <c:v>14.722222222222221</c:v>
                </c:pt>
                <c:pt idx="28">
                  <c:v>13.176470588235293</c:v>
                </c:pt>
                <c:pt idx="29">
                  <c:v>16.071428571428573</c:v>
                </c:pt>
                <c:pt idx="30">
                  <c:v>16.666666666666668</c:v>
                </c:pt>
                <c:pt idx="31">
                  <c:v>17</c:v>
                </c:pt>
                <c:pt idx="32">
                  <c:v>15.666666666666666</c:v>
                </c:pt>
                <c:pt idx="33">
                  <c:v>17.1875</c:v>
                </c:pt>
                <c:pt idx="34">
                  <c:v>16.066666666666666</c:v>
                </c:pt>
                <c:pt idx="35">
                  <c:v>16.357142857142858</c:v>
                </c:pt>
                <c:pt idx="36">
                  <c:v>16.933333333333334</c:v>
                </c:pt>
                <c:pt idx="37">
                  <c:v>17.833333333333332</c:v>
                </c:pt>
                <c:pt idx="38">
                  <c:v>15.461538461538462</c:v>
                </c:pt>
                <c:pt idx="39">
                  <c:v>12.4</c:v>
                </c:pt>
                <c:pt idx="40">
                  <c:v>15.1</c:v>
                </c:pt>
                <c:pt idx="41">
                  <c:v>15.076923076923077</c:v>
                </c:pt>
                <c:pt idx="42">
                  <c:v>13.733333333333333</c:v>
                </c:pt>
                <c:pt idx="43">
                  <c:v>13.666666666666666</c:v>
                </c:pt>
                <c:pt idx="44">
                  <c:v>16.75</c:v>
                </c:pt>
                <c:pt idx="45">
                  <c:v>15.1875</c:v>
                </c:pt>
                <c:pt idx="46">
                  <c:v>15.692307692307692</c:v>
                </c:pt>
                <c:pt idx="47">
                  <c:v>15.076923076923077</c:v>
                </c:pt>
                <c:pt idx="48">
                  <c:v>12</c:v>
                </c:pt>
                <c:pt idx="49">
                  <c:v>13.642857142857142</c:v>
                </c:pt>
                <c:pt idx="50">
                  <c:v>14.142857142857142</c:v>
                </c:pt>
                <c:pt idx="51">
                  <c:v>12.4</c:v>
                </c:pt>
                <c:pt idx="52">
                  <c:v>12.444444444444445</c:v>
                </c:pt>
                <c:pt idx="53">
                  <c:v>12.857142857142858</c:v>
                </c:pt>
                <c:pt idx="54">
                  <c:v>12.714285714285714</c:v>
                </c:pt>
                <c:pt idx="55">
                  <c:v>12.785714285714286</c:v>
                </c:pt>
                <c:pt idx="56">
                  <c:v>16.416666666666668</c:v>
                </c:pt>
                <c:pt idx="57">
                  <c:v>14.25</c:v>
                </c:pt>
                <c:pt idx="58">
                  <c:v>13</c:v>
                </c:pt>
                <c:pt idx="59">
                  <c:v>12.8125</c:v>
                </c:pt>
                <c:pt idx="60">
                  <c:v>11.923076923076923</c:v>
                </c:pt>
                <c:pt idx="61">
                  <c:v>12</c:v>
                </c:pt>
                <c:pt idx="62">
                  <c:v>11.25</c:v>
                </c:pt>
                <c:pt idx="63">
                  <c:v>14.916666666666666</c:v>
                </c:pt>
                <c:pt idx="64">
                  <c:v>12.357142857142858</c:v>
                </c:pt>
                <c:pt idx="65">
                  <c:v>12.472527472527473</c:v>
                </c:pt>
                <c:pt idx="66">
                  <c:v>14.266666666666667</c:v>
                </c:pt>
                <c:pt idx="67">
                  <c:v>13.25</c:v>
                </c:pt>
                <c:pt idx="68">
                  <c:v>14</c:v>
                </c:pt>
                <c:pt idx="69">
                  <c:v>16.333333333333332</c:v>
                </c:pt>
                <c:pt idx="70">
                  <c:v>13.615384615384615</c:v>
                </c:pt>
                <c:pt idx="71">
                  <c:v>14.071428571428571</c:v>
                </c:pt>
                <c:pt idx="72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340-8246-8F5D-811FFEF53225}"/>
            </c:ext>
          </c:extLst>
        </c:ser>
        <c:ser>
          <c:idx val="3"/>
          <c:order val="3"/>
          <c:tx>
            <c:strRef>
              <c:f>'Monthly Minutes'!$E$1</c:f>
              <c:strCache>
                <c:ptCount val="1"/>
                <c:pt idx="0">
                  <c:v>OrangeMin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'Monthly Minutes'!$A$2:$A$74</c:f>
              <c:strCache>
                <c:ptCount val="73"/>
                <c:pt idx="0">
                  <c:v>3-2019</c:v>
                </c:pt>
                <c:pt idx="1">
                  <c:v>4-2019</c:v>
                </c:pt>
                <c:pt idx="2">
                  <c:v>5-2019</c:v>
                </c:pt>
                <c:pt idx="3">
                  <c:v>6-2019</c:v>
                </c:pt>
                <c:pt idx="4">
                  <c:v>7-2019</c:v>
                </c:pt>
                <c:pt idx="5">
                  <c:v>8-2019</c:v>
                </c:pt>
                <c:pt idx="6">
                  <c:v>9-2019</c:v>
                </c:pt>
                <c:pt idx="7">
                  <c:v>10-2019</c:v>
                </c:pt>
                <c:pt idx="8">
                  <c:v>11-2019</c:v>
                </c:pt>
                <c:pt idx="9">
                  <c:v>12-2019</c:v>
                </c:pt>
                <c:pt idx="10">
                  <c:v>1-2020</c:v>
                </c:pt>
                <c:pt idx="11">
                  <c:v>2-2020</c:v>
                </c:pt>
                <c:pt idx="12">
                  <c:v>3-2020</c:v>
                </c:pt>
                <c:pt idx="13">
                  <c:v>5-2021</c:v>
                </c:pt>
                <c:pt idx="14">
                  <c:v>6-2021</c:v>
                </c:pt>
                <c:pt idx="15">
                  <c:v>7-2021</c:v>
                </c:pt>
                <c:pt idx="16">
                  <c:v>8-2021</c:v>
                </c:pt>
                <c:pt idx="17">
                  <c:v>9-2021</c:v>
                </c:pt>
                <c:pt idx="18">
                  <c:v>10-2021</c:v>
                </c:pt>
                <c:pt idx="19">
                  <c:v>11-2021</c:v>
                </c:pt>
                <c:pt idx="20">
                  <c:v>12-2021</c:v>
                </c:pt>
                <c:pt idx="21">
                  <c:v>1-2022</c:v>
                </c:pt>
                <c:pt idx="22">
                  <c:v>2-2022</c:v>
                </c:pt>
                <c:pt idx="23">
                  <c:v>3-2022</c:v>
                </c:pt>
                <c:pt idx="24">
                  <c:v>4-2022</c:v>
                </c:pt>
                <c:pt idx="25">
                  <c:v>5-2022</c:v>
                </c:pt>
                <c:pt idx="26">
                  <c:v>6-2022</c:v>
                </c:pt>
                <c:pt idx="27">
                  <c:v>7-2022</c:v>
                </c:pt>
                <c:pt idx="28">
                  <c:v>8-2022</c:v>
                </c:pt>
                <c:pt idx="29">
                  <c:v>9-2022</c:v>
                </c:pt>
                <c:pt idx="30">
                  <c:v>10-2022</c:v>
                </c:pt>
                <c:pt idx="31">
                  <c:v>11-2022</c:v>
                </c:pt>
                <c:pt idx="32">
                  <c:v>12-2022</c:v>
                </c:pt>
                <c:pt idx="33">
                  <c:v>1-2023</c:v>
                </c:pt>
                <c:pt idx="34">
                  <c:v>2-2023</c:v>
                </c:pt>
                <c:pt idx="35">
                  <c:v>3-2023</c:v>
                </c:pt>
                <c:pt idx="36">
                  <c:v>4-2023</c:v>
                </c:pt>
                <c:pt idx="37">
                  <c:v>5-2023</c:v>
                </c:pt>
                <c:pt idx="38">
                  <c:v>6-2023</c:v>
                </c:pt>
                <c:pt idx="39">
                  <c:v>7-2023</c:v>
                </c:pt>
                <c:pt idx="40">
                  <c:v>8-2023</c:v>
                </c:pt>
                <c:pt idx="41">
                  <c:v>9-2023</c:v>
                </c:pt>
                <c:pt idx="42">
                  <c:v>10-2023</c:v>
                </c:pt>
                <c:pt idx="43">
                  <c:v>11-2023</c:v>
                </c:pt>
                <c:pt idx="44">
                  <c:v>12-2023</c:v>
                </c:pt>
                <c:pt idx="45">
                  <c:v>1-2024</c:v>
                </c:pt>
                <c:pt idx="46">
                  <c:v>2-2024</c:v>
                </c:pt>
                <c:pt idx="47">
                  <c:v>3-2024</c:v>
                </c:pt>
                <c:pt idx="48">
                  <c:v>4-2024</c:v>
                </c:pt>
                <c:pt idx="49">
                  <c:v>5-2024</c:v>
                </c:pt>
                <c:pt idx="50">
                  <c:v>6-2024</c:v>
                </c:pt>
                <c:pt idx="51">
                  <c:v>7-2024</c:v>
                </c:pt>
                <c:pt idx="52">
                  <c:v>8-2024</c:v>
                </c:pt>
                <c:pt idx="53">
                  <c:v>9-2024</c:v>
                </c:pt>
                <c:pt idx="54">
                  <c:v>10-2024</c:v>
                </c:pt>
                <c:pt idx="55">
                  <c:v>11-2024</c:v>
                </c:pt>
                <c:pt idx="56">
                  <c:v>12-2024</c:v>
                </c:pt>
                <c:pt idx="57">
                  <c:v>1-2025</c:v>
                </c:pt>
                <c:pt idx="58">
                  <c:v>2-2025</c:v>
                </c:pt>
                <c:pt idx="59">
                  <c:v>3-2025</c:v>
                </c:pt>
                <c:pt idx="60">
                  <c:v>4-2025</c:v>
                </c:pt>
                <c:pt idx="61">
                  <c:v>5-2025</c:v>
                </c:pt>
                <c:pt idx="62">
                  <c:v>6-2025</c:v>
                </c:pt>
                <c:pt idx="63">
                  <c:v>7-2025</c:v>
                </c:pt>
                <c:pt idx="64">
                  <c:v>8-2025</c:v>
                </c:pt>
                <c:pt idx="65">
                  <c:v>9-2025</c:v>
                </c:pt>
                <c:pt idx="66">
                  <c:v>10-2025</c:v>
                </c:pt>
                <c:pt idx="67">
                  <c:v>11-2025</c:v>
                </c:pt>
                <c:pt idx="68">
                  <c:v>12-2025</c:v>
                </c:pt>
                <c:pt idx="69">
                  <c:v>1-2026</c:v>
                </c:pt>
                <c:pt idx="70">
                  <c:v>2-2026</c:v>
                </c:pt>
                <c:pt idx="71">
                  <c:v>3-2026</c:v>
                </c:pt>
                <c:pt idx="72">
                  <c:v>4-2026</c:v>
                </c:pt>
              </c:strCache>
            </c:strRef>
          </c:cat>
          <c:val>
            <c:numRef>
              <c:f>'Monthly Minutes'!$E$2:$E$74</c:f>
              <c:numCache>
                <c:formatCode>0.0</c:formatCode>
                <c:ptCount val="73"/>
                <c:pt idx="0">
                  <c:v>1.3333333333333333</c:v>
                </c:pt>
                <c:pt idx="1">
                  <c:v>7.7388888889999992</c:v>
                </c:pt>
                <c:pt idx="2">
                  <c:v>9.1708333332500001</c:v>
                </c:pt>
                <c:pt idx="3">
                  <c:v>10.113333333400002</c:v>
                </c:pt>
                <c:pt idx="4">
                  <c:v>11.612121212090909</c:v>
                </c:pt>
                <c:pt idx="5">
                  <c:v>11.059090909090909</c:v>
                </c:pt>
                <c:pt idx="6">
                  <c:v>10.62058823517647</c:v>
                </c:pt>
                <c:pt idx="7">
                  <c:v>10.942156862705883</c:v>
                </c:pt>
                <c:pt idx="8">
                  <c:v>11.211111111200001</c:v>
                </c:pt>
                <c:pt idx="9">
                  <c:v>13.352380952499999</c:v>
                </c:pt>
                <c:pt idx="10">
                  <c:v>10.219047618999999</c:v>
                </c:pt>
                <c:pt idx="11">
                  <c:v>10.447916666562501</c:v>
                </c:pt>
                <c:pt idx="12">
                  <c:v>11.495833333250001</c:v>
                </c:pt>
                <c:pt idx="13">
                  <c:v>11.6</c:v>
                </c:pt>
                <c:pt idx="14">
                  <c:v>11.1875</c:v>
                </c:pt>
                <c:pt idx="15">
                  <c:v>11.235294117647058</c:v>
                </c:pt>
                <c:pt idx="16">
                  <c:v>12.055555555555555</c:v>
                </c:pt>
                <c:pt idx="17">
                  <c:v>12.76923076923077</c:v>
                </c:pt>
                <c:pt idx="18">
                  <c:v>13.133333333333333</c:v>
                </c:pt>
                <c:pt idx="19">
                  <c:v>12.357142857142858</c:v>
                </c:pt>
                <c:pt idx="20">
                  <c:v>12.6</c:v>
                </c:pt>
                <c:pt idx="21">
                  <c:v>12.5</c:v>
                </c:pt>
                <c:pt idx="22">
                  <c:v>11</c:v>
                </c:pt>
                <c:pt idx="23">
                  <c:v>13.214285714285714</c:v>
                </c:pt>
                <c:pt idx="24">
                  <c:v>10.6</c:v>
                </c:pt>
                <c:pt idx="25">
                  <c:v>12.071428571428571</c:v>
                </c:pt>
                <c:pt idx="26">
                  <c:v>11.857142857142858</c:v>
                </c:pt>
                <c:pt idx="27">
                  <c:v>11.833333333333334</c:v>
                </c:pt>
                <c:pt idx="28">
                  <c:v>12.235294117647058</c:v>
                </c:pt>
                <c:pt idx="29">
                  <c:v>12</c:v>
                </c:pt>
                <c:pt idx="30">
                  <c:v>10.8</c:v>
                </c:pt>
                <c:pt idx="31">
                  <c:v>13.0625</c:v>
                </c:pt>
                <c:pt idx="32">
                  <c:v>13.666666666666666</c:v>
                </c:pt>
                <c:pt idx="33">
                  <c:v>11.625</c:v>
                </c:pt>
                <c:pt idx="34">
                  <c:v>11.466666666666667</c:v>
                </c:pt>
                <c:pt idx="35">
                  <c:v>12.571428571428571</c:v>
                </c:pt>
                <c:pt idx="36">
                  <c:v>12.2</c:v>
                </c:pt>
                <c:pt idx="37">
                  <c:v>11.833333333333334</c:v>
                </c:pt>
                <c:pt idx="38">
                  <c:v>10.615384615384615</c:v>
                </c:pt>
                <c:pt idx="39">
                  <c:v>13</c:v>
                </c:pt>
                <c:pt idx="40">
                  <c:v>13.9</c:v>
                </c:pt>
                <c:pt idx="41">
                  <c:v>11.538461538461538</c:v>
                </c:pt>
                <c:pt idx="42">
                  <c:v>12.4</c:v>
                </c:pt>
                <c:pt idx="43">
                  <c:v>12.466666666666667</c:v>
                </c:pt>
                <c:pt idx="44">
                  <c:v>13.5</c:v>
                </c:pt>
                <c:pt idx="45">
                  <c:v>11.6875</c:v>
                </c:pt>
                <c:pt idx="46">
                  <c:v>13</c:v>
                </c:pt>
                <c:pt idx="47">
                  <c:v>11.615384615384615</c:v>
                </c:pt>
                <c:pt idx="48">
                  <c:v>11.76923076923077</c:v>
                </c:pt>
                <c:pt idx="49">
                  <c:v>11.071428571428571</c:v>
                </c:pt>
                <c:pt idx="50">
                  <c:v>11.357142857142858</c:v>
                </c:pt>
                <c:pt idx="51">
                  <c:v>13.333333333333334</c:v>
                </c:pt>
                <c:pt idx="52">
                  <c:v>12.555555555555555</c:v>
                </c:pt>
                <c:pt idx="53">
                  <c:v>12.285714285714286</c:v>
                </c:pt>
                <c:pt idx="54">
                  <c:v>13.785714285714286</c:v>
                </c:pt>
                <c:pt idx="55">
                  <c:v>13.428571428571429</c:v>
                </c:pt>
                <c:pt idx="56">
                  <c:v>12.666666666666666</c:v>
                </c:pt>
                <c:pt idx="57">
                  <c:v>12</c:v>
                </c:pt>
                <c:pt idx="58">
                  <c:v>12.5</c:v>
                </c:pt>
                <c:pt idx="59">
                  <c:v>12.5625</c:v>
                </c:pt>
                <c:pt idx="60">
                  <c:v>13.307692307692308</c:v>
                </c:pt>
                <c:pt idx="61">
                  <c:v>12.571428571428571</c:v>
                </c:pt>
                <c:pt idx="62">
                  <c:v>15.083333333333334</c:v>
                </c:pt>
                <c:pt idx="63">
                  <c:v>12.666666666666666</c:v>
                </c:pt>
                <c:pt idx="64">
                  <c:v>12.928571428571429</c:v>
                </c:pt>
                <c:pt idx="65">
                  <c:v>12.714285714285714</c:v>
                </c:pt>
                <c:pt idx="66">
                  <c:v>14.4</c:v>
                </c:pt>
                <c:pt idx="67">
                  <c:v>13</c:v>
                </c:pt>
                <c:pt idx="68">
                  <c:v>13.636363636363637</c:v>
                </c:pt>
                <c:pt idx="69">
                  <c:v>12.333333333333334</c:v>
                </c:pt>
                <c:pt idx="70">
                  <c:v>12.76923076923077</c:v>
                </c:pt>
                <c:pt idx="71">
                  <c:v>10.428571428571429</c:v>
                </c:pt>
                <c:pt idx="72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340-8246-8F5D-811FFEF53225}"/>
            </c:ext>
          </c:extLst>
        </c:ser>
        <c:ser>
          <c:idx val="4"/>
          <c:order val="4"/>
          <c:tx>
            <c:strRef>
              <c:f>'Monthly Minutes'!$F$1</c:f>
              <c:strCache>
                <c:ptCount val="1"/>
                <c:pt idx="0">
                  <c:v>RedMin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'Monthly Minutes'!$A$2:$A$74</c:f>
              <c:strCache>
                <c:ptCount val="73"/>
                <c:pt idx="0">
                  <c:v>3-2019</c:v>
                </c:pt>
                <c:pt idx="1">
                  <c:v>4-2019</c:v>
                </c:pt>
                <c:pt idx="2">
                  <c:v>5-2019</c:v>
                </c:pt>
                <c:pt idx="3">
                  <c:v>6-2019</c:v>
                </c:pt>
                <c:pt idx="4">
                  <c:v>7-2019</c:v>
                </c:pt>
                <c:pt idx="5">
                  <c:v>8-2019</c:v>
                </c:pt>
                <c:pt idx="6">
                  <c:v>9-2019</c:v>
                </c:pt>
                <c:pt idx="7">
                  <c:v>10-2019</c:v>
                </c:pt>
                <c:pt idx="8">
                  <c:v>11-2019</c:v>
                </c:pt>
                <c:pt idx="9">
                  <c:v>12-2019</c:v>
                </c:pt>
                <c:pt idx="10">
                  <c:v>1-2020</c:v>
                </c:pt>
                <c:pt idx="11">
                  <c:v>2-2020</c:v>
                </c:pt>
                <c:pt idx="12">
                  <c:v>3-2020</c:v>
                </c:pt>
                <c:pt idx="13">
                  <c:v>5-2021</c:v>
                </c:pt>
                <c:pt idx="14">
                  <c:v>6-2021</c:v>
                </c:pt>
                <c:pt idx="15">
                  <c:v>7-2021</c:v>
                </c:pt>
                <c:pt idx="16">
                  <c:v>8-2021</c:v>
                </c:pt>
                <c:pt idx="17">
                  <c:v>9-2021</c:v>
                </c:pt>
                <c:pt idx="18">
                  <c:v>10-2021</c:v>
                </c:pt>
                <c:pt idx="19">
                  <c:v>11-2021</c:v>
                </c:pt>
                <c:pt idx="20">
                  <c:v>12-2021</c:v>
                </c:pt>
                <c:pt idx="21">
                  <c:v>1-2022</c:v>
                </c:pt>
                <c:pt idx="22">
                  <c:v>2-2022</c:v>
                </c:pt>
                <c:pt idx="23">
                  <c:v>3-2022</c:v>
                </c:pt>
                <c:pt idx="24">
                  <c:v>4-2022</c:v>
                </c:pt>
                <c:pt idx="25">
                  <c:v>5-2022</c:v>
                </c:pt>
                <c:pt idx="26">
                  <c:v>6-2022</c:v>
                </c:pt>
                <c:pt idx="27">
                  <c:v>7-2022</c:v>
                </c:pt>
                <c:pt idx="28">
                  <c:v>8-2022</c:v>
                </c:pt>
                <c:pt idx="29">
                  <c:v>9-2022</c:v>
                </c:pt>
                <c:pt idx="30">
                  <c:v>10-2022</c:v>
                </c:pt>
                <c:pt idx="31">
                  <c:v>11-2022</c:v>
                </c:pt>
                <c:pt idx="32">
                  <c:v>12-2022</c:v>
                </c:pt>
                <c:pt idx="33">
                  <c:v>1-2023</c:v>
                </c:pt>
                <c:pt idx="34">
                  <c:v>2-2023</c:v>
                </c:pt>
                <c:pt idx="35">
                  <c:v>3-2023</c:v>
                </c:pt>
                <c:pt idx="36">
                  <c:v>4-2023</c:v>
                </c:pt>
                <c:pt idx="37">
                  <c:v>5-2023</c:v>
                </c:pt>
                <c:pt idx="38">
                  <c:v>6-2023</c:v>
                </c:pt>
                <c:pt idx="39">
                  <c:v>7-2023</c:v>
                </c:pt>
                <c:pt idx="40">
                  <c:v>8-2023</c:v>
                </c:pt>
                <c:pt idx="41">
                  <c:v>9-2023</c:v>
                </c:pt>
                <c:pt idx="42">
                  <c:v>10-2023</c:v>
                </c:pt>
                <c:pt idx="43">
                  <c:v>11-2023</c:v>
                </c:pt>
                <c:pt idx="44">
                  <c:v>12-2023</c:v>
                </c:pt>
                <c:pt idx="45">
                  <c:v>1-2024</c:v>
                </c:pt>
                <c:pt idx="46">
                  <c:v>2-2024</c:v>
                </c:pt>
                <c:pt idx="47">
                  <c:v>3-2024</c:v>
                </c:pt>
                <c:pt idx="48">
                  <c:v>4-2024</c:v>
                </c:pt>
                <c:pt idx="49">
                  <c:v>5-2024</c:v>
                </c:pt>
                <c:pt idx="50">
                  <c:v>6-2024</c:v>
                </c:pt>
                <c:pt idx="51">
                  <c:v>7-2024</c:v>
                </c:pt>
                <c:pt idx="52">
                  <c:v>8-2024</c:v>
                </c:pt>
                <c:pt idx="53">
                  <c:v>9-2024</c:v>
                </c:pt>
                <c:pt idx="54">
                  <c:v>10-2024</c:v>
                </c:pt>
                <c:pt idx="55">
                  <c:v>11-2024</c:v>
                </c:pt>
                <c:pt idx="56">
                  <c:v>12-2024</c:v>
                </c:pt>
                <c:pt idx="57">
                  <c:v>1-2025</c:v>
                </c:pt>
                <c:pt idx="58">
                  <c:v>2-2025</c:v>
                </c:pt>
                <c:pt idx="59">
                  <c:v>3-2025</c:v>
                </c:pt>
                <c:pt idx="60">
                  <c:v>4-2025</c:v>
                </c:pt>
                <c:pt idx="61">
                  <c:v>5-2025</c:v>
                </c:pt>
                <c:pt idx="62">
                  <c:v>6-2025</c:v>
                </c:pt>
                <c:pt idx="63">
                  <c:v>7-2025</c:v>
                </c:pt>
                <c:pt idx="64">
                  <c:v>8-2025</c:v>
                </c:pt>
                <c:pt idx="65">
                  <c:v>9-2025</c:v>
                </c:pt>
                <c:pt idx="66">
                  <c:v>10-2025</c:v>
                </c:pt>
                <c:pt idx="67">
                  <c:v>11-2025</c:v>
                </c:pt>
                <c:pt idx="68">
                  <c:v>12-2025</c:v>
                </c:pt>
                <c:pt idx="69">
                  <c:v>1-2026</c:v>
                </c:pt>
                <c:pt idx="70">
                  <c:v>2-2026</c:v>
                </c:pt>
                <c:pt idx="71">
                  <c:v>3-2026</c:v>
                </c:pt>
                <c:pt idx="72">
                  <c:v>4-2026</c:v>
                </c:pt>
              </c:strCache>
            </c:strRef>
          </c:cat>
          <c:val>
            <c:numRef>
              <c:f>'Monthly Minutes'!$F$2:$F$74</c:f>
              <c:numCache>
                <c:formatCode>0.0</c:formatCode>
                <c:ptCount val="73"/>
                <c:pt idx="0">
                  <c:v>0</c:v>
                </c:pt>
                <c:pt idx="1">
                  <c:v>0.59444444433333332</c:v>
                </c:pt>
                <c:pt idx="2">
                  <c:v>1.2916666664999998</c:v>
                </c:pt>
                <c:pt idx="3">
                  <c:v>0.17833333339999999</c:v>
                </c:pt>
                <c:pt idx="4">
                  <c:v>3.8318181818181816</c:v>
                </c:pt>
                <c:pt idx="5">
                  <c:v>4.0545454546363642</c:v>
                </c:pt>
                <c:pt idx="6">
                  <c:v>2.9294117647058822</c:v>
                </c:pt>
                <c:pt idx="7">
                  <c:v>2.907843137294118</c:v>
                </c:pt>
                <c:pt idx="8">
                  <c:v>3.7855555554666664</c:v>
                </c:pt>
                <c:pt idx="9">
                  <c:v>1.6976190475714286</c:v>
                </c:pt>
                <c:pt idx="10">
                  <c:v>4.307142857214286</c:v>
                </c:pt>
                <c:pt idx="11">
                  <c:v>3.1187499999999999</c:v>
                </c:pt>
                <c:pt idx="12">
                  <c:v>1.3916666666249999</c:v>
                </c:pt>
                <c:pt idx="13">
                  <c:v>2.8</c:v>
                </c:pt>
                <c:pt idx="14">
                  <c:v>2.125</c:v>
                </c:pt>
                <c:pt idx="15">
                  <c:v>2.9411764705882355</c:v>
                </c:pt>
                <c:pt idx="16">
                  <c:v>2.1111111111111112</c:v>
                </c:pt>
                <c:pt idx="17">
                  <c:v>1.5384615384615385</c:v>
                </c:pt>
                <c:pt idx="18">
                  <c:v>3</c:v>
                </c:pt>
                <c:pt idx="19">
                  <c:v>2</c:v>
                </c:pt>
                <c:pt idx="20">
                  <c:v>1.8</c:v>
                </c:pt>
                <c:pt idx="21">
                  <c:v>3.5</c:v>
                </c:pt>
                <c:pt idx="22">
                  <c:v>2.5714285714285716</c:v>
                </c:pt>
                <c:pt idx="23">
                  <c:v>1.5</c:v>
                </c:pt>
                <c:pt idx="24">
                  <c:v>1.2666666666666666</c:v>
                </c:pt>
                <c:pt idx="25">
                  <c:v>1.7857142857142858</c:v>
                </c:pt>
                <c:pt idx="26">
                  <c:v>2.1428571428571428</c:v>
                </c:pt>
                <c:pt idx="27">
                  <c:v>1.6111111111111112</c:v>
                </c:pt>
                <c:pt idx="28">
                  <c:v>2.7058823529411766</c:v>
                </c:pt>
                <c:pt idx="29">
                  <c:v>3.0714285714285716</c:v>
                </c:pt>
                <c:pt idx="30">
                  <c:v>3.6</c:v>
                </c:pt>
                <c:pt idx="31">
                  <c:v>3.9375</c:v>
                </c:pt>
                <c:pt idx="32">
                  <c:v>3.3333333333333335</c:v>
                </c:pt>
                <c:pt idx="33">
                  <c:v>3.6875</c:v>
                </c:pt>
                <c:pt idx="34">
                  <c:v>1.3333333333333333</c:v>
                </c:pt>
                <c:pt idx="35">
                  <c:v>1.7142857142857142</c:v>
                </c:pt>
                <c:pt idx="36">
                  <c:v>1.5333333333333334</c:v>
                </c:pt>
                <c:pt idx="37">
                  <c:v>2.1666666666666665</c:v>
                </c:pt>
                <c:pt idx="38">
                  <c:v>2.5384615384615383</c:v>
                </c:pt>
                <c:pt idx="39">
                  <c:v>1.8666666666666667</c:v>
                </c:pt>
                <c:pt idx="40">
                  <c:v>2.5</c:v>
                </c:pt>
                <c:pt idx="41">
                  <c:v>1.7692307692307692</c:v>
                </c:pt>
                <c:pt idx="42">
                  <c:v>1.7333333333333334</c:v>
                </c:pt>
                <c:pt idx="43">
                  <c:v>1.6</c:v>
                </c:pt>
                <c:pt idx="44">
                  <c:v>1.75</c:v>
                </c:pt>
                <c:pt idx="45">
                  <c:v>1.75</c:v>
                </c:pt>
                <c:pt idx="46">
                  <c:v>1.6923076923076923</c:v>
                </c:pt>
                <c:pt idx="47">
                  <c:v>1.3846153846153846</c:v>
                </c:pt>
                <c:pt idx="48">
                  <c:v>1.6153846153846154</c:v>
                </c:pt>
                <c:pt idx="49">
                  <c:v>2.4285714285714284</c:v>
                </c:pt>
                <c:pt idx="50">
                  <c:v>1.0714285714285714</c:v>
                </c:pt>
                <c:pt idx="51">
                  <c:v>1.4666666666666666</c:v>
                </c:pt>
                <c:pt idx="52">
                  <c:v>3.8888888888888888</c:v>
                </c:pt>
                <c:pt idx="53">
                  <c:v>1.8571428571428572</c:v>
                </c:pt>
                <c:pt idx="54">
                  <c:v>1.4285714285714286</c:v>
                </c:pt>
                <c:pt idx="55">
                  <c:v>1.3571428571428572</c:v>
                </c:pt>
                <c:pt idx="56">
                  <c:v>2.0833333333333335</c:v>
                </c:pt>
                <c:pt idx="57">
                  <c:v>1.875</c:v>
                </c:pt>
                <c:pt idx="58">
                  <c:v>1.9166666666666667</c:v>
                </c:pt>
                <c:pt idx="59">
                  <c:v>1.375</c:v>
                </c:pt>
                <c:pt idx="60">
                  <c:v>1.5384615384615385</c:v>
                </c:pt>
                <c:pt idx="61">
                  <c:v>1.9285714285714286</c:v>
                </c:pt>
                <c:pt idx="62">
                  <c:v>1.3333333333333333</c:v>
                </c:pt>
                <c:pt idx="63">
                  <c:v>1.5</c:v>
                </c:pt>
                <c:pt idx="64">
                  <c:v>1.2142857142857142</c:v>
                </c:pt>
                <c:pt idx="65">
                  <c:v>0.7142857142857143</c:v>
                </c:pt>
                <c:pt idx="66">
                  <c:v>0.8</c:v>
                </c:pt>
                <c:pt idx="67">
                  <c:v>0.91666666666666663</c:v>
                </c:pt>
                <c:pt idx="68">
                  <c:v>1.8181818181818181</c:v>
                </c:pt>
                <c:pt idx="69">
                  <c:v>1.4</c:v>
                </c:pt>
                <c:pt idx="70">
                  <c:v>0.92307692307692313</c:v>
                </c:pt>
                <c:pt idx="71">
                  <c:v>0.6428571428571429</c:v>
                </c:pt>
                <c:pt idx="72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340-8246-8F5D-811FFEF532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1072000"/>
        <c:axId val="268052544"/>
      </c:lineChart>
      <c:catAx>
        <c:axId val="281072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8052544"/>
        <c:crosses val="autoZero"/>
        <c:auto val="1"/>
        <c:lblAlgn val="ctr"/>
        <c:lblOffset val="100"/>
        <c:noMultiLvlLbl val="0"/>
      </c:catAx>
      <c:valAx>
        <c:axId val="268052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072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'Quarterly Minutes'!$D$1</c:f>
              <c:strCache>
                <c:ptCount val="1"/>
                <c:pt idx="0">
                  <c:v>GrayMin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'Quarterly Minutes'!$A$2:$A$27</c:f>
              <c:strCache>
                <c:ptCount val="26"/>
                <c:pt idx="0">
                  <c:v>2019-Q1</c:v>
                </c:pt>
                <c:pt idx="1">
                  <c:v>2019-Q2</c:v>
                </c:pt>
                <c:pt idx="2">
                  <c:v>2019-Q3</c:v>
                </c:pt>
                <c:pt idx="3">
                  <c:v>2019-Q4</c:v>
                </c:pt>
                <c:pt idx="4">
                  <c:v>2020-Q1</c:v>
                </c:pt>
                <c:pt idx="5">
                  <c:v>2021-Q2</c:v>
                </c:pt>
                <c:pt idx="6">
                  <c:v>2021-Q3</c:v>
                </c:pt>
                <c:pt idx="7">
                  <c:v>2021-Q4</c:v>
                </c:pt>
                <c:pt idx="8">
                  <c:v>2022-Q1</c:v>
                </c:pt>
                <c:pt idx="9">
                  <c:v>2022-Q2</c:v>
                </c:pt>
                <c:pt idx="10">
                  <c:v>2022-Q3</c:v>
                </c:pt>
                <c:pt idx="11">
                  <c:v>2022-Q4</c:v>
                </c:pt>
                <c:pt idx="12">
                  <c:v>2023-Q1</c:v>
                </c:pt>
                <c:pt idx="13">
                  <c:v>2023-Q2</c:v>
                </c:pt>
                <c:pt idx="14">
                  <c:v>2023-Q3</c:v>
                </c:pt>
                <c:pt idx="15">
                  <c:v>2023-Q4</c:v>
                </c:pt>
                <c:pt idx="16">
                  <c:v>2024-Q1</c:v>
                </c:pt>
                <c:pt idx="17">
                  <c:v>2024-Q2</c:v>
                </c:pt>
                <c:pt idx="18">
                  <c:v>2024-Q3</c:v>
                </c:pt>
                <c:pt idx="19">
                  <c:v>2024-Q4</c:v>
                </c:pt>
                <c:pt idx="20">
                  <c:v>2025-Q1</c:v>
                </c:pt>
                <c:pt idx="21">
                  <c:v>2025-Q2</c:v>
                </c:pt>
                <c:pt idx="22">
                  <c:v>2025-Q3</c:v>
                </c:pt>
                <c:pt idx="23">
                  <c:v>2025-Q4</c:v>
                </c:pt>
                <c:pt idx="24">
                  <c:v>2026-Q1</c:v>
                </c:pt>
                <c:pt idx="25">
                  <c:v>2026-Q2</c:v>
                </c:pt>
              </c:strCache>
            </c:strRef>
          </c:cat>
          <c:val>
            <c:numRef>
              <c:f>'Quarterly Minutes'!$D$2:$D$27</c:f>
              <c:numCache>
                <c:formatCode>0.0</c:formatCode>
                <c:ptCount val="26"/>
                <c:pt idx="0">
                  <c:v>15.666666666666666</c:v>
                </c:pt>
                <c:pt idx="1">
                  <c:v>15.350980392176469</c:v>
                </c:pt>
                <c:pt idx="2">
                  <c:v>14.525641025666669</c:v>
                </c:pt>
                <c:pt idx="3">
                  <c:v>15.2623188406087</c:v>
                </c:pt>
                <c:pt idx="4">
                  <c:v>16.010964912263159</c:v>
                </c:pt>
                <c:pt idx="5">
                  <c:v>14.666666666666666</c:v>
                </c:pt>
                <c:pt idx="6">
                  <c:v>12.791666666666666</c:v>
                </c:pt>
                <c:pt idx="7">
                  <c:v>9.9411764705882355</c:v>
                </c:pt>
                <c:pt idx="8">
                  <c:v>11.733333333333333</c:v>
                </c:pt>
                <c:pt idx="9">
                  <c:v>14.55813953488372</c:v>
                </c:pt>
                <c:pt idx="10">
                  <c:v>13.204081632653061</c:v>
                </c:pt>
                <c:pt idx="11">
                  <c:v>10.725</c:v>
                </c:pt>
                <c:pt idx="12">
                  <c:v>12.955555555555556</c:v>
                </c:pt>
                <c:pt idx="13">
                  <c:v>14.029411764705882</c:v>
                </c:pt>
                <c:pt idx="14">
                  <c:v>13.315789473684211</c:v>
                </c:pt>
                <c:pt idx="15">
                  <c:v>13.857142857142858</c:v>
                </c:pt>
                <c:pt idx="16">
                  <c:v>14.261904761904763</c:v>
                </c:pt>
                <c:pt idx="17">
                  <c:v>17.951219512195124</c:v>
                </c:pt>
                <c:pt idx="18">
                  <c:v>18.289473684210527</c:v>
                </c:pt>
                <c:pt idx="19">
                  <c:v>15.324999999999999</c:v>
                </c:pt>
                <c:pt idx="20">
                  <c:v>16.068181818181817</c:v>
                </c:pt>
                <c:pt idx="21">
                  <c:v>15.615384615384615</c:v>
                </c:pt>
                <c:pt idx="22">
                  <c:v>19.021153846153844</c:v>
                </c:pt>
                <c:pt idx="23">
                  <c:v>17.684210526315791</c:v>
                </c:pt>
                <c:pt idx="24">
                  <c:v>16.857142857142858</c:v>
                </c:pt>
                <c:pt idx="25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14-2445-B146-181BA2C126CD}"/>
            </c:ext>
          </c:extLst>
        </c:ser>
        <c:ser>
          <c:idx val="2"/>
          <c:order val="1"/>
          <c:tx>
            <c:strRef>
              <c:f>'Quarterly Minutes'!$E$1</c:f>
              <c:strCache>
                <c:ptCount val="1"/>
                <c:pt idx="0">
                  <c:v>BlueMin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strRef>
              <c:f>'Quarterly Minutes'!$A$2:$A$27</c:f>
              <c:strCache>
                <c:ptCount val="26"/>
                <c:pt idx="0">
                  <c:v>2019-Q1</c:v>
                </c:pt>
                <c:pt idx="1">
                  <c:v>2019-Q2</c:v>
                </c:pt>
                <c:pt idx="2">
                  <c:v>2019-Q3</c:v>
                </c:pt>
                <c:pt idx="3">
                  <c:v>2019-Q4</c:v>
                </c:pt>
                <c:pt idx="4">
                  <c:v>2020-Q1</c:v>
                </c:pt>
                <c:pt idx="5">
                  <c:v>2021-Q2</c:v>
                </c:pt>
                <c:pt idx="6">
                  <c:v>2021-Q3</c:v>
                </c:pt>
                <c:pt idx="7">
                  <c:v>2021-Q4</c:v>
                </c:pt>
                <c:pt idx="8">
                  <c:v>2022-Q1</c:v>
                </c:pt>
                <c:pt idx="9">
                  <c:v>2022-Q2</c:v>
                </c:pt>
                <c:pt idx="10">
                  <c:v>2022-Q3</c:v>
                </c:pt>
                <c:pt idx="11">
                  <c:v>2022-Q4</c:v>
                </c:pt>
                <c:pt idx="12">
                  <c:v>2023-Q1</c:v>
                </c:pt>
                <c:pt idx="13">
                  <c:v>2023-Q2</c:v>
                </c:pt>
                <c:pt idx="14">
                  <c:v>2023-Q3</c:v>
                </c:pt>
                <c:pt idx="15">
                  <c:v>2023-Q4</c:v>
                </c:pt>
                <c:pt idx="16">
                  <c:v>2024-Q1</c:v>
                </c:pt>
                <c:pt idx="17">
                  <c:v>2024-Q2</c:v>
                </c:pt>
                <c:pt idx="18">
                  <c:v>2024-Q3</c:v>
                </c:pt>
                <c:pt idx="19">
                  <c:v>2024-Q4</c:v>
                </c:pt>
                <c:pt idx="20">
                  <c:v>2025-Q1</c:v>
                </c:pt>
                <c:pt idx="21">
                  <c:v>2025-Q2</c:v>
                </c:pt>
                <c:pt idx="22">
                  <c:v>2025-Q3</c:v>
                </c:pt>
                <c:pt idx="23">
                  <c:v>2025-Q4</c:v>
                </c:pt>
                <c:pt idx="24">
                  <c:v>2026-Q1</c:v>
                </c:pt>
                <c:pt idx="25">
                  <c:v>2026-Q2</c:v>
                </c:pt>
              </c:strCache>
            </c:strRef>
          </c:cat>
          <c:val>
            <c:numRef>
              <c:f>'Quarterly Minutes'!$E$2:$E$27</c:f>
              <c:numCache>
                <c:formatCode>0.0</c:formatCode>
                <c:ptCount val="26"/>
                <c:pt idx="0">
                  <c:v>18</c:v>
                </c:pt>
                <c:pt idx="1">
                  <c:v>15.398039215588236</c:v>
                </c:pt>
                <c:pt idx="2">
                  <c:v>13.243589743589743</c:v>
                </c:pt>
                <c:pt idx="3">
                  <c:v>11.554710144934784</c:v>
                </c:pt>
                <c:pt idx="4">
                  <c:v>12.3087719298421</c:v>
                </c:pt>
                <c:pt idx="5">
                  <c:v>13.047619047619047</c:v>
                </c:pt>
                <c:pt idx="6">
                  <c:v>14.4375</c:v>
                </c:pt>
                <c:pt idx="7">
                  <c:v>15.882352941176471</c:v>
                </c:pt>
                <c:pt idx="8">
                  <c:v>14.733333333333333</c:v>
                </c:pt>
                <c:pt idx="9">
                  <c:v>15.13953488372093</c:v>
                </c:pt>
                <c:pt idx="10">
                  <c:v>15.551020408163266</c:v>
                </c:pt>
                <c:pt idx="11">
                  <c:v>14.35</c:v>
                </c:pt>
                <c:pt idx="12">
                  <c:v>14.244444444444444</c:v>
                </c:pt>
                <c:pt idx="13">
                  <c:v>13.264705882352942</c:v>
                </c:pt>
                <c:pt idx="14">
                  <c:v>16.473684210526315</c:v>
                </c:pt>
                <c:pt idx="15">
                  <c:v>15.428571428571429</c:v>
                </c:pt>
                <c:pt idx="16">
                  <c:v>15.380952380952381</c:v>
                </c:pt>
                <c:pt idx="17">
                  <c:v>14.268292682926829</c:v>
                </c:pt>
                <c:pt idx="18">
                  <c:v>14.342105263157896</c:v>
                </c:pt>
                <c:pt idx="19">
                  <c:v>14.95</c:v>
                </c:pt>
                <c:pt idx="20">
                  <c:v>15.386363636363637</c:v>
                </c:pt>
                <c:pt idx="21">
                  <c:v>15.589743589743589</c:v>
                </c:pt>
                <c:pt idx="22">
                  <c:v>13.834615384615384</c:v>
                </c:pt>
                <c:pt idx="23">
                  <c:v>13.263157894736842</c:v>
                </c:pt>
                <c:pt idx="24">
                  <c:v>14.976190476190476</c:v>
                </c:pt>
                <c:pt idx="25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D14-2445-B146-181BA2C126CD}"/>
            </c:ext>
          </c:extLst>
        </c:ser>
        <c:ser>
          <c:idx val="3"/>
          <c:order val="2"/>
          <c:tx>
            <c:strRef>
              <c:f>'Quarterly Minutes'!$F$1</c:f>
              <c:strCache>
                <c:ptCount val="1"/>
                <c:pt idx="0">
                  <c:v>GreenMin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strRef>
              <c:f>'Quarterly Minutes'!$A$2:$A$27</c:f>
              <c:strCache>
                <c:ptCount val="26"/>
                <c:pt idx="0">
                  <c:v>2019-Q1</c:v>
                </c:pt>
                <c:pt idx="1">
                  <c:v>2019-Q2</c:v>
                </c:pt>
                <c:pt idx="2">
                  <c:v>2019-Q3</c:v>
                </c:pt>
                <c:pt idx="3">
                  <c:v>2019-Q4</c:v>
                </c:pt>
                <c:pt idx="4">
                  <c:v>2020-Q1</c:v>
                </c:pt>
                <c:pt idx="5">
                  <c:v>2021-Q2</c:v>
                </c:pt>
                <c:pt idx="6">
                  <c:v>2021-Q3</c:v>
                </c:pt>
                <c:pt idx="7">
                  <c:v>2021-Q4</c:v>
                </c:pt>
                <c:pt idx="8">
                  <c:v>2022-Q1</c:v>
                </c:pt>
                <c:pt idx="9">
                  <c:v>2022-Q2</c:v>
                </c:pt>
                <c:pt idx="10">
                  <c:v>2022-Q3</c:v>
                </c:pt>
                <c:pt idx="11">
                  <c:v>2022-Q4</c:v>
                </c:pt>
                <c:pt idx="12">
                  <c:v>2023-Q1</c:v>
                </c:pt>
                <c:pt idx="13">
                  <c:v>2023-Q2</c:v>
                </c:pt>
                <c:pt idx="14">
                  <c:v>2023-Q3</c:v>
                </c:pt>
                <c:pt idx="15">
                  <c:v>2023-Q4</c:v>
                </c:pt>
                <c:pt idx="16">
                  <c:v>2024-Q1</c:v>
                </c:pt>
                <c:pt idx="17">
                  <c:v>2024-Q2</c:v>
                </c:pt>
                <c:pt idx="18">
                  <c:v>2024-Q3</c:v>
                </c:pt>
                <c:pt idx="19">
                  <c:v>2024-Q4</c:v>
                </c:pt>
                <c:pt idx="20">
                  <c:v>2025-Q1</c:v>
                </c:pt>
                <c:pt idx="21">
                  <c:v>2025-Q2</c:v>
                </c:pt>
                <c:pt idx="22">
                  <c:v>2025-Q3</c:v>
                </c:pt>
                <c:pt idx="23">
                  <c:v>2025-Q4</c:v>
                </c:pt>
                <c:pt idx="24">
                  <c:v>2026-Q1</c:v>
                </c:pt>
                <c:pt idx="25">
                  <c:v>2026-Q2</c:v>
                </c:pt>
              </c:strCache>
            </c:strRef>
          </c:cat>
          <c:val>
            <c:numRef>
              <c:f>'Quarterly Minutes'!$F$2:$F$27</c:f>
              <c:numCache>
                <c:formatCode>0.0</c:formatCode>
                <c:ptCount val="26"/>
                <c:pt idx="0">
                  <c:v>21.666666666666668</c:v>
                </c:pt>
                <c:pt idx="1">
                  <c:v>16.380392156823525</c:v>
                </c:pt>
                <c:pt idx="2">
                  <c:v>15.453846153820511</c:v>
                </c:pt>
                <c:pt idx="3">
                  <c:v>15.160507246413045</c:v>
                </c:pt>
                <c:pt idx="4">
                  <c:v>14.889473684184207</c:v>
                </c:pt>
                <c:pt idx="5">
                  <c:v>17</c:v>
                </c:pt>
                <c:pt idx="6">
                  <c:v>16.541666666666668</c:v>
                </c:pt>
                <c:pt idx="7">
                  <c:v>16.205882352941178</c:v>
                </c:pt>
                <c:pt idx="8">
                  <c:v>17.333333333333332</c:v>
                </c:pt>
                <c:pt idx="9">
                  <c:v>15.302325581395349</c:v>
                </c:pt>
                <c:pt idx="10">
                  <c:v>14.571428571428571</c:v>
                </c:pt>
                <c:pt idx="11">
                  <c:v>16.574999999999999</c:v>
                </c:pt>
                <c:pt idx="12">
                  <c:v>16.555555555555557</c:v>
                </c:pt>
                <c:pt idx="13">
                  <c:v>16.529411764705884</c:v>
                </c:pt>
                <c:pt idx="14">
                  <c:v>14.026315789473685</c:v>
                </c:pt>
                <c:pt idx="15">
                  <c:v>14.571428571428571</c:v>
                </c:pt>
                <c:pt idx="16">
                  <c:v>15.30952380952381</c:v>
                </c:pt>
                <c:pt idx="17">
                  <c:v>13.292682926829269</c:v>
                </c:pt>
                <c:pt idx="18">
                  <c:v>12.578947368421053</c:v>
                </c:pt>
                <c:pt idx="19">
                  <c:v>13.85</c:v>
                </c:pt>
                <c:pt idx="20">
                  <c:v>13.386363636363637</c:v>
                </c:pt>
                <c:pt idx="21">
                  <c:v>11.743589743589743</c:v>
                </c:pt>
                <c:pt idx="22">
                  <c:v>13.165384615384616</c:v>
                </c:pt>
                <c:pt idx="23">
                  <c:v>13.868421052631579</c:v>
                </c:pt>
                <c:pt idx="24">
                  <c:v>14.738095238095237</c:v>
                </c:pt>
                <c:pt idx="25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D14-2445-B146-181BA2C126CD}"/>
            </c:ext>
          </c:extLst>
        </c:ser>
        <c:ser>
          <c:idx val="4"/>
          <c:order val="3"/>
          <c:tx>
            <c:strRef>
              <c:f>'Quarterly Minutes'!$G$1</c:f>
              <c:strCache>
                <c:ptCount val="1"/>
                <c:pt idx="0">
                  <c:v>OrangeMin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'Quarterly Minutes'!$A$2:$A$27</c:f>
              <c:strCache>
                <c:ptCount val="26"/>
                <c:pt idx="0">
                  <c:v>2019-Q1</c:v>
                </c:pt>
                <c:pt idx="1">
                  <c:v>2019-Q2</c:v>
                </c:pt>
                <c:pt idx="2">
                  <c:v>2019-Q3</c:v>
                </c:pt>
                <c:pt idx="3">
                  <c:v>2019-Q4</c:v>
                </c:pt>
                <c:pt idx="4">
                  <c:v>2020-Q1</c:v>
                </c:pt>
                <c:pt idx="5">
                  <c:v>2021-Q2</c:v>
                </c:pt>
                <c:pt idx="6">
                  <c:v>2021-Q3</c:v>
                </c:pt>
                <c:pt idx="7">
                  <c:v>2021-Q4</c:v>
                </c:pt>
                <c:pt idx="8">
                  <c:v>2022-Q1</c:v>
                </c:pt>
                <c:pt idx="9">
                  <c:v>2022-Q2</c:v>
                </c:pt>
                <c:pt idx="10">
                  <c:v>2022-Q3</c:v>
                </c:pt>
                <c:pt idx="11">
                  <c:v>2022-Q4</c:v>
                </c:pt>
                <c:pt idx="12">
                  <c:v>2023-Q1</c:v>
                </c:pt>
                <c:pt idx="13">
                  <c:v>2023-Q2</c:v>
                </c:pt>
                <c:pt idx="14">
                  <c:v>2023-Q3</c:v>
                </c:pt>
                <c:pt idx="15">
                  <c:v>2023-Q4</c:v>
                </c:pt>
                <c:pt idx="16">
                  <c:v>2024-Q1</c:v>
                </c:pt>
                <c:pt idx="17">
                  <c:v>2024-Q2</c:v>
                </c:pt>
                <c:pt idx="18">
                  <c:v>2024-Q3</c:v>
                </c:pt>
                <c:pt idx="19">
                  <c:v>2024-Q4</c:v>
                </c:pt>
                <c:pt idx="20">
                  <c:v>2025-Q1</c:v>
                </c:pt>
                <c:pt idx="21">
                  <c:v>2025-Q2</c:v>
                </c:pt>
                <c:pt idx="22">
                  <c:v>2025-Q3</c:v>
                </c:pt>
                <c:pt idx="23">
                  <c:v>2025-Q4</c:v>
                </c:pt>
                <c:pt idx="24">
                  <c:v>2026-Q1</c:v>
                </c:pt>
                <c:pt idx="25">
                  <c:v>2026-Q2</c:v>
                </c:pt>
              </c:strCache>
            </c:strRef>
          </c:cat>
          <c:val>
            <c:numRef>
              <c:f>'Quarterly Minutes'!$G$2:$G$27</c:f>
              <c:numCache>
                <c:formatCode>0.0</c:formatCode>
                <c:ptCount val="26"/>
                <c:pt idx="0">
                  <c:v>1.3333333333333333</c:v>
                </c:pt>
                <c:pt idx="1">
                  <c:v>9.4725490196470581</c:v>
                </c:pt>
                <c:pt idx="2">
                  <c:v>11.023931623871798</c:v>
                </c:pt>
                <c:pt idx="3">
                  <c:v>11.763405797152176</c:v>
                </c:pt>
                <c:pt idx="4">
                  <c:v>10.584210526236841</c:v>
                </c:pt>
                <c:pt idx="5">
                  <c:v>11.285714285714286</c:v>
                </c:pt>
                <c:pt idx="6">
                  <c:v>11.958333333333334</c:v>
                </c:pt>
                <c:pt idx="7">
                  <c:v>12.735294117647058</c:v>
                </c:pt>
                <c:pt idx="8">
                  <c:v>12.133333333333333</c:v>
                </c:pt>
                <c:pt idx="9">
                  <c:v>11.488372093023257</c:v>
                </c:pt>
                <c:pt idx="10">
                  <c:v>12.020408163265307</c:v>
                </c:pt>
                <c:pt idx="11">
                  <c:v>12.35</c:v>
                </c:pt>
                <c:pt idx="12">
                  <c:v>11.866666666666667</c:v>
                </c:pt>
                <c:pt idx="13">
                  <c:v>11.529411764705882</c:v>
                </c:pt>
                <c:pt idx="14">
                  <c:v>12.736842105263158</c:v>
                </c:pt>
                <c:pt idx="15">
                  <c:v>12.738095238095237</c:v>
                </c:pt>
                <c:pt idx="16">
                  <c:v>12.071428571428571</c:v>
                </c:pt>
                <c:pt idx="17">
                  <c:v>11.390243902439025</c:v>
                </c:pt>
                <c:pt idx="18">
                  <c:v>12.763157894736842</c:v>
                </c:pt>
                <c:pt idx="19">
                  <c:v>13.324999999999999</c:v>
                </c:pt>
                <c:pt idx="20">
                  <c:v>12.340909090909092</c:v>
                </c:pt>
                <c:pt idx="21">
                  <c:v>13.589743589743589</c:v>
                </c:pt>
                <c:pt idx="22">
                  <c:v>12.775</c:v>
                </c:pt>
                <c:pt idx="23">
                  <c:v>13.736842105263158</c:v>
                </c:pt>
                <c:pt idx="24">
                  <c:v>11.833333333333334</c:v>
                </c:pt>
                <c:pt idx="25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D14-2445-B146-181BA2C126CD}"/>
            </c:ext>
          </c:extLst>
        </c:ser>
        <c:ser>
          <c:idx val="5"/>
          <c:order val="4"/>
          <c:tx>
            <c:strRef>
              <c:f>'Quarterly Minutes'!$H$1</c:f>
              <c:strCache>
                <c:ptCount val="1"/>
                <c:pt idx="0">
                  <c:v>RedMin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'Quarterly Minutes'!$A$2:$A$27</c:f>
              <c:strCache>
                <c:ptCount val="26"/>
                <c:pt idx="0">
                  <c:v>2019-Q1</c:v>
                </c:pt>
                <c:pt idx="1">
                  <c:v>2019-Q2</c:v>
                </c:pt>
                <c:pt idx="2">
                  <c:v>2019-Q3</c:v>
                </c:pt>
                <c:pt idx="3">
                  <c:v>2019-Q4</c:v>
                </c:pt>
                <c:pt idx="4">
                  <c:v>2020-Q1</c:v>
                </c:pt>
                <c:pt idx="5">
                  <c:v>2021-Q2</c:v>
                </c:pt>
                <c:pt idx="6">
                  <c:v>2021-Q3</c:v>
                </c:pt>
                <c:pt idx="7">
                  <c:v>2021-Q4</c:v>
                </c:pt>
                <c:pt idx="8">
                  <c:v>2022-Q1</c:v>
                </c:pt>
                <c:pt idx="9">
                  <c:v>2022-Q2</c:v>
                </c:pt>
                <c:pt idx="10">
                  <c:v>2022-Q3</c:v>
                </c:pt>
                <c:pt idx="11">
                  <c:v>2022-Q4</c:v>
                </c:pt>
                <c:pt idx="12">
                  <c:v>2023-Q1</c:v>
                </c:pt>
                <c:pt idx="13">
                  <c:v>2023-Q2</c:v>
                </c:pt>
                <c:pt idx="14">
                  <c:v>2023-Q3</c:v>
                </c:pt>
                <c:pt idx="15">
                  <c:v>2023-Q4</c:v>
                </c:pt>
                <c:pt idx="16">
                  <c:v>2024-Q1</c:v>
                </c:pt>
                <c:pt idx="17">
                  <c:v>2024-Q2</c:v>
                </c:pt>
                <c:pt idx="18">
                  <c:v>2024-Q3</c:v>
                </c:pt>
                <c:pt idx="19">
                  <c:v>2024-Q4</c:v>
                </c:pt>
                <c:pt idx="20">
                  <c:v>2025-Q1</c:v>
                </c:pt>
                <c:pt idx="21">
                  <c:v>2025-Q2</c:v>
                </c:pt>
                <c:pt idx="22">
                  <c:v>2025-Q3</c:v>
                </c:pt>
                <c:pt idx="23">
                  <c:v>2025-Q4</c:v>
                </c:pt>
                <c:pt idx="24">
                  <c:v>2026-Q1</c:v>
                </c:pt>
                <c:pt idx="25">
                  <c:v>2026-Q2</c:v>
                </c:pt>
              </c:strCache>
            </c:strRef>
          </c:cat>
          <c:val>
            <c:numRef>
              <c:f>'Quarterly Minutes'!$H$2:$H$27</c:f>
              <c:numCache>
                <c:formatCode>0.0</c:formatCode>
                <c:ptCount val="26"/>
                <c:pt idx="0">
                  <c:v>0</c:v>
                </c:pt>
                <c:pt idx="1">
                  <c:v>0.51372549017647051</c:v>
                </c:pt>
                <c:pt idx="2">
                  <c:v>3.5012820513076925</c:v>
                </c:pt>
                <c:pt idx="3">
                  <c:v>2.8257246376521739</c:v>
                </c:pt>
                <c:pt idx="4">
                  <c:v>3.1929824561578952</c:v>
                </c:pt>
                <c:pt idx="5">
                  <c:v>2.2857142857142856</c:v>
                </c:pt>
                <c:pt idx="6">
                  <c:v>2.25</c:v>
                </c:pt>
                <c:pt idx="7">
                  <c:v>2.4117647058823528</c:v>
                </c:pt>
                <c:pt idx="8">
                  <c:v>2.1333333333333333</c:v>
                </c:pt>
                <c:pt idx="9">
                  <c:v>1.7209302325581395</c:v>
                </c:pt>
                <c:pt idx="10">
                  <c:v>2.4081632653061225</c:v>
                </c:pt>
                <c:pt idx="11">
                  <c:v>3.6749999999999998</c:v>
                </c:pt>
                <c:pt idx="12">
                  <c:v>2.2888888888888888</c:v>
                </c:pt>
                <c:pt idx="13">
                  <c:v>2.0294117647058822</c:v>
                </c:pt>
                <c:pt idx="14">
                  <c:v>2</c:v>
                </c:pt>
                <c:pt idx="15">
                  <c:v>1.6904761904761905</c:v>
                </c:pt>
                <c:pt idx="16">
                  <c:v>1.6190476190476191</c:v>
                </c:pt>
                <c:pt idx="17">
                  <c:v>1.7073170731707317</c:v>
                </c:pt>
                <c:pt idx="18">
                  <c:v>2.1842105263157894</c:v>
                </c:pt>
                <c:pt idx="19">
                  <c:v>1.6</c:v>
                </c:pt>
                <c:pt idx="20">
                  <c:v>1.7045454545454546</c:v>
                </c:pt>
                <c:pt idx="21">
                  <c:v>1.6153846153846154</c:v>
                </c:pt>
                <c:pt idx="22">
                  <c:v>1.125</c:v>
                </c:pt>
                <c:pt idx="23">
                  <c:v>1.131578947368421</c:v>
                </c:pt>
                <c:pt idx="24">
                  <c:v>1</c:v>
                </c:pt>
                <c:pt idx="25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D14-2445-B146-181BA2C126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1789760"/>
        <c:axId val="281796032"/>
      </c:lineChart>
      <c:catAx>
        <c:axId val="28178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796032"/>
        <c:crosses val="autoZero"/>
        <c:auto val="1"/>
        <c:lblAlgn val="ctr"/>
        <c:lblOffset val="100"/>
        <c:noMultiLvlLbl val="0"/>
      </c:catAx>
      <c:valAx>
        <c:axId val="28179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789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196850</xdr:colOff>
      <xdr:row>3</xdr:row>
      <xdr:rowOff>50800</xdr:rowOff>
    </xdr:from>
    <xdr:to>
      <xdr:col>17</xdr:col>
      <xdr:colOff>0</xdr:colOff>
      <xdr:row>21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352BA7D-4D00-6B37-CDD6-49C2DEDACA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488950</xdr:colOff>
      <xdr:row>1</xdr:row>
      <xdr:rowOff>190500</xdr:rowOff>
    </xdr:from>
    <xdr:to>
      <xdr:col>15</xdr:col>
      <xdr:colOff>558800</xdr:colOff>
      <xdr:row>18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EA80A4-0ADD-AB75-4F67-6A400EFBDD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006E6D5-E1ED-574C-B5B9-EDDA3A235B9B}" name="Table2" displayName="Table2" ref="A1:AY938" totalsRowShown="0" headerRowDxfId="33">
  <autoFilter ref="A1:AY938" xr:uid="{7006E6D5-E1ED-574C-B5B9-EDDA3A235B9B}"/>
  <tableColumns count="51">
    <tableColumn id="1" xr3:uid="{F59A4048-3B83-AA4B-9611-167585442982}" name="VisitNum"/>
    <tableColumn id="2" xr3:uid="{ECEDC245-E2F0-7949-886F-8DC2996C37AC}" name="VisitNum_Month">
      <calculatedColumnFormula>COUNTIF(R:R,R2)</calculatedColumnFormula>
    </tableColumn>
    <tableColumn id="3" xr3:uid="{0EA3B333-B110-7D44-B9A5-FB4EDA490BC7}" name="Date" dataDxfId="32"/>
    <tableColumn id="4" xr3:uid="{FBA7D00C-C0CF-F14E-90A7-5835F3B64361}" name="ClassLength" dataDxfId="31">
      <calculatedColumnFormula>SUM(Table2[[#This Row],[Gray Min]:[Red Min]])</calculatedColumnFormula>
    </tableColumn>
    <tableColumn id="5" xr3:uid="{39DC9E7A-8423-4A4D-B3AF-29615D9D5698}" name="Splat"/>
    <tableColumn id="6" xr3:uid="{C4D7424C-B5BD-694C-8F3F-D5A51FFC647A}" name="Calories"/>
    <tableColumn id="7" xr3:uid="{3F8AC55E-EA11-124C-B1A9-96BB27F537CA}" name="Avg HR"/>
    <tableColumn id="8" xr3:uid="{6B866255-7119-D145-9793-69A1AAD4C098}" name="Max HR"/>
    <tableColumn id="9" xr3:uid="{D96497AD-3D50-2046-AB5E-CA79034B6BA1}" name="Gray Min"/>
    <tableColumn id="10" xr3:uid="{253FDC4B-45B4-E749-8772-A82E18D0C51C}" name="Blue Min"/>
    <tableColumn id="11" xr3:uid="{9FF6A93C-B583-1A40-AC0A-8EDE43149C7A}" name="Green Min"/>
    <tableColumn id="12" xr3:uid="{C662B47B-9C8A-FF4B-B884-CE9D4D0A190C}" name="Orange Min"/>
    <tableColumn id="13" xr3:uid="{09FFF504-4077-9F48-815B-A0C056CE18DB}" name="Red Min"/>
    <tableColumn id="14" xr3:uid="{DDC74A66-6FC8-504F-8BDB-1FD493B28C20}" name="Location"/>
    <tableColumn id="15" xr3:uid="{0FDB4D4B-AE1B-8E4B-A826-F7430A2897FA}" name="Time"/>
    <tableColumn id="16" xr3:uid="{145309D5-3576-2A46-87DD-5B6B9CCABAA7}" name="Trainer"/>
    <tableColumn id="17" xr3:uid="{805345AC-60A9-A443-91D2-4485159F1A2F}" name="DaysSince">
      <calculatedColumnFormula>C2-C1</calculatedColumnFormula>
    </tableColumn>
    <tableColumn id="18" xr3:uid="{9B677DBB-E7D6-6546-A284-50A6692AA9B3}" name="Mon_Yr">
      <calculatedColumnFormula>MONTH(C2)&amp;"-"&amp;YEAR(C2)</calculatedColumnFormula>
    </tableColumn>
    <tableColumn id="19" xr3:uid="{738C5D45-2D4E-1E45-B131-1A7C18800042}" name="ClassType"/>
    <tableColumn id="20" xr3:uid="{ABCFCB32-7990-5645-85F1-847C5A294EAF}" name="Weekday">
      <calculatedColumnFormula>IF(WEEKDAY(C2)=1,"Sunday",IF(WEEKDAY(C2)=2,"Monday",IF(WEEKDAY(C2)=3,"Tuesday",IF(WEEKDAY(C2)=4,"Wednesday",IF(WEEKDAY(C2)=5,"Thursday",IF(WEEKDAY(C2)=6,"Friday","Saturday"))))))</calculatedColumnFormula>
    </tableColumn>
    <tableColumn id="21" xr3:uid="{C3F9B384-2319-B844-9086-FA5663B9301C}" name="Twelve_or_Above">
      <calculatedColumnFormula>IF(E2&gt;=12,1,0)</calculatedColumnFormula>
    </tableColumn>
    <tableColumn id="22" xr3:uid="{A29EE2A2-EFE3-2140-9EE9-58AFAFEB24A3}" name="Gray_Perc" dataDxfId="30" dataCellStyle="Percent">
      <calculatedColumnFormula>IFERROR(Table2[[#This Row],[Gray Min]]/Table2[[#This Row],[ClassLength]],"")</calculatedColumnFormula>
    </tableColumn>
    <tableColumn id="23" xr3:uid="{30F78DE2-A31E-7340-A64B-B94C127EBED4}" name="Blue_Perc" dataDxfId="29" dataCellStyle="Percent">
      <calculatedColumnFormula>IFERROR(Table2[[#This Row],[Blue Min]]/Table2[[#This Row],[ClassLength]],"")</calculatedColumnFormula>
    </tableColumn>
    <tableColumn id="24" xr3:uid="{4CB6DE08-CCD9-9648-B747-0E7A48CFC1E5}" name="Green_Perc" dataDxfId="28" dataCellStyle="Percent">
      <calculatedColumnFormula>IFERROR(Table2[[#This Row],[Green Min]]/Table2[[#This Row],[ClassLength]],"")</calculatedColumnFormula>
    </tableColumn>
    <tableColumn id="25" xr3:uid="{2ADDC4E5-397D-294A-ADE4-D22E3EC627DE}" name="Orange_Perc" dataDxfId="27" dataCellStyle="Percent">
      <calculatedColumnFormula>IFERROR(Table2[[#This Row],[Orange Min]]/Table2[[#This Row],[ClassLength]],"")</calculatedColumnFormula>
    </tableColumn>
    <tableColumn id="26" xr3:uid="{0B6DA11A-1151-CA44-B636-291412540DFB}" name="Red_Perc" dataDxfId="26" dataCellStyle="Percent">
      <calculatedColumnFormula>IFERROR(Table2[[#This Row],[Red Min]]/Table2[[#This Row],[ClassLength]],"")</calculatedColumnFormula>
    </tableColumn>
    <tableColumn id="27" xr3:uid="{0D0908A5-2BE8-6F40-A64E-7407477545C2}" name="Monthly_Cost" dataCellStyle="Currency"/>
    <tableColumn id="28" xr3:uid="{B300A925-A301-5C47-B888-5DEF61D5CB9D}" name="Cost_Per_Class" dataCellStyle="Currency">
      <calculatedColumnFormula>AA2/B2</calculatedColumnFormula>
    </tableColumn>
    <tableColumn id="29" xr3:uid="{CE48B5B7-714D-6845-8E55-69157AB59BB6}" name="Calories_Month" dataDxfId="25">
      <calculatedColumnFormula>AVERAGEIF(R:R,R2,F:F)</calculatedColumnFormula>
    </tableColumn>
    <tableColumn id="30" xr3:uid="{40D8B563-FD5B-2947-B9BF-70AA21208A59}" name="SplatPts_Month" dataDxfId="24">
      <calculatedColumnFormula>AVERAGEIF(R:R,R2,E:E)</calculatedColumnFormula>
    </tableColumn>
    <tableColumn id="31" xr3:uid="{2956BE9D-7B71-CD42-92B8-A35DB6CAB310}" name="Year" dataDxfId="23">
      <calculatedColumnFormula>YEAR(C2)</calculatedColumnFormula>
    </tableColumn>
    <tableColumn id="32" xr3:uid="{0352FDF1-6B76-6942-A8C9-96478D4A47D5}" name="ExtraExpenses" dataCellStyle="Currency"/>
    <tableColumn id="33" xr3:uid="{8A5553F6-FA50-3249-994F-8F6D8148D141}" name="Goal"/>
    <tableColumn id="34" xr3:uid="{AAEABCB2-B21E-1B4F-AFB9-242ECFA65A2C}" name="Cal_Min" dataDxfId="22">
      <calculatedColumnFormula>F2/D2</calculatedColumnFormula>
    </tableColumn>
    <tableColumn id="35" xr3:uid="{BF49B00A-B377-5644-A826-0C4BBBED158D}" name="Morn_Even" dataDxfId="21">
      <calculatedColumnFormula>RIGHT(O2,2)</calculatedColumnFormula>
    </tableColumn>
    <tableColumn id="36" xr3:uid="{74DE934B-ABFD-A54A-A5F9-0F304CF86106}" name="Week_Month" dataDxfId="20">
      <calculatedColumnFormula>R2&amp;"-"&amp;WEEKNUM(C2,1)-WEEKNUM(DATE(YEAR(C2),MONTH(C2),1),1)+1</calculatedColumnFormula>
    </tableColumn>
    <tableColumn id="37" xr3:uid="{794BD23C-BC35-B642-A9B6-6BCA0EE09CEA}" name="Month" dataDxfId="19">
      <calculatedColumnFormula>MONTH(C2)</calculatedColumnFormula>
    </tableColumn>
    <tableColumn id="38" xr3:uid="{02753B6E-7D23-BF40-B86F-1D8236F5AF51}" name="Calories_Splat" dataDxfId="18">
      <calculatedColumnFormula>IFERROR(Table2[[#This Row],[Calories]]/Table2[[#This Row],[Splat]],"")</calculatedColumnFormula>
    </tableColumn>
    <tableColumn id="39" xr3:uid="{CC9BEDB9-DF68-4A4E-8962-6F13581C0833}" name="Visits_Studio" dataDxfId="17">
      <calculatedColumnFormula>COUNTIF(N$2:$N$938,N2)</calculatedColumnFormula>
    </tableColumn>
    <tableColumn id="40" xr3:uid="{8A97A3E0-0F61-8044-A676-5F0C154C4D69}" name="State" dataDxfId="16">
      <calculatedColumnFormula>VLOOKUP(N2,'Helpful Tables'!A:D,4,FALSE)</calculatedColumnFormula>
    </tableColumn>
    <tableColumn id="41" xr3:uid="{97314FA4-9AEE-6845-AE99-C6FDD731A9EC}" name="State_Perc" dataDxfId="15" dataCellStyle="Percent">
      <calculatedColumnFormula>COUNTIF(AN:AN,Table2[[#This Row],[State]])/COUNTA(AN:AN)</calculatedColumnFormula>
    </tableColumn>
    <tableColumn id="42" xr3:uid="{083059B9-4431-124C-8ABA-0CE01D4396AA}" name="Latitude">
      <calculatedColumnFormula>VLOOKUP(N2,'Helpful Tables'!A:B,2,FALSE)</calculatedColumnFormula>
    </tableColumn>
    <tableColumn id="43" xr3:uid="{89F3C30F-A68E-E749-AD52-51BBCFF2D548}" name="Longitude">
      <calculatedColumnFormula>VLOOKUP(N2,'Helpful Tables'!A:C,3,FALSE)</calculatedColumnFormula>
    </tableColumn>
    <tableColumn id="44" xr3:uid="{7BD0A8F0-0CA3-4F40-95D3-86B482D5BEB6}" name="Visits_Trainer" dataDxfId="14">
      <calculatedColumnFormula>COUNTIF(P$2:$P$938,P2)</calculatedColumnFormula>
    </tableColumn>
    <tableColumn id="45" xr3:uid="{7B598D94-BC2A-6C44-9A04-DECA500AC957}" name="ScaleSplat">
      <calculatedColumnFormula array="1">_xlfn.IFS(E2&lt;6,((E2/D2)*60)*0.5,AND(E2&gt;=6,E2&lt;9),((E2/D2)*60)*0.75,AND(E2&gt;=9,E2&lt;=11),((E2/D2)*60)*0.9,AND(E2=12),((E2/D2)*60)*1,AND(E2&gt;=13,E2&lt;=15),((E2/D2)*60)*1.2,AND(E2&gt;=16,E2&lt;=19),((E2/D2)*60)*1.5,E2&gt;=20,((E2/D2)*60)*1.8)</calculatedColumnFormula>
    </tableColumn>
    <tableColumn id="46" xr3:uid="{5E64CA19-DD0D-1C47-8F85-64F4E2C4F199}" name="ScaleCalories">
      <calculatedColumnFormula array="1">_xlfn.IFS(F2&lt;550,((F2/D2)*60)*0.5,AND(F2&gt;=550,F2&lt;575),((F2/D2)*60)*0.75,AND(F2&gt;=575,F2&lt;600),((F2/D2)*60)*0.9,AND(F2=600),((F2/D2)*60)*1,AND(F2&gt;=601,F2&lt;=625),((F2/D2)*60)*1.2,AND(F2&gt;=626,F2&lt;=650),((F2/D2)*60)*1.5,F2&gt;=651,((F2/D2)*60)*1.8)</calculatedColumnFormula>
    </tableColumn>
    <tableColumn id="47" xr3:uid="{8DB97555-3F9F-DF4A-B767-6EFB36209B7F}" name="ScaleMin">
      <calculatedColumnFormula>(I2*-1.2)+(J2*-1.1)+(K2*1.2)+(L2*1.3)+(M2*1.5)</calculatedColumnFormula>
    </tableColumn>
    <tableColumn id="48" xr3:uid="{DED54C51-3EFB-FC4E-966A-859BAA16B967}" name="ScaleCombine">
      <calculatedColumnFormula>(AS2*0.4)+(AT2*0.4)+(AU2*0.2)</calculatedColumnFormula>
    </tableColumn>
    <tableColumn id="49" xr3:uid="{A72DE859-BE1B-894F-AFB4-8124D6F4F398}" name="CompositeScore">
      <calculatedColumnFormula>PERCENTRANK(AV:AV,AV2)*100</calculatedColumnFormula>
    </tableColumn>
    <tableColumn id="50" xr3:uid="{3E9F36AF-808B-BD45-93C0-A005764F5980}" name="MONYEAR" dataDxfId="13">
      <calculatedColumnFormula>_xlfn.CONCAT(TEXT(C2,"mmm"),"-",AE2)</calculatedColumnFormula>
    </tableColumn>
    <tableColumn id="51" xr3:uid="{ADCD8A4F-3F22-A94D-A4BA-E5B241940BED}" name="Quarter" dataDxfId="12">
      <calculatedColumnFormula>ROUNDUP(Table2[[#This Row],[Month]]/3,0)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6A456F-E54C-6C46-9360-AECCC3FB5350}" name="Table1" displayName="Table1" ref="A1:F74" totalsRowShown="0">
  <autoFilter ref="A1:F74" xr:uid="{716A456F-E54C-6C46-9360-AECCC3FB5350}"/>
  <tableColumns count="6">
    <tableColumn id="1" xr3:uid="{25A0F0F9-AE3A-6E49-905D-77ABD6461018}" name="Mon_Yr"/>
    <tableColumn id="2" xr3:uid="{4C3BFB38-FD03-234A-A004-6483B15845C2}" name="GrayMin" dataDxfId="11">
      <calculatedColumnFormula>AVERAGEIF(Data!R:R,'Monthly Minutes'!$A2,Data!I:I)</calculatedColumnFormula>
    </tableColumn>
    <tableColumn id="3" xr3:uid="{A88EA023-A0D8-7B45-ABF9-49C6C78A89AA}" name="BlueMin" dataDxfId="10">
      <calculatedColumnFormula>AVERAGEIF(Data!R:R,'Monthly Minutes'!$A2,Data!J:J)</calculatedColumnFormula>
    </tableColumn>
    <tableColumn id="4" xr3:uid="{F1E78881-3C53-E547-956E-716BA154269C}" name="GreenMin" dataDxfId="9">
      <calculatedColumnFormula>AVERAGEIF(Data!R:R,'Monthly Minutes'!$A2,Data!K:K)</calculatedColumnFormula>
    </tableColumn>
    <tableColumn id="5" xr3:uid="{4D40AB31-F0E2-7449-B832-B60EFC9E70C5}" name="OrangeMin" dataDxfId="8">
      <calculatedColumnFormula>AVERAGEIF(Data!R:R,'Monthly Minutes'!$A2,Data!L:L)</calculatedColumnFormula>
    </tableColumn>
    <tableColumn id="6" xr3:uid="{A6426767-5AE9-4B4B-8FF9-61B4AC0634A9}" name="RedMin" dataDxfId="7">
      <calculatedColumnFormula>AVERAGEIF(Data!R:R,'Monthly Minutes'!$A2,Data!M:M)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09B9A54-7244-D84F-97C9-E6A9341EA81B}" name="Table3" displayName="Table3" ref="A1:H27" totalsRowShown="0">
  <autoFilter ref="A1:H27" xr:uid="{E09B9A54-7244-D84F-97C9-E6A9341EA81B}"/>
  <tableColumns count="8">
    <tableColumn id="1" xr3:uid="{D9208348-9EAB-054A-A1C9-E668A0DC24CC}" name="Year-Qtr">
      <calculatedColumnFormula>_xlfn.CONCAT(B2,"-Q",C2)</calculatedColumnFormula>
    </tableColumn>
    <tableColumn id="2" xr3:uid="{796F3386-E7A9-AA47-B5C2-5DA6DDA8CB2E}" name="Year" dataDxfId="6"/>
    <tableColumn id="3" xr3:uid="{5AA46371-64DA-6246-8BEA-99E12942E557}" name="Quarter" dataDxfId="5"/>
    <tableColumn id="4" xr3:uid="{8303F66F-9B32-214C-A4DF-7338ADDFB9E2}" name="GrayMin" dataDxfId="4">
      <calculatedColumnFormula>AVERAGEIFS(Data!I:I,Data!AE:AE,'Quarterly Minutes'!$B2,Data!AY:AY,'Quarterly Minutes'!$C2)</calculatedColumnFormula>
    </tableColumn>
    <tableColumn id="5" xr3:uid="{966F80C3-B033-1C40-9B38-E2C8EAAB2CEC}" name="BlueMin" dataDxfId="3">
      <calculatedColumnFormula>AVERAGEIFS(Data!J:J,Data!AE:AE,'Quarterly Minutes'!$B2,Data!AY:AY,'Quarterly Minutes'!$C2)</calculatedColumnFormula>
    </tableColumn>
    <tableColumn id="6" xr3:uid="{9656D42C-34B9-B349-A447-D96733D17B3C}" name="GreenMin" dataDxfId="2">
      <calculatedColumnFormula>AVERAGEIFS(Data!K:K,Data!AE:AE,'Quarterly Minutes'!$B2,Data!AY:AY,'Quarterly Minutes'!$C2)</calculatedColumnFormula>
    </tableColumn>
    <tableColumn id="7" xr3:uid="{4CF0C294-DCEE-9E43-88D8-E91BCC71AD6C}" name="OrangeMin" dataDxfId="1">
      <calculatedColumnFormula>AVERAGEIFS(Data!L:L,Data!AE:AE,'Quarterly Minutes'!$B2,Data!AY:AY,'Quarterly Minutes'!$C2)</calculatedColumnFormula>
    </tableColumn>
    <tableColumn id="8" xr3:uid="{8F2A453C-306C-144A-8CC7-AC7EDCC8646A}" name="RedMin" dataDxfId="0">
      <calculatedColumnFormula>AVERAGEIFS(Data!M:M,Data!AE:AE,'Quarterly Minutes'!$B2,Data!AY:AY,'Quarterly Minutes'!$C2)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FDB9C-6E4A-E04B-ABDB-738EDE05645D}">
  <dimension ref="A1:AY938"/>
  <sheetViews>
    <sheetView topLeftCell="AL910" workbookViewId="0">
      <selection activeCell="AY938" sqref="AY938"/>
    </sheetView>
  </sheetViews>
  <sheetFormatPr baseColWidth="10" defaultRowHeight="15" x14ac:dyDescent="0.2"/>
  <cols>
    <col min="2" max="2" width="16.83203125" customWidth="1"/>
    <col min="4" max="4" width="12.5" customWidth="1"/>
    <col min="11" max="11" width="11.83203125" customWidth="1"/>
    <col min="12" max="12" width="12.5" customWidth="1"/>
    <col min="17" max="17" width="11.1640625" customWidth="1"/>
    <col min="19" max="19" width="41.5" bestFit="1" customWidth="1"/>
    <col min="21" max="21" width="18.33203125" customWidth="1"/>
    <col min="22" max="22" width="12" style="24" customWidth="1"/>
    <col min="23" max="23" width="11.6640625" style="24" customWidth="1"/>
    <col min="24" max="24" width="13" style="24" customWidth="1"/>
    <col min="25" max="25" width="14" style="24" customWidth="1"/>
    <col min="26" max="26" width="11.1640625" style="24" customWidth="1"/>
    <col min="27" max="27" width="15.33203125" style="25" customWidth="1"/>
    <col min="28" max="28" width="17.1640625" customWidth="1"/>
    <col min="29" max="29" width="16.33203125" style="26" customWidth="1"/>
    <col min="30" max="30" width="16.5" style="26" customWidth="1"/>
    <col min="32" max="32" width="14.33203125" style="25" customWidth="1"/>
    <col min="34" max="34" width="10.83203125" style="26"/>
    <col min="35" max="35" width="12.33203125" customWidth="1"/>
    <col min="36" max="36" width="14.1640625" customWidth="1"/>
    <col min="38" max="38" width="15.1640625" customWidth="1"/>
    <col min="39" max="39" width="14.1640625" customWidth="1"/>
    <col min="40" max="40" width="13.33203125" bestFit="1" customWidth="1"/>
    <col min="41" max="41" width="11.83203125" customWidth="1"/>
    <col min="43" max="43" width="11.33203125" customWidth="1"/>
    <col min="44" max="44" width="14" customWidth="1"/>
    <col min="45" max="45" width="11.33203125" customWidth="1"/>
    <col min="46" max="46" width="13.6640625" customWidth="1"/>
    <col min="48" max="48" width="14.5" customWidth="1"/>
    <col min="49" max="49" width="16.1640625" customWidth="1"/>
    <col min="50" max="50" width="11.5" customWidth="1"/>
  </cols>
  <sheetData>
    <row r="1" spans="1:51" s="1" customFormat="1" ht="16" x14ac:dyDescent="0.2">
      <c r="A1" s="15" t="s">
        <v>242</v>
      </c>
      <c r="B1" s="2" t="s">
        <v>243</v>
      </c>
      <c r="C1" s="10" t="s">
        <v>0</v>
      </c>
      <c r="D1" s="2" t="s">
        <v>244</v>
      </c>
      <c r="E1" s="2" t="s">
        <v>12</v>
      </c>
      <c r="F1" s="2" t="s">
        <v>13</v>
      </c>
      <c r="G1" s="2" t="s">
        <v>11</v>
      </c>
      <c r="H1" s="2" t="s">
        <v>10</v>
      </c>
      <c r="I1" s="2" t="s">
        <v>9</v>
      </c>
      <c r="J1" s="2" t="s">
        <v>8</v>
      </c>
      <c r="K1" s="2" t="s">
        <v>7</v>
      </c>
      <c r="L1" s="2" t="s">
        <v>6</v>
      </c>
      <c r="M1" s="2" t="s">
        <v>5</v>
      </c>
      <c r="N1" s="2" t="s">
        <v>1</v>
      </c>
      <c r="O1" s="2" t="s">
        <v>3</v>
      </c>
      <c r="P1" s="2" t="s">
        <v>2</v>
      </c>
      <c r="Q1" s="2" t="s">
        <v>245</v>
      </c>
      <c r="R1" s="2" t="s">
        <v>246</v>
      </c>
      <c r="S1" s="2" t="s">
        <v>4</v>
      </c>
      <c r="T1" s="2" t="s">
        <v>17</v>
      </c>
      <c r="U1" s="3" t="s">
        <v>247</v>
      </c>
      <c r="V1" s="16" t="s">
        <v>248</v>
      </c>
      <c r="W1" s="16" t="s">
        <v>249</v>
      </c>
      <c r="X1" s="16" t="s">
        <v>250</v>
      </c>
      <c r="Y1" s="16" t="s">
        <v>251</v>
      </c>
      <c r="Z1" s="16" t="s">
        <v>252</v>
      </c>
      <c r="AA1" s="21" t="s">
        <v>23</v>
      </c>
      <c r="AB1" s="20" t="s">
        <v>253</v>
      </c>
      <c r="AC1" s="19" t="s">
        <v>254</v>
      </c>
      <c r="AD1" s="19" t="s">
        <v>255</v>
      </c>
      <c r="AE1" s="2" t="s">
        <v>18</v>
      </c>
      <c r="AF1" s="21" t="s">
        <v>21</v>
      </c>
      <c r="AG1" s="2" t="s">
        <v>22</v>
      </c>
      <c r="AH1" s="18" t="s">
        <v>267</v>
      </c>
      <c r="AI1" s="2" t="s">
        <v>14</v>
      </c>
      <c r="AJ1" s="2" t="s">
        <v>16</v>
      </c>
      <c r="AK1" s="2" t="s">
        <v>256</v>
      </c>
      <c r="AL1" s="3" t="s">
        <v>257</v>
      </c>
      <c r="AM1" s="3" t="s">
        <v>258</v>
      </c>
      <c r="AN1" s="2" t="s">
        <v>15</v>
      </c>
      <c r="AO1" s="17" t="s">
        <v>259</v>
      </c>
      <c r="AP1" s="2" t="s">
        <v>19</v>
      </c>
      <c r="AQ1" s="2" t="s">
        <v>20</v>
      </c>
      <c r="AR1" s="2" t="s">
        <v>260</v>
      </c>
      <c r="AS1" s="2" t="s">
        <v>261</v>
      </c>
      <c r="AT1" s="2" t="s">
        <v>262</v>
      </c>
      <c r="AU1" s="2" t="s">
        <v>264</v>
      </c>
      <c r="AV1" s="2" t="s">
        <v>263</v>
      </c>
      <c r="AW1" s="2" t="s">
        <v>265</v>
      </c>
      <c r="AX1" s="9" t="s">
        <v>266</v>
      </c>
      <c r="AY1" s="15" t="s">
        <v>390</v>
      </c>
    </row>
    <row r="2" spans="1:51" x14ac:dyDescent="0.2">
      <c r="A2">
        <v>1</v>
      </c>
      <c r="B2">
        <f t="shared" ref="B2:B65" si="0">COUNTIF(R:R,R2)</f>
        <v>3</v>
      </c>
      <c r="C2" s="22">
        <v>43538</v>
      </c>
      <c r="D2">
        <f>SUM(Table2[[#This Row],[Gray Min]:[Red Min]])</f>
        <v>55</v>
      </c>
      <c r="E2">
        <v>1</v>
      </c>
      <c r="F2">
        <v>565</v>
      </c>
      <c r="G2">
        <v>122</v>
      </c>
      <c r="H2">
        <v>165</v>
      </c>
      <c r="I2">
        <v>18</v>
      </c>
      <c r="J2">
        <v>20</v>
      </c>
      <c r="K2">
        <v>16</v>
      </c>
      <c r="L2">
        <v>1</v>
      </c>
      <c r="M2">
        <v>0</v>
      </c>
      <c r="N2" t="s">
        <v>24</v>
      </c>
      <c r="O2" t="s">
        <v>26</v>
      </c>
      <c r="P2" t="s">
        <v>25</v>
      </c>
      <c r="R2" t="str">
        <f t="shared" ref="R2:R65" si="1">MONTH(C2)&amp;"-"&amp;YEAR(C2)</f>
        <v>3-2019</v>
      </c>
      <c r="T2" t="str">
        <f t="shared" ref="T2:T65" si="2">IF(WEEKDAY(C2)=1,"Sunday",IF(WEEKDAY(C2)=2,"Monday",IF(WEEKDAY(C2)=3,"Tuesday",IF(WEEKDAY(C2)=4,"Wednesday",IF(WEEKDAY(C2)=5,"Thursday",IF(WEEKDAY(C2)=6,"Friday","Saturday"))))))</f>
        <v>Thursday</v>
      </c>
      <c r="U2">
        <f t="shared" ref="U2:U65" si="3">IF(E2&gt;=12,1,0)</f>
        <v>0</v>
      </c>
      <c r="V2" s="24">
        <f>IFERROR(Table2[[#This Row],[Gray Min]]/Table2[[#This Row],[ClassLength]],"")</f>
        <v>0.32727272727272727</v>
      </c>
      <c r="W2" s="24">
        <f>IFERROR(Table2[[#This Row],[Blue Min]]/Table2[[#This Row],[ClassLength]],"")</f>
        <v>0.36363636363636365</v>
      </c>
      <c r="X2" s="24">
        <f>IFERROR(Table2[[#This Row],[Green Min]]/Table2[[#This Row],[ClassLength]],"")</f>
        <v>0.29090909090909089</v>
      </c>
      <c r="Y2" s="24">
        <f>IFERROR(Table2[[#This Row],[Orange Min]]/Table2[[#This Row],[ClassLength]],"")</f>
        <v>1.8181818181818181E-2</v>
      </c>
      <c r="Z2" s="24">
        <f>IFERROR(Table2[[#This Row],[Red Min]]/Table2[[#This Row],[ClassLength]],"")</f>
        <v>0</v>
      </c>
      <c r="AA2" s="25">
        <v>133.49</v>
      </c>
      <c r="AB2" s="25">
        <f>AA2/3</f>
        <v>44.49666666666667</v>
      </c>
      <c r="AC2" s="26">
        <f t="shared" ref="AC2:AC65" si="4">AVERAGEIF(R:R,R2,F:F)</f>
        <v>596.33333333333337</v>
      </c>
      <c r="AD2" s="26">
        <f t="shared" ref="AD2:AD65" si="5">AVERAGEIF(R:R,R2,E:E)</f>
        <v>1.3333333333333333</v>
      </c>
      <c r="AE2">
        <f t="shared" ref="AE2:AE65" si="6">YEAR(C2)</f>
        <v>2019</v>
      </c>
      <c r="AG2">
        <v>3</v>
      </c>
      <c r="AH2" s="26">
        <f t="shared" ref="AH2:AH65" si="7">F2/D2</f>
        <v>10.272727272727273</v>
      </c>
      <c r="AI2" t="str">
        <f t="shared" ref="AI2:AI65" si="8">RIGHT(O2,2)</f>
        <v>PM</v>
      </c>
      <c r="AJ2" t="str">
        <f t="shared" ref="AJ2:AJ65" si="9">R2&amp;"-"&amp;WEEKNUM(C2,1)-WEEKNUM(DATE(YEAR(C2),MONTH(C2),1),1)+1</f>
        <v>3-2019-3</v>
      </c>
      <c r="AK2">
        <f t="shared" ref="AK2:AK65" si="10">MONTH(C2)</f>
        <v>3</v>
      </c>
      <c r="AL2" s="26">
        <f>IFERROR(Table2[[#This Row],[Calories]]/Table2[[#This Row],[Splat]],"")</f>
        <v>565</v>
      </c>
      <c r="AM2">
        <f>COUNTIF(N$2:$N$938,N2)</f>
        <v>35</v>
      </c>
      <c r="AN2" t="str">
        <f>VLOOKUP(N2,'Helpful Tables'!A:D,4,FALSE)</f>
        <v>Virginia</v>
      </c>
      <c r="AO2" s="24">
        <f>COUNTIF(AN:AN,Table2[[#This Row],[State]])/COUNTA(AN:AN)</f>
        <v>5.6503198294243072E-2</v>
      </c>
      <c r="AP2">
        <f>VLOOKUP(N2,'Helpful Tables'!A:B,2,FALSE)</f>
        <v>38.881884999999997</v>
      </c>
      <c r="AQ2">
        <f>VLOOKUP(N2,'Helpful Tables'!A:C,3,FALSE)</f>
        <v>-77.229702000000003</v>
      </c>
      <c r="AR2">
        <f>COUNTIF(P$2:$P$938,P2)</f>
        <v>13</v>
      </c>
      <c r="AS2" cm="1">
        <f t="array" ref="AS2">_xlfn.IFS(E2&lt;6,((E2/D2)*60)*0.5,AND(E2&gt;=6,E2&lt;9),((E2/D2)*60)*0.75,AND(E2&gt;=9,E2&lt;=11),((E2/D2)*60)*0.9,AND(E2=12),((E2/D2)*60)*1,AND(E2&gt;=13,E2&lt;=15),((E2/D2)*60)*1.2,AND(E2&gt;=16,E2&lt;=19),((E2/D2)*60)*1.5,E2&gt;=20,((E2/D2)*60)*1.8)</f>
        <v>0.54545454545454541</v>
      </c>
      <c r="AT2" cm="1">
        <f t="array" ref="AT2">_xlfn.IFS(F2&lt;550,((F2/D2)*60)*0.5,AND(F2&gt;=550,F2&lt;575),((F2/D2)*60)*0.75,AND(F2&gt;=575,F2&lt;600),((F2/D2)*60)*0.9,AND(F2=600),((F2/D2)*60)*1,AND(F2&gt;=601,F2&lt;=625),((F2/D2)*60)*1.2,AND(F2&gt;=626,F2&lt;=650),((F2/D2)*60)*1.5,F2&gt;=651,((F2/D2)*60)*1.8)</f>
        <v>462.27272727272725</v>
      </c>
      <c r="AU2">
        <f t="shared" ref="AU2:AU65" si="11">(I2*-1.2)+(J2*-1.1)+(K2*1.2)+(L2*1.3)+(M2*1.5)</f>
        <v>-23.099999999999994</v>
      </c>
      <c r="AV2">
        <f>(AS2*0.4)+(AT2*0.4)+(AU2*0.2)</f>
        <v>180.50727272727272</v>
      </c>
      <c r="AW2">
        <f t="shared" ref="AW2:AW65" si="12">PERCENTRANK(AV:AV,AV2)*100</f>
        <v>10.7</v>
      </c>
      <c r="AX2" t="str">
        <f t="shared" ref="AX2:AX65" si="13">_xlfn.CONCAT(TEXT(C2,"mmm"),"-",AE2)</f>
        <v>Mar-2019</v>
      </c>
      <c r="AY2">
        <f>ROUNDUP(Table2[[#This Row],[Month]]/3,0)</f>
        <v>1</v>
      </c>
    </row>
    <row r="3" spans="1:51" x14ac:dyDescent="0.2">
      <c r="A3">
        <v>2</v>
      </c>
      <c r="B3">
        <f t="shared" si="0"/>
        <v>3</v>
      </c>
      <c r="C3" s="22">
        <v>43545</v>
      </c>
      <c r="D3">
        <f>SUM(Table2[[#This Row],[Gray Min]:[Red Min]])</f>
        <v>58</v>
      </c>
      <c r="E3">
        <v>1</v>
      </c>
      <c r="F3">
        <v>586</v>
      </c>
      <c r="G3">
        <v>121</v>
      </c>
      <c r="H3">
        <v>167</v>
      </c>
      <c r="I3">
        <v>16</v>
      </c>
      <c r="J3">
        <v>17</v>
      </c>
      <c r="K3">
        <v>24</v>
      </c>
      <c r="L3">
        <v>1</v>
      </c>
      <c r="M3">
        <v>0</v>
      </c>
      <c r="N3" t="s">
        <v>24</v>
      </c>
      <c r="O3" t="s">
        <v>26</v>
      </c>
      <c r="P3" t="s">
        <v>25</v>
      </c>
      <c r="Q3">
        <f t="shared" ref="Q3:Q66" si="14">C3-C2</f>
        <v>7</v>
      </c>
      <c r="R3" t="str">
        <f t="shared" si="1"/>
        <v>3-2019</v>
      </c>
      <c r="T3" t="str">
        <f t="shared" si="2"/>
        <v>Thursday</v>
      </c>
      <c r="U3">
        <f t="shared" si="3"/>
        <v>0</v>
      </c>
      <c r="V3" s="24">
        <f>IFERROR(Table2[[#This Row],[Gray Min]]/Table2[[#This Row],[ClassLength]],"")</f>
        <v>0.27586206896551724</v>
      </c>
      <c r="W3" s="24">
        <f>IFERROR(Table2[[#This Row],[Blue Min]]/Table2[[#This Row],[ClassLength]],"")</f>
        <v>0.29310344827586204</v>
      </c>
      <c r="X3" s="24">
        <f>IFERROR(Table2[[#This Row],[Green Min]]/Table2[[#This Row],[ClassLength]],"")</f>
        <v>0.41379310344827586</v>
      </c>
      <c r="Y3" s="24">
        <f>IFERROR(Table2[[#This Row],[Orange Min]]/Table2[[#This Row],[ClassLength]],"")</f>
        <v>1.7241379310344827E-2</v>
      </c>
      <c r="Z3" s="24">
        <f>IFERROR(Table2[[#This Row],[Red Min]]/Table2[[#This Row],[ClassLength]],"")</f>
        <v>0</v>
      </c>
      <c r="AA3" s="25">
        <v>133.49</v>
      </c>
      <c r="AB3" s="25">
        <f t="shared" ref="AB3:AB7" si="15">AA3/3</f>
        <v>44.49666666666667</v>
      </c>
      <c r="AC3" s="26">
        <f t="shared" si="4"/>
        <v>596.33333333333337</v>
      </c>
      <c r="AD3" s="26">
        <f t="shared" si="5"/>
        <v>1.3333333333333333</v>
      </c>
      <c r="AE3">
        <f t="shared" si="6"/>
        <v>2019</v>
      </c>
      <c r="AG3">
        <v>3</v>
      </c>
      <c r="AH3" s="26">
        <f t="shared" si="7"/>
        <v>10.103448275862069</v>
      </c>
      <c r="AI3" t="str">
        <f t="shared" si="8"/>
        <v>PM</v>
      </c>
      <c r="AJ3" t="str">
        <f t="shared" si="9"/>
        <v>3-2019-4</v>
      </c>
      <c r="AK3">
        <f t="shared" si="10"/>
        <v>3</v>
      </c>
      <c r="AL3" s="26">
        <f>IFERROR(Table2[[#This Row],[Calories]]/Table2[[#This Row],[Splat]],"")</f>
        <v>586</v>
      </c>
      <c r="AM3">
        <f>COUNTIF(N$2:$N$938,N3)</f>
        <v>35</v>
      </c>
      <c r="AN3" t="str">
        <f>VLOOKUP(N3,'Helpful Tables'!A:D,4,FALSE)</f>
        <v>Virginia</v>
      </c>
      <c r="AO3" s="24">
        <f>COUNTIF(AN:AN,Table2[[#This Row],[State]])/COUNTA(AN:AN)</f>
        <v>5.6503198294243072E-2</v>
      </c>
      <c r="AP3">
        <f>VLOOKUP(N3,'Helpful Tables'!A:B,2,FALSE)</f>
        <v>38.881884999999997</v>
      </c>
      <c r="AQ3">
        <f>VLOOKUP(N3,'Helpful Tables'!A:C,3,FALSE)</f>
        <v>-77.229702000000003</v>
      </c>
      <c r="AR3">
        <f>COUNTIF(P$2:$P$938,P3)</f>
        <v>13</v>
      </c>
      <c r="AS3" cm="1">
        <f t="array" ref="AS3">_xlfn.IFS(E3&lt;6,((E3/D3)*60)*0.5,AND(E3&gt;=6,E3&lt;9),((E3/D3)*60)*0.75,AND(E3&gt;=9,E3&lt;=11),((E3/D3)*60)*0.9,AND(E3=12),((E3/D3)*60)*1,AND(E3&gt;=13,E3&lt;=15),((E3/D3)*60)*1.2,AND(E3&gt;=16,E3&lt;=19),((E3/D3)*60)*1.5,E3&gt;=20,((E3/D3)*60)*1.8)</f>
        <v>0.51724137931034486</v>
      </c>
      <c r="AT3" cm="1">
        <f t="array" ref="AT3">_xlfn.IFS(F3&lt;550,((F3/D3)*60)*0.5,AND(F3&gt;=550,F3&lt;575),((F3/D3)*60)*0.75,AND(F3&gt;=575,F3&lt;600),((F3/D3)*60)*0.9,AND(F3=600),((F3/D3)*60)*1,AND(F3&gt;=601,F3&lt;=625),((F3/D3)*60)*1.2,AND(F3&gt;=626,F3&lt;=650),((F3/D3)*60)*1.5,F3&gt;=651,((F3/D3)*60)*1.8)</f>
        <v>545.58620689655174</v>
      </c>
      <c r="AU3">
        <f t="shared" si="11"/>
        <v>-7.8000000000000087</v>
      </c>
      <c r="AV3">
        <f t="shared" ref="AV3:AV66" si="16">(AS3*0.4)+(AT3*0.4)+(AU3*0.2)</f>
        <v>216.88137931034484</v>
      </c>
      <c r="AW3">
        <f t="shared" si="12"/>
        <v>15.8</v>
      </c>
      <c r="AX3" t="str">
        <f t="shared" si="13"/>
        <v>Mar-2019</v>
      </c>
      <c r="AY3">
        <f>ROUNDUP(Table2[[#This Row],[Month]]/3,0)</f>
        <v>1</v>
      </c>
    </row>
    <row r="4" spans="1:51" x14ac:dyDescent="0.2">
      <c r="A4">
        <v>3</v>
      </c>
      <c r="B4">
        <f t="shared" si="0"/>
        <v>3</v>
      </c>
      <c r="C4" s="22">
        <v>43552</v>
      </c>
      <c r="D4">
        <f>SUM(Table2[[#This Row],[Gray Min]:[Red Min]])</f>
        <v>57</v>
      </c>
      <c r="E4">
        <v>2</v>
      </c>
      <c r="F4">
        <v>638</v>
      </c>
      <c r="G4">
        <v>128</v>
      </c>
      <c r="H4">
        <v>169</v>
      </c>
      <c r="I4">
        <v>13</v>
      </c>
      <c r="J4">
        <v>17</v>
      </c>
      <c r="K4">
        <v>25</v>
      </c>
      <c r="L4">
        <v>2</v>
      </c>
      <c r="M4">
        <v>0</v>
      </c>
      <c r="N4" t="s">
        <v>24</v>
      </c>
      <c r="O4" t="s">
        <v>26</v>
      </c>
      <c r="P4" t="s">
        <v>28</v>
      </c>
      <c r="Q4">
        <f t="shared" si="14"/>
        <v>7</v>
      </c>
      <c r="R4" t="str">
        <f t="shared" si="1"/>
        <v>3-2019</v>
      </c>
      <c r="T4" t="str">
        <f t="shared" si="2"/>
        <v>Thursday</v>
      </c>
      <c r="U4">
        <f t="shared" si="3"/>
        <v>0</v>
      </c>
      <c r="V4" s="24">
        <f>IFERROR(Table2[[#This Row],[Gray Min]]/Table2[[#This Row],[ClassLength]],"")</f>
        <v>0.22807017543859648</v>
      </c>
      <c r="W4" s="24">
        <f>IFERROR(Table2[[#This Row],[Blue Min]]/Table2[[#This Row],[ClassLength]],"")</f>
        <v>0.2982456140350877</v>
      </c>
      <c r="X4" s="24">
        <f>IFERROR(Table2[[#This Row],[Green Min]]/Table2[[#This Row],[ClassLength]],"")</f>
        <v>0.43859649122807015</v>
      </c>
      <c r="Y4" s="24">
        <f>IFERROR(Table2[[#This Row],[Orange Min]]/Table2[[#This Row],[ClassLength]],"")</f>
        <v>3.5087719298245612E-2</v>
      </c>
      <c r="Z4" s="24">
        <f>IFERROR(Table2[[#This Row],[Red Min]]/Table2[[#This Row],[ClassLength]],"")</f>
        <v>0</v>
      </c>
      <c r="AA4" s="25">
        <v>133.49</v>
      </c>
      <c r="AB4" s="25">
        <f t="shared" si="15"/>
        <v>44.49666666666667</v>
      </c>
      <c r="AC4" s="26">
        <f t="shared" si="4"/>
        <v>596.33333333333337</v>
      </c>
      <c r="AD4" s="26">
        <f t="shared" si="5"/>
        <v>1.3333333333333333</v>
      </c>
      <c r="AE4">
        <f t="shared" si="6"/>
        <v>2019</v>
      </c>
      <c r="AF4" s="25">
        <v>83.74</v>
      </c>
      <c r="AG4">
        <v>3</v>
      </c>
      <c r="AH4" s="26">
        <f t="shared" si="7"/>
        <v>11.192982456140351</v>
      </c>
      <c r="AI4" t="str">
        <f t="shared" si="8"/>
        <v>PM</v>
      </c>
      <c r="AJ4" t="str">
        <f t="shared" si="9"/>
        <v>3-2019-5</v>
      </c>
      <c r="AK4">
        <f t="shared" si="10"/>
        <v>3</v>
      </c>
      <c r="AL4" s="26">
        <f>IFERROR(Table2[[#This Row],[Calories]]/Table2[[#This Row],[Splat]],"")</f>
        <v>319</v>
      </c>
      <c r="AM4">
        <f>COUNTIF(N$2:$N$938,N4)</f>
        <v>35</v>
      </c>
      <c r="AN4" t="str">
        <f>VLOOKUP(N4,'Helpful Tables'!A:D,4,FALSE)</f>
        <v>Virginia</v>
      </c>
      <c r="AO4" s="24">
        <f>COUNTIF(AN:AN,Table2[[#This Row],[State]])/COUNTA(AN:AN)</f>
        <v>5.6503198294243072E-2</v>
      </c>
      <c r="AP4">
        <f>VLOOKUP(N4,'Helpful Tables'!A:B,2,FALSE)</f>
        <v>38.881884999999997</v>
      </c>
      <c r="AQ4">
        <f>VLOOKUP(N4,'Helpful Tables'!A:C,3,FALSE)</f>
        <v>-77.229702000000003</v>
      </c>
      <c r="AR4">
        <f>COUNTIF(P$2:$P$938,P4)</f>
        <v>10</v>
      </c>
      <c r="AS4" cm="1">
        <f t="array" ref="AS4">_xlfn.IFS(E4&lt;6,((E4/D4)*60)*0.5,AND(E4&gt;=6,E4&lt;9),((E4/D4)*60)*0.75,AND(E4&gt;=9,E4&lt;=11),((E4/D4)*60)*0.9,AND(E4=12),((E4/D4)*60)*1,AND(E4&gt;=13,E4&lt;=15),((E4/D4)*60)*1.2,AND(E4&gt;=16,E4&lt;=19),((E4/D4)*60)*1.5,E4&gt;=20,((E4/D4)*60)*1.8)</f>
        <v>1.0526315789473684</v>
      </c>
      <c r="AT4" cm="1">
        <f t="array" ref="AT4">_xlfn.IFS(F4&lt;550,((F4/D4)*60)*0.5,AND(F4&gt;=550,F4&lt;575),((F4/D4)*60)*0.75,AND(F4&gt;=575,F4&lt;600),((F4/D4)*60)*0.9,AND(F4=600),((F4/D4)*60)*1,AND(F4&gt;=601,F4&lt;=625),((F4/D4)*60)*1.2,AND(F4&gt;=626,F4&lt;=650),((F4/D4)*60)*1.5,F4&gt;=651,((F4/D4)*60)*1.8)</f>
        <v>1007.3684210526316</v>
      </c>
      <c r="AU4">
        <f t="shared" si="11"/>
        <v>-1.7000000000000042</v>
      </c>
      <c r="AV4">
        <f t="shared" si="16"/>
        <v>403.02842105263164</v>
      </c>
      <c r="AW4">
        <f t="shared" si="12"/>
        <v>54.6</v>
      </c>
      <c r="AX4" t="str">
        <f t="shared" si="13"/>
        <v>Mar-2019</v>
      </c>
      <c r="AY4">
        <f>ROUNDUP(Table2[[#This Row],[Month]]/3,0)</f>
        <v>1</v>
      </c>
    </row>
    <row r="5" spans="1:51" x14ac:dyDescent="0.2">
      <c r="A5">
        <v>4</v>
      </c>
      <c r="B5">
        <f t="shared" si="0"/>
        <v>3</v>
      </c>
      <c r="C5" s="22">
        <v>43559</v>
      </c>
      <c r="D5">
        <f>SUM(Table2[[#This Row],[Gray Min]:[Red Min]])</f>
        <v>57</v>
      </c>
      <c r="E5">
        <v>8</v>
      </c>
      <c r="F5">
        <v>601</v>
      </c>
      <c r="G5">
        <v>124</v>
      </c>
      <c r="H5">
        <v>169</v>
      </c>
      <c r="I5">
        <v>25.9</v>
      </c>
      <c r="J5">
        <v>5.266666667</v>
      </c>
      <c r="K5">
        <v>17.533333333000002</v>
      </c>
      <c r="L5">
        <v>8.3000000000000007</v>
      </c>
      <c r="M5">
        <v>0</v>
      </c>
      <c r="N5" t="s">
        <v>24</v>
      </c>
      <c r="O5" t="s">
        <v>26</v>
      </c>
      <c r="P5" t="s">
        <v>25</v>
      </c>
      <c r="Q5">
        <f t="shared" si="14"/>
        <v>7</v>
      </c>
      <c r="R5" t="str">
        <f t="shared" si="1"/>
        <v>4-2019</v>
      </c>
      <c r="T5" t="str">
        <f t="shared" si="2"/>
        <v>Thursday</v>
      </c>
      <c r="U5">
        <f t="shared" si="3"/>
        <v>0</v>
      </c>
      <c r="V5" s="24">
        <f>IFERROR(Table2[[#This Row],[Gray Min]]/Table2[[#This Row],[ClassLength]],"")</f>
        <v>0.45438596491228067</v>
      </c>
      <c r="W5" s="24">
        <f>IFERROR(Table2[[#This Row],[Blue Min]]/Table2[[#This Row],[ClassLength]],"")</f>
        <v>9.2397660824561398E-2</v>
      </c>
      <c r="X5" s="24">
        <f>IFERROR(Table2[[#This Row],[Green Min]]/Table2[[#This Row],[ClassLength]],"")</f>
        <v>0.30760233917543861</v>
      </c>
      <c r="Y5" s="24">
        <f>IFERROR(Table2[[#This Row],[Orange Min]]/Table2[[#This Row],[ClassLength]],"")</f>
        <v>0.14561403508771931</v>
      </c>
      <c r="Z5" s="24">
        <f>IFERROR(Table2[[#This Row],[Red Min]]/Table2[[#This Row],[ClassLength]],"")</f>
        <v>0</v>
      </c>
      <c r="AA5" s="25">
        <v>49.75</v>
      </c>
      <c r="AB5" s="25">
        <f t="shared" si="15"/>
        <v>16.583333333333332</v>
      </c>
      <c r="AC5" s="26">
        <f t="shared" si="4"/>
        <v>563.66666666666663</v>
      </c>
      <c r="AD5" s="26">
        <f t="shared" si="5"/>
        <v>8.3333333333333339</v>
      </c>
      <c r="AE5">
        <f t="shared" si="6"/>
        <v>2019</v>
      </c>
      <c r="AG5">
        <v>3</v>
      </c>
      <c r="AH5" s="26">
        <f t="shared" si="7"/>
        <v>10.543859649122806</v>
      </c>
      <c r="AI5" t="str">
        <f t="shared" si="8"/>
        <v>PM</v>
      </c>
      <c r="AJ5" t="str">
        <f t="shared" si="9"/>
        <v>4-2019-1</v>
      </c>
      <c r="AK5">
        <f t="shared" si="10"/>
        <v>4</v>
      </c>
      <c r="AL5" s="26">
        <f>IFERROR(Table2[[#This Row],[Calories]]/Table2[[#This Row],[Splat]],"")</f>
        <v>75.125</v>
      </c>
      <c r="AM5">
        <f>COUNTIF(N$2:$N$938,N5)</f>
        <v>35</v>
      </c>
      <c r="AN5" t="str">
        <f>VLOOKUP(N5,'Helpful Tables'!A:D,4,FALSE)</f>
        <v>Virginia</v>
      </c>
      <c r="AO5" s="24">
        <f>COUNTIF(AN:AN,Table2[[#This Row],[State]])/COUNTA(AN:AN)</f>
        <v>5.6503198294243072E-2</v>
      </c>
      <c r="AP5">
        <f>VLOOKUP(N5,'Helpful Tables'!A:B,2,FALSE)</f>
        <v>38.881884999999997</v>
      </c>
      <c r="AQ5">
        <f>VLOOKUP(N5,'Helpful Tables'!A:C,3,FALSE)</f>
        <v>-77.229702000000003</v>
      </c>
      <c r="AR5">
        <f>COUNTIF(P$2:$P$938,P5)</f>
        <v>13</v>
      </c>
      <c r="AS5" cm="1">
        <f t="array" ref="AS5">_xlfn.IFS(E5&lt;6,((E5/D5)*60)*0.5,AND(E5&gt;=6,E5&lt;9),((E5/D5)*60)*0.75,AND(E5&gt;=9,E5&lt;=11),((E5/D5)*60)*0.9,AND(E5=12),((E5/D5)*60)*1,AND(E5&gt;=13,E5&lt;=15),((E5/D5)*60)*1.2,AND(E5&gt;=16,E5&lt;=19),((E5/D5)*60)*1.5,E5&gt;=20,((E5/D5)*60)*1.8)</f>
        <v>6.3157894736842106</v>
      </c>
      <c r="AT5" cm="1">
        <f t="array" ref="AT5">_xlfn.IFS(F5&lt;550,((F5/D5)*60)*0.5,AND(F5&gt;=550,F5&lt;575),((F5/D5)*60)*0.75,AND(F5&gt;=575,F5&lt;600),((F5/D5)*60)*0.9,AND(F5=600),((F5/D5)*60)*1,AND(F5&gt;=601,F5&lt;=625),((F5/D5)*60)*1.2,AND(F5&gt;=626,F5&lt;=650),((F5/D5)*60)*1.5,F5&gt;=651,((F5/D5)*60)*1.8)</f>
        <v>759.15789473684208</v>
      </c>
      <c r="AU5">
        <f t="shared" si="11"/>
        <v>-5.0433333340999926</v>
      </c>
      <c r="AV5">
        <f t="shared" si="16"/>
        <v>305.18080701739058</v>
      </c>
      <c r="AW5">
        <f t="shared" si="12"/>
        <v>29.2</v>
      </c>
      <c r="AX5" t="str">
        <f t="shared" si="13"/>
        <v>Apr-2019</v>
      </c>
      <c r="AY5">
        <f>ROUNDUP(Table2[[#This Row],[Month]]/3,0)</f>
        <v>2</v>
      </c>
    </row>
    <row r="6" spans="1:51" x14ac:dyDescent="0.2">
      <c r="A6">
        <v>5</v>
      </c>
      <c r="B6">
        <f t="shared" si="0"/>
        <v>3</v>
      </c>
      <c r="C6" s="22">
        <v>43564</v>
      </c>
      <c r="D6">
        <f>SUM(Table2[[#This Row],[Gray Min]:[Red Min]])</f>
        <v>57.033333334000005</v>
      </c>
      <c r="E6">
        <v>9</v>
      </c>
      <c r="F6">
        <v>542</v>
      </c>
      <c r="G6">
        <v>117</v>
      </c>
      <c r="H6">
        <v>177</v>
      </c>
      <c r="I6">
        <v>26.65</v>
      </c>
      <c r="J6">
        <v>13.916666666999999</v>
      </c>
      <c r="K6">
        <v>7.4166666670000003</v>
      </c>
      <c r="L6">
        <v>7.266666667</v>
      </c>
      <c r="M6">
        <v>1.7833333330000001</v>
      </c>
      <c r="N6" t="s">
        <v>24</v>
      </c>
      <c r="O6" t="s">
        <v>26</v>
      </c>
      <c r="P6" t="s">
        <v>29</v>
      </c>
      <c r="Q6">
        <f t="shared" si="14"/>
        <v>5</v>
      </c>
      <c r="R6" t="str">
        <f t="shared" si="1"/>
        <v>4-2019</v>
      </c>
      <c r="T6" t="str">
        <f t="shared" si="2"/>
        <v>Tuesday</v>
      </c>
      <c r="U6">
        <f t="shared" si="3"/>
        <v>0</v>
      </c>
      <c r="V6" s="24">
        <f>IFERROR(Table2[[#This Row],[Gray Min]]/Table2[[#This Row],[ClassLength]],"")</f>
        <v>0.46727060198168002</v>
      </c>
      <c r="W6" s="24">
        <f>IFERROR(Table2[[#This Row],[Blue Min]]/Table2[[#This Row],[ClassLength]],"")</f>
        <v>0.24400935125956735</v>
      </c>
      <c r="X6" s="24">
        <f>IFERROR(Table2[[#This Row],[Green Min]]/Table2[[#This Row],[ClassLength]],"")</f>
        <v>0.13004091175184054</v>
      </c>
      <c r="Y6" s="24">
        <f>IFERROR(Table2[[#This Row],[Orange Min]]/Table2[[#This Row],[ClassLength]],"")</f>
        <v>0.12741087084012376</v>
      </c>
      <c r="Z6" s="24">
        <f>IFERROR(Table2[[#This Row],[Red Min]]/Table2[[#This Row],[ClassLength]],"")</f>
        <v>3.1268264166788212E-2</v>
      </c>
      <c r="AA6" s="25">
        <v>49.75</v>
      </c>
      <c r="AB6" s="25">
        <f t="shared" si="15"/>
        <v>16.583333333333332</v>
      </c>
      <c r="AC6" s="26">
        <f t="shared" si="4"/>
        <v>563.66666666666663</v>
      </c>
      <c r="AD6" s="26">
        <f t="shared" si="5"/>
        <v>8.3333333333333339</v>
      </c>
      <c r="AE6">
        <f t="shared" si="6"/>
        <v>2019</v>
      </c>
      <c r="AG6">
        <v>3</v>
      </c>
      <c r="AH6" s="26">
        <f t="shared" si="7"/>
        <v>9.503214494336607</v>
      </c>
      <c r="AI6" t="str">
        <f t="shared" si="8"/>
        <v>PM</v>
      </c>
      <c r="AJ6" t="str">
        <f t="shared" si="9"/>
        <v>4-2019-2</v>
      </c>
      <c r="AK6">
        <f t="shared" si="10"/>
        <v>4</v>
      </c>
      <c r="AL6" s="26">
        <f>IFERROR(Table2[[#This Row],[Calories]]/Table2[[#This Row],[Splat]],"")</f>
        <v>60.222222222222221</v>
      </c>
      <c r="AM6">
        <f>COUNTIF(N$2:$N$938,N6)</f>
        <v>35</v>
      </c>
      <c r="AN6" t="str">
        <f>VLOOKUP(N6,'Helpful Tables'!A:D,4,FALSE)</f>
        <v>Virginia</v>
      </c>
      <c r="AO6" s="24">
        <f>COUNTIF(AN:AN,Table2[[#This Row],[State]])/COUNTA(AN:AN)</f>
        <v>5.6503198294243072E-2</v>
      </c>
      <c r="AP6">
        <f>VLOOKUP(N6,'Helpful Tables'!A:B,2,FALSE)</f>
        <v>38.881884999999997</v>
      </c>
      <c r="AQ6">
        <f>VLOOKUP(N6,'Helpful Tables'!A:C,3,FALSE)</f>
        <v>-77.229702000000003</v>
      </c>
      <c r="AR6">
        <f>COUNTIF(P$2:$P$938,P6)</f>
        <v>2</v>
      </c>
      <c r="AS6" cm="1">
        <f t="array" ref="AS6">_xlfn.IFS(E6&lt;6,((E6/D6)*60)*0.5,AND(E6&gt;=6,E6&lt;9),((E6/D6)*60)*0.75,AND(E6&gt;=9,E6&lt;=11),((E6/D6)*60)*0.9,AND(E6=12),((E6/D6)*60)*1,AND(E6&gt;=13,E6&lt;=15),((E6/D6)*60)*1.2,AND(E6&gt;=16,E6&lt;=19),((E6/D6)*60)*1.5,E6&gt;=20,((E6/D6)*60)*1.8)</f>
        <v>8.5213325539623437</v>
      </c>
      <c r="AT6" cm="1">
        <f t="array" ref="AT6">_xlfn.IFS(F6&lt;550,((F6/D6)*60)*0.5,AND(F6&gt;=550,F6&lt;575),((F6/D6)*60)*0.75,AND(F6&gt;=575,F6&lt;600),((F6/D6)*60)*0.9,AND(F6=600),((F6/D6)*60)*1,AND(F6&gt;=601,F6&lt;=625),((F6/D6)*60)*1.2,AND(F6&gt;=626,F6&lt;=650),((F6/D6)*60)*1.5,F6&gt;=651,((F6/D6)*60)*1.8)</f>
        <v>285.09643483009819</v>
      </c>
      <c r="AU6">
        <f t="shared" si="11"/>
        <v>-26.266666666699997</v>
      </c>
      <c r="AV6">
        <f t="shared" si="16"/>
        <v>112.19377362028423</v>
      </c>
      <c r="AW6">
        <f t="shared" si="12"/>
        <v>4.5</v>
      </c>
      <c r="AX6" t="str">
        <f t="shared" si="13"/>
        <v>Apr-2019</v>
      </c>
      <c r="AY6">
        <f>ROUNDUP(Table2[[#This Row],[Month]]/3,0)</f>
        <v>2</v>
      </c>
    </row>
    <row r="7" spans="1:51" x14ac:dyDescent="0.2">
      <c r="A7">
        <v>6</v>
      </c>
      <c r="B7">
        <f t="shared" si="0"/>
        <v>3</v>
      </c>
      <c r="C7" s="22">
        <v>43573</v>
      </c>
      <c r="D7">
        <f>SUM(Table2[[#This Row],[Gray Min]:[Red Min]])</f>
        <v>57</v>
      </c>
      <c r="E7">
        <v>8</v>
      </c>
      <c r="F7">
        <v>548</v>
      </c>
      <c r="G7">
        <v>118</v>
      </c>
      <c r="H7">
        <v>167</v>
      </c>
      <c r="I7">
        <v>29.066666667</v>
      </c>
      <c r="J7">
        <v>8.0333333329999999</v>
      </c>
      <c r="K7">
        <v>12.25</v>
      </c>
      <c r="L7">
        <v>7.65</v>
      </c>
      <c r="M7">
        <v>0</v>
      </c>
      <c r="N7" t="s">
        <v>24</v>
      </c>
      <c r="O7" t="s">
        <v>26</v>
      </c>
      <c r="P7" t="s">
        <v>25</v>
      </c>
      <c r="Q7">
        <f t="shared" si="14"/>
        <v>9</v>
      </c>
      <c r="R7" t="str">
        <f t="shared" si="1"/>
        <v>4-2019</v>
      </c>
      <c r="T7" t="str">
        <f t="shared" si="2"/>
        <v>Thursday</v>
      </c>
      <c r="U7">
        <f t="shared" si="3"/>
        <v>0</v>
      </c>
      <c r="V7" s="24">
        <f>IFERROR(Table2[[#This Row],[Gray Min]]/Table2[[#This Row],[ClassLength]],"")</f>
        <v>0.50994152047368424</v>
      </c>
      <c r="W7" s="24">
        <f>IFERROR(Table2[[#This Row],[Blue Min]]/Table2[[#This Row],[ClassLength]],"")</f>
        <v>0.14093567250877193</v>
      </c>
      <c r="X7" s="24">
        <f>IFERROR(Table2[[#This Row],[Green Min]]/Table2[[#This Row],[ClassLength]],"")</f>
        <v>0.21491228070175439</v>
      </c>
      <c r="Y7" s="24">
        <f>IFERROR(Table2[[#This Row],[Orange Min]]/Table2[[#This Row],[ClassLength]],"")</f>
        <v>0.13421052631578947</v>
      </c>
      <c r="Z7" s="24">
        <f>IFERROR(Table2[[#This Row],[Red Min]]/Table2[[#This Row],[ClassLength]],"")</f>
        <v>0</v>
      </c>
      <c r="AA7" s="25">
        <v>49.75</v>
      </c>
      <c r="AB7" s="25">
        <f t="shared" si="15"/>
        <v>16.583333333333332</v>
      </c>
      <c r="AC7" s="26">
        <f t="shared" si="4"/>
        <v>563.66666666666663</v>
      </c>
      <c r="AD7" s="26">
        <f t="shared" si="5"/>
        <v>8.3333333333333339</v>
      </c>
      <c r="AE7">
        <f t="shared" si="6"/>
        <v>2019</v>
      </c>
      <c r="AG7">
        <v>3</v>
      </c>
      <c r="AH7" s="26">
        <f t="shared" si="7"/>
        <v>9.6140350877192979</v>
      </c>
      <c r="AI7" t="str">
        <f t="shared" si="8"/>
        <v>PM</v>
      </c>
      <c r="AJ7" t="str">
        <f t="shared" si="9"/>
        <v>4-2019-3</v>
      </c>
      <c r="AK7">
        <f t="shared" si="10"/>
        <v>4</v>
      </c>
      <c r="AL7" s="26">
        <f>IFERROR(Table2[[#This Row],[Calories]]/Table2[[#This Row],[Splat]],"")</f>
        <v>68.5</v>
      </c>
      <c r="AM7">
        <f>COUNTIF(N$2:$N$938,N7)</f>
        <v>35</v>
      </c>
      <c r="AN7" t="str">
        <f>VLOOKUP(N7,'Helpful Tables'!A:D,4,FALSE)</f>
        <v>Virginia</v>
      </c>
      <c r="AO7" s="24">
        <f>COUNTIF(AN:AN,Table2[[#This Row],[State]])/COUNTA(AN:AN)</f>
        <v>5.6503198294243072E-2</v>
      </c>
      <c r="AP7">
        <f>VLOOKUP(N7,'Helpful Tables'!A:B,2,FALSE)</f>
        <v>38.881884999999997</v>
      </c>
      <c r="AQ7">
        <f>VLOOKUP(N7,'Helpful Tables'!A:C,3,FALSE)</f>
        <v>-77.229702000000003</v>
      </c>
      <c r="AR7">
        <f>COUNTIF(P$2:$P$938,P7)</f>
        <v>13</v>
      </c>
      <c r="AS7" cm="1">
        <f t="array" ref="AS7">_xlfn.IFS(E7&lt;6,((E7/D7)*60)*0.5,AND(E7&gt;=6,E7&lt;9),((E7/D7)*60)*0.75,AND(E7&gt;=9,E7&lt;=11),((E7/D7)*60)*0.9,AND(E7=12),((E7/D7)*60)*1,AND(E7&gt;=13,E7&lt;=15),((E7/D7)*60)*1.2,AND(E7&gt;=16,E7&lt;=19),((E7/D7)*60)*1.5,E7&gt;=20,((E7/D7)*60)*1.8)</f>
        <v>6.3157894736842106</v>
      </c>
      <c r="AT7" cm="1">
        <f t="array" ref="AT7">_xlfn.IFS(F7&lt;550,((F7/D7)*60)*0.5,AND(F7&gt;=550,F7&lt;575),((F7/D7)*60)*0.75,AND(F7&gt;=575,F7&lt;600),((F7/D7)*60)*0.9,AND(F7=600),((F7/D7)*60)*1,AND(F7&gt;=601,F7&lt;=625),((F7/D7)*60)*1.2,AND(F7&gt;=626,F7&lt;=650),((F7/D7)*60)*1.5,F7&gt;=651,((F7/D7)*60)*1.8)</f>
        <v>288.42105263157896</v>
      </c>
      <c r="AU7">
        <f t="shared" si="11"/>
        <v>-19.071666666699993</v>
      </c>
      <c r="AV7">
        <f t="shared" si="16"/>
        <v>114.08040350876527</v>
      </c>
      <c r="AW7">
        <f t="shared" si="12"/>
        <v>5.2</v>
      </c>
      <c r="AX7" t="str">
        <f t="shared" si="13"/>
        <v>Apr-2019</v>
      </c>
      <c r="AY7">
        <f>ROUNDUP(Table2[[#This Row],[Month]]/3,0)</f>
        <v>2</v>
      </c>
    </row>
    <row r="8" spans="1:51" x14ac:dyDescent="0.2">
      <c r="A8">
        <v>7</v>
      </c>
      <c r="B8">
        <f t="shared" si="0"/>
        <v>4</v>
      </c>
      <c r="C8" s="22">
        <v>43587</v>
      </c>
      <c r="D8">
        <f>SUM(Table2[[#This Row],[Gray Min]:[Red Min]])</f>
        <v>53</v>
      </c>
      <c r="E8">
        <v>8</v>
      </c>
      <c r="F8">
        <v>534</v>
      </c>
      <c r="G8">
        <v>121</v>
      </c>
      <c r="H8">
        <v>177</v>
      </c>
      <c r="I8">
        <v>24.566666667</v>
      </c>
      <c r="J8">
        <v>12.333333333000001</v>
      </c>
      <c r="K8">
        <v>7.65</v>
      </c>
      <c r="L8">
        <v>6.1666666670000003</v>
      </c>
      <c r="M8">
        <v>2.2833333329999999</v>
      </c>
      <c r="N8" t="s">
        <v>24</v>
      </c>
      <c r="O8" t="s">
        <v>26</v>
      </c>
      <c r="P8" t="s">
        <v>25</v>
      </c>
      <c r="Q8">
        <f t="shared" si="14"/>
        <v>14</v>
      </c>
      <c r="R8" t="str">
        <f t="shared" si="1"/>
        <v>5-2019</v>
      </c>
      <c r="T8" t="str">
        <f t="shared" si="2"/>
        <v>Thursday</v>
      </c>
      <c r="U8">
        <f t="shared" si="3"/>
        <v>0</v>
      </c>
      <c r="V8" s="24">
        <f>IFERROR(Table2[[#This Row],[Gray Min]]/Table2[[#This Row],[ClassLength]],"")</f>
        <v>0.46352201258490566</v>
      </c>
      <c r="W8" s="24">
        <f>IFERROR(Table2[[#This Row],[Blue Min]]/Table2[[#This Row],[ClassLength]],"")</f>
        <v>0.23270440250943397</v>
      </c>
      <c r="X8" s="24">
        <f>IFERROR(Table2[[#This Row],[Green Min]]/Table2[[#This Row],[ClassLength]],"")</f>
        <v>0.14433962264150943</v>
      </c>
      <c r="Y8" s="24">
        <f>IFERROR(Table2[[#This Row],[Orange Min]]/Table2[[#This Row],[ClassLength]],"")</f>
        <v>0.11635220126415095</v>
      </c>
      <c r="Z8" s="24">
        <f>IFERROR(Table2[[#This Row],[Red Min]]/Table2[[#This Row],[ClassLength]],"")</f>
        <v>4.3081760999999996E-2</v>
      </c>
      <c r="AA8" s="25">
        <v>66.33</v>
      </c>
      <c r="AB8" s="25">
        <f>AA8/4</f>
        <v>16.5825</v>
      </c>
      <c r="AC8" s="26">
        <f t="shared" si="4"/>
        <v>641</v>
      </c>
      <c r="AD8" s="26">
        <f t="shared" si="5"/>
        <v>10.5</v>
      </c>
      <c r="AE8">
        <f t="shared" si="6"/>
        <v>2019</v>
      </c>
      <c r="AG8">
        <v>3</v>
      </c>
      <c r="AH8" s="26">
        <f t="shared" si="7"/>
        <v>10.075471698113208</v>
      </c>
      <c r="AI8" t="str">
        <f t="shared" si="8"/>
        <v>PM</v>
      </c>
      <c r="AJ8" t="str">
        <f t="shared" si="9"/>
        <v>5-2019-1</v>
      </c>
      <c r="AK8">
        <f t="shared" si="10"/>
        <v>5</v>
      </c>
      <c r="AL8" s="26">
        <f>IFERROR(Table2[[#This Row],[Calories]]/Table2[[#This Row],[Splat]],"")</f>
        <v>66.75</v>
      </c>
      <c r="AM8">
        <f>COUNTIF(N$2:$N$938,N8)</f>
        <v>35</v>
      </c>
      <c r="AN8" t="str">
        <f>VLOOKUP(N8,'Helpful Tables'!A:D,4,FALSE)</f>
        <v>Virginia</v>
      </c>
      <c r="AO8" s="24">
        <f>COUNTIF(AN:AN,Table2[[#This Row],[State]])/COUNTA(AN:AN)</f>
        <v>5.6503198294243072E-2</v>
      </c>
      <c r="AP8">
        <f>VLOOKUP(N8,'Helpful Tables'!A:B,2,FALSE)</f>
        <v>38.881884999999997</v>
      </c>
      <c r="AQ8">
        <f>VLOOKUP(N8,'Helpful Tables'!A:C,3,FALSE)</f>
        <v>-77.229702000000003</v>
      </c>
      <c r="AR8">
        <f>COUNTIF(P$2:$P$938,P8)</f>
        <v>13</v>
      </c>
      <c r="AS8" cm="1">
        <f t="array" ref="AS8">_xlfn.IFS(E8&lt;6,((E8/D8)*60)*0.5,AND(E8&gt;=6,E8&lt;9),((E8/D8)*60)*0.75,AND(E8&gt;=9,E8&lt;=11),((E8/D8)*60)*0.9,AND(E8=12),((E8/D8)*60)*1,AND(E8&gt;=13,E8&lt;=15),((E8/D8)*60)*1.2,AND(E8&gt;=16,E8&lt;=19),((E8/D8)*60)*1.5,E8&gt;=20,((E8/D8)*60)*1.8)</f>
        <v>6.7924528301886795</v>
      </c>
      <c r="AT8" cm="1">
        <f t="array" ref="AT8">_xlfn.IFS(F8&lt;550,((F8/D8)*60)*0.5,AND(F8&gt;=550,F8&lt;575),((F8/D8)*60)*0.75,AND(F8&gt;=575,F8&lt;600),((F8/D8)*60)*0.9,AND(F8=600),((F8/D8)*60)*1,AND(F8&gt;=601,F8&lt;=625),((F8/D8)*60)*1.2,AND(F8&gt;=626,F8&lt;=650),((F8/D8)*60)*1.5,F8&gt;=651,((F8/D8)*60)*1.8)</f>
        <v>302.26415094339626</v>
      </c>
      <c r="AU8">
        <f t="shared" si="11"/>
        <v>-22.425000000099999</v>
      </c>
      <c r="AV8">
        <f t="shared" si="16"/>
        <v>119.137641509414</v>
      </c>
      <c r="AW8">
        <f t="shared" si="12"/>
        <v>6.6000000000000005</v>
      </c>
      <c r="AX8" t="str">
        <f t="shared" si="13"/>
        <v>May-2019</v>
      </c>
      <c r="AY8">
        <f>ROUNDUP(Table2[[#This Row],[Month]]/3,0)</f>
        <v>2</v>
      </c>
    </row>
    <row r="9" spans="1:51" x14ac:dyDescent="0.2">
      <c r="A9">
        <v>8</v>
      </c>
      <c r="B9">
        <f t="shared" si="0"/>
        <v>4</v>
      </c>
      <c r="C9" s="22">
        <v>43599</v>
      </c>
      <c r="D9">
        <f>SUM(Table2[[#This Row],[Gray Min]:[Red Min]])</f>
        <v>57.999999999000003</v>
      </c>
      <c r="E9">
        <v>12</v>
      </c>
      <c r="F9">
        <v>649</v>
      </c>
      <c r="G9">
        <v>129</v>
      </c>
      <c r="H9">
        <v>177</v>
      </c>
      <c r="I9">
        <v>20.466666666999998</v>
      </c>
      <c r="J9">
        <v>10.083333333000001</v>
      </c>
      <c r="K9">
        <v>16.233333333000001</v>
      </c>
      <c r="L9">
        <v>9.6833333330000002</v>
      </c>
      <c r="M9">
        <v>1.5333333330000001</v>
      </c>
      <c r="N9" t="s">
        <v>24</v>
      </c>
      <c r="O9" t="s">
        <v>26</v>
      </c>
      <c r="P9" t="s">
        <v>29</v>
      </c>
      <c r="Q9">
        <f t="shared" si="14"/>
        <v>12</v>
      </c>
      <c r="R9" t="str">
        <f t="shared" si="1"/>
        <v>5-2019</v>
      </c>
      <c r="T9" t="str">
        <f t="shared" si="2"/>
        <v>Tuesday</v>
      </c>
      <c r="U9">
        <f t="shared" si="3"/>
        <v>1</v>
      </c>
      <c r="V9" s="24">
        <f>IFERROR(Table2[[#This Row],[Gray Min]]/Table2[[#This Row],[ClassLength]],"")</f>
        <v>0.3528735632302219</v>
      </c>
      <c r="W9" s="24">
        <f>IFERROR(Table2[[#This Row],[Blue Min]]/Table2[[#This Row],[ClassLength]],"")</f>
        <v>0.17385057470989398</v>
      </c>
      <c r="X9" s="24">
        <f>IFERROR(Table2[[#This Row],[Green Min]]/Table2[[#This Row],[ClassLength]],"")</f>
        <v>0.27988505747034287</v>
      </c>
      <c r="Y9" s="24">
        <f>IFERROR(Table2[[#This Row],[Orange Min]]/Table2[[#This Row],[ClassLength]],"")</f>
        <v>0.16695402298563713</v>
      </c>
      <c r="Z9" s="24">
        <f>IFERROR(Table2[[#This Row],[Red Min]]/Table2[[#This Row],[ClassLength]],"")</f>
        <v>2.6436781603904082E-2</v>
      </c>
      <c r="AA9" s="25">
        <v>66.33</v>
      </c>
      <c r="AB9" s="25">
        <f t="shared" ref="AB9:AB11" si="17">AA9/4</f>
        <v>16.5825</v>
      </c>
      <c r="AC9" s="26">
        <f t="shared" si="4"/>
        <v>641</v>
      </c>
      <c r="AD9" s="26">
        <f t="shared" si="5"/>
        <v>10.5</v>
      </c>
      <c r="AE9">
        <f t="shared" si="6"/>
        <v>2019</v>
      </c>
      <c r="AG9">
        <v>3</v>
      </c>
      <c r="AH9" s="26">
        <f t="shared" si="7"/>
        <v>11.189655172606718</v>
      </c>
      <c r="AI9" t="str">
        <f t="shared" si="8"/>
        <v>PM</v>
      </c>
      <c r="AJ9" t="str">
        <f t="shared" si="9"/>
        <v>5-2019-3</v>
      </c>
      <c r="AK9">
        <f t="shared" si="10"/>
        <v>5</v>
      </c>
      <c r="AL9" s="26">
        <f>IFERROR(Table2[[#This Row],[Calories]]/Table2[[#This Row],[Splat]],"")</f>
        <v>54.083333333333336</v>
      </c>
      <c r="AM9">
        <f>COUNTIF(N$2:$N$938,N9)</f>
        <v>35</v>
      </c>
      <c r="AN9" t="str">
        <f>VLOOKUP(N9,'Helpful Tables'!A:D,4,FALSE)</f>
        <v>Virginia</v>
      </c>
      <c r="AO9" s="24">
        <f>COUNTIF(AN:AN,Table2[[#This Row],[State]])/COUNTA(AN:AN)</f>
        <v>5.6503198294243072E-2</v>
      </c>
      <c r="AP9">
        <f>VLOOKUP(N9,'Helpful Tables'!A:B,2,FALSE)</f>
        <v>38.881884999999997</v>
      </c>
      <c r="AQ9">
        <f>VLOOKUP(N9,'Helpful Tables'!A:C,3,FALSE)</f>
        <v>-77.229702000000003</v>
      </c>
      <c r="AR9">
        <f>COUNTIF(P$2:$P$938,P9)</f>
        <v>2</v>
      </c>
      <c r="AS9" cm="1">
        <f t="array" ref="AS9">_xlfn.IFS(E9&lt;6,((E9/D9)*60)*0.5,AND(E9&gt;=6,E9&lt;9),((E9/D9)*60)*0.75,AND(E9&gt;=9,E9&lt;=11),((E9/D9)*60)*0.9,AND(E9=12),((E9/D9)*60)*1,AND(E9&gt;=13,E9&lt;=15),((E9/D9)*60)*1.2,AND(E9&gt;=16,E9&lt;=19),((E9/D9)*60)*1.5,E9&gt;=20,((E9/D9)*60)*1.8)</f>
        <v>12.413793103662305</v>
      </c>
      <c r="AT9" cm="1">
        <f t="array" ref="AT9">_xlfn.IFS(F9&lt;550,((F9/D9)*60)*0.5,AND(F9&gt;=550,F9&lt;575),((F9/D9)*60)*0.75,AND(F9&gt;=575,F9&lt;600),((F9/D9)*60)*0.9,AND(F9=600),((F9/D9)*60)*1,AND(F9&gt;=601,F9&lt;=625),((F9/D9)*60)*1.2,AND(F9&gt;=626,F9&lt;=650),((F9/D9)*60)*1.5,F9&gt;=651,((F9/D9)*60)*1.8)</f>
        <v>1007.0689655346048</v>
      </c>
      <c r="AU9">
        <f t="shared" si="11"/>
        <v>-1.2833333347000004</v>
      </c>
      <c r="AV9">
        <f t="shared" si="16"/>
        <v>407.53643678836681</v>
      </c>
      <c r="AW9">
        <f t="shared" si="12"/>
        <v>57.3</v>
      </c>
      <c r="AX9" t="str">
        <f t="shared" si="13"/>
        <v>May-2019</v>
      </c>
      <c r="AY9">
        <f>ROUNDUP(Table2[[#This Row],[Month]]/3,0)</f>
        <v>2</v>
      </c>
    </row>
    <row r="10" spans="1:51" x14ac:dyDescent="0.2">
      <c r="A10">
        <v>9</v>
      </c>
      <c r="B10">
        <f t="shared" si="0"/>
        <v>4</v>
      </c>
      <c r="C10" s="22">
        <v>43608</v>
      </c>
      <c r="D10">
        <f>SUM(Table2[[#This Row],[Gray Min]:[Red Min]])</f>
        <v>59.05</v>
      </c>
      <c r="E10">
        <v>13</v>
      </c>
      <c r="F10">
        <v>709</v>
      </c>
      <c r="G10">
        <v>134</v>
      </c>
      <c r="H10">
        <v>177</v>
      </c>
      <c r="I10">
        <v>9.6666666669999994</v>
      </c>
      <c r="J10">
        <v>15.383333332999999</v>
      </c>
      <c r="K10">
        <v>21.316666667</v>
      </c>
      <c r="L10">
        <v>12.583333333000001</v>
      </c>
      <c r="M10">
        <v>0.1</v>
      </c>
      <c r="N10" t="s">
        <v>24</v>
      </c>
      <c r="O10" t="s">
        <v>26</v>
      </c>
      <c r="P10" t="s">
        <v>25</v>
      </c>
      <c r="Q10">
        <f t="shared" si="14"/>
        <v>9</v>
      </c>
      <c r="R10" t="str">
        <f t="shared" si="1"/>
        <v>5-2019</v>
      </c>
      <c r="T10" t="str">
        <f t="shared" si="2"/>
        <v>Thursday</v>
      </c>
      <c r="U10">
        <f t="shared" si="3"/>
        <v>1</v>
      </c>
      <c r="V10" s="24">
        <f>IFERROR(Table2[[#This Row],[Gray Min]]/Table2[[#This Row],[ClassLength]],"")</f>
        <v>0.1637030764944962</v>
      </c>
      <c r="W10" s="24">
        <f>IFERROR(Table2[[#This Row],[Blue Min]]/Table2[[#This Row],[ClassLength]],"")</f>
        <v>0.26051368895850974</v>
      </c>
      <c r="X10" s="24">
        <f>IFERROR(Table2[[#This Row],[Green Min]]/Table2[[#This Row],[ClassLength]],"")</f>
        <v>0.36099350833192212</v>
      </c>
      <c r="Y10" s="24">
        <f>IFERROR(Table2[[#This Row],[Orange Min]]/Table2[[#This Row],[ClassLength]],"")</f>
        <v>0.2130962461134632</v>
      </c>
      <c r="Z10" s="24">
        <f>IFERROR(Table2[[#This Row],[Red Min]]/Table2[[#This Row],[ClassLength]],"")</f>
        <v>1.6934801016088063E-3</v>
      </c>
      <c r="AA10" s="25">
        <v>66.33</v>
      </c>
      <c r="AB10" s="25">
        <f t="shared" si="17"/>
        <v>16.5825</v>
      </c>
      <c r="AC10" s="26">
        <f t="shared" si="4"/>
        <v>641</v>
      </c>
      <c r="AD10" s="26">
        <f t="shared" si="5"/>
        <v>10.5</v>
      </c>
      <c r="AE10">
        <f t="shared" si="6"/>
        <v>2019</v>
      </c>
      <c r="AG10">
        <v>3</v>
      </c>
      <c r="AH10" s="26">
        <f t="shared" si="7"/>
        <v>12.006773920406436</v>
      </c>
      <c r="AI10" t="str">
        <f t="shared" si="8"/>
        <v>PM</v>
      </c>
      <c r="AJ10" t="str">
        <f t="shared" si="9"/>
        <v>5-2019-4</v>
      </c>
      <c r="AK10">
        <f t="shared" si="10"/>
        <v>5</v>
      </c>
      <c r="AL10" s="26">
        <f>IFERROR(Table2[[#This Row],[Calories]]/Table2[[#This Row],[Splat]],"")</f>
        <v>54.53846153846154</v>
      </c>
      <c r="AM10">
        <f>COUNTIF(N$2:$N$938,N10)</f>
        <v>35</v>
      </c>
      <c r="AN10" t="str">
        <f>VLOOKUP(N10,'Helpful Tables'!A:D,4,FALSE)</f>
        <v>Virginia</v>
      </c>
      <c r="AO10" s="24">
        <f>COUNTIF(AN:AN,Table2[[#This Row],[State]])/COUNTA(AN:AN)</f>
        <v>5.6503198294243072E-2</v>
      </c>
      <c r="AP10">
        <f>VLOOKUP(N10,'Helpful Tables'!A:B,2,FALSE)</f>
        <v>38.881884999999997</v>
      </c>
      <c r="AQ10">
        <f>VLOOKUP(N10,'Helpful Tables'!A:C,3,FALSE)</f>
        <v>-77.229702000000003</v>
      </c>
      <c r="AR10">
        <f>COUNTIF(P$2:$P$938,P10)</f>
        <v>13</v>
      </c>
      <c r="AS10" cm="1">
        <f t="array" ref="AS10">_xlfn.IFS(E10&lt;6,((E10/D10)*60)*0.5,AND(E10&gt;=6,E10&lt;9),((E10/D10)*60)*0.75,AND(E10&gt;=9,E10&lt;=11),((E10/D10)*60)*0.9,AND(E10=12),((E10/D10)*60)*1,AND(E10&gt;=13,E10&lt;=15),((E10/D10)*60)*1.2,AND(E10&gt;=16,E10&lt;=19),((E10/D10)*60)*1.5,E10&gt;=20,((E10/D10)*60)*1.8)</f>
        <v>15.850973751058426</v>
      </c>
      <c r="AT10" cm="1">
        <f t="array" ref="AT10">_xlfn.IFS(F10&lt;550,((F10/D10)*60)*0.5,AND(F10&gt;=550,F10&lt;575),((F10/D10)*60)*0.75,AND(F10&gt;=575,F10&lt;600),((F10/D10)*60)*0.9,AND(F10=600),((F10/D10)*60)*1,AND(F10&gt;=601,F10&lt;=625),((F10/D10)*60)*1.2,AND(F10&gt;=626,F10&lt;=650),((F10/D10)*60)*1.5,F10&gt;=651,((F10/D10)*60)*1.8)</f>
        <v>1296.7315834038952</v>
      </c>
      <c r="AU10">
        <f t="shared" si="11"/>
        <v>13.566666666600002</v>
      </c>
      <c r="AV10">
        <f t="shared" si="16"/>
        <v>527.74635619530147</v>
      </c>
      <c r="AW10">
        <f t="shared" si="12"/>
        <v>93.100000000000009</v>
      </c>
      <c r="AX10" t="str">
        <f t="shared" si="13"/>
        <v>May-2019</v>
      </c>
      <c r="AY10">
        <f>ROUNDUP(Table2[[#This Row],[Month]]/3,0)</f>
        <v>2</v>
      </c>
    </row>
    <row r="11" spans="1:51" x14ac:dyDescent="0.2">
      <c r="A11">
        <v>10</v>
      </c>
      <c r="B11">
        <f t="shared" si="0"/>
        <v>4</v>
      </c>
      <c r="C11" s="22">
        <v>43615</v>
      </c>
      <c r="D11">
        <f>SUM(Table2[[#This Row],[Gray Min]:[Red Min]])</f>
        <v>56.299999999000001</v>
      </c>
      <c r="E11">
        <v>9</v>
      </c>
      <c r="F11">
        <v>672</v>
      </c>
      <c r="G11">
        <v>134</v>
      </c>
      <c r="H11">
        <v>177</v>
      </c>
      <c r="I11">
        <v>6.0833333329999997</v>
      </c>
      <c r="J11">
        <v>21.183333333</v>
      </c>
      <c r="K11">
        <v>19.533333333000002</v>
      </c>
      <c r="L11">
        <v>8.25</v>
      </c>
      <c r="M11">
        <v>1.25</v>
      </c>
      <c r="N11" t="s">
        <v>24</v>
      </c>
      <c r="O11" t="s">
        <v>26</v>
      </c>
      <c r="P11" t="s">
        <v>25</v>
      </c>
      <c r="Q11">
        <f t="shared" si="14"/>
        <v>7</v>
      </c>
      <c r="R11" t="str">
        <f t="shared" si="1"/>
        <v>5-2019</v>
      </c>
      <c r="T11" t="str">
        <f t="shared" si="2"/>
        <v>Thursday</v>
      </c>
      <c r="U11">
        <f t="shared" si="3"/>
        <v>0</v>
      </c>
      <c r="V11" s="24">
        <f>IFERROR(Table2[[#This Row],[Gray Min]]/Table2[[#This Row],[ClassLength]],"")</f>
        <v>0.10805210183140411</v>
      </c>
      <c r="W11" s="24">
        <f>IFERROR(Table2[[#This Row],[Blue Min]]/Table2[[#This Row],[ClassLength]],"")</f>
        <v>0.37625814091254456</v>
      </c>
      <c r="X11" s="24">
        <f>IFERROR(Table2[[#This Row],[Green Min]]/Table2[[#This Row],[ClassLength]],"")</f>
        <v>0.34695085849639345</v>
      </c>
      <c r="Y11" s="24">
        <f>IFERROR(Table2[[#This Row],[Orange Min]]/Table2[[#This Row],[ClassLength]],"")</f>
        <v>0.14653641208075552</v>
      </c>
      <c r="Z11" s="24">
        <f>IFERROR(Table2[[#This Row],[Red Min]]/Table2[[#This Row],[ClassLength]],"")</f>
        <v>2.2202486678902351E-2</v>
      </c>
      <c r="AA11" s="25">
        <v>66.33</v>
      </c>
      <c r="AB11" s="25">
        <f t="shared" si="17"/>
        <v>16.5825</v>
      </c>
      <c r="AC11" s="26">
        <f t="shared" si="4"/>
        <v>641</v>
      </c>
      <c r="AD11" s="26">
        <f t="shared" si="5"/>
        <v>10.5</v>
      </c>
      <c r="AE11">
        <f t="shared" si="6"/>
        <v>2019</v>
      </c>
      <c r="AG11">
        <v>3</v>
      </c>
      <c r="AH11" s="26">
        <f t="shared" si="7"/>
        <v>11.936056838577905</v>
      </c>
      <c r="AI11" t="str">
        <f t="shared" si="8"/>
        <v>PM</v>
      </c>
      <c r="AJ11" t="str">
        <f t="shared" si="9"/>
        <v>5-2019-5</v>
      </c>
      <c r="AK11">
        <f t="shared" si="10"/>
        <v>5</v>
      </c>
      <c r="AL11" s="26">
        <f>IFERROR(Table2[[#This Row],[Calories]]/Table2[[#This Row],[Splat]],"")</f>
        <v>74.666666666666671</v>
      </c>
      <c r="AM11">
        <f>COUNTIF(N$2:$N$938,N11)</f>
        <v>35</v>
      </c>
      <c r="AN11" t="str">
        <f>VLOOKUP(N11,'Helpful Tables'!A:D,4,FALSE)</f>
        <v>Virginia</v>
      </c>
      <c r="AO11" s="24">
        <f>COUNTIF(AN:AN,Table2[[#This Row],[State]])/COUNTA(AN:AN)</f>
        <v>5.6503198294243072E-2</v>
      </c>
      <c r="AP11">
        <f>VLOOKUP(N11,'Helpful Tables'!A:B,2,FALSE)</f>
        <v>38.881884999999997</v>
      </c>
      <c r="AQ11">
        <f>VLOOKUP(N11,'Helpful Tables'!A:C,3,FALSE)</f>
        <v>-77.229702000000003</v>
      </c>
      <c r="AR11">
        <f>COUNTIF(P$2:$P$938,P11)</f>
        <v>13</v>
      </c>
      <c r="AS11" cm="1">
        <f t="array" ref="AS11">_xlfn.IFS(E11&lt;6,((E11/D11)*60)*0.5,AND(E11&gt;=6,E11&lt;9),((E11/D11)*60)*0.75,AND(E11&gt;=9,E11&lt;=11),((E11/D11)*60)*0.9,AND(E11=12),((E11/D11)*60)*1,AND(E11&gt;=13,E11&lt;=15),((E11/D11)*60)*1.2,AND(E11&gt;=16,E11&lt;=19),((E11/D11)*60)*1.5,E11&gt;=20,((E11/D11)*60)*1.8)</f>
        <v>8.6323268207572355</v>
      </c>
      <c r="AT11" cm="1">
        <f t="array" ref="AT11">_xlfn.IFS(F11&lt;550,((F11/D11)*60)*0.5,AND(F11&gt;=550,F11&lt;575),((F11/D11)*60)*0.75,AND(F11&gt;=575,F11&lt;600),((F11/D11)*60)*0.9,AND(F11=600),((F11/D11)*60)*1,AND(F11&gt;=601,F11&lt;=625),((F11/D11)*60)*1.2,AND(F11&gt;=626,F11&lt;=650),((F11/D11)*60)*1.5,F11&gt;=651,((F11/D11)*60)*1.8)</f>
        <v>1289.0941385664137</v>
      </c>
      <c r="AU11">
        <f t="shared" si="11"/>
        <v>5.4383333337000028</v>
      </c>
      <c r="AV11">
        <f t="shared" si="16"/>
        <v>520.17825282160845</v>
      </c>
      <c r="AW11">
        <f t="shared" si="12"/>
        <v>90.2</v>
      </c>
      <c r="AX11" t="str">
        <f t="shared" si="13"/>
        <v>May-2019</v>
      </c>
      <c r="AY11">
        <f>ROUNDUP(Table2[[#This Row],[Month]]/3,0)</f>
        <v>2</v>
      </c>
    </row>
    <row r="12" spans="1:51" x14ac:dyDescent="0.2">
      <c r="A12">
        <v>11</v>
      </c>
      <c r="B12">
        <f t="shared" si="0"/>
        <v>10</v>
      </c>
      <c r="C12" s="22">
        <v>43622</v>
      </c>
      <c r="D12">
        <f>SUM(Table2[[#This Row],[Gray Min]:[Red Min]])</f>
        <v>60.55</v>
      </c>
      <c r="E12">
        <v>14</v>
      </c>
      <c r="F12">
        <v>701</v>
      </c>
      <c r="G12">
        <v>131</v>
      </c>
      <c r="H12">
        <v>172</v>
      </c>
      <c r="I12">
        <v>17.783333333000002</v>
      </c>
      <c r="J12">
        <v>13.9</v>
      </c>
      <c r="K12">
        <v>14.7</v>
      </c>
      <c r="L12">
        <v>14.116666667000001</v>
      </c>
      <c r="M12">
        <v>0.05</v>
      </c>
      <c r="N12" t="s">
        <v>24</v>
      </c>
      <c r="O12" t="s">
        <v>26</v>
      </c>
      <c r="P12" t="s">
        <v>25</v>
      </c>
      <c r="Q12">
        <f t="shared" si="14"/>
        <v>7</v>
      </c>
      <c r="R12" t="str">
        <f t="shared" si="1"/>
        <v>6-2019</v>
      </c>
      <c r="T12" t="str">
        <f t="shared" si="2"/>
        <v>Thursday</v>
      </c>
      <c r="U12">
        <f t="shared" si="3"/>
        <v>1</v>
      </c>
      <c r="V12" s="24">
        <f>IFERROR(Table2[[#This Row],[Gray Min]]/Table2[[#This Row],[ClassLength]],"")</f>
        <v>0.2936966694137077</v>
      </c>
      <c r="W12" s="24">
        <f>IFERROR(Table2[[#This Row],[Blue Min]]/Table2[[#This Row],[ClassLength]],"")</f>
        <v>0.22956234516928159</v>
      </c>
      <c r="X12" s="24">
        <f>IFERROR(Table2[[#This Row],[Green Min]]/Table2[[#This Row],[ClassLength]],"")</f>
        <v>0.24277456647398843</v>
      </c>
      <c r="Y12" s="24">
        <f>IFERROR(Table2[[#This Row],[Orange Min]]/Table2[[#This Row],[ClassLength]],"")</f>
        <v>0.23314065511147813</v>
      </c>
      <c r="Z12" s="24">
        <f>IFERROR(Table2[[#This Row],[Red Min]]/Table2[[#This Row],[ClassLength]],"")</f>
        <v>8.2576383154417843E-4</v>
      </c>
      <c r="AA12" s="25">
        <v>33.17</v>
      </c>
      <c r="AB12" s="25">
        <f>AA12/2</f>
        <v>16.585000000000001</v>
      </c>
      <c r="AC12" s="26">
        <f t="shared" si="4"/>
        <v>669.6</v>
      </c>
      <c r="AD12" s="26">
        <f t="shared" si="5"/>
        <v>10.199999999999999</v>
      </c>
      <c r="AE12">
        <f t="shared" si="6"/>
        <v>2019</v>
      </c>
      <c r="AG12">
        <v>12</v>
      </c>
      <c r="AH12" s="26">
        <f t="shared" si="7"/>
        <v>11.577208918249381</v>
      </c>
      <c r="AI12" t="str">
        <f t="shared" si="8"/>
        <v>PM</v>
      </c>
      <c r="AJ12" t="str">
        <f t="shared" si="9"/>
        <v>6-2019-2</v>
      </c>
      <c r="AK12">
        <f t="shared" si="10"/>
        <v>6</v>
      </c>
      <c r="AL12" s="26">
        <f>IFERROR(Table2[[#This Row],[Calories]]/Table2[[#This Row],[Splat]],"")</f>
        <v>50.071428571428569</v>
      </c>
      <c r="AM12">
        <f>COUNTIF(N$2:$N$938,N12)</f>
        <v>35</v>
      </c>
      <c r="AN12" t="str">
        <f>VLOOKUP(N12,'Helpful Tables'!A:D,4,FALSE)</f>
        <v>Virginia</v>
      </c>
      <c r="AO12" s="24">
        <f>COUNTIF(AN:AN,Table2[[#This Row],[State]])/COUNTA(AN:AN)</f>
        <v>5.6503198294243072E-2</v>
      </c>
      <c r="AP12">
        <f>VLOOKUP(N12,'Helpful Tables'!A:B,2,FALSE)</f>
        <v>38.881884999999997</v>
      </c>
      <c r="AQ12">
        <f>VLOOKUP(N12,'Helpful Tables'!A:C,3,FALSE)</f>
        <v>-77.229702000000003</v>
      </c>
      <c r="AR12">
        <f>COUNTIF(P$2:$P$938,P12)</f>
        <v>13</v>
      </c>
      <c r="AS12" cm="1">
        <f t="array" ref="AS12">_xlfn.IFS(E12&lt;6,((E12/D12)*60)*0.5,AND(E12&gt;=6,E12&lt;9),((E12/D12)*60)*0.75,AND(E12&gt;=9,E12&lt;=11),((E12/D12)*60)*0.9,AND(E12=12),((E12/D12)*60)*1,AND(E12&gt;=13,E12&lt;=15),((E12/D12)*60)*1.2,AND(E12&gt;=16,E12&lt;=19),((E12/D12)*60)*1.5,E12&gt;=20,((E12/D12)*60)*1.8)</f>
        <v>16.647398843930638</v>
      </c>
      <c r="AT12" cm="1">
        <f t="array" ref="AT12">_xlfn.IFS(F12&lt;550,((F12/D12)*60)*0.5,AND(F12&gt;=550,F12&lt;575),((F12/D12)*60)*0.75,AND(F12&gt;=575,F12&lt;600),((F12/D12)*60)*0.9,AND(F12=600),((F12/D12)*60)*1,AND(F12&gt;=601,F12&lt;=625),((F12/D12)*60)*1.2,AND(F12&gt;=626,F12&lt;=650),((F12/D12)*60)*1.5,F12&gt;=651,((F12/D12)*60)*1.8)</f>
        <v>1250.3385631709332</v>
      </c>
      <c r="AU12">
        <f t="shared" si="11"/>
        <v>-0.56333333250000384</v>
      </c>
      <c r="AV12">
        <f t="shared" si="16"/>
        <v>506.68171813944554</v>
      </c>
      <c r="AW12">
        <f t="shared" si="12"/>
        <v>83.5</v>
      </c>
      <c r="AX12" t="str">
        <f t="shared" si="13"/>
        <v>Jun-2019</v>
      </c>
      <c r="AY12">
        <f>ROUNDUP(Table2[[#This Row],[Month]]/3,0)</f>
        <v>2</v>
      </c>
    </row>
    <row r="13" spans="1:51" x14ac:dyDescent="0.2">
      <c r="A13">
        <v>12</v>
      </c>
      <c r="B13">
        <f t="shared" si="0"/>
        <v>10</v>
      </c>
      <c r="C13" s="22">
        <v>43625</v>
      </c>
      <c r="D13">
        <f>SUM(Table2[[#This Row],[Gray Min]:[Red Min]])</f>
        <v>55.816666667</v>
      </c>
      <c r="E13">
        <v>8</v>
      </c>
      <c r="F13">
        <v>667</v>
      </c>
      <c r="G13">
        <v>134</v>
      </c>
      <c r="H13">
        <v>187</v>
      </c>
      <c r="I13">
        <v>7.2</v>
      </c>
      <c r="J13">
        <v>17.866666667000001</v>
      </c>
      <c r="K13">
        <v>22.65</v>
      </c>
      <c r="L13">
        <v>8.0833333330000006</v>
      </c>
      <c r="M13">
        <v>1.6666667E-2</v>
      </c>
      <c r="N13" t="s">
        <v>30</v>
      </c>
      <c r="O13" t="s">
        <v>32</v>
      </c>
      <c r="P13" t="s">
        <v>31</v>
      </c>
      <c r="Q13">
        <f t="shared" si="14"/>
        <v>3</v>
      </c>
      <c r="R13" t="str">
        <f t="shared" si="1"/>
        <v>6-2019</v>
      </c>
      <c r="T13" t="str">
        <f t="shared" si="2"/>
        <v>Sunday</v>
      </c>
      <c r="U13">
        <f t="shared" si="3"/>
        <v>0</v>
      </c>
      <c r="V13" s="24">
        <f>IFERROR(Table2[[#This Row],[Gray Min]]/Table2[[#This Row],[ClassLength]],"")</f>
        <v>0.12899372947071369</v>
      </c>
      <c r="W13" s="24">
        <f>IFERROR(Table2[[#This Row],[Blue Min]]/Table2[[#This Row],[ClassLength]],"")</f>
        <v>0.32009555091477998</v>
      </c>
      <c r="X13" s="24">
        <f>IFERROR(Table2[[#This Row],[Green Min]]/Table2[[#This Row],[ClassLength]],"")</f>
        <v>0.40579277395995345</v>
      </c>
      <c r="Y13" s="24">
        <f>IFERROR(Table2[[#This Row],[Orange Min]]/Table2[[#This Row],[ClassLength]],"")</f>
        <v>0.14481934905258395</v>
      </c>
      <c r="Z13" s="24">
        <f>IFERROR(Table2[[#This Row],[Red Min]]/Table2[[#This Row],[ClassLength]],"")</f>
        <v>2.9859660196895432E-4</v>
      </c>
      <c r="AA13" s="25">
        <v>33.17</v>
      </c>
      <c r="AB13" s="25">
        <f>AA13/2</f>
        <v>16.585000000000001</v>
      </c>
      <c r="AC13" s="26">
        <f t="shared" si="4"/>
        <v>669.6</v>
      </c>
      <c r="AD13" s="26">
        <f t="shared" si="5"/>
        <v>10.199999999999999</v>
      </c>
      <c r="AE13">
        <f t="shared" si="6"/>
        <v>2019</v>
      </c>
      <c r="AG13">
        <v>12</v>
      </c>
      <c r="AH13" s="26">
        <f t="shared" si="7"/>
        <v>11.949835771800837</v>
      </c>
      <c r="AI13" t="str">
        <f t="shared" si="8"/>
        <v>AM</v>
      </c>
      <c r="AJ13" t="str">
        <f t="shared" si="9"/>
        <v>6-2019-3</v>
      </c>
      <c r="AK13">
        <f t="shared" si="10"/>
        <v>6</v>
      </c>
      <c r="AL13" s="26">
        <f>IFERROR(Table2[[#This Row],[Calories]]/Table2[[#This Row],[Splat]],"")</f>
        <v>83.375</v>
      </c>
      <c r="AM13">
        <f>COUNTIF(N$2:$N$938,N13)</f>
        <v>9</v>
      </c>
      <c r="AN13" t="str">
        <f>VLOOKUP(N13,'Helpful Tables'!A:D,4,FALSE)</f>
        <v>Virginia</v>
      </c>
      <c r="AO13" s="24">
        <f>COUNTIF(AN:AN,Table2[[#This Row],[State]])/COUNTA(AN:AN)</f>
        <v>5.6503198294243072E-2</v>
      </c>
      <c r="AP13">
        <f>VLOOKUP(N13,'Helpful Tables'!A:B,2,FALSE)</f>
        <v>38.894024999999999</v>
      </c>
      <c r="AQ13">
        <f>VLOOKUP(N13,'Helpful Tables'!A:C,3,FALSE)</f>
        <v>-77.078213000000005</v>
      </c>
      <c r="AR13">
        <f>COUNTIF(P$2:$P$938,P13)</f>
        <v>1</v>
      </c>
      <c r="AS13" cm="1">
        <f t="array" ref="AS13">_xlfn.IFS(E13&lt;6,((E13/D13)*60)*0.5,AND(E13&gt;=6,E13&lt;9),((E13/D13)*60)*0.75,AND(E13&gt;=9,E13&lt;=11),((E13/D13)*60)*0.9,AND(E13=12),((E13/D13)*60)*1,AND(E13&gt;=13,E13&lt;=15),((E13/D13)*60)*1.2,AND(E13&gt;=16,E13&lt;=19),((E13/D13)*60)*1.5,E13&gt;=20,((E13/D13)*60)*1.8)</f>
        <v>6.4496864735356851</v>
      </c>
      <c r="AT13" cm="1">
        <f t="array" ref="AT13">_xlfn.IFS(F13&lt;550,((F13/D13)*60)*0.5,AND(F13&gt;=550,F13&lt;575),((F13/D13)*60)*0.75,AND(F13&gt;=575,F13&lt;600),((F13/D13)*60)*0.9,AND(F13=600),((F13/D13)*60)*1,AND(F13&gt;=601,F13&lt;=625),((F13/D13)*60)*1.2,AND(F13&gt;=626,F13&lt;=650),((F13/D13)*60)*1.5,F13&gt;=651,((F13/D13)*60)*1.8)</f>
        <v>1290.5822633544904</v>
      </c>
      <c r="AU13">
        <f t="shared" si="11"/>
        <v>9.4199999996999964</v>
      </c>
      <c r="AV13">
        <f t="shared" si="16"/>
        <v>520.69677993115045</v>
      </c>
      <c r="AW13">
        <f t="shared" si="12"/>
        <v>90.5</v>
      </c>
      <c r="AX13" t="str">
        <f t="shared" si="13"/>
        <v>Jun-2019</v>
      </c>
      <c r="AY13">
        <f>ROUNDUP(Table2[[#This Row],[Month]]/3,0)</f>
        <v>2</v>
      </c>
    </row>
    <row r="14" spans="1:51" x14ac:dyDescent="0.2">
      <c r="A14">
        <v>13</v>
      </c>
      <c r="B14">
        <f t="shared" si="0"/>
        <v>10</v>
      </c>
      <c r="C14" s="22">
        <v>43631</v>
      </c>
      <c r="D14">
        <f>SUM(Table2[[#This Row],[Gray Min]:[Red Min]])</f>
        <v>54.716666664999998</v>
      </c>
      <c r="E14">
        <v>10</v>
      </c>
      <c r="F14">
        <v>622</v>
      </c>
      <c r="G14">
        <v>130</v>
      </c>
      <c r="H14">
        <v>175</v>
      </c>
      <c r="I14">
        <v>14.483333332999999</v>
      </c>
      <c r="J14">
        <v>16.783333333000002</v>
      </c>
      <c r="K14">
        <v>13.233333332999999</v>
      </c>
      <c r="L14">
        <v>9.0833333330000006</v>
      </c>
      <c r="M14">
        <v>1.1333333329999999</v>
      </c>
      <c r="N14" t="s">
        <v>33</v>
      </c>
      <c r="O14" t="s">
        <v>35</v>
      </c>
      <c r="P14" t="s">
        <v>34</v>
      </c>
      <c r="Q14">
        <f t="shared" si="14"/>
        <v>6</v>
      </c>
      <c r="R14" t="str">
        <f t="shared" si="1"/>
        <v>6-2019</v>
      </c>
      <c r="T14" t="str">
        <f t="shared" si="2"/>
        <v>Saturday</v>
      </c>
      <c r="U14">
        <f t="shared" si="3"/>
        <v>0</v>
      </c>
      <c r="V14" s="24">
        <f>IFERROR(Table2[[#This Row],[Gray Min]]/Table2[[#This Row],[ClassLength]],"")</f>
        <v>0.26469692354750829</v>
      </c>
      <c r="W14" s="24">
        <f>IFERROR(Table2[[#This Row],[Blue Min]]/Table2[[#This Row],[ClassLength]],"")</f>
        <v>0.30673164788628487</v>
      </c>
      <c r="X14" s="24">
        <f>IFERROR(Table2[[#This Row],[Green Min]]/Table2[[#This Row],[ClassLength]],"")</f>
        <v>0.24185196466773839</v>
      </c>
      <c r="Y14" s="24">
        <f>IFERROR(Table2[[#This Row],[Orange Min]]/Table2[[#This Row],[ClassLength]],"")</f>
        <v>0.16600670118690244</v>
      </c>
      <c r="Z14" s="24">
        <f>IFERROR(Table2[[#This Row],[Red Min]]/Table2[[#This Row],[ClassLength]],"")</f>
        <v>2.0712762711566031E-2</v>
      </c>
      <c r="AA14" s="25">
        <v>10.6</v>
      </c>
      <c r="AB14" s="25">
        <f>AA14/1</f>
        <v>10.6</v>
      </c>
      <c r="AC14" s="26">
        <f t="shared" si="4"/>
        <v>669.6</v>
      </c>
      <c r="AD14" s="26">
        <f t="shared" si="5"/>
        <v>10.199999999999999</v>
      </c>
      <c r="AE14">
        <f t="shared" si="6"/>
        <v>2019</v>
      </c>
      <c r="AF14" s="25">
        <v>10.6</v>
      </c>
      <c r="AG14">
        <v>12</v>
      </c>
      <c r="AH14" s="26">
        <f t="shared" si="7"/>
        <v>11.36765153857349</v>
      </c>
      <c r="AI14" t="str">
        <f t="shared" si="8"/>
        <v>AM</v>
      </c>
      <c r="AJ14" t="str">
        <f t="shared" si="9"/>
        <v>6-2019-3</v>
      </c>
      <c r="AK14">
        <f t="shared" si="10"/>
        <v>6</v>
      </c>
      <c r="AL14" s="26">
        <f>IFERROR(Table2[[#This Row],[Calories]]/Table2[[#This Row],[Splat]],"")</f>
        <v>62.2</v>
      </c>
      <c r="AM14">
        <f>COUNTIF(N$2:$N$938,N14)</f>
        <v>48</v>
      </c>
      <c r="AN14" t="str">
        <f>VLOOKUP(N14,'Helpful Tables'!A:D,4,FALSE)</f>
        <v>Washington, DC</v>
      </c>
      <c r="AO14" s="24">
        <f>COUNTIF(AN:AN,Table2[[#This Row],[State]])/COUNTA(AN:AN)</f>
        <v>0.54904051172707891</v>
      </c>
      <c r="AP14">
        <f>VLOOKUP(N14,'Helpful Tables'!A:B,2,FALSE)</f>
        <v>38.916486999999996</v>
      </c>
      <c r="AQ14">
        <f>VLOOKUP(N14,'Helpful Tables'!A:C,3,FALSE)</f>
        <v>-77.031514000000001</v>
      </c>
      <c r="AR14">
        <f>COUNTIF(P$2:$P$938,P14)</f>
        <v>30</v>
      </c>
      <c r="AS14" cm="1">
        <f t="array" ref="AS14">_xlfn.IFS(E14&lt;6,((E14/D14)*60)*0.5,AND(E14&gt;=6,E14&lt;9),((E14/D14)*60)*0.75,AND(E14&gt;=9,E14&lt;=11),((E14/D14)*60)*0.9,AND(E14=12),((E14/D14)*60)*1,AND(E14&gt;=13,E14&lt;=15),((E14/D14)*60)*1.2,AND(E14&gt;=16,E14&lt;=19),((E14/D14)*60)*1.5,E14&gt;=20,((E14/D14)*60)*1.8)</f>
        <v>9.8690222360605855</v>
      </c>
      <c r="AT14" cm="1">
        <f t="array" ref="AT14">_xlfn.IFS(F14&lt;550,((F14/D14)*60)*0.5,AND(F14&gt;=550,F14&lt;575),((F14/D14)*60)*0.75,AND(F14&gt;=575,F14&lt;600),((F14/D14)*60)*0.9,AND(F14=600),((F14/D14)*60)*1,AND(F14&gt;=601,F14&lt;=625),((F14/D14)*60)*1.2,AND(F14&gt;=626,F14&lt;=650),((F14/D14)*60)*1.5,F14&gt;=651,((F14/D14)*60)*1.8)</f>
        <v>818.47091077729135</v>
      </c>
      <c r="AU14">
        <f t="shared" si="11"/>
        <v>-6.4533333339000061</v>
      </c>
      <c r="AV14">
        <f t="shared" si="16"/>
        <v>330.04530653856079</v>
      </c>
      <c r="AW14">
        <f t="shared" si="12"/>
        <v>40.200000000000003</v>
      </c>
      <c r="AX14" t="str">
        <f t="shared" si="13"/>
        <v>Jun-2019</v>
      </c>
      <c r="AY14">
        <f>ROUNDUP(Table2[[#This Row],[Month]]/3,0)</f>
        <v>2</v>
      </c>
    </row>
    <row r="15" spans="1:51" x14ac:dyDescent="0.2">
      <c r="A15">
        <v>14</v>
      </c>
      <c r="B15">
        <f t="shared" si="0"/>
        <v>10</v>
      </c>
      <c r="C15" s="22">
        <v>43632</v>
      </c>
      <c r="D15">
        <f>SUM(Table2[[#This Row],[Gray Min]:[Red Min]])</f>
        <v>53.4</v>
      </c>
      <c r="E15">
        <v>13</v>
      </c>
      <c r="F15">
        <v>676</v>
      </c>
      <c r="G15">
        <v>139</v>
      </c>
      <c r="H15">
        <v>172</v>
      </c>
      <c r="I15">
        <v>6.0833333329999997</v>
      </c>
      <c r="J15">
        <v>12.683333333</v>
      </c>
      <c r="K15">
        <v>21.45</v>
      </c>
      <c r="L15">
        <v>13.166666666999999</v>
      </c>
      <c r="M15">
        <v>1.6666667E-2</v>
      </c>
      <c r="N15" t="s">
        <v>33</v>
      </c>
      <c r="O15" t="s">
        <v>38</v>
      </c>
      <c r="P15" t="s">
        <v>37</v>
      </c>
      <c r="Q15">
        <f t="shared" si="14"/>
        <v>1</v>
      </c>
      <c r="R15" t="str">
        <f t="shared" si="1"/>
        <v>6-2019</v>
      </c>
      <c r="T15" t="str">
        <f t="shared" si="2"/>
        <v>Sunday</v>
      </c>
      <c r="U15">
        <f t="shared" si="3"/>
        <v>1</v>
      </c>
      <c r="V15" s="24">
        <f>IFERROR(Table2[[#This Row],[Gray Min]]/Table2[[#This Row],[ClassLength]],"")</f>
        <v>0.11392009986891385</v>
      </c>
      <c r="W15" s="24">
        <f>IFERROR(Table2[[#This Row],[Blue Min]]/Table2[[#This Row],[ClassLength]],"")</f>
        <v>0.23751560548689141</v>
      </c>
      <c r="X15" s="24">
        <f>IFERROR(Table2[[#This Row],[Green Min]]/Table2[[#This Row],[ClassLength]],"")</f>
        <v>0.40168539325842695</v>
      </c>
      <c r="Y15" s="24">
        <f>IFERROR(Table2[[#This Row],[Orange Min]]/Table2[[#This Row],[ClassLength]],"")</f>
        <v>0.24656679151685393</v>
      </c>
      <c r="Z15" s="24">
        <f>IFERROR(Table2[[#This Row],[Red Min]]/Table2[[#This Row],[ClassLength]],"")</f>
        <v>3.1210986891385767E-4</v>
      </c>
      <c r="AA15" s="25">
        <v>10.6</v>
      </c>
      <c r="AB15" s="25">
        <f>AA15/1</f>
        <v>10.6</v>
      </c>
      <c r="AC15" s="26">
        <f t="shared" si="4"/>
        <v>669.6</v>
      </c>
      <c r="AD15" s="26">
        <f t="shared" si="5"/>
        <v>10.199999999999999</v>
      </c>
      <c r="AE15">
        <f t="shared" si="6"/>
        <v>2019</v>
      </c>
      <c r="AF15" s="25">
        <v>10.6</v>
      </c>
      <c r="AG15">
        <v>12</v>
      </c>
      <c r="AH15" s="26">
        <f t="shared" si="7"/>
        <v>12.659176029962547</v>
      </c>
      <c r="AI15" t="str">
        <f t="shared" si="8"/>
        <v>PM</v>
      </c>
      <c r="AJ15" t="str">
        <f t="shared" si="9"/>
        <v>6-2019-4</v>
      </c>
      <c r="AK15">
        <f t="shared" si="10"/>
        <v>6</v>
      </c>
      <c r="AL15" s="26">
        <f>IFERROR(Table2[[#This Row],[Calories]]/Table2[[#This Row],[Splat]],"")</f>
        <v>52</v>
      </c>
      <c r="AM15">
        <f>COUNTIF(N$2:$N$938,N15)</f>
        <v>48</v>
      </c>
      <c r="AN15" t="str">
        <f>VLOOKUP(N15,'Helpful Tables'!A:D,4,FALSE)</f>
        <v>Washington, DC</v>
      </c>
      <c r="AO15" s="24">
        <f>COUNTIF(AN:AN,Table2[[#This Row],[State]])/COUNTA(AN:AN)</f>
        <v>0.54904051172707891</v>
      </c>
      <c r="AP15">
        <f>VLOOKUP(N15,'Helpful Tables'!A:B,2,FALSE)</f>
        <v>38.916486999999996</v>
      </c>
      <c r="AQ15">
        <f>VLOOKUP(N15,'Helpful Tables'!A:C,3,FALSE)</f>
        <v>-77.031514000000001</v>
      </c>
      <c r="AR15">
        <f>COUNTIF(P$2:$P$938,P15)</f>
        <v>12</v>
      </c>
      <c r="AS15" cm="1">
        <f t="array" ref="AS15">_xlfn.IFS(E15&lt;6,((E15/D15)*60)*0.5,AND(E15&gt;=6,E15&lt;9),((E15/D15)*60)*0.75,AND(E15&gt;=9,E15&lt;=11),((E15/D15)*60)*0.9,AND(E15=12),((E15/D15)*60)*1,AND(E15&gt;=13,E15&lt;=15),((E15/D15)*60)*1.2,AND(E15&gt;=16,E15&lt;=19),((E15/D15)*60)*1.5,E15&gt;=20,((E15/D15)*60)*1.8)</f>
        <v>17.528089887640451</v>
      </c>
      <c r="AT15" cm="1">
        <f t="array" ref="AT15">_xlfn.IFS(F15&lt;550,((F15/D15)*60)*0.5,AND(F15&gt;=550,F15&lt;575),((F15/D15)*60)*0.75,AND(F15&gt;=575,F15&lt;600),((F15/D15)*60)*0.9,AND(F15=600),((F15/D15)*60)*1,AND(F15&gt;=601,F15&lt;=625),((F15/D15)*60)*1.2,AND(F15&gt;=626,F15&lt;=650),((F15/D15)*60)*1.5,F15&gt;=651,((F15/D15)*60)*1.8)</f>
        <v>1367.1910112359551</v>
      </c>
      <c r="AU15">
        <f t="shared" si="11"/>
        <v>21.630000001699997</v>
      </c>
      <c r="AV15">
        <f t="shared" si="16"/>
        <v>558.21364044977827</v>
      </c>
      <c r="AW15">
        <f t="shared" si="12"/>
        <v>98.7</v>
      </c>
      <c r="AX15" t="str">
        <f t="shared" si="13"/>
        <v>Jun-2019</v>
      </c>
      <c r="AY15">
        <f>ROUNDUP(Table2[[#This Row],[Month]]/3,0)</f>
        <v>2</v>
      </c>
    </row>
    <row r="16" spans="1:51" x14ac:dyDescent="0.2">
      <c r="A16">
        <v>15</v>
      </c>
      <c r="B16">
        <f t="shared" si="0"/>
        <v>10</v>
      </c>
      <c r="C16" s="22">
        <v>43634</v>
      </c>
      <c r="D16">
        <f>SUM(Table2[[#This Row],[Gray Min]:[Red Min]])</f>
        <v>57.649999998999995</v>
      </c>
      <c r="E16">
        <v>11</v>
      </c>
      <c r="F16">
        <v>639</v>
      </c>
      <c r="G16">
        <v>128</v>
      </c>
      <c r="H16">
        <v>171</v>
      </c>
      <c r="I16">
        <v>19.833333332999999</v>
      </c>
      <c r="J16">
        <v>10.483333332999999</v>
      </c>
      <c r="K16">
        <v>16.149999999999999</v>
      </c>
      <c r="L16">
        <v>11.183333333</v>
      </c>
      <c r="M16">
        <v>0</v>
      </c>
      <c r="N16" t="s">
        <v>33</v>
      </c>
      <c r="O16" t="s">
        <v>39</v>
      </c>
      <c r="P16" t="s">
        <v>34</v>
      </c>
      <c r="Q16">
        <f t="shared" si="14"/>
        <v>2</v>
      </c>
      <c r="R16" t="str">
        <f t="shared" si="1"/>
        <v>6-2019</v>
      </c>
      <c r="T16" t="str">
        <f t="shared" si="2"/>
        <v>Tuesday</v>
      </c>
      <c r="U16">
        <f t="shared" si="3"/>
        <v>0</v>
      </c>
      <c r="V16" s="24">
        <f>IFERROR(Table2[[#This Row],[Gray Min]]/Table2[[#This Row],[ClassLength]],"")</f>
        <v>0.34403006649339168</v>
      </c>
      <c r="W16" s="24">
        <f>IFERROR(Table2[[#This Row],[Blue Min]]/Table2[[#This Row],[ClassLength]],"")</f>
        <v>0.18184446371520979</v>
      </c>
      <c r="X16" s="24">
        <f>IFERROR(Table2[[#This Row],[Green Min]]/Table2[[#This Row],[ClassLength]],"")</f>
        <v>0.28013876843504143</v>
      </c>
      <c r="Y16" s="24">
        <f>IFERROR(Table2[[#This Row],[Orange Min]]/Table2[[#This Row],[ClassLength]],"")</f>
        <v>0.19398670135635712</v>
      </c>
      <c r="Z16" s="24">
        <f>IFERROR(Table2[[#This Row],[Red Min]]/Table2[[#This Row],[ClassLength]],"")</f>
        <v>0</v>
      </c>
      <c r="AA16" s="25">
        <v>232.14</v>
      </c>
      <c r="AB16" s="25">
        <f t="shared" ref="AB16:AB79" si="18">AA16/B16</f>
        <v>23.213999999999999</v>
      </c>
      <c r="AC16" s="26">
        <f t="shared" si="4"/>
        <v>669.6</v>
      </c>
      <c r="AD16" s="26">
        <f t="shared" si="5"/>
        <v>10.199999999999999</v>
      </c>
      <c r="AE16">
        <f t="shared" si="6"/>
        <v>2019</v>
      </c>
      <c r="AG16">
        <v>12</v>
      </c>
      <c r="AH16" s="26">
        <f t="shared" si="7"/>
        <v>11.084128360990185</v>
      </c>
      <c r="AI16" t="str">
        <f t="shared" si="8"/>
        <v>PM</v>
      </c>
      <c r="AJ16" t="str">
        <f t="shared" si="9"/>
        <v>6-2019-4</v>
      </c>
      <c r="AK16">
        <f t="shared" si="10"/>
        <v>6</v>
      </c>
      <c r="AL16" s="26">
        <f>IFERROR(Table2[[#This Row],[Calories]]/Table2[[#This Row],[Splat]],"")</f>
        <v>58.090909090909093</v>
      </c>
      <c r="AM16">
        <f>COUNTIF(N$2:$N$938,N16)</f>
        <v>48</v>
      </c>
      <c r="AN16" t="str">
        <f>VLOOKUP(N16,'Helpful Tables'!A:D,4,FALSE)</f>
        <v>Washington, DC</v>
      </c>
      <c r="AO16" s="24">
        <f>COUNTIF(AN:AN,Table2[[#This Row],[State]])/COUNTA(AN:AN)</f>
        <v>0.54904051172707891</v>
      </c>
      <c r="AP16">
        <f>VLOOKUP(N16,'Helpful Tables'!A:B,2,FALSE)</f>
        <v>38.916486999999996</v>
      </c>
      <c r="AQ16">
        <f>VLOOKUP(N16,'Helpful Tables'!A:C,3,FALSE)</f>
        <v>-77.031514000000001</v>
      </c>
      <c r="AR16">
        <f>COUNTIF(P$2:$P$938,P16)</f>
        <v>30</v>
      </c>
      <c r="AS16" cm="1">
        <f t="array" ref="AS16">_xlfn.IFS(E16&lt;6,((E16/D16)*60)*0.5,AND(E16&gt;=6,E16&lt;9),((E16/D16)*60)*0.75,AND(E16&gt;=9,E16&lt;=11),((E16/D16)*60)*0.9,AND(E16=12),((E16/D16)*60)*1,AND(E16&gt;=13,E16&lt;=15),((E16/D16)*60)*1.2,AND(E16&gt;=16,E16&lt;=19),((E16/D16)*60)*1.5,E16&gt;=20,((E16/D16)*60)*1.8)</f>
        <v>10.303555941202143</v>
      </c>
      <c r="AT16" cm="1">
        <f t="array" ref="AT16">_xlfn.IFS(F16&lt;550,((F16/D16)*60)*0.5,AND(F16&gt;=550,F16&lt;575),((F16/D16)*60)*0.75,AND(F16&gt;=575,F16&lt;600),((F16/D16)*60)*0.9,AND(F16=600),((F16/D16)*60)*1,AND(F16&gt;=601,F16&lt;=625),((F16/D16)*60)*1.2,AND(F16&gt;=626,F16&lt;=650),((F16/D16)*60)*1.5,F16&gt;=651,((F16/D16)*60)*1.8)</f>
        <v>997.5715524891167</v>
      </c>
      <c r="AU16">
        <f t="shared" si="11"/>
        <v>-1.4133333329999953</v>
      </c>
      <c r="AV16">
        <f t="shared" si="16"/>
        <v>402.86737670552753</v>
      </c>
      <c r="AW16">
        <f t="shared" si="12"/>
        <v>54.500000000000007</v>
      </c>
      <c r="AX16" t="str">
        <f t="shared" si="13"/>
        <v>Jun-2019</v>
      </c>
      <c r="AY16">
        <f>ROUNDUP(Table2[[#This Row],[Month]]/3,0)</f>
        <v>2</v>
      </c>
    </row>
    <row r="17" spans="1:51" x14ac:dyDescent="0.2">
      <c r="A17">
        <v>16</v>
      </c>
      <c r="B17">
        <f t="shared" si="0"/>
        <v>10</v>
      </c>
      <c r="C17" s="22">
        <v>43636</v>
      </c>
      <c r="D17">
        <f>SUM(Table2[[#This Row],[Gray Min]:[Red Min]])</f>
        <v>57.133333334000007</v>
      </c>
      <c r="E17">
        <v>10</v>
      </c>
      <c r="F17">
        <v>663</v>
      </c>
      <c r="G17">
        <v>131</v>
      </c>
      <c r="H17">
        <v>172</v>
      </c>
      <c r="I17">
        <v>8.6</v>
      </c>
      <c r="J17">
        <v>25.5</v>
      </c>
      <c r="K17">
        <v>12.666666666999999</v>
      </c>
      <c r="L17">
        <v>10.266666667000001</v>
      </c>
      <c r="M17">
        <v>0.1</v>
      </c>
      <c r="N17" t="s">
        <v>24</v>
      </c>
      <c r="O17" t="s">
        <v>26</v>
      </c>
      <c r="P17" t="s">
        <v>25</v>
      </c>
      <c r="Q17">
        <f t="shared" si="14"/>
        <v>2</v>
      </c>
      <c r="R17" t="str">
        <f t="shared" si="1"/>
        <v>6-2019</v>
      </c>
      <c r="T17" t="str">
        <f t="shared" si="2"/>
        <v>Thursday</v>
      </c>
      <c r="U17">
        <f t="shared" si="3"/>
        <v>0</v>
      </c>
      <c r="V17" s="24">
        <f>IFERROR(Table2[[#This Row],[Gray Min]]/Table2[[#This Row],[ClassLength]],"")</f>
        <v>0.15052508751282931</v>
      </c>
      <c r="W17" s="24">
        <f>IFERROR(Table2[[#This Row],[Blue Min]]/Table2[[#This Row],[ClassLength]],"")</f>
        <v>0.44632438739269159</v>
      </c>
      <c r="X17" s="24">
        <f>IFERROR(Table2[[#This Row],[Green Min]]/Table2[[#This Row],[ClassLength]],"")</f>
        <v>0.22170361727279222</v>
      </c>
      <c r="Y17" s="24">
        <f>IFERROR(Table2[[#This Row],[Orange Min]]/Table2[[#This Row],[ClassLength]],"")</f>
        <v>0.17969661610642126</v>
      </c>
      <c r="Z17" s="24">
        <f>IFERROR(Table2[[#This Row],[Red Min]]/Table2[[#This Row],[ClassLength]],"")</f>
        <v>1.7502917152654575E-3</v>
      </c>
      <c r="AA17" s="25">
        <v>232.14</v>
      </c>
      <c r="AB17" s="25">
        <f t="shared" si="18"/>
        <v>23.213999999999999</v>
      </c>
      <c r="AC17" s="26">
        <f t="shared" si="4"/>
        <v>669.6</v>
      </c>
      <c r="AD17" s="26">
        <f t="shared" si="5"/>
        <v>10.199999999999999</v>
      </c>
      <c r="AE17">
        <f t="shared" si="6"/>
        <v>2019</v>
      </c>
      <c r="AG17">
        <v>12</v>
      </c>
      <c r="AH17" s="26">
        <f t="shared" si="7"/>
        <v>11.604434072209981</v>
      </c>
      <c r="AI17" t="str">
        <f t="shared" si="8"/>
        <v>PM</v>
      </c>
      <c r="AJ17" t="str">
        <f t="shared" si="9"/>
        <v>6-2019-4</v>
      </c>
      <c r="AK17">
        <f t="shared" si="10"/>
        <v>6</v>
      </c>
      <c r="AL17" s="26">
        <f>IFERROR(Table2[[#This Row],[Calories]]/Table2[[#This Row],[Splat]],"")</f>
        <v>66.3</v>
      </c>
      <c r="AM17">
        <f>COUNTIF(N$2:$N$938,N17)</f>
        <v>35</v>
      </c>
      <c r="AN17" t="str">
        <f>VLOOKUP(N17,'Helpful Tables'!A:D,4,FALSE)</f>
        <v>Virginia</v>
      </c>
      <c r="AO17" s="24">
        <f>COUNTIF(AN:AN,Table2[[#This Row],[State]])/COUNTA(AN:AN)</f>
        <v>5.6503198294243072E-2</v>
      </c>
      <c r="AP17">
        <f>VLOOKUP(N17,'Helpful Tables'!A:B,2,FALSE)</f>
        <v>38.881884999999997</v>
      </c>
      <c r="AQ17">
        <f>VLOOKUP(N17,'Helpful Tables'!A:C,3,FALSE)</f>
        <v>-77.229702000000003</v>
      </c>
      <c r="AR17">
        <f>COUNTIF(P$2:$P$938,P17)</f>
        <v>13</v>
      </c>
      <c r="AS17" cm="1">
        <f t="array" ref="AS17">_xlfn.IFS(E17&lt;6,((E17/D17)*60)*0.5,AND(E17&gt;=6,E17&lt;9),((E17/D17)*60)*0.75,AND(E17&gt;=9,E17&lt;=11),((E17/D17)*60)*0.9,AND(E17=12),((E17/D17)*60)*1,AND(E17&gt;=13,E17&lt;=15),((E17/D17)*60)*1.2,AND(E17&gt;=16,E17&lt;=19),((E17/D17)*60)*1.5,E17&gt;=20,((E17/D17)*60)*1.8)</f>
        <v>9.4515752624334706</v>
      </c>
      <c r="AT17" cm="1">
        <f t="array" ref="AT17">_xlfn.IFS(F17&lt;550,((F17/D17)*60)*0.5,AND(F17&gt;=550,F17&lt;575),((F17/D17)*60)*0.75,AND(F17&gt;=575,F17&lt;600),((F17/D17)*60)*0.9,AND(F17=600),((F17/D17)*60)*1,AND(F17&gt;=601,F17&lt;=625),((F17/D17)*60)*1.2,AND(F17&gt;=626,F17&lt;=650),((F17/D17)*60)*1.5,F17&gt;=651,((F17/D17)*60)*1.8)</f>
        <v>1253.278879798678</v>
      </c>
      <c r="AU17">
        <f t="shared" si="11"/>
        <v>-9.6733333324999968</v>
      </c>
      <c r="AV17">
        <f t="shared" si="16"/>
        <v>503.15751535794459</v>
      </c>
      <c r="AW17">
        <f t="shared" si="12"/>
        <v>81.2</v>
      </c>
      <c r="AX17" t="str">
        <f t="shared" si="13"/>
        <v>Jun-2019</v>
      </c>
      <c r="AY17">
        <f>ROUNDUP(Table2[[#This Row],[Month]]/3,0)</f>
        <v>2</v>
      </c>
    </row>
    <row r="18" spans="1:51" x14ac:dyDescent="0.2">
      <c r="A18">
        <v>17</v>
      </c>
      <c r="B18">
        <f t="shared" si="0"/>
        <v>10</v>
      </c>
      <c r="C18" s="22">
        <v>43638</v>
      </c>
      <c r="D18">
        <f>SUM(Table2[[#This Row],[Gray Min]:[Red Min]])</f>
        <v>61.933333334000004</v>
      </c>
      <c r="E18">
        <v>9</v>
      </c>
      <c r="F18">
        <v>702</v>
      </c>
      <c r="G18">
        <v>130</v>
      </c>
      <c r="H18">
        <v>167</v>
      </c>
      <c r="I18">
        <v>12.416666666999999</v>
      </c>
      <c r="J18">
        <v>22.8</v>
      </c>
      <c r="K18">
        <v>18.2</v>
      </c>
      <c r="L18">
        <v>8.5166666670000009</v>
      </c>
      <c r="M18">
        <v>0</v>
      </c>
      <c r="N18" t="s">
        <v>40</v>
      </c>
      <c r="O18" t="s">
        <v>42</v>
      </c>
      <c r="P18" t="s">
        <v>41</v>
      </c>
      <c r="Q18">
        <f t="shared" si="14"/>
        <v>2</v>
      </c>
      <c r="R18" t="str">
        <f t="shared" si="1"/>
        <v>6-2019</v>
      </c>
      <c r="T18" t="str">
        <f t="shared" si="2"/>
        <v>Saturday</v>
      </c>
      <c r="U18">
        <f t="shared" si="3"/>
        <v>0</v>
      </c>
      <c r="V18" s="24">
        <f>IFERROR(Table2[[#This Row],[Gray Min]]/Table2[[#This Row],[ClassLength]],"")</f>
        <v>0.20048439182238442</v>
      </c>
      <c r="W18" s="24">
        <f>IFERROR(Table2[[#This Row],[Blue Min]]/Table2[[#This Row],[ClassLength]],"")</f>
        <v>0.36813778255793178</v>
      </c>
      <c r="X18" s="24">
        <f>IFERROR(Table2[[#This Row],[Green Min]]/Table2[[#This Row],[ClassLength]],"")</f>
        <v>0.29386437028747181</v>
      </c>
      <c r="Y18" s="24">
        <f>IFERROR(Table2[[#This Row],[Orange Min]]/Table2[[#This Row],[ClassLength]],"")</f>
        <v>0.1375134553322119</v>
      </c>
      <c r="Z18" s="24">
        <f>IFERROR(Table2[[#This Row],[Red Min]]/Table2[[#This Row],[ClassLength]],"")</f>
        <v>0</v>
      </c>
      <c r="AA18" s="25">
        <v>232.14</v>
      </c>
      <c r="AB18" s="25">
        <f t="shared" si="18"/>
        <v>23.213999999999999</v>
      </c>
      <c r="AC18" s="26">
        <f t="shared" si="4"/>
        <v>669.6</v>
      </c>
      <c r="AD18" s="26">
        <f t="shared" si="5"/>
        <v>10.199999999999999</v>
      </c>
      <c r="AE18">
        <f t="shared" si="6"/>
        <v>2019</v>
      </c>
      <c r="AG18">
        <v>12</v>
      </c>
      <c r="AH18" s="26">
        <f t="shared" si="7"/>
        <v>11.334768568231057</v>
      </c>
      <c r="AI18" t="str">
        <f t="shared" si="8"/>
        <v>AM</v>
      </c>
      <c r="AJ18" t="str">
        <f t="shared" si="9"/>
        <v>6-2019-4</v>
      </c>
      <c r="AK18">
        <f t="shared" si="10"/>
        <v>6</v>
      </c>
      <c r="AL18" s="26">
        <f>IFERROR(Table2[[#This Row],[Calories]]/Table2[[#This Row],[Splat]],"")</f>
        <v>78</v>
      </c>
      <c r="AM18">
        <f>COUNTIF(N$2:$N$938,N18)</f>
        <v>38</v>
      </c>
      <c r="AN18" t="str">
        <f>VLOOKUP(N18,'Helpful Tables'!A:D,4,FALSE)</f>
        <v>Washington, DC</v>
      </c>
      <c r="AO18" s="24">
        <f>COUNTIF(AN:AN,Table2[[#This Row],[State]])/COUNTA(AN:AN)</f>
        <v>0.54904051172707891</v>
      </c>
      <c r="AP18">
        <f>VLOOKUP(N18,'Helpful Tables'!A:B,2,FALSE)</f>
        <v>38.903509999999997</v>
      </c>
      <c r="AQ18">
        <f>VLOOKUP(N18,'Helpful Tables'!A:C,3,FALSE)</f>
        <v>-77.051809000000006</v>
      </c>
      <c r="AR18">
        <f>COUNTIF(P$2:$P$938,P18)</f>
        <v>20</v>
      </c>
      <c r="AS18" cm="1">
        <f t="array" ref="AS18">_xlfn.IFS(E18&lt;6,((E18/D18)*60)*0.5,AND(E18&gt;=6,E18&lt;9),((E18/D18)*60)*0.75,AND(E18&gt;=9,E18&lt;=11),((E18/D18)*60)*0.9,AND(E18=12),((E18/D18)*60)*1,AND(E18&gt;=13,E18&lt;=15),((E18/D18)*60)*1.2,AND(E18&gt;=16,E18&lt;=19),((E18/D18)*60)*1.5,E18&gt;=20,((E18/D18)*60)*1.8)</f>
        <v>7.8471474703138089</v>
      </c>
      <c r="AT18" cm="1">
        <f t="array" ref="AT18">_xlfn.IFS(F18&lt;550,((F18/D18)*60)*0.5,AND(F18&gt;=550,F18&lt;575),((F18/D18)*60)*0.75,AND(F18&gt;=575,F18&lt;600),((F18/D18)*60)*0.9,AND(F18=600),((F18/D18)*60)*1,AND(F18&gt;=601,F18&lt;=625),((F18/D18)*60)*1.2,AND(F18&gt;=626,F18&lt;=650),((F18/D18)*60)*1.5,F18&gt;=651,((F18/D18)*60)*1.8)</f>
        <v>1224.1550053689543</v>
      </c>
      <c r="AU18">
        <f t="shared" si="11"/>
        <v>-7.0683333332999947</v>
      </c>
      <c r="AV18">
        <f t="shared" si="16"/>
        <v>491.3871944690473</v>
      </c>
      <c r="AW18">
        <f t="shared" si="12"/>
        <v>74.7</v>
      </c>
      <c r="AX18" t="str">
        <f t="shared" si="13"/>
        <v>Jun-2019</v>
      </c>
      <c r="AY18">
        <f>ROUNDUP(Table2[[#This Row],[Month]]/3,0)</f>
        <v>2</v>
      </c>
    </row>
    <row r="19" spans="1:51" x14ac:dyDescent="0.2">
      <c r="A19">
        <v>18</v>
      </c>
      <c r="B19">
        <f t="shared" si="0"/>
        <v>10</v>
      </c>
      <c r="C19" s="22">
        <v>43641</v>
      </c>
      <c r="D19">
        <f>SUM(Table2[[#This Row],[Gray Min]:[Red Min]])</f>
        <v>60.550000000999994</v>
      </c>
      <c r="E19">
        <v>8</v>
      </c>
      <c r="F19">
        <v>681</v>
      </c>
      <c r="G19">
        <v>129</v>
      </c>
      <c r="H19">
        <v>173</v>
      </c>
      <c r="I19">
        <v>17.416666667000001</v>
      </c>
      <c r="J19">
        <v>16.833333332999999</v>
      </c>
      <c r="K19">
        <v>17.516666666999999</v>
      </c>
      <c r="L19">
        <v>8.3166666669999998</v>
      </c>
      <c r="M19">
        <v>0.46666666699999998</v>
      </c>
      <c r="N19" t="s">
        <v>33</v>
      </c>
      <c r="O19" t="s">
        <v>39</v>
      </c>
      <c r="P19" t="s">
        <v>34</v>
      </c>
      <c r="Q19">
        <f t="shared" si="14"/>
        <v>3</v>
      </c>
      <c r="R19" t="str">
        <f t="shared" si="1"/>
        <v>6-2019</v>
      </c>
      <c r="S19" t="s">
        <v>43</v>
      </c>
      <c r="T19" t="str">
        <f t="shared" si="2"/>
        <v>Tuesday</v>
      </c>
      <c r="U19">
        <f t="shared" si="3"/>
        <v>0</v>
      </c>
      <c r="V19" s="24">
        <f>IFERROR(Table2[[#This Row],[Gray Min]]/Table2[[#This Row],[ClassLength]],"")</f>
        <v>0.28764106798864347</v>
      </c>
      <c r="W19" s="24">
        <f>IFERROR(Table2[[#This Row],[Blue Min]]/Table2[[#This Row],[ClassLength]],"")</f>
        <v>0.27800715660977693</v>
      </c>
      <c r="X19" s="24">
        <f>IFERROR(Table2[[#This Row],[Green Min]]/Table2[[#This Row],[ClassLength]],"")</f>
        <v>0.28929259565170451</v>
      </c>
      <c r="Y19" s="24">
        <f>IFERROR(Table2[[#This Row],[Orange Min]]/Table2[[#This Row],[ClassLength]],"")</f>
        <v>0.13735205065008502</v>
      </c>
      <c r="Z19" s="24">
        <f>IFERROR(Table2[[#This Row],[Red Min]]/Table2[[#This Row],[ClassLength]],"")</f>
        <v>7.7071290997901389E-3</v>
      </c>
      <c r="AA19" s="25">
        <v>232.14</v>
      </c>
      <c r="AB19" s="25">
        <f t="shared" si="18"/>
        <v>23.213999999999999</v>
      </c>
      <c r="AC19" s="26">
        <f t="shared" si="4"/>
        <v>669.6</v>
      </c>
      <c r="AD19" s="26">
        <f t="shared" si="5"/>
        <v>10.199999999999999</v>
      </c>
      <c r="AE19">
        <f t="shared" si="6"/>
        <v>2019</v>
      </c>
      <c r="AG19">
        <v>12</v>
      </c>
      <c r="AH19" s="26">
        <f t="shared" si="7"/>
        <v>11.246903385445965</v>
      </c>
      <c r="AI19" t="str">
        <f t="shared" si="8"/>
        <v>PM</v>
      </c>
      <c r="AJ19" t="str">
        <f t="shared" si="9"/>
        <v>6-2019-5</v>
      </c>
      <c r="AK19">
        <f t="shared" si="10"/>
        <v>6</v>
      </c>
      <c r="AL19" s="26">
        <f>IFERROR(Table2[[#This Row],[Calories]]/Table2[[#This Row],[Splat]],"")</f>
        <v>85.125</v>
      </c>
      <c r="AM19">
        <f>COUNTIF(N$2:$N$938,N19)</f>
        <v>48</v>
      </c>
      <c r="AN19" t="str">
        <f>VLOOKUP(N19,'Helpful Tables'!A:D,4,FALSE)</f>
        <v>Washington, DC</v>
      </c>
      <c r="AO19" s="24">
        <f>COUNTIF(AN:AN,Table2[[#This Row],[State]])/COUNTA(AN:AN)</f>
        <v>0.54904051172707891</v>
      </c>
      <c r="AP19">
        <f>VLOOKUP(N19,'Helpful Tables'!A:B,2,FALSE)</f>
        <v>38.916486999999996</v>
      </c>
      <c r="AQ19">
        <f>VLOOKUP(N19,'Helpful Tables'!A:C,3,FALSE)</f>
        <v>-77.031514000000001</v>
      </c>
      <c r="AR19">
        <f>COUNTIF(P$2:$P$938,P19)</f>
        <v>30</v>
      </c>
      <c r="AS19" cm="1">
        <f t="array" ref="AS19">_xlfn.IFS(E19&lt;6,((E19/D19)*60)*0.5,AND(E19&gt;=6,E19&lt;9),((E19/D19)*60)*0.75,AND(E19&gt;=9,E19&lt;=11),((E19/D19)*60)*0.9,AND(E19=12),((E19/D19)*60)*1,AND(E19&gt;=13,E19&lt;=15),((E19/D19)*60)*1.2,AND(E19&gt;=16,E19&lt;=19),((E19/D19)*60)*1.5,E19&gt;=20,((E19/D19)*60)*1.8)</f>
        <v>5.9454995870198939</v>
      </c>
      <c r="AT19" cm="1">
        <f t="array" ref="AT19">_xlfn.IFS(F19&lt;550,((F19/D19)*60)*0.5,AND(F19&gt;=550,F19&lt;575),((F19/D19)*60)*0.75,AND(F19&gt;=575,F19&lt;600),((F19/D19)*60)*0.9,AND(F19=600),((F19/D19)*60)*1,AND(F19&gt;=601,F19&lt;=625),((F19/D19)*60)*1.2,AND(F19&gt;=626,F19&lt;=650),((F19/D19)*60)*1.5,F19&gt;=651,((F19/D19)*60)*1.8)</f>
        <v>1214.6655656281641</v>
      </c>
      <c r="AU19">
        <f t="shared" si="11"/>
        <v>-6.8849999987000023</v>
      </c>
      <c r="AV19">
        <f t="shared" si="16"/>
        <v>486.86742608633364</v>
      </c>
      <c r="AW19">
        <f t="shared" si="12"/>
        <v>72.2</v>
      </c>
      <c r="AX19" t="str">
        <f t="shared" si="13"/>
        <v>Jun-2019</v>
      </c>
      <c r="AY19">
        <f>ROUNDUP(Table2[[#This Row],[Month]]/3,0)</f>
        <v>2</v>
      </c>
    </row>
    <row r="20" spans="1:51" x14ac:dyDescent="0.2">
      <c r="A20">
        <v>19</v>
      </c>
      <c r="B20">
        <f t="shared" si="0"/>
        <v>10</v>
      </c>
      <c r="C20" s="22">
        <v>43643</v>
      </c>
      <c r="D20">
        <f>SUM(Table2[[#This Row],[Gray Min]:[Red Min]])</f>
        <v>56</v>
      </c>
      <c r="E20">
        <v>10</v>
      </c>
      <c r="F20">
        <v>684</v>
      </c>
      <c r="G20">
        <v>135</v>
      </c>
      <c r="H20">
        <v>170</v>
      </c>
      <c r="I20">
        <v>6.3666666669999996</v>
      </c>
      <c r="J20">
        <v>19.45</v>
      </c>
      <c r="K20">
        <v>20.433333333</v>
      </c>
      <c r="L20">
        <v>9.75</v>
      </c>
      <c r="M20">
        <v>0</v>
      </c>
      <c r="N20" t="s">
        <v>24</v>
      </c>
      <c r="O20" t="s">
        <v>26</v>
      </c>
      <c r="P20" t="s">
        <v>25</v>
      </c>
      <c r="Q20">
        <f t="shared" si="14"/>
        <v>2</v>
      </c>
      <c r="R20" t="str">
        <f t="shared" si="1"/>
        <v>6-2019</v>
      </c>
      <c r="S20" t="s">
        <v>44</v>
      </c>
      <c r="T20" t="str">
        <f t="shared" si="2"/>
        <v>Thursday</v>
      </c>
      <c r="U20">
        <f t="shared" si="3"/>
        <v>0</v>
      </c>
      <c r="V20" s="24">
        <f>IFERROR(Table2[[#This Row],[Gray Min]]/Table2[[#This Row],[ClassLength]],"")</f>
        <v>0.11369047619642857</v>
      </c>
      <c r="W20" s="24">
        <f>IFERROR(Table2[[#This Row],[Blue Min]]/Table2[[#This Row],[ClassLength]],"")</f>
        <v>0.34732142857142856</v>
      </c>
      <c r="X20" s="24">
        <f>IFERROR(Table2[[#This Row],[Green Min]]/Table2[[#This Row],[ClassLength]],"")</f>
        <v>0.36488095237500001</v>
      </c>
      <c r="Y20" s="24">
        <f>IFERROR(Table2[[#This Row],[Orange Min]]/Table2[[#This Row],[ClassLength]],"")</f>
        <v>0.17410714285714285</v>
      </c>
      <c r="Z20" s="24">
        <f>IFERROR(Table2[[#This Row],[Red Min]]/Table2[[#This Row],[ClassLength]],"")</f>
        <v>0</v>
      </c>
      <c r="AA20" s="25">
        <v>232.14</v>
      </c>
      <c r="AB20" s="25">
        <f t="shared" si="18"/>
        <v>23.213999999999999</v>
      </c>
      <c r="AC20" s="26">
        <f t="shared" si="4"/>
        <v>669.6</v>
      </c>
      <c r="AD20" s="26">
        <f t="shared" si="5"/>
        <v>10.199999999999999</v>
      </c>
      <c r="AE20">
        <f t="shared" si="6"/>
        <v>2019</v>
      </c>
      <c r="AG20">
        <v>12</v>
      </c>
      <c r="AH20" s="26">
        <f t="shared" si="7"/>
        <v>12.214285714285714</v>
      </c>
      <c r="AI20" t="str">
        <f t="shared" si="8"/>
        <v>PM</v>
      </c>
      <c r="AJ20" t="str">
        <f t="shared" si="9"/>
        <v>6-2019-5</v>
      </c>
      <c r="AK20">
        <f t="shared" si="10"/>
        <v>6</v>
      </c>
      <c r="AL20" s="26">
        <f>IFERROR(Table2[[#This Row],[Calories]]/Table2[[#This Row],[Splat]],"")</f>
        <v>68.400000000000006</v>
      </c>
      <c r="AM20">
        <f>COUNTIF(N$2:$N$938,N20)</f>
        <v>35</v>
      </c>
      <c r="AN20" t="str">
        <f>VLOOKUP(N20,'Helpful Tables'!A:D,4,FALSE)</f>
        <v>Virginia</v>
      </c>
      <c r="AO20" s="24">
        <f>COUNTIF(AN:AN,Table2[[#This Row],[State]])/COUNTA(AN:AN)</f>
        <v>5.6503198294243072E-2</v>
      </c>
      <c r="AP20">
        <f>VLOOKUP(N20,'Helpful Tables'!A:B,2,FALSE)</f>
        <v>38.881884999999997</v>
      </c>
      <c r="AQ20">
        <f>VLOOKUP(N20,'Helpful Tables'!A:C,3,FALSE)</f>
        <v>-77.229702000000003</v>
      </c>
      <c r="AR20">
        <f>COUNTIF(P$2:$P$938,P20)</f>
        <v>13</v>
      </c>
      <c r="AS20" cm="1">
        <f t="array" ref="AS20">_xlfn.IFS(E20&lt;6,((E20/D20)*60)*0.5,AND(E20&gt;=6,E20&lt;9),((E20/D20)*60)*0.75,AND(E20&gt;=9,E20&lt;=11),((E20/D20)*60)*0.9,AND(E20=12),((E20/D20)*60)*1,AND(E20&gt;=13,E20&lt;=15),((E20/D20)*60)*1.2,AND(E20&gt;=16,E20&lt;=19),((E20/D20)*60)*1.5,E20&gt;=20,((E20/D20)*60)*1.8)</f>
        <v>9.6428571428571441</v>
      </c>
      <c r="AT20" cm="1">
        <f t="array" ref="AT20">_xlfn.IFS(F20&lt;550,((F20/D20)*60)*0.5,AND(F20&gt;=550,F20&lt;575),((F20/D20)*60)*0.75,AND(F20&gt;=575,F20&lt;600),((F20/D20)*60)*0.9,AND(F20=600),((F20/D20)*60)*1,AND(F20&gt;=601,F20&lt;=625),((F20/D20)*60)*1.2,AND(F20&gt;=626,F20&lt;=650),((F20/D20)*60)*1.5,F20&gt;=651,((F20/D20)*60)*1.8)</f>
        <v>1319.1428571428571</v>
      </c>
      <c r="AU20">
        <f t="shared" si="11"/>
        <v>8.1599999992000036</v>
      </c>
      <c r="AV20">
        <f t="shared" si="16"/>
        <v>533.14628571412572</v>
      </c>
      <c r="AW20">
        <f t="shared" si="12"/>
        <v>94.5</v>
      </c>
      <c r="AX20" t="str">
        <f t="shared" si="13"/>
        <v>Jun-2019</v>
      </c>
      <c r="AY20">
        <f>ROUNDUP(Table2[[#This Row],[Month]]/3,0)</f>
        <v>2</v>
      </c>
    </row>
    <row r="21" spans="1:51" x14ac:dyDescent="0.2">
      <c r="A21">
        <v>20</v>
      </c>
      <c r="B21">
        <f t="shared" si="0"/>
        <v>10</v>
      </c>
      <c r="C21" s="22">
        <v>43645</v>
      </c>
      <c r="D21">
        <f>SUM(Table2[[#This Row],[Gray Min]:[Red Min]])</f>
        <v>55.833333332999999</v>
      </c>
      <c r="E21">
        <v>9</v>
      </c>
      <c r="F21">
        <v>661</v>
      </c>
      <c r="G21">
        <v>133</v>
      </c>
      <c r="H21">
        <v>170</v>
      </c>
      <c r="I21">
        <v>8.3833333329999995</v>
      </c>
      <c r="J21">
        <v>19.266666666999999</v>
      </c>
      <c r="K21">
        <v>19.533333333000002</v>
      </c>
      <c r="L21">
        <v>8.65</v>
      </c>
      <c r="M21">
        <v>0</v>
      </c>
      <c r="N21" t="s">
        <v>33</v>
      </c>
      <c r="O21" t="s">
        <v>45</v>
      </c>
      <c r="P21" t="s">
        <v>34</v>
      </c>
      <c r="Q21">
        <f t="shared" si="14"/>
        <v>2</v>
      </c>
      <c r="R21" t="str">
        <f t="shared" si="1"/>
        <v>6-2019</v>
      </c>
      <c r="T21" t="str">
        <f t="shared" si="2"/>
        <v>Saturday</v>
      </c>
      <c r="U21">
        <f t="shared" si="3"/>
        <v>0</v>
      </c>
      <c r="V21" s="24">
        <f>IFERROR(Table2[[#This Row],[Gray Min]]/Table2[[#This Row],[ClassLength]],"")</f>
        <v>0.15014925372626955</v>
      </c>
      <c r="W21" s="24">
        <f>IFERROR(Table2[[#This Row],[Blue Min]]/Table2[[#This Row],[ClassLength]],"")</f>
        <v>0.34507462687370194</v>
      </c>
      <c r="X21" s="24">
        <f>IFERROR(Table2[[#This Row],[Green Min]]/Table2[[#This Row],[ClassLength]],"")</f>
        <v>0.34985074626477525</v>
      </c>
      <c r="Y21" s="24">
        <f>IFERROR(Table2[[#This Row],[Orange Min]]/Table2[[#This Row],[ClassLength]],"")</f>
        <v>0.15492537313525329</v>
      </c>
      <c r="Z21" s="24">
        <f>IFERROR(Table2[[#This Row],[Red Min]]/Table2[[#This Row],[ClassLength]],"")</f>
        <v>0</v>
      </c>
      <c r="AA21" s="25">
        <v>232.14</v>
      </c>
      <c r="AB21" s="25">
        <f t="shared" si="18"/>
        <v>23.213999999999999</v>
      </c>
      <c r="AC21" s="26">
        <f t="shared" si="4"/>
        <v>669.6</v>
      </c>
      <c r="AD21" s="26">
        <f t="shared" si="5"/>
        <v>10.199999999999999</v>
      </c>
      <c r="AE21">
        <f t="shared" si="6"/>
        <v>2019</v>
      </c>
      <c r="AG21">
        <v>12</v>
      </c>
      <c r="AH21" s="26">
        <f t="shared" si="7"/>
        <v>11.838805970219934</v>
      </c>
      <c r="AI21" t="str">
        <f t="shared" si="8"/>
        <v>AM</v>
      </c>
      <c r="AJ21" t="str">
        <f t="shared" si="9"/>
        <v>6-2019-5</v>
      </c>
      <c r="AK21">
        <f t="shared" si="10"/>
        <v>6</v>
      </c>
      <c r="AL21" s="26">
        <f>IFERROR(Table2[[#This Row],[Calories]]/Table2[[#This Row],[Splat]],"")</f>
        <v>73.444444444444443</v>
      </c>
      <c r="AM21">
        <f>COUNTIF(N$2:$N$938,N21)</f>
        <v>48</v>
      </c>
      <c r="AN21" t="str">
        <f>VLOOKUP(N21,'Helpful Tables'!A:D,4,FALSE)</f>
        <v>Washington, DC</v>
      </c>
      <c r="AO21" s="24">
        <f>COUNTIF(AN:AN,Table2[[#This Row],[State]])/COUNTA(AN:AN)</f>
        <v>0.54904051172707891</v>
      </c>
      <c r="AP21">
        <f>VLOOKUP(N21,'Helpful Tables'!A:B,2,FALSE)</f>
        <v>38.916486999999996</v>
      </c>
      <c r="AQ21">
        <f>VLOOKUP(N21,'Helpful Tables'!A:C,3,FALSE)</f>
        <v>-77.031514000000001</v>
      </c>
      <c r="AR21">
        <f>COUNTIF(P$2:$P$938,P21)</f>
        <v>30</v>
      </c>
      <c r="AS21" cm="1">
        <f t="array" ref="AS21">_xlfn.IFS(E21&lt;6,((E21/D21)*60)*0.5,AND(E21&gt;=6,E21&lt;9),((E21/D21)*60)*0.75,AND(E21&gt;=9,E21&lt;=11),((E21/D21)*60)*0.9,AND(E21=12),((E21/D21)*60)*1,AND(E21&gt;=13,E21&lt;=15),((E21/D21)*60)*1.2,AND(E21&gt;=16,E21&lt;=19),((E21/D21)*60)*1.5,E21&gt;=20,((E21/D21)*60)*1.8)</f>
        <v>8.7044776119922656</v>
      </c>
      <c r="AT21" cm="1">
        <f t="array" ref="AT21">_xlfn.IFS(F21&lt;550,((F21/D21)*60)*0.5,AND(F21&gt;=550,F21&lt;575),((F21/D21)*60)*0.75,AND(F21&gt;=575,F21&lt;600),((F21/D21)*60)*0.9,AND(F21=600),((F21/D21)*60)*1,AND(F21&gt;=601,F21&lt;=625),((F21/D21)*60)*1.2,AND(F21&gt;=626,F21&lt;=650),((F21/D21)*60)*1.5,F21&gt;=651,((F21/D21)*60)*1.8)</f>
        <v>1278.5910447837527</v>
      </c>
      <c r="AU21">
        <f t="shared" si="11"/>
        <v>3.4316666663000035</v>
      </c>
      <c r="AV21">
        <f t="shared" si="16"/>
        <v>515.604542291558</v>
      </c>
      <c r="AW21">
        <f t="shared" si="12"/>
        <v>88.5</v>
      </c>
      <c r="AX21" t="str">
        <f t="shared" si="13"/>
        <v>Jun-2019</v>
      </c>
      <c r="AY21">
        <f>ROUNDUP(Table2[[#This Row],[Month]]/3,0)</f>
        <v>2</v>
      </c>
    </row>
    <row r="22" spans="1:51" x14ac:dyDescent="0.2">
      <c r="A22">
        <v>21</v>
      </c>
      <c r="B22">
        <f t="shared" si="0"/>
        <v>11</v>
      </c>
      <c r="C22" s="22">
        <v>43648</v>
      </c>
      <c r="D22">
        <f>SUM(Table2[[#This Row],[Gray Min]:[Red Min]])</f>
        <v>56.349999999999994</v>
      </c>
      <c r="E22">
        <v>17</v>
      </c>
      <c r="F22">
        <v>650</v>
      </c>
      <c r="G22">
        <v>132</v>
      </c>
      <c r="H22">
        <v>171</v>
      </c>
      <c r="I22">
        <v>8.1</v>
      </c>
      <c r="J22">
        <v>16.766666666999999</v>
      </c>
      <c r="K22">
        <v>14.9</v>
      </c>
      <c r="L22">
        <v>8.9333333330000002</v>
      </c>
      <c r="M22">
        <v>7.65</v>
      </c>
      <c r="N22" t="s">
        <v>33</v>
      </c>
      <c r="O22" t="s">
        <v>39</v>
      </c>
      <c r="P22" t="s">
        <v>34</v>
      </c>
      <c r="Q22">
        <f t="shared" si="14"/>
        <v>3</v>
      </c>
      <c r="R22" t="str">
        <f t="shared" si="1"/>
        <v>7-2019</v>
      </c>
      <c r="S22" t="s">
        <v>43</v>
      </c>
      <c r="T22" t="str">
        <f t="shared" si="2"/>
        <v>Tuesday</v>
      </c>
      <c r="U22">
        <f t="shared" si="3"/>
        <v>1</v>
      </c>
      <c r="V22" s="24">
        <f>IFERROR(Table2[[#This Row],[Gray Min]]/Table2[[#This Row],[ClassLength]],"")</f>
        <v>0.14374445430346053</v>
      </c>
      <c r="W22" s="24">
        <f>IFERROR(Table2[[#This Row],[Blue Min]]/Table2[[#This Row],[ClassLength]],"")</f>
        <v>0.29754510500443659</v>
      </c>
      <c r="X22" s="24">
        <f>IFERROR(Table2[[#This Row],[Green Min]]/Table2[[#This Row],[ClassLength]],"")</f>
        <v>0.26441881100266196</v>
      </c>
      <c r="Y22" s="24">
        <f>IFERROR(Table2[[#This Row],[Orange Min]]/Table2[[#This Row],[ClassLength]],"")</f>
        <v>0.15853297840283942</v>
      </c>
      <c r="Z22" s="24">
        <f>IFERROR(Table2[[#This Row],[Red Min]]/Table2[[#This Row],[ClassLength]],"")</f>
        <v>0.13575865128660161</v>
      </c>
      <c r="AA22" s="25">
        <v>232.14</v>
      </c>
      <c r="AB22" s="25">
        <f t="shared" si="18"/>
        <v>21.103636363636362</v>
      </c>
      <c r="AC22" s="26">
        <f t="shared" si="4"/>
        <v>649.63636363636363</v>
      </c>
      <c r="AD22" s="26">
        <f t="shared" si="5"/>
        <v>15.636363636363637</v>
      </c>
      <c r="AE22">
        <f t="shared" si="6"/>
        <v>2019</v>
      </c>
      <c r="AG22">
        <v>12</v>
      </c>
      <c r="AH22" s="26">
        <f t="shared" si="7"/>
        <v>11.535048802129548</v>
      </c>
      <c r="AI22" t="str">
        <f t="shared" si="8"/>
        <v>PM</v>
      </c>
      <c r="AJ22" t="str">
        <f t="shared" si="9"/>
        <v>7-2019-1</v>
      </c>
      <c r="AK22">
        <f t="shared" si="10"/>
        <v>7</v>
      </c>
      <c r="AL22" s="26">
        <f>IFERROR(Table2[[#This Row],[Calories]]/Table2[[#This Row],[Splat]],"")</f>
        <v>38.235294117647058</v>
      </c>
      <c r="AM22">
        <f>COUNTIF(N$2:$N$938,N22)</f>
        <v>48</v>
      </c>
      <c r="AN22" t="str">
        <f>VLOOKUP(N22,'Helpful Tables'!A:D,4,FALSE)</f>
        <v>Washington, DC</v>
      </c>
      <c r="AO22" s="24">
        <f>COUNTIF(AN:AN,Table2[[#This Row],[State]])/COUNTA(AN:AN)</f>
        <v>0.54904051172707891</v>
      </c>
      <c r="AP22">
        <f>VLOOKUP(N22,'Helpful Tables'!A:B,2,FALSE)</f>
        <v>38.916486999999996</v>
      </c>
      <c r="AQ22">
        <f>VLOOKUP(N22,'Helpful Tables'!A:C,3,FALSE)</f>
        <v>-77.031514000000001</v>
      </c>
      <c r="AR22">
        <f>COUNTIF(P$2:$P$938,P22)</f>
        <v>30</v>
      </c>
      <c r="AS22" cm="1">
        <f t="array" ref="AS22">_xlfn.IFS(E22&lt;6,((E22/D22)*60)*0.5,AND(E22&gt;=6,E22&lt;9),((E22/D22)*60)*0.75,AND(E22&gt;=9,E22&lt;=11),((E22/D22)*60)*0.9,AND(E22=12),((E22/D22)*60)*1,AND(E22&gt;=13,E22&lt;=15),((E22/D22)*60)*1.2,AND(E22&gt;=16,E22&lt;=19),((E22/D22)*60)*1.5,E22&gt;=20,((E22/D22)*60)*1.8)</f>
        <v>27.151730257320324</v>
      </c>
      <c r="AT22" cm="1">
        <f t="array" ref="AT22">_xlfn.IFS(F22&lt;550,((F22/D22)*60)*0.5,AND(F22&gt;=550,F22&lt;575),((F22/D22)*60)*0.75,AND(F22&gt;=575,F22&lt;600),((F22/D22)*60)*0.9,AND(F22=600),((F22/D22)*60)*1,AND(F22&gt;=601,F22&lt;=625),((F22/D22)*60)*1.2,AND(F22&gt;=626,F22&lt;=650),((F22/D22)*60)*1.5,F22&gt;=651,((F22/D22)*60)*1.8)</f>
        <v>1038.1543921916593</v>
      </c>
      <c r="AU22">
        <f t="shared" si="11"/>
        <v>12.804999999200001</v>
      </c>
      <c r="AV22">
        <f t="shared" si="16"/>
        <v>428.68344897943189</v>
      </c>
      <c r="AW22">
        <f t="shared" si="12"/>
        <v>64.400000000000006</v>
      </c>
      <c r="AX22" t="str">
        <f t="shared" si="13"/>
        <v>Jul-2019</v>
      </c>
      <c r="AY22">
        <f>ROUNDUP(Table2[[#This Row],[Month]]/3,0)</f>
        <v>3</v>
      </c>
    </row>
    <row r="23" spans="1:51" x14ac:dyDescent="0.2">
      <c r="A23">
        <v>22</v>
      </c>
      <c r="B23">
        <f t="shared" si="0"/>
        <v>11</v>
      </c>
      <c r="C23" s="22">
        <v>43649</v>
      </c>
      <c r="D23">
        <f>SUM(Table2[[#This Row],[Gray Min]:[Red Min]])</f>
        <v>62.283333333999998</v>
      </c>
      <c r="E23">
        <v>12</v>
      </c>
      <c r="F23">
        <v>701</v>
      </c>
      <c r="G23">
        <v>129</v>
      </c>
      <c r="H23">
        <v>165</v>
      </c>
      <c r="I23">
        <v>10.65</v>
      </c>
      <c r="J23">
        <v>15.216666667</v>
      </c>
      <c r="K23">
        <v>23.816666667</v>
      </c>
      <c r="L23">
        <v>11.35</v>
      </c>
      <c r="M23">
        <v>1.25</v>
      </c>
      <c r="N23" t="s">
        <v>33</v>
      </c>
      <c r="O23" t="s">
        <v>39</v>
      </c>
      <c r="P23" t="s">
        <v>46</v>
      </c>
      <c r="Q23">
        <f t="shared" si="14"/>
        <v>1</v>
      </c>
      <c r="R23" t="str">
        <f t="shared" si="1"/>
        <v>7-2019</v>
      </c>
      <c r="S23" t="s">
        <v>43</v>
      </c>
      <c r="T23" t="str">
        <f t="shared" si="2"/>
        <v>Wednesday</v>
      </c>
      <c r="U23">
        <f t="shared" si="3"/>
        <v>1</v>
      </c>
      <c r="V23" s="24">
        <f>IFERROR(Table2[[#This Row],[Gray Min]]/Table2[[#This Row],[ClassLength]],"")</f>
        <v>0.17099277495134074</v>
      </c>
      <c r="W23" s="24">
        <f>IFERROR(Table2[[#This Row],[Blue Min]]/Table2[[#This Row],[ClassLength]],"")</f>
        <v>0.24431362055398112</v>
      </c>
      <c r="X23" s="24">
        <f>IFERROR(Table2[[#This Row],[Green Min]]/Table2[[#This Row],[ClassLength]],"")</f>
        <v>0.38239229328464125</v>
      </c>
      <c r="Y23" s="24">
        <f>IFERROR(Table2[[#This Row],[Orange Min]]/Table2[[#This Row],[ClassLength]],"")</f>
        <v>0.18223173668523165</v>
      </c>
      <c r="Z23" s="24">
        <f>IFERROR(Table2[[#This Row],[Red Min]]/Table2[[#This Row],[ClassLength]],"")</f>
        <v>2.0069574524805251E-2</v>
      </c>
      <c r="AA23" s="25">
        <v>232.14</v>
      </c>
      <c r="AB23" s="25">
        <f t="shared" si="18"/>
        <v>21.103636363636362</v>
      </c>
      <c r="AC23" s="26">
        <f t="shared" si="4"/>
        <v>649.63636363636363</v>
      </c>
      <c r="AD23" s="26">
        <f t="shared" si="5"/>
        <v>15.636363636363637</v>
      </c>
      <c r="AE23">
        <f t="shared" si="6"/>
        <v>2019</v>
      </c>
      <c r="AG23">
        <v>12</v>
      </c>
      <c r="AH23" s="26">
        <f t="shared" si="7"/>
        <v>11.255017393510784</v>
      </c>
      <c r="AI23" t="str">
        <f t="shared" si="8"/>
        <v>PM</v>
      </c>
      <c r="AJ23" t="str">
        <f t="shared" si="9"/>
        <v>7-2019-1</v>
      </c>
      <c r="AK23">
        <f t="shared" si="10"/>
        <v>7</v>
      </c>
      <c r="AL23" s="26">
        <f>IFERROR(Table2[[#This Row],[Calories]]/Table2[[#This Row],[Splat]],"")</f>
        <v>58.416666666666664</v>
      </c>
      <c r="AM23">
        <f>COUNTIF(N$2:$N$938,N23)</f>
        <v>48</v>
      </c>
      <c r="AN23" t="str">
        <f>VLOOKUP(N23,'Helpful Tables'!A:D,4,FALSE)</f>
        <v>Washington, DC</v>
      </c>
      <c r="AO23" s="24">
        <f>COUNTIF(AN:AN,Table2[[#This Row],[State]])/COUNTA(AN:AN)</f>
        <v>0.54904051172707891</v>
      </c>
      <c r="AP23">
        <f>VLOOKUP(N23,'Helpful Tables'!A:B,2,FALSE)</f>
        <v>38.916486999999996</v>
      </c>
      <c r="AQ23">
        <f>VLOOKUP(N23,'Helpful Tables'!A:C,3,FALSE)</f>
        <v>-77.031514000000001</v>
      </c>
      <c r="AR23">
        <f>COUNTIF(P$2:$P$938,P23)</f>
        <v>1</v>
      </c>
      <c r="AS23" cm="1">
        <f t="array" ref="AS23">_xlfn.IFS(E23&lt;6,((E23/D23)*60)*0.5,AND(E23&gt;=6,E23&lt;9),((E23/D23)*60)*0.75,AND(E23&gt;=9,E23&lt;=11),((E23/D23)*60)*0.9,AND(E23=12),((E23/D23)*60)*1,AND(E23&gt;=13,E23&lt;=15),((E23/D23)*60)*1.2,AND(E23&gt;=16,E23&lt;=19),((E23/D23)*60)*1.5,E23&gt;=20,((E23/D23)*60)*1.8)</f>
        <v>11.560074926287824</v>
      </c>
      <c r="AT23" cm="1">
        <f t="array" ref="AT23">_xlfn.IFS(F23&lt;550,((F23/D23)*60)*0.5,AND(F23&gt;=550,F23&lt;575),((F23/D23)*60)*0.75,AND(F23&gt;=575,F23&lt;600),((F23/D23)*60)*0.9,AND(F23=600),((F23/D23)*60)*1,AND(F23&gt;=601,F23&lt;=625),((F23/D23)*60)*1.2,AND(F23&gt;=626,F23&lt;=650),((F23/D23)*60)*1.5,F23&gt;=651,((F23/D23)*60)*1.8)</f>
        <v>1215.5418784991646</v>
      </c>
      <c r="AU23">
        <f t="shared" si="11"/>
        <v>15.6916666667</v>
      </c>
      <c r="AV23">
        <f t="shared" si="16"/>
        <v>493.97911470352096</v>
      </c>
      <c r="AW23">
        <f t="shared" si="12"/>
        <v>75.599999999999994</v>
      </c>
      <c r="AX23" t="str">
        <f t="shared" si="13"/>
        <v>Jul-2019</v>
      </c>
      <c r="AY23">
        <f>ROUNDUP(Table2[[#This Row],[Month]]/3,0)</f>
        <v>3</v>
      </c>
    </row>
    <row r="24" spans="1:51" x14ac:dyDescent="0.2">
      <c r="A24">
        <v>23</v>
      </c>
      <c r="B24">
        <f t="shared" si="0"/>
        <v>11</v>
      </c>
      <c r="C24" s="22">
        <v>43654</v>
      </c>
      <c r="D24">
        <f>SUM(Table2[[#This Row],[Gray Min]:[Red Min]])</f>
        <v>59.583333334000002</v>
      </c>
      <c r="E24">
        <v>20</v>
      </c>
      <c r="F24">
        <v>639</v>
      </c>
      <c r="G24">
        <v>126</v>
      </c>
      <c r="H24">
        <v>171</v>
      </c>
      <c r="I24">
        <v>20.149999999999999</v>
      </c>
      <c r="J24">
        <v>11.666666666999999</v>
      </c>
      <c r="K24">
        <v>8.0166666670000009</v>
      </c>
      <c r="L24">
        <v>13.566666667</v>
      </c>
      <c r="M24">
        <v>6.1833333330000002</v>
      </c>
      <c r="N24" t="s">
        <v>40</v>
      </c>
      <c r="O24" t="s">
        <v>26</v>
      </c>
      <c r="P24" t="s">
        <v>41</v>
      </c>
      <c r="Q24">
        <f t="shared" si="14"/>
        <v>5</v>
      </c>
      <c r="R24" t="str">
        <f t="shared" si="1"/>
        <v>7-2019</v>
      </c>
      <c r="S24" t="s">
        <v>47</v>
      </c>
      <c r="T24" t="str">
        <f t="shared" si="2"/>
        <v>Monday</v>
      </c>
      <c r="U24">
        <f t="shared" si="3"/>
        <v>1</v>
      </c>
      <c r="V24" s="24">
        <f>IFERROR(Table2[[#This Row],[Gray Min]]/Table2[[#This Row],[ClassLength]],"")</f>
        <v>0.33818181817803428</v>
      </c>
      <c r="W24" s="24">
        <f>IFERROR(Table2[[#This Row],[Blue Min]]/Table2[[#This Row],[ClassLength]],"")</f>
        <v>0.19580419580759936</v>
      </c>
      <c r="X24" s="24">
        <f>IFERROR(Table2[[#This Row],[Green Min]]/Table2[[#This Row],[ClassLength]],"")</f>
        <v>0.13454545454954356</v>
      </c>
      <c r="Y24" s="24">
        <f>IFERROR(Table2[[#This Row],[Orange Min]]/Table2[[#This Row],[ClassLength]],"")</f>
        <v>0.22769230769535448</v>
      </c>
      <c r="Z24" s="24">
        <f>IFERROR(Table2[[#This Row],[Red Min]]/Table2[[#This Row],[ClassLength]],"")</f>
        <v>0.10377622376946824</v>
      </c>
      <c r="AA24" s="25">
        <v>232.14</v>
      </c>
      <c r="AB24" s="25">
        <f t="shared" si="18"/>
        <v>21.103636363636362</v>
      </c>
      <c r="AC24" s="26">
        <f t="shared" si="4"/>
        <v>649.63636363636363</v>
      </c>
      <c r="AD24" s="26">
        <f t="shared" si="5"/>
        <v>15.636363636363637</v>
      </c>
      <c r="AE24">
        <f t="shared" si="6"/>
        <v>2019</v>
      </c>
      <c r="AG24">
        <v>12</v>
      </c>
      <c r="AH24" s="26">
        <f t="shared" si="7"/>
        <v>10.72447552435553</v>
      </c>
      <c r="AI24" t="str">
        <f t="shared" si="8"/>
        <v>PM</v>
      </c>
      <c r="AJ24" t="str">
        <f t="shared" si="9"/>
        <v>7-2019-2</v>
      </c>
      <c r="AK24">
        <f t="shared" si="10"/>
        <v>7</v>
      </c>
      <c r="AL24" s="26">
        <f>IFERROR(Table2[[#This Row],[Calories]]/Table2[[#This Row],[Splat]],"")</f>
        <v>31.95</v>
      </c>
      <c r="AM24">
        <f>COUNTIF(N$2:$N$938,N24)</f>
        <v>38</v>
      </c>
      <c r="AN24" t="str">
        <f>VLOOKUP(N24,'Helpful Tables'!A:D,4,FALSE)</f>
        <v>Washington, DC</v>
      </c>
      <c r="AO24" s="24">
        <f>COUNTIF(AN:AN,Table2[[#This Row],[State]])/COUNTA(AN:AN)</f>
        <v>0.54904051172707891</v>
      </c>
      <c r="AP24">
        <f>VLOOKUP(N24,'Helpful Tables'!A:B,2,FALSE)</f>
        <v>38.903509999999997</v>
      </c>
      <c r="AQ24">
        <f>VLOOKUP(N24,'Helpful Tables'!A:C,3,FALSE)</f>
        <v>-77.051809000000006</v>
      </c>
      <c r="AR24">
        <f>COUNTIF(P$2:$P$938,P24)</f>
        <v>20</v>
      </c>
      <c r="AS24" cm="1">
        <f t="array" ref="AS24">_xlfn.IFS(E24&lt;6,((E24/D24)*60)*0.5,AND(E24&gt;=6,E24&lt;9),((E24/D24)*60)*0.75,AND(E24&gt;=9,E24&lt;=11),((E24/D24)*60)*0.9,AND(E24=12),((E24/D24)*60)*1,AND(E24&gt;=13,E24&lt;=15),((E24/D24)*60)*1.2,AND(E24&gt;=16,E24&lt;=19),((E24/D24)*60)*1.5,E24&gt;=20,((E24/D24)*60)*1.8)</f>
        <v>36.25174825134264</v>
      </c>
      <c r="AT24" cm="1">
        <f t="array" ref="AT24">_xlfn.IFS(F24&lt;550,((F24/D24)*60)*0.5,AND(F24&gt;=550,F24&lt;575),((F24/D24)*60)*0.75,AND(F24&gt;=575,F24&lt;600),((F24/D24)*60)*0.9,AND(F24=600),((F24/D24)*60)*1,AND(F24&gt;=601,F24&lt;=625),((F24/D24)*60)*1.2,AND(F24&gt;=626,F24&lt;=650),((F24/D24)*60)*1.5,F24&gt;=651,((F24/D24)*60)*1.8)</f>
        <v>965.20279719199766</v>
      </c>
      <c r="AU24">
        <f t="shared" si="11"/>
        <v>-0.48166666669999358</v>
      </c>
      <c r="AV24">
        <f t="shared" si="16"/>
        <v>400.48548484399618</v>
      </c>
      <c r="AW24">
        <f t="shared" si="12"/>
        <v>53.300000000000004</v>
      </c>
      <c r="AX24" t="str">
        <f t="shared" si="13"/>
        <v>Jul-2019</v>
      </c>
      <c r="AY24">
        <f>ROUNDUP(Table2[[#This Row],[Month]]/3,0)</f>
        <v>3</v>
      </c>
    </row>
    <row r="25" spans="1:51" x14ac:dyDescent="0.2">
      <c r="A25">
        <v>24</v>
      </c>
      <c r="B25">
        <f t="shared" si="0"/>
        <v>11</v>
      </c>
      <c r="C25" s="22">
        <v>43655</v>
      </c>
      <c r="D25">
        <f>SUM(Table2[[#This Row],[Gray Min]:[Red Min]])</f>
        <v>59.533333333000002</v>
      </c>
      <c r="E25">
        <v>20</v>
      </c>
      <c r="F25">
        <v>710</v>
      </c>
      <c r="G25">
        <v>134</v>
      </c>
      <c r="H25">
        <v>176</v>
      </c>
      <c r="I25">
        <v>4.4333333330000002</v>
      </c>
      <c r="J25">
        <v>18.45</v>
      </c>
      <c r="K25">
        <v>16.5</v>
      </c>
      <c r="L25">
        <v>17.483333333000001</v>
      </c>
      <c r="M25">
        <v>2.6666666669999999</v>
      </c>
      <c r="N25" t="s">
        <v>33</v>
      </c>
      <c r="O25" t="s">
        <v>39</v>
      </c>
      <c r="P25" t="s">
        <v>34</v>
      </c>
      <c r="Q25">
        <f t="shared" si="14"/>
        <v>1</v>
      </c>
      <c r="R25" t="str">
        <f t="shared" si="1"/>
        <v>7-2019</v>
      </c>
      <c r="S25" t="s">
        <v>43</v>
      </c>
      <c r="T25" t="str">
        <f t="shared" si="2"/>
        <v>Tuesday</v>
      </c>
      <c r="U25">
        <f t="shared" si="3"/>
        <v>1</v>
      </c>
      <c r="V25" s="24">
        <f>IFERROR(Table2[[#This Row],[Gray Min]]/Table2[[#This Row],[ClassLength]],"")</f>
        <v>7.4468085101200829E-2</v>
      </c>
      <c r="W25" s="24">
        <f>IFERROR(Table2[[#This Row],[Blue Min]]/Table2[[#This Row],[ClassLength]],"")</f>
        <v>0.30991041433544181</v>
      </c>
      <c r="X25" s="24">
        <f>IFERROR(Table2[[#This Row],[Green Min]]/Table2[[#This Row],[ClassLength]],"")</f>
        <v>0.27715565509673656</v>
      </c>
      <c r="Y25" s="24">
        <f>IFERROR(Table2[[#This Row],[Orange Min]]/Table2[[#This Row],[ClassLength]],"")</f>
        <v>0.29367301231407433</v>
      </c>
      <c r="Z25" s="24">
        <f>IFERROR(Table2[[#This Row],[Red Min]]/Table2[[#This Row],[ClassLength]],"")</f>
        <v>4.4792833152546431E-2</v>
      </c>
      <c r="AA25" s="25">
        <v>232.14</v>
      </c>
      <c r="AB25" s="25">
        <f t="shared" si="18"/>
        <v>21.103636363636362</v>
      </c>
      <c r="AC25" s="26">
        <f t="shared" si="4"/>
        <v>649.63636363636363</v>
      </c>
      <c r="AD25" s="26">
        <f t="shared" si="5"/>
        <v>15.636363636363637</v>
      </c>
      <c r="AE25">
        <f t="shared" si="6"/>
        <v>2019</v>
      </c>
      <c r="AG25">
        <v>12</v>
      </c>
      <c r="AH25" s="26">
        <f t="shared" si="7"/>
        <v>11.926091825374726</v>
      </c>
      <c r="AI25" t="str">
        <f t="shared" si="8"/>
        <v>PM</v>
      </c>
      <c r="AJ25" t="str">
        <f t="shared" si="9"/>
        <v>7-2019-2</v>
      </c>
      <c r="AK25">
        <f t="shared" si="10"/>
        <v>7</v>
      </c>
      <c r="AL25" s="26">
        <f>IFERROR(Table2[[#This Row],[Calories]]/Table2[[#This Row],[Splat]],"")</f>
        <v>35.5</v>
      </c>
      <c r="AM25">
        <f>COUNTIF(N$2:$N$938,N25)</f>
        <v>48</v>
      </c>
      <c r="AN25" t="str">
        <f>VLOOKUP(N25,'Helpful Tables'!A:D,4,FALSE)</f>
        <v>Washington, DC</v>
      </c>
      <c r="AO25" s="24">
        <f>COUNTIF(AN:AN,Table2[[#This Row],[State]])/COUNTA(AN:AN)</f>
        <v>0.54904051172707891</v>
      </c>
      <c r="AP25">
        <f>VLOOKUP(N25,'Helpful Tables'!A:B,2,FALSE)</f>
        <v>38.916486999999996</v>
      </c>
      <c r="AQ25">
        <f>VLOOKUP(N25,'Helpful Tables'!A:C,3,FALSE)</f>
        <v>-77.031514000000001</v>
      </c>
      <c r="AR25">
        <f>COUNTIF(P$2:$P$938,P25)</f>
        <v>30</v>
      </c>
      <c r="AS25" cm="1">
        <f t="array" ref="AS25">_xlfn.IFS(E25&lt;6,((E25/D25)*60)*0.5,AND(E25&gt;=6,E25&lt;9),((E25/D25)*60)*0.75,AND(E25&gt;=9,E25&lt;=11),((E25/D25)*60)*0.9,AND(E25=12),((E25/D25)*60)*1,AND(E25&gt;=13,E25&lt;=15),((E25/D25)*60)*1.2,AND(E25&gt;=16,E25&lt;=19),((E25/D25)*60)*1.5,E25&gt;=20,((E25/D25)*60)*1.8)</f>
        <v>36.282194849027341</v>
      </c>
      <c r="AT25" cm="1">
        <f t="array" ref="AT25">_xlfn.IFS(F25&lt;550,((F25/D25)*60)*0.5,AND(F25&gt;=550,F25&lt;575),((F25/D25)*60)*0.75,AND(F25&gt;=575,F25&lt;600),((F25/D25)*60)*0.9,AND(F25=600),((F25/D25)*60)*1,AND(F25&gt;=601,F25&lt;=625),((F25/D25)*60)*1.2,AND(F25&gt;=626,F25&lt;=650),((F25/D25)*60)*1.5,F25&gt;=651,((F25/D25)*60)*1.8)</f>
        <v>1288.0179171404704</v>
      </c>
      <c r="AU25">
        <f t="shared" si="11"/>
        <v>20.913333333800004</v>
      </c>
      <c r="AV25">
        <f t="shared" si="16"/>
        <v>533.90271146255918</v>
      </c>
      <c r="AW25">
        <f t="shared" si="12"/>
        <v>94.899999999999991</v>
      </c>
      <c r="AX25" t="str">
        <f t="shared" si="13"/>
        <v>Jul-2019</v>
      </c>
      <c r="AY25">
        <f>ROUNDUP(Table2[[#This Row],[Month]]/3,0)</f>
        <v>3</v>
      </c>
    </row>
    <row r="26" spans="1:51" x14ac:dyDescent="0.2">
      <c r="A26">
        <v>25</v>
      </c>
      <c r="B26">
        <f t="shared" si="0"/>
        <v>11</v>
      </c>
      <c r="C26" s="22">
        <v>43663</v>
      </c>
      <c r="D26">
        <f>SUM(Table2[[#This Row],[Gray Min]:[Red Min]])</f>
        <v>56.133333332999989</v>
      </c>
      <c r="E26">
        <v>16</v>
      </c>
      <c r="F26">
        <v>624</v>
      </c>
      <c r="G26">
        <v>128</v>
      </c>
      <c r="H26">
        <v>174</v>
      </c>
      <c r="I26">
        <v>10.883333332999999</v>
      </c>
      <c r="J26">
        <v>16.516666666999999</v>
      </c>
      <c r="K26">
        <v>12.45</v>
      </c>
      <c r="L26">
        <v>12.483333332999999</v>
      </c>
      <c r="M26">
        <v>3.8</v>
      </c>
      <c r="N26" t="s">
        <v>40</v>
      </c>
      <c r="O26" t="s">
        <v>26</v>
      </c>
      <c r="P26" t="s">
        <v>37</v>
      </c>
      <c r="Q26">
        <f t="shared" si="14"/>
        <v>8</v>
      </c>
      <c r="R26" t="str">
        <f t="shared" si="1"/>
        <v>7-2019</v>
      </c>
      <c r="S26" t="s">
        <v>47</v>
      </c>
      <c r="T26" t="str">
        <f t="shared" si="2"/>
        <v>Wednesday</v>
      </c>
      <c r="U26">
        <f t="shared" si="3"/>
        <v>1</v>
      </c>
      <c r="V26" s="24">
        <f>IFERROR(Table2[[#This Row],[Gray Min]]/Table2[[#This Row],[ClassLength]],"")</f>
        <v>0.19388361044651953</v>
      </c>
      <c r="W26" s="24">
        <f>IFERROR(Table2[[#This Row],[Blue Min]]/Table2[[#This Row],[ClassLength]],"")</f>
        <v>0.29423990499580904</v>
      </c>
      <c r="X26" s="24">
        <f>IFERROR(Table2[[#This Row],[Green Min]]/Table2[[#This Row],[ClassLength]],"")</f>
        <v>0.22179334916996318</v>
      </c>
      <c r="Y26" s="24">
        <f>IFERROR(Table2[[#This Row],[Orange Min]]/Table2[[#This Row],[ClassLength]],"")</f>
        <v>0.22238717339205696</v>
      </c>
      <c r="Z26" s="24">
        <f>IFERROR(Table2[[#This Row],[Red Min]]/Table2[[#This Row],[ClassLength]],"")</f>
        <v>6.7695961995651407E-2</v>
      </c>
      <c r="AA26" s="25">
        <v>232.14</v>
      </c>
      <c r="AB26" s="25">
        <f t="shared" si="18"/>
        <v>21.103636363636362</v>
      </c>
      <c r="AC26" s="26">
        <f t="shared" si="4"/>
        <v>649.63636363636363</v>
      </c>
      <c r="AD26" s="26">
        <f t="shared" si="5"/>
        <v>15.636363636363637</v>
      </c>
      <c r="AE26">
        <f t="shared" si="6"/>
        <v>2019</v>
      </c>
      <c r="AG26">
        <v>12</v>
      </c>
      <c r="AH26" s="26">
        <f t="shared" si="7"/>
        <v>11.116389548759601</v>
      </c>
      <c r="AI26" t="str">
        <f t="shared" si="8"/>
        <v>PM</v>
      </c>
      <c r="AJ26" t="str">
        <f t="shared" si="9"/>
        <v>7-2019-3</v>
      </c>
      <c r="AK26">
        <f t="shared" si="10"/>
        <v>7</v>
      </c>
      <c r="AL26" s="26">
        <f>IFERROR(Table2[[#This Row],[Calories]]/Table2[[#This Row],[Splat]],"")</f>
        <v>39</v>
      </c>
      <c r="AM26">
        <f>COUNTIF(N$2:$N$938,N26)</f>
        <v>38</v>
      </c>
      <c r="AN26" t="str">
        <f>VLOOKUP(N26,'Helpful Tables'!A:D,4,FALSE)</f>
        <v>Washington, DC</v>
      </c>
      <c r="AO26" s="24">
        <f>COUNTIF(AN:AN,Table2[[#This Row],[State]])/COUNTA(AN:AN)</f>
        <v>0.54904051172707891</v>
      </c>
      <c r="AP26">
        <f>VLOOKUP(N26,'Helpful Tables'!A:B,2,FALSE)</f>
        <v>38.903509999999997</v>
      </c>
      <c r="AQ26">
        <f>VLOOKUP(N26,'Helpful Tables'!A:C,3,FALSE)</f>
        <v>-77.051809000000006</v>
      </c>
      <c r="AR26">
        <f>COUNTIF(P$2:$P$938,P26)</f>
        <v>12</v>
      </c>
      <c r="AS26" cm="1">
        <f t="array" ref="AS26">_xlfn.IFS(E26&lt;6,((E26/D26)*60)*0.5,AND(E26&gt;=6,E26&lt;9),((E26/D26)*60)*0.75,AND(E26&gt;=9,E26&lt;=11),((E26/D26)*60)*0.9,AND(E26=12),((E26/D26)*60)*1,AND(E26&gt;=13,E26&lt;=15),((E26/D26)*60)*1.2,AND(E26&gt;=16,E26&lt;=19),((E26/D26)*60)*1.5,E26&gt;=20,((E26/D26)*60)*1.8)</f>
        <v>25.653206650983691</v>
      </c>
      <c r="AT26" cm="1">
        <f t="array" ref="AT26">_xlfn.IFS(F26&lt;550,((F26/D26)*60)*0.5,AND(F26&gt;=550,F26&lt;575),((F26/D26)*60)*0.75,AND(F26&gt;=575,F26&lt;600),((F26/D26)*60)*0.9,AND(F26=600),((F26/D26)*60)*1,AND(F26&gt;=601,F26&lt;=625),((F26/D26)*60)*1.2,AND(F26&gt;=626,F26&lt;=650),((F26/D26)*60)*1.5,F26&gt;=651,((F26/D26)*60)*1.8)</f>
        <v>800.38004751069127</v>
      </c>
      <c r="AU26">
        <f t="shared" si="11"/>
        <v>5.639999999599997</v>
      </c>
      <c r="AV26">
        <f t="shared" si="16"/>
        <v>331.54130166459004</v>
      </c>
      <c r="AW26">
        <f t="shared" si="12"/>
        <v>40.799999999999997</v>
      </c>
      <c r="AX26" t="str">
        <f t="shared" si="13"/>
        <v>Jul-2019</v>
      </c>
      <c r="AY26">
        <f>ROUNDUP(Table2[[#This Row],[Month]]/3,0)</f>
        <v>3</v>
      </c>
    </row>
    <row r="27" spans="1:51" x14ac:dyDescent="0.2">
      <c r="A27">
        <v>26</v>
      </c>
      <c r="B27">
        <f t="shared" si="0"/>
        <v>11</v>
      </c>
      <c r="C27" s="22">
        <v>43664</v>
      </c>
      <c r="D27">
        <f>SUM(Table2[[#This Row],[Gray Min]:[Red Min]])</f>
        <v>58.083333332999999</v>
      </c>
      <c r="E27">
        <v>17</v>
      </c>
      <c r="F27">
        <v>609</v>
      </c>
      <c r="G27">
        <v>124</v>
      </c>
      <c r="H27">
        <v>167</v>
      </c>
      <c r="I27">
        <v>19.066666667</v>
      </c>
      <c r="J27">
        <v>11.583333333000001</v>
      </c>
      <c r="K27">
        <v>11.25</v>
      </c>
      <c r="L27">
        <v>13.6</v>
      </c>
      <c r="M27">
        <v>2.5833333330000001</v>
      </c>
      <c r="N27" t="s">
        <v>24</v>
      </c>
      <c r="O27" t="s">
        <v>26</v>
      </c>
      <c r="P27" t="s">
        <v>25</v>
      </c>
      <c r="Q27">
        <f t="shared" si="14"/>
        <v>1</v>
      </c>
      <c r="R27" t="str">
        <f t="shared" si="1"/>
        <v>7-2019</v>
      </c>
      <c r="S27" t="s">
        <v>47</v>
      </c>
      <c r="T27" t="str">
        <f t="shared" si="2"/>
        <v>Thursday</v>
      </c>
      <c r="U27">
        <f t="shared" si="3"/>
        <v>1</v>
      </c>
      <c r="V27" s="24">
        <f>IFERROR(Table2[[#This Row],[Gray Min]]/Table2[[#This Row],[ClassLength]],"")</f>
        <v>0.32826398852986094</v>
      </c>
      <c r="W27" s="24">
        <f>IFERROR(Table2[[#This Row],[Blue Min]]/Table2[[#This Row],[ClassLength]],"")</f>
        <v>0.19942611190358353</v>
      </c>
      <c r="X27" s="24">
        <f>IFERROR(Table2[[#This Row],[Green Min]]/Table2[[#This Row],[ClassLength]],"")</f>
        <v>0.19368723099106852</v>
      </c>
      <c r="Y27" s="24">
        <f>IFERROR(Table2[[#This Row],[Orange Min]]/Table2[[#This Row],[ClassLength]],"")</f>
        <v>0.23414634146475838</v>
      </c>
      <c r="Z27" s="24">
        <f>IFERROR(Table2[[#This Row],[Red Min]]/Table2[[#This Row],[ClassLength]],"")</f>
        <v>4.4476327110728707E-2</v>
      </c>
      <c r="AA27" s="25">
        <v>232.14</v>
      </c>
      <c r="AB27" s="25">
        <f t="shared" si="18"/>
        <v>21.103636363636362</v>
      </c>
      <c r="AC27" s="26">
        <f t="shared" si="4"/>
        <v>649.63636363636363</v>
      </c>
      <c r="AD27" s="26">
        <f t="shared" si="5"/>
        <v>15.636363636363637</v>
      </c>
      <c r="AE27">
        <f t="shared" si="6"/>
        <v>2019</v>
      </c>
      <c r="AG27">
        <v>12</v>
      </c>
      <c r="AH27" s="26">
        <f t="shared" si="7"/>
        <v>10.484935437649842</v>
      </c>
      <c r="AI27" t="str">
        <f t="shared" si="8"/>
        <v>PM</v>
      </c>
      <c r="AJ27" t="str">
        <f t="shared" si="9"/>
        <v>7-2019-3</v>
      </c>
      <c r="AK27">
        <f t="shared" si="10"/>
        <v>7</v>
      </c>
      <c r="AL27" s="26">
        <f>IFERROR(Table2[[#This Row],[Calories]]/Table2[[#This Row],[Splat]],"")</f>
        <v>35.823529411764703</v>
      </c>
      <c r="AM27">
        <f>COUNTIF(N$2:$N$938,N27)</f>
        <v>35</v>
      </c>
      <c r="AN27" t="str">
        <f>VLOOKUP(N27,'Helpful Tables'!A:D,4,FALSE)</f>
        <v>Virginia</v>
      </c>
      <c r="AO27" s="24">
        <f>COUNTIF(AN:AN,Table2[[#This Row],[State]])/COUNTA(AN:AN)</f>
        <v>5.6503198294243072E-2</v>
      </c>
      <c r="AP27">
        <f>VLOOKUP(N27,'Helpful Tables'!A:B,2,FALSE)</f>
        <v>38.881884999999997</v>
      </c>
      <c r="AQ27">
        <f>VLOOKUP(N27,'Helpful Tables'!A:C,3,FALSE)</f>
        <v>-77.229702000000003</v>
      </c>
      <c r="AR27">
        <f>COUNTIF(P$2:$P$938,P27)</f>
        <v>13</v>
      </c>
      <c r="AS27" cm="1">
        <f t="array" ref="AS27">_xlfn.IFS(E27&lt;6,((E27/D27)*60)*0.5,AND(E27&gt;=6,E27&lt;9),((E27/D27)*60)*0.75,AND(E27&gt;=9,E27&lt;=11),((E27/D27)*60)*0.9,AND(E27=12),((E27/D27)*60)*1,AND(E27&gt;=13,E27&lt;=15),((E27/D27)*60)*1.2,AND(E27&gt;=16,E27&lt;=19),((E27/D27)*60)*1.5,E27&gt;=20,((E27/D27)*60)*1.8)</f>
        <v>26.341463414785316</v>
      </c>
      <c r="AT27" cm="1">
        <f t="array" ref="AT27">_xlfn.IFS(F27&lt;550,((F27/D27)*60)*0.5,AND(F27&gt;=550,F27&lt;575),((F27/D27)*60)*0.75,AND(F27&gt;=575,F27&lt;600),((F27/D27)*60)*0.9,AND(F27=600),((F27/D27)*60)*1,AND(F27&gt;=601,F27&lt;=625),((F27/D27)*60)*1.2,AND(F27&gt;=626,F27&lt;=650),((F27/D27)*60)*1.5,F27&gt;=651,((F27/D27)*60)*1.8)</f>
        <v>754.91535151078858</v>
      </c>
      <c r="AU27">
        <f t="shared" si="11"/>
        <v>-0.56666666720000158</v>
      </c>
      <c r="AV27">
        <f t="shared" si="16"/>
        <v>312.38939263678958</v>
      </c>
      <c r="AW27">
        <f t="shared" si="12"/>
        <v>32.4</v>
      </c>
      <c r="AX27" t="str">
        <f t="shared" si="13"/>
        <v>Jul-2019</v>
      </c>
      <c r="AY27">
        <f>ROUNDUP(Table2[[#This Row],[Month]]/3,0)</f>
        <v>3</v>
      </c>
    </row>
    <row r="28" spans="1:51" x14ac:dyDescent="0.2">
      <c r="A28">
        <v>27</v>
      </c>
      <c r="B28">
        <f t="shared" si="0"/>
        <v>11</v>
      </c>
      <c r="C28" s="22">
        <v>43666</v>
      </c>
      <c r="D28">
        <f>SUM(Table2[[#This Row],[Gray Min]:[Red Min]])</f>
        <v>55.866666667000004</v>
      </c>
      <c r="E28">
        <v>14</v>
      </c>
      <c r="F28">
        <v>651</v>
      </c>
      <c r="G28">
        <v>132</v>
      </c>
      <c r="H28">
        <v>173</v>
      </c>
      <c r="I28">
        <v>6.016666667</v>
      </c>
      <c r="J28">
        <v>14.2</v>
      </c>
      <c r="K28">
        <v>21.983333333000001</v>
      </c>
      <c r="L28">
        <v>8</v>
      </c>
      <c r="M28">
        <v>5.6666666670000003</v>
      </c>
      <c r="N28" t="s">
        <v>33</v>
      </c>
      <c r="O28" t="s">
        <v>45</v>
      </c>
      <c r="P28" t="s">
        <v>34</v>
      </c>
      <c r="Q28">
        <f t="shared" si="14"/>
        <v>2</v>
      </c>
      <c r="R28" t="str">
        <f t="shared" si="1"/>
        <v>7-2019</v>
      </c>
      <c r="S28" t="s">
        <v>43</v>
      </c>
      <c r="T28" t="str">
        <f t="shared" si="2"/>
        <v>Saturday</v>
      </c>
      <c r="U28">
        <f t="shared" si="3"/>
        <v>1</v>
      </c>
      <c r="V28" s="24">
        <f>IFERROR(Table2[[#This Row],[Gray Min]]/Table2[[#This Row],[ClassLength]],"")</f>
        <v>0.10769689738002566</v>
      </c>
      <c r="W28" s="24">
        <f>IFERROR(Table2[[#This Row],[Blue Min]]/Table2[[#This Row],[ClassLength]],"")</f>
        <v>0.25417661097700367</v>
      </c>
      <c r="X28" s="24">
        <f>IFERROR(Table2[[#This Row],[Green Min]]/Table2[[#This Row],[ClassLength]],"")</f>
        <v>0.39349642003941826</v>
      </c>
      <c r="Y28" s="24">
        <f>IFERROR(Table2[[#This Row],[Orange Min]]/Table2[[#This Row],[ClassLength]],"")</f>
        <v>0.14319809069126968</v>
      </c>
      <c r="Z28" s="24">
        <f>IFERROR(Table2[[#This Row],[Red Min]]/Table2[[#This Row],[ClassLength]],"")</f>
        <v>0.10143198091228263</v>
      </c>
      <c r="AA28" s="25">
        <v>232.14</v>
      </c>
      <c r="AB28" s="25">
        <f t="shared" si="18"/>
        <v>21.103636363636362</v>
      </c>
      <c r="AC28" s="26">
        <f t="shared" si="4"/>
        <v>649.63636363636363</v>
      </c>
      <c r="AD28" s="26">
        <f t="shared" si="5"/>
        <v>15.636363636363637</v>
      </c>
      <c r="AE28">
        <f t="shared" si="6"/>
        <v>2019</v>
      </c>
      <c r="AG28">
        <v>12</v>
      </c>
      <c r="AH28" s="26">
        <f t="shared" si="7"/>
        <v>11.65274463000207</v>
      </c>
      <c r="AI28" t="str">
        <f t="shared" si="8"/>
        <v>AM</v>
      </c>
      <c r="AJ28" t="str">
        <f t="shared" si="9"/>
        <v>7-2019-3</v>
      </c>
      <c r="AK28">
        <f t="shared" si="10"/>
        <v>7</v>
      </c>
      <c r="AL28" s="26">
        <f>IFERROR(Table2[[#This Row],[Calories]]/Table2[[#This Row],[Splat]],"")</f>
        <v>46.5</v>
      </c>
      <c r="AM28">
        <f>COUNTIF(N$2:$N$938,N28)</f>
        <v>48</v>
      </c>
      <c r="AN28" t="str">
        <f>VLOOKUP(N28,'Helpful Tables'!A:D,4,FALSE)</f>
        <v>Washington, DC</v>
      </c>
      <c r="AO28" s="24">
        <f>COUNTIF(AN:AN,Table2[[#This Row],[State]])/COUNTA(AN:AN)</f>
        <v>0.54904051172707891</v>
      </c>
      <c r="AP28">
        <f>VLOOKUP(N28,'Helpful Tables'!A:B,2,FALSE)</f>
        <v>38.916486999999996</v>
      </c>
      <c r="AQ28">
        <f>VLOOKUP(N28,'Helpful Tables'!A:C,3,FALSE)</f>
        <v>-77.031514000000001</v>
      </c>
      <c r="AR28">
        <f>COUNTIF(P$2:$P$938,P28)</f>
        <v>30</v>
      </c>
      <c r="AS28" cm="1">
        <f t="array" ref="AS28">_xlfn.IFS(E28&lt;6,((E28/D28)*60)*0.5,AND(E28&gt;=6,E28&lt;9),((E28/D28)*60)*0.75,AND(E28&gt;=9,E28&lt;=11),((E28/D28)*60)*0.9,AND(E28=12),((E28/D28)*60)*1,AND(E28&gt;=13,E28&lt;=15),((E28/D28)*60)*1.2,AND(E28&gt;=16,E28&lt;=19),((E28/D28)*60)*1.5,E28&gt;=20,((E28/D28)*60)*1.8)</f>
        <v>18.04295942709998</v>
      </c>
      <c r="AT28" cm="1">
        <f t="array" ref="AT28">_xlfn.IFS(F28&lt;550,((F28/D28)*60)*0.5,AND(F28&gt;=550,F28&lt;575),((F28/D28)*60)*0.75,AND(F28&gt;=575,F28&lt;600),((F28/D28)*60)*0.9,AND(F28=600),((F28/D28)*60)*1,AND(F28&gt;=601,F28&lt;=625),((F28/D28)*60)*1.2,AND(F28&gt;=626,F28&lt;=650),((F28/D28)*60)*1.5,F28&gt;=651,((F28/D28)*60)*1.8)</f>
        <v>1258.4964200402235</v>
      </c>
      <c r="AU28">
        <f t="shared" si="11"/>
        <v>22.439999999699999</v>
      </c>
      <c r="AV28">
        <f t="shared" si="16"/>
        <v>515.10375178686945</v>
      </c>
      <c r="AW28">
        <f t="shared" si="12"/>
        <v>87.9</v>
      </c>
      <c r="AX28" t="str">
        <f t="shared" si="13"/>
        <v>Jul-2019</v>
      </c>
      <c r="AY28">
        <f>ROUNDUP(Table2[[#This Row],[Month]]/3,0)</f>
        <v>3</v>
      </c>
    </row>
    <row r="29" spans="1:51" x14ac:dyDescent="0.2">
      <c r="A29">
        <v>28</v>
      </c>
      <c r="B29">
        <f t="shared" si="0"/>
        <v>11</v>
      </c>
      <c r="C29" s="22">
        <v>43669</v>
      </c>
      <c r="D29">
        <f>SUM(Table2[[#This Row],[Gray Min]:[Red Min]])</f>
        <v>60.25</v>
      </c>
      <c r="E29">
        <v>13</v>
      </c>
      <c r="F29">
        <v>592</v>
      </c>
      <c r="G29">
        <v>120</v>
      </c>
      <c r="H29">
        <v>175</v>
      </c>
      <c r="I29">
        <v>21.45</v>
      </c>
      <c r="J29">
        <v>18.3</v>
      </c>
      <c r="K29">
        <v>7.75</v>
      </c>
      <c r="L29">
        <v>7.9666666670000001</v>
      </c>
      <c r="M29">
        <v>4.7833333329999999</v>
      </c>
      <c r="N29" t="s">
        <v>33</v>
      </c>
      <c r="O29" t="s">
        <v>39</v>
      </c>
      <c r="P29" t="s">
        <v>34</v>
      </c>
      <c r="Q29">
        <f t="shared" si="14"/>
        <v>3</v>
      </c>
      <c r="R29" t="str">
        <f t="shared" si="1"/>
        <v>7-2019</v>
      </c>
      <c r="S29" t="s">
        <v>43</v>
      </c>
      <c r="T29" t="str">
        <f t="shared" si="2"/>
        <v>Tuesday</v>
      </c>
      <c r="U29">
        <f t="shared" si="3"/>
        <v>1</v>
      </c>
      <c r="V29" s="24">
        <f>IFERROR(Table2[[#This Row],[Gray Min]]/Table2[[#This Row],[ClassLength]],"")</f>
        <v>0.35601659751037346</v>
      </c>
      <c r="W29" s="24">
        <f>IFERROR(Table2[[#This Row],[Blue Min]]/Table2[[#This Row],[ClassLength]],"")</f>
        <v>0.30373443983402493</v>
      </c>
      <c r="X29" s="24">
        <f>IFERROR(Table2[[#This Row],[Green Min]]/Table2[[#This Row],[ClassLength]],"")</f>
        <v>0.12863070539419086</v>
      </c>
      <c r="Y29" s="24">
        <f>IFERROR(Table2[[#This Row],[Orange Min]]/Table2[[#This Row],[ClassLength]],"")</f>
        <v>0.13222683264730289</v>
      </c>
      <c r="Z29" s="24">
        <f>IFERROR(Table2[[#This Row],[Red Min]]/Table2[[#This Row],[ClassLength]],"")</f>
        <v>7.9391424614107878E-2</v>
      </c>
      <c r="AA29" s="25">
        <v>232.14</v>
      </c>
      <c r="AB29" s="25">
        <f t="shared" si="18"/>
        <v>21.103636363636362</v>
      </c>
      <c r="AC29" s="26">
        <f t="shared" si="4"/>
        <v>649.63636363636363</v>
      </c>
      <c r="AD29" s="26">
        <f t="shared" si="5"/>
        <v>15.636363636363637</v>
      </c>
      <c r="AE29">
        <f t="shared" si="6"/>
        <v>2019</v>
      </c>
      <c r="AG29">
        <v>12</v>
      </c>
      <c r="AH29" s="26">
        <f t="shared" si="7"/>
        <v>9.8257261410788388</v>
      </c>
      <c r="AI29" t="str">
        <f t="shared" si="8"/>
        <v>PM</v>
      </c>
      <c r="AJ29" t="str">
        <f t="shared" si="9"/>
        <v>7-2019-4</v>
      </c>
      <c r="AK29">
        <f t="shared" si="10"/>
        <v>7</v>
      </c>
      <c r="AL29" s="26">
        <f>IFERROR(Table2[[#This Row],[Calories]]/Table2[[#This Row],[Splat]],"")</f>
        <v>45.53846153846154</v>
      </c>
      <c r="AM29">
        <f>COUNTIF(N$2:$N$938,N29)</f>
        <v>48</v>
      </c>
      <c r="AN29" t="str">
        <f>VLOOKUP(N29,'Helpful Tables'!A:D,4,FALSE)</f>
        <v>Washington, DC</v>
      </c>
      <c r="AO29" s="24">
        <f>COUNTIF(AN:AN,Table2[[#This Row],[State]])/COUNTA(AN:AN)</f>
        <v>0.54904051172707891</v>
      </c>
      <c r="AP29">
        <f>VLOOKUP(N29,'Helpful Tables'!A:B,2,FALSE)</f>
        <v>38.916486999999996</v>
      </c>
      <c r="AQ29">
        <f>VLOOKUP(N29,'Helpful Tables'!A:C,3,FALSE)</f>
        <v>-77.031514000000001</v>
      </c>
      <c r="AR29">
        <f>COUNTIF(P$2:$P$938,P29)</f>
        <v>30</v>
      </c>
      <c r="AS29" cm="1">
        <f t="array" ref="AS29">_xlfn.IFS(E29&lt;6,((E29/D29)*60)*0.5,AND(E29&gt;=6,E29&lt;9),((E29/D29)*60)*0.75,AND(E29&gt;=9,E29&lt;=11),((E29/D29)*60)*0.9,AND(E29=12),((E29/D29)*60)*1,AND(E29&gt;=13,E29&lt;=15),((E29/D29)*60)*1.2,AND(E29&gt;=16,E29&lt;=19),((E29/D29)*60)*1.5,E29&gt;=20,((E29/D29)*60)*1.8)</f>
        <v>15.535269709543568</v>
      </c>
      <c r="AT29" cm="1">
        <f t="array" ref="AT29">_xlfn.IFS(F29&lt;550,((F29/D29)*60)*0.5,AND(F29&gt;=550,F29&lt;575),((F29/D29)*60)*0.75,AND(F29&gt;=575,F29&lt;600),((F29/D29)*60)*0.9,AND(F29=600),((F29/D29)*60)*1,AND(F29&gt;=601,F29&lt;=625),((F29/D29)*60)*1.2,AND(F29&gt;=626,F29&lt;=650),((F29/D29)*60)*1.5,F29&gt;=651,((F29/D29)*60)*1.8)</f>
        <v>530.58921161825731</v>
      </c>
      <c r="AU29">
        <f t="shared" si="11"/>
        <v>-19.038333333400008</v>
      </c>
      <c r="AV29">
        <f t="shared" si="16"/>
        <v>214.64212586444037</v>
      </c>
      <c r="AW29">
        <f t="shared" si="12"/>
        <v>15.1</v>
      </c>
      <c r="AX29" t="str">
        <f t="shared" si="13"/>
        <v>Jul-2019</v>
      </c>
      <c r="AY29">
        <f>ROUNDUP(Table2[[#This Row],[Month]]/3,0)</f>
        <v>3</v>
      </c>
    </row>
    <row r="30" spans="1:51" x14ac:dyDescent="0.2">
      <c r="A30">
        <v>29</v>
      </c>
      <c r="B30">
        <f t="shared" si="0"/>
        <v>11</v>
      </c>
      <c r="C30" s="22">
        <v>43671</v>
      </c>
      <c r="D30">
        <f>SUM(Table2[[#This Row],[Gray Min]:[Red Min]])</f>
        <v>57.550000001000008</v>
      </c>
      <c r="E30">
        <v>13</v>
      </c>
      <c r="F30">
        <v>666</v>
      </c>
      <c r="G30">
        <v>131</v>
      </c>
      <c r="H30">
        <v>169</v>
      </c>
      <c r="I30">
        <v>5.1333333330000004</v>
      </c>
      <c r="J30">
        <v>14.916666666999999</v>
      </c>
      <c r="K30">
        <v>24.566666667</v>
      </c>
      <c r="L30">
        <v>11.016666667000001</v>
      </c>
      <c r="M30">
        <v>1.9166666670000001</v>
      </c>
      <c r="N30" t="s">
        <v>24</v>
      </c>
      <c r="O30" t="s">
        <v>26</v>
      </c>
      <c r="P30" t="s">
        <v>25</v>
      </c>
      <c r="Q30">
        <f t="shared" si="14"/>
        <v>2</v>
      </c>
      <c r="R30" t="str">
        <f t="shared" si="1"/>
        <v>7-2019</v>
      </c>
      <c r="S30" t="s">
        <v>44</v>
      </c>
      <c r="T30" t="str">
        <f t="shared" si="2"/>
        <v>Thursday</v>
      </c>
      <c r="U30">
        <f t="shared" si="3"/>
        <v>1</v>
      </c>
      <c r="V30" s="24">
        <f>IFERROR(Table2[[#This Row],[Gray Min]]/Table2[[#This Row],[ClassLength]],"")</f>
        <v>8.9197799008006978E-2</v>
      </c>
      <c r="W30" s="24">
        <f>IFERROR(Table2[[#This Row],[Blue Min]]/Table2[[#This Row],[ClassLength]],"")</f>
        <v>0.25919490298420161</v>
      </c>
      <c r="X30" s="24">
        <f>IFERROR(Table2[[#This Row],[Green Min]]/Table2[[#This Row],[ClassLength]],"")</f>
        <v>0.42687518100040178</v>
      </c>
      <c r="Y30" s="24">
        <f>IFERROR(Table2[[#This Row],[Orange Min]]/Table2[[#This Row],[ClassLength]],"")</f>
        <v>0.19142774399319845</v>
      </c>
      <c r="Z30" s="24">
        <f>IFERROR(Table2[[#This Row],[Red Min]]/Table2[[#This Row],[ClassLength]],"")</f>
        <v>3.3304373014191056E-2</v>
      </c>
      <c r="AA30" s="25">
        <v>232.14</v>
      </c>
      <c r="AB30" s="25">
        <f t="shared" si="18"/>
        <v>21.103636363636362</v>
      </c>
      <c r="AC30" s="26">
        <f t="shared" si="4"/>
        <v>649.63636363636363</v>
      </c>
      <c r="AD30" s="26">
        <f t="shared" si="5"/>
        <v>15.636363636363637</v>
      </c>
      <c r="AE30">
        <f t="shared" si="6"/>
        <v>2019</v>
      </c>
      <c r="AG30">
        <v>12</v>
      </c>
      <c r="AH30" s="26">
        <f t="shared" si="7"/>
        <v>11.572545612309773</v>
      </c>
      <c r="AI30" t="str">
        <f t="shared" si="8"/>
        <v>PM</v>
      </c>
      <c r="AJ30" t="str">
        <f t="shared" si="9"/>
        <v>7-2019-4</v>
      </c>
      <c r="AK30">
        <f t="shared" si="10"/>
        <v>7</v>
      </c>
      <c r="AL30" s="26">
        <f>IFERROR(Table2[[#This Row],[Calories]]/Table2[[#This Row],[Splat]],"")</f>
        <v>51.230769230769234</v>
      </c>
      <c r="AM30">
        <f>COUNTIF(N$2:$N$938,N30)</f>
        <v>35</v>
      </c>
      <c r="AN30" t="str">
        <f>VLOOKUP(N30,'Helpful Tables'!A:D,4,FALSE)</f>
        <v>Virginia</v>
      </c>
      <c r="AO30" s="24">
        <f>COUNTIF(AN:AN,Table2[[#This Row],[State]])/COUNTA(AN:AN)</f>
        <v>5.6503198294243072E-2</v>
      </c>
      <c r="AP30">
        <f>VLOOKUP(N30,'Helpful Tables'!A:B,2,FALSE)</f>
        <v>38.881884999999997</v>
      </c>
      <c r="AQ30">
        <f>VLOOKUP(N30,'Helpful Tables'!A:C,3,FALSE)</f>
        <v>-77.229702000000003</v>
      </c>
      <c r="AR30">
        <f>COUNTIF(P$2:$P$938,P30)</f>
        <v>13</v>
      </c>
      <c r="AS30" cm="1">
        <f t="array" ref="AS30">_xlfn.IFS(E30&lt;6,((E30/D30)*60)*0.5,AND(E30&gt;=6,E30&lt;9),((E30/D30)*60)*0.75,AND(E30&gt;=9,E30&lt;=11),((E30/D30)*60)*0.9,AND(E30=12),((E30/D30)*60)*1,AND(E30&gt;=13,E30&lt;=15),((E30/D30)*60)*1.2,AND(E30&gt;=16,E30&lt;=19),((E30/D30)*60)*1.5,E30&gt;=20,((E30/D30)*60)*1.8)</f>
        <v>16.264118157840759</v>
      </c>
      <c r="AT30" cm="1">
        <f t="array" ref="AT30">_xlfn.IFS(F30&lt;550,((F30/D30)*60)*0.5,AND(F30&gt;=550,F30&lt;575),((F30/D30)*60)*0.75,AND(F30&gt;=575,F30&lt;600),((F30/D30)*60)*0.9,AND(F30=600),((F30/D30)*60)*1,AND(F30&gt;=601,F30&lt;=625),((F30/D30)*60)*1.2,AND(F30&gt;=626,F30&lt;=650),((F30/D30)*60)*1.5,F30&gt;=651,((F30/D30)*60)*1.8)</f>
        <v>1249.8349261294554</v>
      </c>
      <c r="AU30">
        <f t="shared" si="11"/>
        <v>24.108333334699999</v>
      </c>
      <c r="AV30">
        <f t="shared" si="16"/>
        <v>511.26128438185856</v>
      </c>
      <c r="AW30">
        <f t="shared" si="12"/>
        <v>86.6</v>
      </c>
      <c r="AX30" t="str">
        <f t="shared" si="13"/>
        <v>Jul-2019</v>
      </c>
      <c r="AY30">
        <f>ROUNDUP(Table2[[#This Row],[Month]]/3,0)</f>
        <v>3</v>
      </c>
    </row>
    <row r="31" spans="1:51" x14ac:dyDescent="0.2">
      <c r="A31">
        <v>30</v>
      </c>
      <c r="B31">
        <f t="shared" si="0"/>
        <v>11</v>
      </c>
      <c r="C31" s="22">
        <v>43674</v>
      </c>
      <c r="D31">
        <f>SUM(Table2[[#This Row],[Gray Min]:[Red Min]])</f>
        <v>58.25</v>
      </c>
      <c r="E31">
        <v>21</v>
      </c>
      <c r="F31">
        <v>691</v>
      </c>
      <c r="G31">
        <v>133</v>
      </c>
      <c r="H31">
        <v>174</v>
      </c>
      <c r="I31">
        <v>7.3166666669999998</v>
      </c>
      <c r="J31">
        <v>15.933333333</v>
      </c>
      <c r="K31">
        <v>14.683333333</v>
      </c>
      <c r="L31">
        <v>14.75</v>
      </c>
      <c r="M31">
        <v>5.5666666669999998</v>
      </c>
      <c r="N31" t="s">
        <v>33</v>
      </c>
      <c r="O31" t="s">
        <v>38</v>
      </c>
      <c r="P31" t="s">
        <v>37</v>
      </c>
      <c r="Q31">
        <f t="shared" si="14"/>
        <v>3</v>
      </c>
      <c r="R31" t="str">
        <f t="shared" si="1"/>
        <v>7-2019</v>
      </c>
      <c r="S31" t="s">
        <v>48</v>
      </c>
      <c r="T31" t="str">
        <f t="shared" si="2"/>
        <v>Sunday</v>
      </c>
      <c r="U31">
        <f t="shared" si="3"/>
        <v>1</v>
      </c>
      <c r="V31" s="24">
        <f>IFERROR(Table2[[#This Row],[Gray Min]]/Table2[[#This Row],[ClassLength]],"")</f>
        <v>0.12560801145064376</v>
      </c>
      <c r="W31" s="24">
        <f>IFERROR(Table2[[#This Row],[Blue Min]]/Table2[[#This Row],[ClassLength]],"")</f>
        <v>0.27353361945064381</v>
      </c>
      <c r="X31" s="24">
        <f>IFERROR(Table2[[#This Row],[Green Min]]/Table2[[#This Row],[ClassLength]],"")</f>
        <v>0.2520743919828326</v>
      </c>
      <c r="Y31" s="24">
        <f>IFERROR(Table2[[#This Row],[Orange Min]]/Table2[[#This Row],[ClassLength]],"")</f>
        <v>0.25321888412017168</v>
      </c>
      <c r="Z31" s="24">
        <f>IFERROR(Table2[[#This Row],[Red Min]]/Table2[[#This Row],[ClassLength]],"")</f>
        <v>9.5565092995708145E-2</v>
      </c>
      <c r="AA31" s="25">
        <v>232.14</v>
      </c>
      <c r="AB31" s="25">
        <f t="shared" si="18"/>
        <v>21.103636363636362</v>
      </c>
      <c r="AC31" s="26">
        <f t="shared" si="4"/>
        <v>649.63636363636363</v>
      </c>
      <c r="AD31" s="26">
        <f t="shared" si="5"/>
        <v>15.636363636363637</v>
      </c>
      <c r="AE31">
        <f t="shared" si="6"/>
        <v>2019</v>
      </c>
      <c r="AG31">
        <v>12</v>
      </c>
      <c r="AH31" s="26">
        <f t="shared" si="7"/>
        <v>11.862660944206009</v>
      </c>
      <c r="AI31" t="str">
        <f t="shared" si="8"/>
        <v>PM</v>
      </c>
      <c r="AJ31" t="str">
        <f t="shared" si="9"/>
        <v>7-2019-5</v>
      </c>
      <c r="AK31">
        <f t="shared" si="10"/>
        <v>7</v>
      </c>
      <c r="AL31" s="26">
        <f>IFERROR(Table2[[#This Row],[Calories]]/Table2[[#This Row],[Splat]],"")</f>
        <v>32.904761904761905</v>
      </c>
      <c r="AM31">
        <f>COUNTIF(N$2:$N$938,N31)</f>
        <v>48</v>
      </c>
      <c r="AN31" t="str">
        <f>VLOOKUP(N31,'Helpful Tables'!A:D,4,FALSE)</f>
        <v>Washington, DC</v>
      </c>
      <c r="AO31" s="24">
        <f>COUNTIF(AN:AN,Table2[[#This Row],[State]])/COUNTA(AN:AN)</f>
        <v>0.54904051172707891</v>
      </c>
      <c r="AP31">
        <f>VLOOKUP(N31,'Helpful Tables'!A:B,2,FALSE)</f>
        <v>38.916486999999996</v>
      </c>
      <c r="AQ31">
        <f>VLOOKUP(N31,'Helpful Tables'!A:C,3,FALSE)</f>
        <v>-77.031514000000001</v>
      </c>
      <c r="AR31">
        <f>COUNTIF(P$2:$P$938,P31)</f>
        <v>12</v>
      </c>
      <c r="AS31" cm="1">
        <f t="array" ref="AS31">_xlfn.IFS(E31&lt;6,((E31/D31)*60)*0.5,AND(E31&gt;=6,E31&lt;9),((E31/D31)*60)*0.75,AND(E31&gt;=9,E31&lt;=11),((E31/D31)*60)*0.9,AND(E31=12),((E31/D31)*60)*1,AND(E31&gt;=13,E31&lt;=15),((E31/D31)*60)*1.2,AND(E31&gt;=16,E31&lt;=19),((E31/D31)*60)*1.5,E31&gt;=20,((E31/D31)*60)*1.8)</f>
        <v>38.935622317596568</v>
      </c>
      <c r="AT31" cm="1">
        <f t="array" ref="AT31">_xlfn.IFS(F31&lt;550,((F31/D31)*60)*0.5,AND(F31&gt;=550,F31&lt;575),((F31/D31)*60)*0.75,AND(F31&gt;=575,F31&lt;600),((F31/D31)*60)*0.9,AND(F31=600),((F31/D31)*60)*1,AND(F31&gt;=601,F31&lt;=625),((F31/D31)*60)*1.2,AND(F31&gt;=626,F31&lt;=650),((F31/D31)*60)*1.5,F31&gt;=651,((F31/D31)*60)*1.8)</f>
        <v>1281.1673819742491</v>
      </c>
      <c r="AU31">
        <f t="shared" si="11"/>
        <v>18.838333333399998</v>
      </c>
      <c r="AV31">
        <f t="shared" si="16"/>
        <v>531.80886838341837</v>
      </c>
      <c r="AW31">
        <f t="shared" si="12"/>
        <v>94</v>
      </c>
      <c r="AX31" t="str">
        <f t="shared" si="13"/>
        <v>Jul-2019</v>
      </c>
      <c r="AY31">
        <f>ROUNDUP(Table2[[#This Row],[Month]]/3,0)</f>
        <v>3</v>
      </c>
    </row>
    <row r="32" spans="1:51" x14ac:dyDescent="0.2">
      <c r="A32">
        <v>31</v>
      </c>
      <c r="B32">
        <f t="shared" si="0"/>
        <v>11</v>
      </c>
      <c r="C32" s="22">
        <v>43676</v>
      </c>
      <c r="D32">
        <f>SUM(Table2[[#This Row],[Gray Min]:[Red Min]])</f>
        <v>57.349999999999994</v>
      </c>
      <c r="E32">
        <v>9</v>
      </c>
      <c r="F32">
        <v>613</v>
      </c>
      <c r="G32">
        <v>125</v>
      </c>
      <c r="H32">
        <v>162</v>
      </c>
      <c r="I32">
        <v>8.5666666669999998</v>
      </c>
      <c r="J32">
        <v>19.05</v>
      </c>
      <c r="K32">
        <v>21.066666667</v>
      </c>
      <c r="L32">
        <v>8.5833333330000006</v>
      </c>
      <c r="M32">
        <v>8.3333332999999996E-2</v>
      </c>
      <c r="N32" t="s">
        <v>33</v>
      </c>
      <c r="O32" t="s">
        <v>39</v>
      </c>
      <c r="P32" t="s">
        <v>34</v>
      </c>
      <c r="Q32">
        <f t="shared" si="14"/>
        <v>2</v>
      </c>
      <c r="R32" t="str">
        <f t="shared" si="1"/>
        <v>7-2019</v>
      </c>
      <c r="S32" t="s">
        <v>43</v>
      </c>
      <c r="T32" t="str">
        <f t="shared" si="2"/>
        <v>Tuesday</v>
      </c>
      <c r="U32">
        <f t="shared" si="3"/>
        <v>0</v>
      </c>
      <c r="V32" s="24">
        <f>IFERROR(Table2[[#This Row],[Gray Min]]/Table2[[#This Row],[ClassLength]],"")</f>
        <v>0.14937518163905841</v>
      </c>
      <c r="W32" s="24">
        <f>IFERROR(Table2[[#This Row],[Blue Min]]/Table2[[#This Row],[ClassLength]],"")</f>
        <v>0.33217088055797739</v>
      </c>
      <c r="X32" s="24">
        <f>IFERROR(Table2[[#This Row],[Green Min]]/Table2[[#This Row],[ClassLength]],"")</f>
        <v>0.36733507701830864</v>
      </c>
      <c r="Y32" s="24">
        <f>IFERROR(Table2[[#This Row],[Orange Min]]/Table2[[#This Row],[ClassLength]],"")</f>
        <v>0.1496657948212729</v>
      </c>
      <c r="Z32" s="24">
        <f>IFERROR(Table2[[#This Row],[Red Min]]/Table2[[#This Row],[ClassLength]],"")</f>
        <v>1.4530659633827376E-3</v>
      </c>
      <c r="AA32" s="25">
        <v>232.14</v>
      </c>
      <c r="AB32" s="25">
        <f t="shared" si="18"/>
        <v>21.103636363636362</v>
      </c>
      <c r="AC32" s="26">
        <f t="shared" si="4"/>
        <v>649.63636363636363</v>
      </c>
      <c r="AD32" s="26">
        <f t="shared" si="5"/>
        <v>15.636363636363637</v>
      </c>
      <c r="AE32">
        <f t="shared" si="6"/>
        <v>2019</v>
      </c>
      <c r="AG32">
        <v>12</v>
      </c>
      <c r="AH32" s="26">
        <f t="shared" si="7"/>
        <v>10.688753269398433</v>
      </c>
      <c r="AI32" t="str">
        <f t="shared" si="8"/>
        <v>PM</v>
      </c>
      <c r="AJ32" t="str">
        <f t="shared" si="9"/>
        <v>7-2019-5</v>
      </c>
      <c r="AK32">
        <f t="shared" si="10"/>
        <v>7</v>
      </c>
      <c r="AL32" s="26">
        <f>IFERROR(Table2[[#This Row],[Calories]]/Table2[[#This Row],[Splat]],"")</f>
        <v>68.111111111111114</v>
      </c>
      <c r="AM32">
        <f>COUNTIF(N$2:$N$938,N32)</f>
        <v>48</v>
      </c>
      <c r="AN32" t="str">
        <f>VLOOKUP(N32,'Helpful Tables'!A:D,4,FALSE)</f>
        <v>Washington, DC</v>
      </c>
      <c r="AO32" s="24">
        <f>COUNTIF(AN:AN,Table2[[#This Row],[State]])/COUNTA(AN:AN)</f>
        <v>0.54904051172707891</v>
      </c>
      <c r="AP32">
        <f>VLOOKUP(N32,'Helpful Tables'!A:B,2,FALSE)</f>
        <v>38.916486999999996</v>
      </c>
      <c r="AQ32">
        <f>VLOOKUP(N32,'Helpful Tables'!A:C,3,FALSE)</f>
        <v>-77.031514000000001</v>
      </c>
      <c r="AR32">
        <f>COUNTIF(P$2:$P$938,P32)</f>
        <v>30</v>
      </c>
      <c r="AS32" cm="1">
        <f t="array" ref="AS32">_xlfn.IFS(E32&lt;6,((E32/D32)*60)*0.5,AND(E32&gt;=6,E32&lt;9),((E32/D32)*60)*0.75,AND(E32&gt;=9,E32&lt;=11),((E32/D32)*60)*0.9,AND(E32=12),((E32/D32)*60)*1,AND(E32&gt;=13,E32&lt;=15),((E32/D32)*60)*1.2,AND(E32&gt;=16,E32&lt;=19),((E32/D32)*60)*1.5,E32&gt;=20,((E32/D32)*60)*1.8)</f>
        <v>8.4742807323452496</v>
      </c>
      <c r="AT32" cm="1">
        <f t="array" ref="AT32">_xlfn.IFS(F32&lt;550,((F32/D32)*60)*0.5,AND(F32&gt;=550,F32&lt;575),((F32/D32)*60)*0.75,AND(F32&gt;=575,F32&lt;600),((F32/D32)*60)*0.9,AND(F32=600),((F32/D32)*60)*1,AND(F32&gt;=601,F32&lt;=625),((F32/D32)*60)*1.2,AND(F32&gt;=626,F32&lt;=650),((F32/D32)*60)*1.5,F32&gt;=651,((F32/D32)*60)*1.8)</f>
        <v>769.59023539668715</v>
      </c>
      <c r="AU32">
        <f t="shared" si="11"/>
        <v>5.3283333323999997</v>
      </c>
      <c r="AV32">
        <f t="shared" si="16"/>
        <v>312.29147311809299</v>
      </c>
      <c r="AW32">
        <f t="shared" si="12"/>
        <v>32.300000000000004</v>
      </c>
      <c r="AX32" t="str">
        <f t="shared" si="13"/>
        <v>Jul-2019</v>
      </c>
      <c r="AY32">
        <f>ROUNDUP(Table2[[#This Row],[Month]]/3,0)</f>
        <v>3</v>
      </c>
    </row>
    <row r="33" spans="1:51" x14ac:dyDescent="0.2">
      <c r="A33">
        <v>32</v>
      </c>
      <c r="B33">
        <f t="shared" si="0"/>
        <v>11</v>
      </c>
      <c r="C33" s="22">
        <v>43678</v>
      </c>
      <c r="D33">
        <f>SUM(Table2[[#This Row],[Gray Min]:[Red Min]])</f>
        <v>58.550000000000004</v>
      </c>
      <c r="E33">
        <v>20</v>
      </c>
      <c r="F33">
        <v>725</v>
      </c>
      <c r="G33">
        <v>137</v>
      </c>
      <c r="H33">
        <v>170</v>
      </c>
      <c r="I33">
        <v>6.25</v>
      </c>
      <c r="J33">
        <v>5.483333333</v>
      </c>
      <c r="K33">
        <v>27.066666667</v>
      </c>
      <c r="L33">
        <v>12.866666667000001</v>
      </c>
      <c r="M33">
        <v>6.8833333330000004</v>
      </c>
      <c r="N33" t="s">
        <v>33</v>
      </c>
      <c r="O33" t="s">
        <v>50</v>
      </c>
      <c r="P33" t="s">
        <v>49</v>
      </c>
      <c r="Q33">
        <f t="shared" si="14"/>
        <v>2</v>
      </c>
      <c r="R33" t="str">
        <f t="shared" si="1"/>
        <v>8-2019</v>
      </c>
      <c r="S33" t="s">
        <v>43</v>
      </c>
      <c r="T33" t="str">
        <f t="shared" si="2"/>
        <v>Thursday</v>
      </c>
      <c r="U33">
        <f t="shared" si="3"/>
        <v>1</v>
      </c>
      <c r="V33" s="24">
        <f>IFERROR(Table2[[#This Row],[Gray Min]]/Table2[[#This Row],[ClassLength]],"")</f>
        <v>0.1067463706233988</v>
      </c>
      <c r="W33" s="24">
        <f>IFERROR(Table2[[#This Row],[Blue Min]]/Table2[[#This Row],[ClassLength]],"")</f>
        <v>9.3652149154568737E-2</v>
      </c>
      <c r="X33" s="24">
        <f>IFERROR(Table2[[#This Row],[Green Min]]/Table2[[#This Row],[ClassLength]],"")</f>
        <v>0.46228294905209222</v>
      </c>
      <c r="Y33" s="24">
        <f>IFERROR(Table2[[#This Row],[Orange Min]]/Table2[[#This Row],[ClassLength]],"")</f>
        <v>0.21975519499573012</v>
      </c>
      <c r="Z33" s="24">
        <f>IFERROR(Table2[[#This Row],[Red Min]]/Table2[[#This Row],[ClassLength]],"")</f>
        <v>0.11756333617421008</v>
      </c>
      <c r="AA33" s="25">
        <v>232.14</v>
      </c>
      <c r="AB33" s="25">
        <f t="shared" si="18"/>
        <v>21.103636363636362</v>
      </c>
      <c r="AC33" s="26">
        <f t="shared" si="4"/>
        <v>627.18181818181813</v>
      </c>
      <c r="AD33" s="26">
        <f t="shared" si="5"/>
        <v>15.090909090909092</v>
      </c>
      <c r="AE33">
        <f t="shared" si="6"/>
        <v>2019</v>
      </c>
      <c r="AG33">
        <v>12</v>
      </c>
      <c r="AH33" s="26">
        <f t="shared" si="7"/>
        <v>12.38257899231426</v>
      </c>
      <c r="AI33" t="str">
        <f t="shared" si="8"/>
        <v>PM</v>
      </c>
      <c r="AJ33" t="str">
        <f t="shared" si="9"/>
        <v>8-2019-1</v>
      </c>
      <c r="AK33">
        <f t="shared" si="10"/>
        <v>8</v>
      </c>
      <c r="AL33" s="26">
        <f>IFERROR(Table2[[#This Row],[Calories]]/Table2[[#This Row],[Splat]],"")</f>
        <v>36.25</v>
      </c>
      <c r="AM33">
        <f>COUNTIF(N$2:$N$938,N33)</f>
        <v>48</v>
      </c>
      <c r="AN33" t="str">
        <f>VLOOKUP(N33,'Helpful Tables'!A:D,4,FALSE)</f>
        <v>Washington, DC</v>
      </c>
      <c r="AO33" s="24">
        <f>COUNTIF(AN:AN,Table2[[#This Row],[State]])/COUNTA(AN:AN)</f>
        <v>0.54904051172707891</v>
      </c>
      <c r="AP33">
        <f>VLOOKUP(N33,'Helpful Tables'!A:B,2,FALSE)</f>
        <v>38.916486999999996</v>
      </c>
      <c r="AQ33">
        <f>VLOOKUP(N33,'Helpful Tables'!A:C,3,FALSE)</f>
        <v>-77.031514000000001</v>
      </c>
      <c r="AR33">
        <f>COUNTIF(P$2:$P$938,P33)</f>
        <v>1</v>
      </c>
      <c r="AS33" cm="1">
        <f t="array" ref="AS33">_xlfn.IFS(E33&lt;6,((E33/D33)*60)*0.5,AND(E33&gt;=6,E33&lt;9),((E33/D33)*60)*0.75,AND(E33&gt;=9,E33&lt;=11),((E33/D33)*60)*0.9,AND(E33=12),((E33/D33)*60)*1,AND(E33&gt;=13,E33&lt;=15),((E33/D33)*60)*1.2,AND(E33&gt;=16,E33&lt;=19),((E33/D33)*60)*1.5,E33&gt;=20,((E33/D33)*60)*1.8)</f>
        <v>36.89154568744663</v>
      </c>
      <c r="AT33" cm="1">
        <f t="array" ref="AT33">_xlfn.IFS(F33&lt;550,((F33/D33)*60)*0.5,AND(F33&gt;=550,F33&lt;575),((F33/D33)*60)*0.75,AND(F33&gt;=575,F33&lt;600),((F33/D33)*60)*0.9,AND(F33=600),((F33/D33)*60)*1,AND(F33&gt;=601,F33&lt;=625),((F33/D33)*60)*1.2,AND(F33&gt;=626,F33&lt;=650),((F33/D33)*60)*1.5,F33&gt;=651,((F33/D33)*60)*1.8)</f>
        <v>1337.3185311699401</v>
      </c>
      <c r="AU33">
        <f t="shared" si="11"/>
        <v>46.000000000699998</v>
      </c>
      <c r="AV33">
        <f t="shared" si="16"/>
        <v>558.88403074309474</v>
      </c>
      <c r="AW33">
        <f t="shared" si="12"/>
        <v>98.8</v>
      </c>
      <c r="AX33" t="str">
        <f t="shared" si="13"/>
        <v>Aug-2019</v>
      </c>
      <c r="AY33">
        <f>ROUNDUP(Table2[[#This Row],[Month]]/3,0)</f>
        <v>3</v>
      </c>
    </row>
    <row r="34" spans="1:51" x14ac:dyDescent="0.2">
      <c r="A34">
        <v>33</v>
      </c>
      <c r="B34">
        <f t="shared" si="0"/>
        <v>11</v>
      </c>
      <c r="C34" s="22">
        <v>43679</v>
      </c>
      <c r="D34">
        <f>SUM(Table2[[#This Row],[Gray Min]:[Red Min]])</f>
        <v>56.216666666999991</v>
      </c>
      <c r="E34">
        <v>16</v>
      </c>
      <c r="F34">
        <v>592</v>
      </c>
      <c r="G34">
        <v>124</v>
      </c>
      <c r="H34">
        <v>169</v>
      </c>
      <c r="I34">
        <v>18.733333333000001</v>
      </c>
      <c r="J34">
        <v>10.916666666999999</v>
      </c>
      <c r="K34">
        <v>9.9499999999999993</v>
      </c>
      <c r="L34">
        <v>14.15</v>
      </c>
      <c r="M34">
        <v>2.4666666670000001</v>
      </c>
      <c r="N34" t="s">
        <v>51</v>
      </c>
      <c r="O34" t="s">
        <v>53</v>
      </c>
      <c r="P34" t="s">
        <v>52</v>
      </c>
      <c r="Q34">
        <f t="shared" si="14"/>
        <v>1</v>
      </c>
      <c r="R34" t="str">
        <f t="shared" si="1"/>
        <v>8-2019</v>
      </c>
      <c r="S34" t="s">
        <v>48</v>
      </c>
      <c r="T34" t="str">
        <f t="shared" si="2"/>
        <v>Friday</v>
      </c>
      <c r="U34">
        <f t="shared" si="3"/>
        <v>1</v>
      </c>
      <c r="V34" s="24">
        <f>IFERROR(Table2[[#This Row],[Gray Min]]/Table2[[#This Row],[ClassLength]],"")</f>
        <v>0.33323450933096221</v>
      </c>
      <c r="W34" s="24">
        <f>IFERROR(Table2[[#This Row],[Blue Min]]/Table2[[#This Row],[ClassLength]],"")</f>
        <v>0.19418914913018567</v>
      </c>
      <c r="X34" s="24">
        <f>IFERROR(Table2[[#This Row],[Green Min]]/Table2[[#This Row],[ClassLength]],"")</f>
        <v>0.17699377408729919</v>
      </c>
      <c r="Y34" s="24">
        <f>IFERROR(Table2[[#This Row],[Orange Min]]/Table2[[#This Row],[ClassLength]],"")</f>
        <v>0.25170471390304361</v>
      </c>
      <c r="Z34" s="24">
        <f>IFERROR(Table2[[#This Row],[Red Min]]/Table2[[#This Row],[ClassLength]],"")</f>
        <v>4.3877853548509482E-2</v>
      </c>
      <c r="AA34" s="25">
        <v>232.14</v>
      </c>
      <c r="AB34" s="25">
        <f t="shared" si="18"/>
        <v>21.103636363636362</v>
      </c>
      <c r="AC34" s="26">
        <f t="shared" si="4"/>
        <v>627.18181818181813</v>
      </c>
      <c r="AD34" s="26">
        <f t="shared" si="5"/>
        <v>15.090909090909092</v>
      </c>
      <c r="AE34">
        <f t="shared" si="6"/>
        <v>2019</v>
      </c>
      <c r="AG34">
        <v>12</v>
      </c>
      <c r="AH34" s="26">
        <f t="shared" si="7"/>
        <v>10.53068485021921</v>
      </c>
      <c r="AI34" t="str">
        <f t="shared" si="8"/>
        <v>PM</v>
      </c>
      <c r="AJ34" t="str">
        <f t="shared" si="9"/>
        <v>8-2019-1</v>
      </c>
      <c r="AK34">
        <f t="shared" si="10"/>
        <v>8</v>
      </c>
      <c r="AL34" s="26">
        <f>IFERROR(Table2[[#This Row],[Calories]]/Table2[[#This Row],[Splat]],"")</f>
        <v>37</v>
      </c>
      <c r="AM34">
        <f>COUNTIF(N$2:$N$938,N34)</f>
        <v>3</v>
      </c>
      <c r="AN34" t="str">
        <f>VLOOKUP(N34,'Helpful Tables'!A:D,4,FALSE)</f>
        <v>Washington, DC</v>
      </c>
      <c r="AO34" s="24">
        <f>COUNTIF(AN:AN,Table2[[#This Row],[State]])/COUNTA(AN:AN)</f>
        <v>0.54904051172707891</v>
      </c>
      <c r="AP34">
        <f>VLOOKUP(N34,'Helpful Tables'!A:B,2,FALSE)</f>
        <v>38.904280999999997</v>
      </c>
      <c r="AQ34">
        <f>VLOOKUP(N34,'Helpful Tables'!A:C,3,FALSE)</f>
        <v>-77.031495000000007</v>
      </c>
      <c r="AR34">
        <f>COUNTIF(P$2:$P$938,P34)</f>
        <v>1</v>
      </c>
      <c r="AS34" cm="1">
        <f t="array" ref="AS34">_xlfn.IFS(E34&lt;6,((E34/D34)*60)*0.5,AND(E34&gt;=6,E34&lt;9),((E34/D34)*60)*0.75,AND(E34&gt;=9,E34&lt;=11),((E34/D34)*60)*0.9,AND(E34=12),((E34/D34)*60)*1,AND(E34&gt;=13,E34&lt;=15),((E34/D34)*60)*1.2,AND(E34&gt;=16,E34&lt;=19),((E34/D34)*60)*1.5,E34&gt;=20,((E34/D34)*60)*1.8)</f>
        <v>25.615179365398077</v>
      </c>
      <c r="AT34" cm="1">
        <f t="array" ref="AT34">_xlfn.IFS(F34&lt;550,((F34/D34)*60)*0.5,AND(F34&gt;=550,F34&lt;575),((F34/D34)*60)*0.75,AND(F34&gt;=575,F34&lt;600),((F34/D34)*60)*0.9,AND(F34=600),((F34/D34)*60)*1,AND(F34&gt;=601,F34&lt;=625),((F34/D34)*60)*1.2,AND(F34&gt;=626,F34&lt;=650),((F34/D34)*60)*1.5,F34&gt;=651,((F34/D34)*60)*1.8)</f>
        <v>568.65698191183731</v>
      </c>
      <c r="AU34">
        <f t="shared" si="11"/>
        <v>-0.45333333280000065</v>
      </c>
      <c r="AV34">
        <f t="shared" si="16"/>
        <v>237.61819784433416</v>
      </c>
      <c r="AW34">
        <f t="shared" si="12"/>
        <v>21.2</v>
      </c>
      <c r="AX34" t="str">
        <f t="shared" si="13"/>
        <v>Aug-2019</v>
      </c>
      <c r="AY34">
        <f>ROUNDUP(Table2[[#This Row],[Month]]/3,0)</f>
        <v>3</v>
      </c>
    </row>
    <row r="35" spans="1:51" x14ac:dyDescent="0.2">
      <c r="A35">
        <v>34</v>
      </c>
      <c r="B35">
        <f t="shared" si="0"/>
        <v>11</v>
      </c>
      <c r="C35" s="22">
        <v>43683</v>
      </c>
      <c r="D35">
        <f>SUM(Table2[[#This Row],[Gray Min]:[Red Min]])</f>
        <v>59.11666666699999</v>
      </c>
      <c r="E35">
        <v>18</v>
      </c>
      <c r="F35">
        <v>620</v>
      </c>
      <c r="G35">
        <v>124</v>
      </c>
      <c r="H35">
        <v>174</v>
      </c>
      <c r="I35">
        <v>17</v>
      </c>
      <c r="J35">
        <v>9.9833333329999991</v>
      </c>
      <c r="K35">
        <v>14.716666667</v>
      </c>
      <c r="L35">
        <v>14.7</v>
      </c>
      <c r="M35">
        <v>2.7166666670000001</v>
      </c>
      <c r="N35" t="s">
        <v>33</v>
      </c>
      <c r="O35" t="s">
        <v>39</v>
      </c>
      <c r="P35" t="s">
        <v>34</v>
      </c>
      <c r="Q35">
        <f t="shared" si="14"/>
        <v>4</v>
      </c>
      <c r="R35" t="str">
        <f t="shared" si="1"/>
        <v>8-2019</v>
      </c>
      <c r="S35" t="s">
        <v>43</v>
      </c>
      <c r="T35" t="str">
        <f t="shared" si="2"/>
        <v>Tuesday</v>
      </c>
      <c r="U35">
        <f t="shared" si="3"/>
        <v>1</v>
      </c>
      <c r="V35" s="24">
        <f>IFERROR(Table2[[#This Row],[Gray Min]]/Table2[[#This Row],[ClassLength]],"")</f>
        <v>0.28756695799104842</v>
      </c>
      <c r="W35" s="24">
        <f>IFERROR(Table2[[#This Row],[Blue Min]]/Table2[[#This Row],[ClassLength]],"")</f>
        <v>0.16887510571655556</v>
      </c>
      <c r="X35" s="24">
        <f>IFERROR(Table2[[#This Row],[Green Min]]/Table2[[#This Row],[ClassLength]],"")</f>
        <v>0.24894276854102659</v>
      </c>
      <c r="Y35" s="24">
        <f>IFERROR(Table2[[#This Row],[Orange Min]]/Table2[[#This Row],[ClassLength]],"")</f>
        <v>0.24866084014520071</v>
      </c>
      <c r="Z35" s="24">
        <f>IFERROR(Table2[[#This Row],[Red Min]]/Table2[[#This Row],[ClassLength]],"")</f>
        <v>4.5954327606168861E-2</v>
      </c>
      <c r="AA35" s="25">
        <v>232.14</v>
      </c>
      <c r="AB35" s="25">
        <f t="shared" si="18"/>
        <v>21.103636363636362</v>
      </c>
      <c r="AC35" s="26">
        <f t="shared" si="4"/>
        <v>627.18181818181813</v>
      </c>
      <c r="AD35" s="26">
        <f t="shared" si="5"/>
        <v>15.090909090909092</v>
      </c>
      <c r="AE35">
        <f t="shared" si="6"/>
        <v>2019</v>
      </c>
      <c r="AG35">
        <v>12</v>
      </c>
      <c r="AH35" s="26">
        <f t="shared" si="7"/>
        <v>10.48773611496765</v>
      </c>
      <c r="AI35" t="str">
        <f t="shared" si="8"/>
        <v>PM</v>
      </c>
      <c r="AJ35" t="str">
        <f t="shared" si="9"/>
        <v>8-2019-2</v>
      </c>
      <c r="AK35">
        <f t="shared" si="10"/>
        <v>8</v>
      </c>
      <c r="AL35" s="26">
        <f>IFERROR(Table2[[#This Row],[Calories]]/Table2[[#This Row],[Splat]],"")</f>
        <v>34.444444444444443</v>
      </c>
      <c r="AM35">
        <f>COUNTIF(N$2:$N$938,N35)</f>
        <v>48</v>
      </c>
      <c r="AN35" t="str">
        <f>VLOOKUP(N35,'Helpful Tables'!A:D,4,FALSE)</f>
        <v>Washington, DC</v>
      </c>
      <c r="AO35" s="24">
        <f>COUNTIF(AN:AN,Table2[[#This Row],[State]])/COUNTA(AN:AN)</f>
        <v>0.54904051172707891</v>
      </c>
      <c r="AP35">
        <f>VLOOKUP(N35,'Helpful Tables'!A:B,2,FALSE)</f>
        <v>38.916486999999996</v>
      </c>
      <c r="AQ35">
        <f>VLOOKUP(N35,'Helpful Tables'!A:C,3,FALSE)</f>
        <v>-77.031514000000001</v>
      </c>
      <c r="AR35">
        <f>COUNTIF(P$2:$P$938,P35)</f>
        <v>30</v>
      </c>
      <c r="AS35" cm="1">
        <f t="array" ref="AS35">_xlfn.IFS(E35&lt;6,((E35/D35)*60)*0.5,AND(E35&gt;=6,E35&lt;9),((E35/D35)*60)*0.75,AND(E35&gt;=9,E35&lt;=11),((E35/D35)*60)*0.9,AND(E35=12),((E35/D35)*60)*1,AND(E35&gt;=13,E35&lt;=15),((E35/D35)*60)*1.2,AND(E35&gt;=16,E35&lt;=19),((E35/D35)*60)*1.5,E35&gt;=20,((E35/D35)*60)*1.8)</f>
        <v>27.403439526205791</v>
      </c>
      <c r="AT35" cm="1">
        <f t="array" ref="AT35">_xlfn.IFS(F35&lt;550,((F35/D35)*60)*0.5,AND(F35&gt;=550,F35&lt;575),((F35/D35)*60)*0.75,AND(F35&gt;=575,F35&lt;600),((F35/D35)*60)*0.9,AND(F35=600),((F35/D35)*60)*1,AND(F35&gt;=601,F35&lt;=625),((F35/D35)*60)*1.2,AND(F35&gt;=626,F35&lt;=650),((F35/D35)*60)*1.5,F35&gt;=651,((F35/D35)*60)*1.8)</f>
        <v>755.11700027767074</v>
      </c>
      <c r="AU35">
        <f t="shared" si="11"/>
        <v>9.4633333346000015</v>
      </c>
      <c r="AV35">
        <f t="shared" si="16"/>
        <v>314.9008425884706</v>
      </c>
      <c r="AW35">
        <f t="shared" si="12"/>
        <v>33.800000000000004</v>
      </c>
      <c r="AX35" t="str">
        <f t="shared" si="13"/>
        <v>Aug-2019</v>
      </c>
      <c r="AY35">
        <f>ROUNDUP(Table2[[#This Row],[Month]]/3,0)</f>
        <v>3</v>
      </c>
    </row>
    <row r="36" spans="1:51" x14ac:dyDescent="0.2">
      <c r="A36">
        <v>35</v>
      </c>
      <c r="B36">
        <f t="shared" si="0"/>
        <v>11</v>
      </c>
      <c r="C36" s="22">
        <v>43685</v>
      </c>
      <c r="D36">
        <f>SUM(Table2[[#This Row],[Gray Min]:[Red Min]])</f>
        <v>57.166666665999998</v>
      </c>
      <c r="E36">
        <v>11</v>
      </c>
      <c r="F36">
        <v>583</v>
      </c>
      <c r="G36">
        <v>122</v>
      </c>
      <c r="H36">
        <v>165</v>
      </c>
      <c r="I36">
        <v>17.149999999999999</v>
      </c>
      <c r="J36">
        <v>12.483333332999999</v>
      </c>
      <c r="K36">
        <v>16.350000000000001</v>
      </c>
      <c r="L36">
        <v>10.133333332999999</v>
      </c>
      <c r="M36">
        <v>1.05</v>
      </c>
      <c r="N36" t="s">
        <v>24</v>
      </c>
      <c r="O36" t="s">
        <v>26</v>
      </c>
      <c r="P36" t="s">
        <v>25</v>
      </c>
      <c r="Q36">
        <f t="shared" si="14"/>
        <v>2</v>
      </c>
      <c r="R36" t="str">
        <f t="shared" si="1"/>
        <v>8-2019</v>
      </c>
      <c r="S36" t="s">
        <v>43</v>
      </c>
      <c r="T36" t="str">
        <f t="shared" si="2"/>
        <v>Thursday</v>
      </c>
      <c r="U36">
        <f t="shared" si="3"/>
        <v>0</v>
      </c>
      <c r="V36" s="24">
        <f>IFERROR(Table2[[#This Row],[Gray Min]]/Table2[[#This Row],[ClassLength]],"")</f>
        <v>0.30000000000349852</v>
      </c>
      <c r="W36" s="24">
        <f>IFERROR(Table2[[#This Row],[Blue Min]]/Table2[[#This Row],[ClassLength]],"")</f>
        <v>0.21836734693549115</v>
      </c>
      <c r="X36" s="24">
        <f>IFERROR(Table2[[#This Row],[Green Min]]/Table2[[#This Row],[ClassLength]],"")</f>
        <v>0.28600583090712545</v>
      </c>
      <c r="Y36" s="24">
        <f>IFERROR(Table2[[#This Row],[Orange Min]]/Table2[[#This Row],[ClassLength]],"")</f>
        <v>0.17725947521489516</v>
      </c>
      <c r="Z36" s="24">
        <f>IFERROR(Table2[[#This Row],[Red Min]]/Table2[[#This Row],[ClassLength]],"")</f>
        <v>1.8367346938989709E-2</v>
      </c>
      <c r="AA36" s="25">
        <v>232.14</v>
      </c>
      <c r="AB36" s="25">
        <f t="shared" si="18"/>
        <v>21.103636363636362</v>
      </c>
      <c r="AC36" s="26">
        <f t="shared" si="4"/>
        <v>627.18181818181813</v>
      </c>
      <c r="AD36" s="26">
        <f t="shared" si="5"/>
        <v>15.090909090909092</v>
      </c>
      <c r="AE36">
        <f t="shared" si="6"/>
        <v>2019</v>
      </c>
      <c r="AG36">
        <v>12</v>
      </c>
      <c r="AH36" s="26">
        <f t="shared" si="7"/>
        <v>10.198250728981904</v>
      </c>
      <c r="AI36" t="str">
        <f t="shared" si="8"/>
        <v>PM</v>
      </c>
      <c r="AJ36" t="str">
        <f t="shared" si="9"/>
        <v>8-2019-2</v>
      </c>
      <c r="AK36">
        <f t="shared" si="10"/>
        <v>8</v>
      </c>
      <c r="AL36" s="26">
        <f>IFERROR(Table2[[#This Row],[Calories]]/Table2[[#This Row],[Splat]],"")</f>
        <v>53</v>
      </c>
      <c r="AM36">
        <f>COUNTIF(N$2:$N$938,N36)</f>
        <v>35</v>
      </c>
      <c r="AN36" t="str">
        <f>VLOOKUP(N36,'Helpful Tables'!A:D,4,FALSE)</f>
        <v>Virginia</v>
      </c>
      <c r="AO36" s="24">
        <f>COUNTIF(AN:AN,Table2[[#This Row],[State]])/COUNTA(AN:AN)</f>
        <v>5.6503198294243072E-2</v>
      </c>
      <c r="AP36">
        <f>VLOOKUP(N36,'Helpful Tables'!A:B,2,FALSE)</f>
        <v>38.881884999999997</v>
      </c>
      <c r="AQ36">
        <f>VLOOKUP(N36,'Helpful Tables'!A:C,3,FALSE)</f>
        <v>-77.229702000000003</v>
      </c>
      <c r="AR36">
        <f>COUNTIF(P$2:$P$938,P36)</f>
        <v>13</v>
      </c>
      <c r="AS36" cm="1">
        <f t="array" ref="AS36">_xlfn.IFS(E36&lt;6,((E36/D36)*60)*0.5,AND(E36&gt;=6,E36&lt;9),((E36/D36)*60)*0.75,AND(E36&gt;=9,E36&lt;=11),((E36/D36)*60)*0.9,AND(E36=12),((E36/D36)*60)*1,AND(E36&gt;=13,E36&lt;=15),((E36/D36)*60)*1.2,AND(E36&gt;=16,E36&lt;=19),((E36/D36)*60)*1.5,E36&gt;=20,((E36/D36)*60)*1.8)</f>
        <v>10.390670554057037</v>
      </c>
      <c r="AT36" cm="1">
        <f t="array" ref="AT36">_xlfn.IFS(F36&lt;550,((F36/D36)*60)*0.5,AND(F36&gt;=550,F36&lt;575),((F36/D36)*60)*0.75,AND(F36&gt;=575,F36&lt;600),((F36/D36)*60)*0.9,AND(F36=600),((F36/D36)*60)*1,AND(F36&gt;=601,F36&lt;=625),((F36/D36)*60)*1.2,AND(F36&gt;=626,F36&lt;=650),((F36/D36)*60)*1.5,F36&gt;=651,((F36/D36)*60)*1.8)</f>
        <v>550.70553936502279</v>
      </c>
      <c r="AU36">
        <f t="shared" si="11"/>
        <v>5.6666666600002635E-2</v>
      </c>
      <c r="AV36">
        <f t="shared" si="16"/>
        <v>224.44981730095193</v>
      </c>
      <c r="AW36">
        <f t="shared" si="12"/>
        <v>18.099999999999998</v>
      </c>
      <c r="AX36" t="str">
        <f t="shared" si="13"/>
        <v>Aug-2019</v>
      </c>
      <c r="AY36">
        <f>ROUNDUP(Table2[[#This Row],[Month]]/3,0)</f>
        <v>3</v>
      </c>
    </row>
    <row r="37" spans="1:51" x14ac:dyDescent="0.2">
      <c r="A37">
        <v>36</v>
      </c>
      <c r="B37">
        <f t="shared" si="0"/>
        <v>11</v>
      </c>
      <c r="C37" s="22">
        <v>43687</v>
      </c>
      <c r="D37">
        <f>SUM(Table2[[#This Row],[Gray Min]:[Red Min]])</f>
        <v>57.933333332999993</v>
      </c>
      <c r="E37">
        <v>15</v>
      </c>
      <c r="F37">
        <v>665</v>
      </c>
      <c r="G37">
        <v>131</v>
      </c>
      <c r="H37">
        <v>176</v>
      </c>
      <c r="I37">
        <v>11.65</v>
      </c>
      <c r="J37">
        <v>11.016666667000001</v>
      </c>
      <c r="K37">
        <v>19.883333332999999</v>
      </c>
      <c r="L37">
        <v>7.3333333329999997</v>
      </c>
      <c r="M37">
        <v>8.0500000000000007</v>
      </c>
      <c r="N37" t="s">
        <v>33</v>
      </c>
      <c r="O37" t="s">
        <v>45</v>
      </c>
      <c r="P37" t="s">
        <v>34</v>
      </c>
      <c r="Q37">
        <f t="shared" si="14"/>
        <v>2</v>
      </c>
      <c r="R37" t="str">
        <f t="shared" si="1"/>
        <v>8-2019</v>
      </c>
      <c r="S37" t="s">
        <v>43</v>
      </c>
      <c r="T37" t="str">
        <f t="shared" si="2"/>
        <v>Saturday</v>
      </c>
      <c r="U37">
        <f t="shared" si="3"/>
        <v>1</v>
      </c>
      <c r="V37" s="24">
        <f>IFERROR(Table2[[#This Row],[Gray Min]]/Table2[[#This Row],[ClassLength]],"")</f>
        <v>0.20109321058803853</v>
      </c>
      <c r="W37" s="24">
        <f>IFERROR(Table2[[#This Row],[Blue Min]]/Table2[[#This Row],[ClassLength]],"")</f>
        <v>0.19016110472491465</v>
      </c>
      <c r="X37" s="24">
        <f>IFERROR(Table2[[#This Row],[Green Min]]/Table2[[#This Row],[ClassLength]],"")</f>
        <v>0.34321058687769401</v>
      </c>
      <c r="Y37" s="24">
        <f>IFERROR(Table2[[#This Row],[Orange Min]]/Table2[[#This Row],[ClassLength]],"")</f>
        <v>0.12658227847598724</v>
      </c>
      <c r="Z37" s="24">
        <f>IFERROR(Table2[[#This Row],[Red Min]]/Table2[[#This Row],[ClassLength]],"")</f>
        <v>0.1389528193333657</v>
      </c>
      <c r="AA37" s="25">
        <v>232.14</v>
      </c>
      <c r="AB37" s="25">
        <f t="shared" si="18"/>
        <v>21.103636363636362</v>
      </c>
      <c r="AC37" s="26">
        <f t="shared" si="4"/>
        <v>627.18181818181813</v>
      </c>
      <c r="AD37" s="26">
        <f t="shared" si="5"/>
        <v>15.090909090909092</v>
      </c>
      <c r="AE37">
        <f t="shared" si="6"/>
        <v>2019</v>
      </c>
      <c r="AG37">
        <v>12</v>
      </c>
      <c r="AH37" s="26">
        <f t="shared" si="7"/>
        <v>11.478711162321513</v>
      </c>
      <c r="AI37" t="str">
        <f t="shared" si="8"/>
        <v>AM</v>
      </c>
      <c r="AJ37" t="str">
        <f t="shared" si="9"/>
        <v>8-2019-2</v>
      </c>
      <c r="AK37">
        <f t="shared" si="10"/>
        <v>8</v>
      </c>
      <c r="AL37" s="26">
        <f>IFERROR(Table2[[#This Row],[Calories]]/Table2[[#This Row],[Splat]],"")</f>
        <v>44.333333333333336</v>
      </c>
      <c r="AM37">
        <f>COUNTIF(N$2:$N$938,N37)</f>
        <v>48</v>
      </c>
      <c r="AN37" t="str">
        <f>VLOOKUP(N37,'Helpful Tables'!A:D,4,FALSE)</f>
        <v>Washington, DC</v>
      </c>
      <c r="AO37" s="24">
        <f>COUNTIF(AN:AN,Table2[[#This Row],[State]])/COUNTA(AN:AN)</f>
        <v>0.54904051172707891</v>
      </c>
      <c r="AP37">
        <f>VLOOKUP(N37,'Helpful Tables'!A:B,2,FALSE)</f>
        <v>38.916486999999996</v>
      </c>
      <c r="AQ37">
        <f>VLOOKUP(N37,'Helpful Tables'!A:C,3,FALSE)</f>
        <v>-77.031514000000001</v>
      </c>
      <c r="AR37">
        <f>COUNTIF(P$2:$P$938,P37)</f>
        <v>30</v>
      </c>
      <c r="AS37" cm="1">
        <f t="array" ref="AS37">_xlfn.IFS(E37&lt;6,((E37/D37)*60)*0.5,AND(E37&gt;=6,E37&lt;9),((E37/D37)*60)*0.75,AND(E37&gt;=9,E37&lt;=11),((E37/D37)*60)*0.9,AND(E37=12),((E37/D37)*60)*1,AND(E37&gt;=13,E37&lt;=15),((E37/D37)*60)*1.2,AND(E37&gt;=16,E37&lt;=19),((E37/D37)*60)*1.5,E37&gt;=20,((E37/D37)*60)*1.8)</f>
        <v>18.642117376401853</v>
      </c>
      <c r="AT37" cm="1">
        <f t="array" ref="AT37">_xlfn.IFS(F37&lt;550,((F37/D37)*60)*0.5,AND(F37&gt;=550,F37&lt;575),((F37/D37)*60)*0.75,AND(F37&gt;=575,F37&lt;600),((F37/D37)*60)*0.9,AND(F37=600),((F37/D37)*60)*1,AND(F37&gt;=601,F37&lt;=625),((F37/D37)*60)*1.2,AND(F37&gt;=626,F37&lt;=650),((F37/D37)*60)*1.5,F37&gt;=651,((F37/D37)*60)*1.8)</f>
        <v>1239.7008055307235</v>
      </c>
      <c r="AU37">
        <f t="shared" si="11"/>
        <v>19.369999998799997</v>
      </c>
      <c r="AV37">
        <f t="shared" si="16"/>
        <v>507.21116916261019</v>
      </c>
      <c r="AW37">
        <f t="shared" si="12"/>
        <v>83.8</v>
      </c>
      <c r="AX37" t="str">
        <f t="shared" si="13"/>
        <v>Aug-2019</v>
      </c>
      <c r="AY37">
        <f>ROUNDUP(Table2[[#This Row],[Month]]/3,0)</f>
        <v>3</v>
      </c>
    </row>
    <row r="38" spans="1:51" x14ac:dyDescent="0.2">
      <c r="A38">
        <v>37</v>
      </c>
      <c r="B38">
        <f t="shared" si="0"/>
        <v>11</v>
      </c>
      <c r="C38" s="22">
        <v>43689</v>
      </c>
      <c r="D38">
        <f>SUM(Table2[[#This Row],[Gray Min]:[Red Min]])</f>
        <v>57.300000000000004</v>
      </c>
      <c r="E38">
        <v>13</v>
      </c>
      <c r="F38">
        <v>659</v>
      </c>
      <c r="G38">
        <v>131</v>
      </c>
      <c r="H38">
        <v>167</v>
      </c>
      <c r="I38">
        <v>6.0833333329999997</v>
      </c>
      <c r="J38">
        <v>15.2</v>
      </c>
      <c r="K38">
        <v>23.05</v>
      </c>
      <c r="L38">
        <v>10.266666667000001</v>
      </c>
      <c r="M38">
        <v>2.7</v>
      </c>
      <c r="N38" t="s">
        <v>40</v>
      </c>
      <c r="O38" t="s">
        <v>26</v>
      </c>
      <c r="P38" t="s">
        <v>41</v>
      </c>
      <c r="Q38">
        <f t="shared" si="14"/>
        <v>2</v>
      </c>
      <c r="R38" t="str">
        <f t="shared" si="1"/>
        <v>8-2019</v>
      </c>
      <c r="S38" t="s">
        <v>47</v>
      </c>
      <c r="T38" t="str">
        <f t="shared" si="2"/>
        <v>Monday</v>
      </c>
      <c r="U38">
        <f t="shared" si="3"/>
        <v>1</v>
      </c>
      <c r="V38" s="24">
        <f>IFERROR(Table2[[#This Row],[Gray Min]]/Table2[[#This Row],[ClassLength]],"")</f>
        <v>0.10616637579406631</v>
      </c>
      <c r="W38" s="24">
        <f>IFERROR(Table2[[#This Row],[Blue Min]]/Table2[[#This Row],[ClassLength]],"")</f>
        <v>0.26527050610820241</v>
      </c>
      <c r="X38" s="24">
        <f>IFERROR(Table2[[#This Row],[Green Min]]/Table2[[#This Row],[ClassLength]],"")</f>
        <v>0.40226876090750435</v>
      </c>
      <c r="Y38" s="24">
        <f>IFERROR(Table2[[#This Row],[Orange Min]]/Table2[[#This Row],[ClassLength]],"")</f>
        <v>0.17917393834205933</v>
      </c>
      <c r="Z38" s="24">
        <f>IFERROR(Table2[[#This Row],[Red Min]]/Table2[[#This Row],[ClassLength]],"")</f>
        <v>4.712041884816754E-2</v>
      </c>
      <c r="AA38" s="25">
        <v>232.14</v>
      </c>
      <c r="AB38" s="25">
        <f t="shared" si="18"/>
        <v>21.103636363636362</v>
      </c>
      <c r="AC38" s="26">
        <f t="shared" si="4"/>
        <v>627.18181818181813</v>
      </c>
      <c r="AD38" s="26">
        <f t="shared" si="5"/>
        <v>15.090909090909092</v>
      </c>
      <c r="AE38">
        <f t="shared" si="6"/>
        <v>2019</v>
      </c>
      <c r="AG38">
        <v>12</v>
      </c>
      <c r="AH38" s="26">
        <f t="shared" si="7"/>
        <v>11.500872600349039</v>
      </c>
      <c r="AI38" t="str">
        <f t="shared" si="8"/>
        <v>PM</v>
      </c>
      <c r="AJ38" t="str">
        <f t="shared" si="9"/>
        <v>8-2019-3</v>
      </c>
      <c r="AK38">
        <f t="shared" si="10"/>
        <v>8</v>
      </c>
      <c r="AL38" s="26">
        <f>IFERROR(Table2[[#This Row],[Calories]]/Table2[[#This Row],[Splat]],"")</f>
        <v>50.692307692307693</v>
      </c>
      <c r="AM38">
        <f>COUNTIF(N$2:$N$938,N38)</f>
        <v>38</v>
      </c>
      <c r="AN38" t="str">
        <f>VLOOKUP(N38,'Helpful Tables'!A:D,4,FALSE)</f>
        <v>Washington, DC</v>
      </c>
      <c r="AO38" s="24">
        <f>COUNTIF(AN:AN,Table2[[#This Row],[State]])/COUNTA(AN:AN)</f>
        <v>0.54904051172707891</v>
      </c>
      <c r="AP38">
        <f>VLOOKUP(N38,'Helpful Tables'!A:B,2,FALSE)</f>
        <v>38.903509999999997</v>
      </c>
      <c r="AQ38">
        <f>VLOOKUP(N38,'Helpful Tables'!A:C,3,FALSE)</f>
        <v>-77.051809000000006</v>
      </c>
      <c r="AR38">
        <f>COUNTIF(P$2:$P$938,P38)</f>
        <v>20</v>
      </c>
      <c r="AS38" cm="1">
        <f t="array" ref="AS38">_xlfn.IFS(E38&lt;6,((E38/D38)*60)*0.5,AND(E38&gt;=6,E38&lt;9),((E38/D38)*60)*0.75,AND(E38&gt;=9,E38&lt;=11),((E38/D38)*60)*0.9,AND(E38=12),((E38/D38)*60)*1,AND(E38&gt;=13,E38&lt;=15),((E38/D38)*60)*1.2,AND(E38&gt;=16,E38&lt;=19),((E38/D38)*60)*1.5,E38&gt;=20,((E38/D38)*60)*1.8)</f>
        <v>16.33507853403141</v>
      </c>
      <c r="AT38" cm="1">
        <f t="array" ref="AT38">_xlfn.IFS(F38&lt;550,((F38/D38)*60)*0.5,AND(F38&gt;=550,F38&lt;575),((F38/D38)*60)*0.75,AND(F38&gt;=575,F38&lt;600),((F38/D38)*60)*0.9,AND(F38=600),((F38/D38)*60)*1,AND(F38&gt;=601,F38&lt;=625),((F38/D38)*60)*1.2,AND(F38&gt;=626,F38&lt;=650),((F38/D38)*60)*1.5,F38&gt;=651,((F38/D38)*60)*1.8)</f>
        <v>1242.0942408376964</v>
      </c>
      <c r="AU38">
        <f t="shared" si="11"/>
        <v>21.036666667500004</v>
      </c>
      <c r="AV38">
        <f t="shared" si="16"/>
        <v>507.57906108219117</v>
      </c>
      <c r="AW38">
        <f t="shared" si="12"/>
        <v>84.399999999999991</v>
      </c>
      <c r="AX38" t="str">
        <f t="shared" si="13"/>
        <v>Aug-2019</v>
      </c>
      <c r="AY38">
        <f>ROUNDUP(Table2[[#This Row],[Month]]/3,0)</f>
        <v>3</v>
      </c>
    </row>
    <row r="39" spans="1:51" x14ac:dyDescent="0.2">
      <c r="A39">
        <v>38</v>
      </c>
      <c r="B39">
        <f t="shared" si="0"/>
        <v>11</v>
      </c>
      <c r="C39" s="22">
        <v>43691</v>
      </c>
      <c r="D39">
        <f>SUM(Table2[[#This Row],[Gray Min]:[Red Min]])</f>
        <v>59.233333334000008</v>
      </c>
      <c r="E39">
        <v>16</v>
      </c>
      <c r="F39">
        <v>523</v>
      </c>
      <c r="G39">
        <v>113</v>
      </c>
      <c r="H39">
        <v>172</v>
      </c>
      <c r="I39">
        <v>31.166666667000001</v>
      </c>
      <c r="J39">
        <v>4.25</v>
      </c>
      <c r="K39">
        <v>8.25</v>
      </c>
      <c r="L39">
        <v>8.8666666670000005</v>
      </c>
      <c r="M39">
        <v>6.7</v>
      </c>
      <c r="N39" t="s">
        <v>40</v>
      </c>
      <c r="O39" t="s">
        <v>26</v>
      </c>
      <c r="P39" t="s">
        <v>37</v>
      </c>
      <c r="Q39">
        <f t="shared" si="14"/>
        <v>2</v>
      </c>
      <c r="R39" t="str">
        <f t="shared" si="1"/>
        <v>8-2019</v>
      </c>
      <c r="S39" t="s">
        <v>47</v>
      </c>
      <c r="T39" t="str">
        <f t="shared" si="2"/>
        <v>Wednesday</v>
      </c>
      <c r="U39">
        <f t="shared" si="3"/>
        <v>1</v>
      </c>
      <c r="V39" s="24">
        <f>IFERROR(Table2[[#This Row],[Gray Min]]/Table2[[#This Row],[ClassLength]],"")</f>
        <v>0.52616769836774147</v>
      </c>
      <c r="W39" s="24">
        <f>IFERROR(Table2[[#This Row],[Blue Min]]/Table2[[#This Row],[ClassLength]],"")</f>
        <v>7.1750140685742814E-2</v>
      </c>
      <c r="X39" s="24">
        <f>IFERROR(Table2[[#This Row],[Green Min]]/Table2[[#This Row],[ClassLength]],"")</f>
        <v>0.13927968486055958</v>
      </c>
      <c r="Y39" s="24">
        <f>IFERROR(Table2[[#This Row],[Orange Min]]/Table2[[#This Row],[ClassLength]],"")</f>
        <v>0.14969048959313797</v>
      </c>
      <c r="Z39" s="24">
        <f>IFERROR(Table2[[#This Row],[Red Min]]/Table2[[#This Row],[ClassLength]],"")</f>
        <v>0.11311198649281809</v>
      </c>
      <c r="AA39" s="25">
        <v>232.14</v>
      </c>
      <c r="AB39" s="25">
        <f t="shared" si="18"/>
        <v>21.103636363636362</v>
      </c>
      <c r="AC39" s="26">
        <f t="shared" si="4"/>
        <v>627.18181818181813</v>
      </c>
      <c r="AD39" s="26">
        <f t="shared" si="5"/>
        <v>15.090909090909092</v>
      </c>
      <c r="AE39">
        <f t="shared" si="6"/>
        <v>2019</v>
      </c>
      <c r="AG39">
        <v>12</v>
      </c>
      <c r="AH39" s="26">
        <f t="shared" si="7"/>
        <v>8.8294879008572913</v>
      </c>
      <c r="AI39" t="str">
        <f t="shared" si="8"/>
        <v>PM</v>
      </c>
      <c r="AJ39" t="str">
        <f t="shared" si="9"/>
        <v>8-2019-3</v>
      </c>
      <c r="AK39">
        <f t="shared" si="10"/>
        <v>8</v>
      </c>
      <c r="AL39" s="26">
        <f>IFERROR(Table2[[#This Row],[Calories]]/Table2[[#This Row],[Splat]],"")</f>
        <v>32.6875</v>
      </c>
      <c r="AM39">
        <f>COUNTIF(N$2:$N$938,N39)</f>
        <v>38</v>
      </c>
      <c r="AN39" t="str">
        <f>VLOOKUP(N39,'Helpful Tables'!A:D,4,FALSE)</f>
        <v>Washington, DC</v>
      </c>
      <c r="AO39" s="24">
        <f>COUNTIF(AN:AN,Table2[[#This Row],[State]])/COUNTA(AN:AN)</f>
        <v>0.54904051172707891</v>
      </c>
      <c r="AP39">
        <f>VLOOKUP(N39,'Helpful Tables'!A:B,2,FALSE)</f>
        <v>38.903509999999997</v>
      </c>
      <c r="AQ39">
        <f>VLOOKUP(N39,'Helpful Tables'!A:C,3,FALSE)</f>
        <v>-77.051809000000006</v>
      </c>
      <c r="AR39">
        <f>COUNTIF(P$2:$P$938,P39)</f>
        <v>12</v>
      </c>
      <c r="AS39" cm="1">
        <f t="array" ref="AS39">_xlfn.IFS(E39&lt;6,((E39/D39)*60)*0.5,AND(E39&gt;=6,E39&lt;9),((E39/D39)*60)*0.75,AND(E39&gt;=9,E39&lt;=11),((E39/D39)*60)*0.9,AND(E39=12),((E39/D39)*60)*1,AND(E39&gt;=13,E39&lt;=15),((E39/D39)*60)*1.2,AND(E39&gt;=16,E39&lt;=19),((E39/D39)*60)*1.5,E39&gt;=20,((E39/D39)*60)*1.8)</f>
        <v>24.310635902934038</v>
      </c>
      <c r="AT39" cm="1">
        <f t="array" ref="AT39">_xlfn.IFS(F39&lt;550,((F39/D39)*60)*0.5,AND(F39&gt;=550,F39&lt;575),((F39/D39)*60)*0.75,AND(F39&gt;=575,F39&lt;600),((F39/D39)*60)*0.9,AND(F39=600),((F39/D39)*60)*1,AND(F39&gt;=601,F39&lt;=625),((F39/D39)*60)*1.2,AND(F39&gt;=626,F39&lt;=650),((F39/D39)*60)*1.5,F39&gt;=651,((F39/D39)*60)*1.8)</f>
        <v>264.88463702571875</v>
      </c>
      <c r="AU39">
        <f t="shared" si="11"/>
        <v>-10.598333333299994</v>
      </c>
      <c r="AV39">
        <f t="shared" si="16"/>
        <v>113.55844250480114</v>
      </c>
      <c r="AW39">
        <f t="shared" si="12"/>
        <v>4.9000000000000004</v>
      </c>
      <c r="AX39" t="str">
        <f t="shared" si="13"/>
        <v>Aug-2019</v>
      </c>
      <c r="AY39">
        <f>ROUNDUP(Table2[[#This Row],[Month]]/3,0)</f>
        <v>3</v>
      </c>
    </row>
    <row r="40" spans="1:51" x14ac:dyDescent="0.2">
      <c r="A40">
        <v>39</v>
      </c>
      <c r="B40">
        <f t="shared" si="0"/>
        <v>11</v>
      </c>
      <c r="C40" s="22">
        <v>43697</v>
      </c>
      <c r="D40">
        <f>SUM(Table2[[#This Row],[Gray Min]:[Red Min]])</f>
        <v>60.483333333000004</v>
      </c>
      <c r="E40">
        <v>8</v>
      </c>
      <c r="F40">
        <v>632</v>
      </c>
      <c r="G40">
        <v>124</v>
      </c>
      <c r="H40">
        <v>171</v>
      </c>
      <c r="I40">
        <v>12.383333332999999</v>
      </c>
      <c r="J40">
        <v>17.850000000000001</v>
      </c>
      <c r="K40">
        <v>21.55</v>
      </c>
      <c r="L40">
        <v>6.25</v>
      </c>
      <c r="M40">
        <v>2.4500000000000002</v>
      </c>
      <c r="N40" t="s">
        <v>24</v>
      </c>
      <c r="O40" t="s">
        <v>26</v>
      </c>
      <c r="P40" t="s">
        <v>54</v>
      </c>
      <c r="Q40">
        <f t="shared" si="14"/>
        <v>6</v>
      </c>
      <c r="R40" t="str">
        <f t="shared" si="1"/>
        <v>8-2019</v>
      </c>
      <c r="S40" t="s">
        <v>43</v>
      </c>
      <c r="T40" t="str">
        <f t="shared" si="2"/>
        <v>Tuesday</v>
      </c>
      <c r="U40">
        <f t="shared" si="3"/>
        <v>0</v>
      </c>
      <c r="V40" s="24">
        <f>IFERROR(Table2[[#This Row],[Gray Min]]/Table2[[#This Row],[ClassLength]],"")</f>
        <v>0.20473959768092992</v>
      </c>
      <c r="W40" s="24">
        <f>IFERROR(Table2[[#This Row],[Blue Min]]/Table2[[#This Row],[ClassLength]],"")</f>
        <v>0.29512262331383371</v>
      </c>
      <c r="X40" s="24">
        <f>IFERROR(Table2[[#This Row],[Green Min]]/Table2[[#This Row],[ClassLength]],"")</f>
        <v>0.35629650041530059</v>
      </c>
      <c r="Y40" s="24">
        <f>IFERROR(Table2[[#This Row],[Orange Min]]/Table2[[#This Row],[ClassLength]],"")</f>
        <v>0.10333425186058602</v>
      </c>
      <c r="Z40" s="24">
        <f>IFERROR(Table2[[#This Row],[Red Min]]/Table2[[#This Row],[ClassLength]],"")</f>
        <v>4.0507026729349721E-2</v>
      </c>
      <c r="AA40" s="25">
        <v>232.14</v>
      </c>
      <c r="AB40" s="25">
        <f t="shared" si="18"/>
        <v>21.103636363636362</v>
      </c>
      <c r="AC40" s="26">
        <f t="shared" si="4"/>
        <v>627.18181818181813</v>
      </c>
      <c r="AD40" s="26">
        <f t="shared" si="5"/>
        <v>15.090909090909092</v>
      </c>
      <c r="AE40">
        <f t="shared" si="6"/>
        <v>2019</v>
      </c>
      <c r="AG40">
        <v>12</v>
      </c>
      <c r="AH40" s="26">
        <f t="shared" si="7"/>
        <v>10.449159548142458</v>
      </c>
      <c r="AI40" t="str">
        <f t="shared" si="8"/>
        <v>PM</v>
      </c>
      <c r="AJ40" t="str">
        <f t="shared" si="9"/>
        <v>8-2019-4</v>
      </c>
      <c r="AK40">
        <f t="shared" si="10"/>
        <v>8</v>
      </c>
      <c r="AL40" s="26">
        <f>IFERROR(Table2[[#This Row],[Calories]]/Table2[[#This Row],[Splat]],"")</f>
        <v>79</v>
      </c>
      <c r="AM40">
        <f>COUNTIF(N$2:$N$938,N40)</f>
        <v>35</v>
      </c>
      <c r="AN40" t="str">
        <f>VLOOKUP(N40,'Helpful Tables'!A:D,4,FALSE)</f>
        <v>Virginia</v>
      </c>
      <c r="AO40" s="24">
        <f>COUNTIF(AN:AN,Table2[[#This Row],[State]])/COUNTA(AN:AN)</f>
        <v>5.6503198294243072E-2</v>
      </c>
      <c r="AP40">
        <f>VLOOKUP(N40,'Helpful Tables'!A:B,2,FALSE)</f>
        <v>38.881884999999997</v>
      </c>
      <c r="AQ40">
        <f>VLOOKUP(N40,'Helpful Tables'!A:C,3,FALSE)</f>
        <v>-77.229702000000003</v>
      </c>
      <c r="AR40">
        <f>COUNTIF(P$2:$P$938,P40)</f>
        <v>1</v>
      </c>
      <c r="AS40" cm="1">
        <f t="array" ref="AS40">_xlfn.IFS(E40&lt;6,((E40/D40)*60)*0.5,AND(E40&gt;=6,E40&lt;9),((E40/D40)*60)*0.75,AND(E40&gt;=9,E40&lt;=11),((E40/D40)*60)*0.9,AND(E40=12),((E40/D40)*60)*1,AND(E40&gt;=13,E40&lt;=15),((E40/D40)*60)*1.2,AND(E40&gt;=16,E40&lt;=19),((E40/D40)*60)*1.5,E40&gt;=20,((E40/D40)*60)*1.8)</f>
        <v>5.9520529071697545</v>
      </c>
      <c r="AT40" cm="1">
        <f t="array" ref="AT40">_xlfn.IFS(F40&lt;550,((F40/D40)*60)*0.5,AND(F40&gt;=550,F40&lt;575),((F40/D40)*60)*0.75,AND(F40&gt;=575,F40&lt;600),((F40/D40)*60)*0.9,AND(F40=600),((F40/D40)*60)*1,AND(F40&gt;=601,F40&lt;=625),((F40/D40)*60)*1.2,AND(F40&gt;=626,F40&lt;=650),((F40/D40)*60)*1.5,F40&gt;=651,((F40/D40)*60)*1.8)</f>
        <v>940.42435933282115</v>
      </c>
      <c r="AU40">
        <f t="shared" si="11"/>
        <v>3.1650000004000023</v>
      </c>
      <c r="AV40">
        <f t="shared" si="16"/>
        <v>379.1835648960764</v>
      </c>
      <c r="AW40">
        <f t="shared" si="12"/>
        <v>45</v>
      </c>
      <c r="AX40" t="str">
        <f t="shared" si="13"/>
        <v>Aug-2019</v>
      </c>
      <c r="AY40">
        <f>ROUNDUP(Table2[[#This Row],[Month]]/3,0)</f>
        <v>3</v>
      </c>
    </row>
    <row r="41" spans="1:51" x14ac:dyDescent="0.2">
      <c r="A41">
        <v>40</v>
      </c>
      <c r="B41">
        <f t="shared" si="0"/>
        <v>11</v>
      </c>
      <c r="C41" s="22">
        <v>43699</v>
      </c>
      <c r="D41">
        <f>SUM(Table2[[#This Row],[Gray Min]:[Red Min]])</f>
        <v>54.833333332999999</v>
      </c>
      <c r="E41">
        <v>16</v>
      </c>
      <c r="F41">
        <v>633</v>
      </c>
      <c r="G41">
        <v>131</v>
      </c>
      <c r="H41">
        <v>172</v>
      </c>
      <c r="I41">
        <v>8.2666666670000009</v>
      </c>
      <c r="J41">
        <v>14.3</v>
      </c>
      <c r="K41">
        <v>16.933333333</v>
      </c>
      <c r="L41">
        <v>8.6333333329999995</v>
      </c>
      <c r="M41">
        <v>6.7</v>
      </c>
      <c r="N41" t="s">
        <v>55</v>
      </c>
      <c r="O41" t="s">
        <v>57</v>
      </c>
      <c r="P41" t="s">
        <v>56</v>
      </c>
      <c r="Q41">
        <f t="shared" si="14"/>
        <v>2</v>
      </c>
      <c r="R41" t="str">
        <f t="shared" si="1"/>
        <v>8-2019</v>
      </c>
      <c r="S41" t="s">
        <v>43</v>
      </c>
      <c r="T41" t="str">
        <f t="shared" si="2"/>
        <v>Thursday</v>
      </c>
      <c r="U41">
        <f t="shared" si="3"/>
        <v>1</v>
      </c>
      <c r="V41" s="24">
        <f>IFERROR(Table2[[#This Row],[Gray Min]]/Table2[[#This Row],[ClassLength]],"")</f>
        <v>0.15075987842644842</v>
      </c>
      <c r="W41" s="24">
        <f>IFERROR(Table2[[#This Row],[Blue Min]]/Table2[[#This Row],[ClassLength]],"")</f>
        <v>0.26079027355781637</v>
      </c>
      <c r="X41" s="24">
        <f>IFERROR(Table2[[#This Row],[Green Min]]/Table2[[#This Row],[ClassLength]],"")</f>
        <v>0.30881458966145175</v>
      </c>
      <c r="Y41" s="24">
        <f>IFERROR(Table2[[#This Row],[Orange Min]]/Table2[[#This Row],[ClassLength]],"")</f>
        <v>0.1574468085055164</v>
      </c>
      <c r="Z41" s="24">
        <f>IFERROR(Table2[[#This Row],[Red Min]]/Table2[[#This Row],[ClassLength]],"")</f>
        <v>0.1221884498487671</v>
      </c>
      <c r="AA41" s="25">
        <v>232.14</v>
      </c>
      <c r="AB41" s="25">
        <f t="shared" si="18"/>
        <v>21.103636363636362</v>
      </c>
      <c r="AC41" s="26">
        <f t="shared" si="4"/>
        <v>627.18181818181813</v>
      </c>
      <c r="AD41" s="26">
        <f t="shared" si="5"/>
        <v>15.090909090909092</v>
      </c>
      <c r="AE41">
        <f t="shared" si="6"/>
        <v>2019</v>
      </c>
      <c r="AG41">
        <v>12</v>
      </c>
      <c r="AH41" s="26">
        <f t="shared" si="7"/>
        <v>11.544072948398444</v>
      </c>
      <c r="AI41" t="str">
        <f t="shared" si="8"/>
        <v>PM</v>
      </c>
      <c r="AJ41" t="str">
        <f t="shared" si="9"/>
        <v>8-2019-4</v>
      </c>
      <c r="AK41">
        <f t="shared" si="10"/>
        <v>8</v>
      </c>
      <c r="AL41" s="26">
        <f>IFERROR(Table2[[#This Row],[Calories]]/Table2[[#This Row],[Splat]],"")</f>
        <v>39.5625</v>
      </c>
      <c r="AM41">
        <f>COUNTIF(N$2:$N$938,N41)</f>
        <v>3</v>
      </c>
      <c r="AN41" t="str">
        <f>VLOOKUP(N41,'Helpful Tables'!A:D,4,FALSE)</f>
        <v>Washington, DC</v>
      </c>
      <c r="AO41" s="24">
        <f>COUNTIF(AN:AN,Table2[[#This Row],[State]])/COUNTA(AN:AN)</f>
        <v>0.54904051172707891</v>
      </c>
      <c r="AP41">
        <f>VLOOKUP(N41,'Helpful Tables'!A:B,2,FALSE)</f>
        <v>38.901815999999997</v>
      </c>
      <c r="AQ41">
        <f>VLOOKUP(N41,'Helpful Tables'!A:C,3,FALSE)</f>
        <v>-77.017055999999997</v>
      </c>
      <c r="AR41">
        <f>COUNTIF(P$2:$P$938,P41)</f>
        <v>1</v>
      </c>
      <c r="AS41" cm="1">
        <f t="array" ref="AS41">_xlfn.IFS(E41&lt;6,((E41/D41)*60)*0.5,AND(E41&gt;=6,E41&lt;9),((E41/D41)*60)*0.75,AND(E41&gt;=9,E41&lt;=11),((E41/D41)*60)*0.9,AND(E41=12),((E41/D41)*60)*1,AND(E41&gt;=13,E41&lt;=15),((E41/D41)*60)*1.2,AND(E41&gt;=16,E41&lt;=19),((E41/D41)*60)*1.5,E41&gt;=20,((E41/D41)*60)*1.8)</f>
        <v>26.26139817645144</v>
      </c>
      <c r="AT41" cm="1">
        <f t="array" ref="AT41">_xlfn.IFS(F41&lt;550,((F41/D41)*60)*0.5,AND(F41&gt;=550,F41&lt;575),((F41/D41)*60)*0.75,AND(F41&gt;=575,F41&lt;600),((F41/D41)*60)*0.9,AND(F41=600),((F41/D41)*60)*1,AND(F41&gt;=601,F41&lt;=625),((F41/D41)*60)*1.2,AND(F41&gt;=626,F41&lt;=650),((F41/D41)*60)*1.5,F41&gt;=651,((F41/D41)*60)*1.8)</f>
        <v>1038.96656535586</v>
      </c>
      <c r="AU41">
        <f t="shared" si="11"/>
        <v>15.943333332099998</v>
      </c>
      <c r="AV41">
        <f t="shared" si="16"/>
        <v>429.27985207934455</v>
      </c>
      <c r="AW41">
        <f t="shared" si="12"/>
        <v>64.5</v>
      </c>
      <c r="AX41" t="str">
        <f t="shared" si="13"/>
        <v>Aug-2019</v>
      </c>
      <c r="AY41">
        <f>ROUNDUP(Table2[[#This Row],[Month]]/3,0)</f>
        <v>3</v>
      </c>
    </row>
    <row r="42" spans="1:51" x14ac:dyDescent="0.2">
      <c r="A42">
        <v>41</v>
      </c>
      <c r="B42">
        <f t="shared" si="0"/>
        <v>11</v>
      </c>
      <c r="C42" s="22">
        <v>43700</v>
      </c>
      <c r="D42">
        <f>SUM(Table2[[#This Row],[Gray Min]:[Red Min]])</f>
        <v>57.166666667000001</v>
      </c>
      <c r="E42">
        <v>14</v>
      </c>
      <c r="F42">
        <v>635</v>
      </c>
      <c r="G42">
        <v>128</v>
      </c>
      <c r="H42">
        <v>166</v>
      </c>
      <c r="I42">
        <v>10.566666667</v>
      </c>
      <c r="J42">
        <v>13.833333333000001</v>
      </c>
      <c r="K42">
        <v>18.850000000000001</v>
      </c>
      <c r="L42">
        <v>12.4</v>
      </c>
      <c r="M42">
        <v>1.516666667</v>
      </c>
      <c r="N42" t="s">
        <v>40</v>
      </c>
      <c r="O42" t="s">
        <v>57</v>
      </c>
      <c r="P42" t="s">
        <v>41</v>
      </c>
      <c r="Q42">
        <f t="shared" si="14"/>
        <v>1</v>
      </c>
      <c r="R42" t="str">
        <f t="shared" si="1"/>
        <v>8-2019</v>
      </c>
      <c r="S42" t="s">
        <v>47</v>
      </c>
      <c r="T42" t="str">
        <f t="shared" si="2"/>
        <v>Friday</v>
      </c>
      <c r="U42">
        <f t="shared" si="3"/>
        <v>1</v>
      </c>
      <c r="V42" s="24">
        <f>IFERROR(Table2[[#This Row],[Gray Min]]/Table2[[#This Row],[ClassLength]],"")</f>
        <v>0.1848396501505257</v>
      </c>
      <c r="W42" s="24">
        <f>IFERROR(Table2[[#This Row],[Blue Min]]/Table2[[#This Row],[ClassLength]],"")</f>
        <v>0.24198250728138787</v>
      </c>
      <c r="X42" s="24">
        <f>IFERROR(Table2[[#This Row],[Green Min]]/Table2[[#This Row],[ClassLength]],"")</f>
        <v>0.32973760932752344</v>
      </c>
      <c r="Y42" s="24">
        <f>IFERROR(Table2[[#This Row],[Orange Min]]/Table2[[#This Row],[ClassLength]],"")</f>
        <v>0.21690962098998887</v>
      </c>
      <c r="Z42" s="24">
        <f>IFERROR(Table2[[#This Row],[Red Min]]/Table2[[#This Row],[ClassLength]],"")</f>
        <v>2.6530612250574164E-2</v>
      </c>
      <c r="AA42" s="25">
        <v>232.14</v>
      </c>
      <c r="AB42" s="25">
        <f t="shared" si="18"/>
        <v>21.103636363636362</v>
      </c>
      <c r="AC42" s="26">
        <f t="shared" si="4"/>
        <v>627.18181818181813</v>
      </c>
      <c r="AD42" s="26">
        <f t="shared" si="5"/>
        <v>15.090909090909092</v>
      </c>
      <c r="AE42">
        <f t="shared" si="6"/>
        <v>2019</v>
      </c>
      <c r="AG42">
        <v>12</v>
      </c>
      <c r="AH42" s="26">
        <f t="shared" si="7"/>
        <v>11.107871720051849</v>
      </c>
      <c r="AI42" t="str">
        <f t="shared" si="8"/>
        <v>PM</v>
      </c>
      <c r="AJ42" t="str">
        <f t="shared" si="9"/>
        <v>8-2019-4</v>
      </c>
      <c r="AK42">
        <f t="shared" si="10"/>
        <v>8</v>
      </c>
      <c r="AL42" s="26">
        <f>IFERROR(Table2[[#This Row],[Calories]]/Table2[[#This Row],[Splat]],"")</f>
        <v>45.357142857142854</v>
      </c>
      <c r="AM42">
        <f>COUNTIF(N$2:$N$938,N42)</f>
        <v>38</v>
      </c>
      <c r="AN42" t="str">
        <f>VLOOKUP(N42,'Helpful Tables'!A:D,4,FALSE)</f>
        <v>Washington, DC</v>
      </c>
      <c r="AO42" s="24">
        <f>COUNTIF(AN:AN,Table2[[#This Row],[State]])/COUNTA(AN:AN)</f>
        <v>0.54904051172707891</v>
      </c>
      <c r="AP42">
        <f>VLOOKUP(N42,'Helpful Tables'!A:B,2,FALSE)</f>
        <v>38.903509999999997</v>
      </c>
      <c r="AQ42">
        <f>VLOOKUP(N42,'Helpful Tables'!A:C,3,FALSE)</f>
        <v>-77.051809000000006</v>
      </c>
      <c r="AR42">
        <f>COUNTIF(P$2:$P$938,P42)</f>
        <v>20</v>
      </c>
      <c r="AS42" cm="1">
        <f t="array" ref="AS42">_xlfn.IFS(E42&lt;6,((E42/D42)*60)*0.5,AND(E42&gt;=6,E42&lt;9),((E42/D42)*60)*0.75,AND(E42&gt;=9,E42&lt;=11),((E42/D42)*60)*0.9,AND(E42=12),((E42/D42)*60)*1,AND(E42&gt;=13,E42&lt;=15),((E42/D42)*60)*1.2,AND(E42&gt;=16,E42&lt;=19),((E42/D42)*60)*1.5,E42&gt;=20,((E42/D42)*60)*1.8)</f>
        <v>17.632653061121676</v>
      </c>
      <c r="AT42" cm="1">
        <f t="array" ref="AT42">_xlfn.IFS(F42&lt;550,((F42/D42)*60)*0.5,AND(F42&gt;=550,F42&lt;575),((F42/D42)*60)*0.75,AND(F42&gt;=575,F42&lt;600),((F42/D42)*60)*0.9,AND(F42=600),((F42/D42)*60)*1,AND(F42&gt;=601,F42&lt;=625),((F42/D42)*60)*1.2,AND(F42&gt;=626,F42&lt;=650),((F42/D42)*60)*1.5,F42&gt;=651,((F42/D42)*60)*1.8)</f>
        <v>999.7084548046663</v>
      </c>
      <c r="AU42">
        <f t="shared" si="11"/>
        <v>13.118333333800003</v>
      </c>
      <c r="AV42">
        <f t="shared" si="16"/>
        <v>409.56010981307526</v>
      </c>
      <c r="AW42">
        <f t="shared" si="12"/>
        <v>57.999999999999993</v>
      </c>
      <c r="AX42" t="str">
        <f t="shared" si="13"/>
        <v>Aug-2019</v>
      </c>
      <c r="AY42">
        <f>ROUNDUP(Table2[[#This Row],[Month]]/3,0)</f>
        <v>3</v>
      </c>
    </row>
    <row r="43" spans="1:51" x14ac:dyDescent="0.2">
      <c r="A43">
        <v>42</v>
      </c>
      <c r="B43">
        <f t="shared" si="0"/>
        <v>11</v>
      </c>
      <c r="C43" s="22">
        <v>43702</v>
      </c>
      <c r="D43">
        <f>SUM(Table2[[#This Row],[Gray Min]:[Red Min]])</f>
        <v>58.966666666999991</v>
      </c>
      <c r="E43">
        <v>19</v>
      </c>
      <c r="F43">
        <v>632</v>
      </c>
      <c r="G43">
        <v>126</v>
      </c>
      <c r="H43">
        <v>169</v>
      </c>
      <c r="I43">
        <v>16.649999999999999</v>
      </c>
      <c r="J43">
        <v>12.65</v>
      </c>
      <c r="K43">
        <v>10.25</v>
      </c>
      <c r="L43">
        <v>16.05</v>
      </c>
      <c r="M43">
        <v>3.3666666670000001</v>
      </c>
      <c r="N43" t="s">
        <v>40</v>
      </c>
      <c r="O43" t="s">
        <v>58</v>
      </c>
      <c r="P43" t="s">
        <v>41</v>
      </c>
      <c r="Q43">
        <f t="shared" si="14"/>
        <v>2</v>
      </c>
      <c r="R43" t="str">
        <f t="shared" si="1"/>
        <v>8-2019</v>
      </c>
      <c r="S43" t="s">
        <v>47</v>
      </c>
      <c r="T43" t="str">
        <f t="shared" si="2"/>
        <v>Sunday</v>
      </c>
      <c r="U43">
        <f t="shared" si="3"/>
        <v>1</v>
      </c>
      <c r="V43" s="24">
        <f>IFERROR(Table2[[#This Row],[Gray Min]]/Table2[[#This Row],[ClassLength]],"")</f>
        <v>0.2823629169006085</v>
      </c>
      <c r="W43" s="24">
        <f>IFERROR(Table2[[#This Row],[Blue Min]]/Table2[[#This Row],[ClassLength]],"")</f>
        <v>0.21452798190947134</v>
      </c>
      <c r="X43" s="24">
        <f>IFERROR(Table2[[#This Row],[Green Min]]/Table2[[#This Row],[ClassLength]],"")</f>
        <v>0.17382702091478902</v>
      </c>
      <c r="Y43" s="24">
        <f>IFERROR(Table2[[#This Row],[Orange Min]]/Table2[[#This Row],[ClassLength]],"")</f>
        <v>0.27218767665193794</v>
      </c>
      <c r="Z43" s="24">
        <f>IFERROR(Table2[[#This Row],[Red Min]]/Table2[[#This Row],[ClassLength]],"")</f>
        <v>5.7094403623193374E-2</v>
      </c>
      <c r="AA43" s="25">
        <v>232.14</v>
      </c>
      <c r="AB43" s="25">
        <f t="shared" si="18"/>
        <v>21.103636363636362</v>
      </c>
      <c r="AC43" s="26">
        <f t="shared" si="4"/>
        <v>627.18181818181813</v>
      </c>
      <c r="AD43" s="26">
        <f t="shared" si="5"/>
        <v>15.090909090909092</v>
      </c>
      <c r="AE43">
        <f t="shared" si="6"/>
        <v>2019</v>
      </c>
      <c r="AG43">
        <v>12</v>
      </c>
      <c r="AH43" s="26">
        <f t="shared" si="7"/>
        <v>10.717919728599675</v>
      </c>
      <c r="AI43" t="str">
        <f t="shared" si="8"/>
        <v>AM</v>
      </c>
      <c r="AJ43" t="str">
        <f t="shared" si="9"/>
        <v>8-2019-5</v>
      </c>
      <c r="AK43">
        <f t="shared" si="10"/>
        <v>8</v>
      </c>
      <c r="AL43" s="26">
        <f>IFERROR(Table2[[#This Row],[Calories]]/Table2[[#This Row],[Splat]],"")</f>
        <v>33.263157894736842</v>
      </c>
      <c r="AM43">
        <f>COUNTIF(N$2:$N$938,N43)</f>
        <v>38</v>
      </c>
      <c r="AN43" t="str">
        <f>VLOOKUP(N43,'Helpful Tables'!A:D,4,FALSE)</f>
        <v>Washington, DC</v>
      </c>
      <c r="AO43" s="24">
        <f>COUNTIF(AN:AN,Table2[[#This Row],[State]])/COUNTA(AN:AN)</f>
        <v>0.54904051172707891</v>
      </c>
      <c r="AP43">
        <f>VLOOKUP(N43,'Helpful Tables'!A:B,2,FALSE)</f>
        <v>38.903509999999997</v>
      </c>
      <c r="AQ43">
        <f>VLOOKUP(N43,'Helpful Tables'!A:C,3,FALSE)</f>
        <v>-77.051809000000006</v>
      </c>
      <c r="AR43">
        <f>COUNTIF(P$2:$P$938,P43)</f>
        <v>20</v>
      </c>
      <c r="AS43" cm="1">
        <f t="array" ref="AS43">_xlfn.IFS(E43&lt;6,((E43/D43)*60)*0.5,AND(E43&gt;=6,E43&lt;9),((E43/D43)*60)*0.75,AND(E43&gt;=9,E43&lt;=11),((E43/D43)*60)*0.9,AND(E43=12),((E43/D43)*60)*1,AND(E43&gt;=13,E43&lt;=15),((E43/D43)*60)*1.2,AND(E43&gt;=16,E43&lt;=19),((E43/D43)*60)*1.5,E43&gt;=20,((E43/D43)*60)*1.8)</f>
        <v>28.999434708711142</v>
      </c>
      <c r="AT43" cm="1">
        <f t="array" ref="AT43">_xlfn.IFS(F43&lt;550,((F43/D43)*60)*0.5,AND(F43&gt;=550,F43&lt;575),((F43/D43)*60)*0.75,AND(F43&gt;=575,F43&lt;600),((F43/D43)*60)*0.9,AND(F43=600),((F43/D43)*60)*1,AND(F43&gt;=601,F43&lt;=625),((F43/D43)*60)*1.2,AND(F43&gt;=626,F43&lt;=650),((F43/D43)*60)*1.5,F43&gt;=651,((F43/D43)*60)*1.8)</f>
        <v>964.61277557397079</v>
      </c>
      <c r="AU43">
        <f t="shared" si="11"/>
        <v>4.320000000500003</v>
      </c>
      <c r="AV43">
        <f t="shared" si="16"/>
        <v>398.30888411317278</v>
      </c>
      <c r="AW43">
        <f t="shared" si="12"/>
        <v>52</v>
      </c>
      <c r="AX43" t="str">
        <f t="shared" si="13"/>
        <v>Aug-2019</v>
      </c>
      <c r="AY43">
        <f>ROUNDUP(Table2[[#This Row],[Month]]/3,0)</f>
        <v>3</v>
      </c>
    </row>
    <row r="44" spans="1:51" x14ac:dyDescent="0.2">
      <c r="A44">
        <v>43</v>
      </c>
      <c r="B44">
        <f t="shared" si="0"/>
        <v>17</v>
      </c>
      <c r="C44" s="22">
        <v>43711</v>
      </c>
      <c r="D44">
        <f>SUM(Table2[[#This Row],[Gray Min]:[Red Min]])</f>
        <v>58.766666665999999</v>
      </c>
      <c r="E44">
        <v>14</v>
      </c>
      <c r="F44">
        <v>615</v>
      </c>
      <c r="G44">
        <v>124</v>
      </c>
      <c r="H44">
        <v>174</v>
      </c>
      <c r="I44">
        <v>17.233333333000001</v>
      </c>
      <c r="J44">
        <v>11.85</v>
      </c>
      <c r="K44">
        <v>15.433333333</v>
      </c>
      <c r="L44">
        <v>11.15</v>
      </c>
      <c r="M44">
        <v>3.1</v>
      </c>
      <c r="N44" t="s">
        <v>33</v>
      </c>
      <c r="O44" t="s">
        <v>39</v>
      </c>
      <c r="P44" t="s">
        <v>34</v>
      </c>
      <c r="Q44">
        <f t="shared" si="14"/>
        <v>9</v>
      </c>
      <c r="R44" t="str">
        <f t="shared" si="1"/>
        <v>9-2019</v>
      </c>
      <c r="S44" t="s">
        <v>43</v>
      </c>
      <c r="T44" t="str">
        <f t="shared" si="2"/>
        <v>Tuesday</v>
      </c>
      <c r="U44">
        <f t="shared" si="3"/>
        <v>1</v>
      </c>
      <c r="V44" s="24">
        <f>IFERROR(Table2[[#This Row],[Gray Min]]/Table2[[#This Row],[ClassLength]],"")</f>
        <v>0.29325014180139819</v>
      </c>
      <c r="W44" s="24">
        <f>IFERROR(Table2[[#This Row],[Blue Min]]/Table2[[#This Row],[ClassLength]],"")</f>
        <v>0.20164492342826595</v>
      </c>
      <c r="X44" s="24">
        <f>IFERROR(Table2[[#This Row],[Green Min]]/Table2[[#This Row],[ClassLength]],"")</f>
        <v>0.26262053317938311</v>
      </c>
      <c r="Y44" s="24">
        <f>IFERROR(Table2[[#This Row],[Orange Min]]/Table2[[#This Row],[ClassLength]],"")</f>
        <v>0.189733408964149</v>
      </c>
      <c r="Z44" s="24">
        <f>IFERROR(Table2[[#This Row],[Red Min]]/Table2[[#This Row],[ClassLength]],"")</f>
        <v>5.2750992626803758E-2</v>
      </c>
      <c r="AA44" s="25">
        <v>232.14</v>
      </c>
      <c r="AB44" s="25">
        <f t="shared" si="18"/>
        <v>13.655294117647058</v>
      </c>
      <c r="AC44" s="26">
        <f t="shared" si="4"/>
        <v>592.88235294117646</v>
      </c>
      <c r="AD44" s="26">
        <f t="shared" si="5"/>
        <v>13.647058823529411</v>
      </c>
      <c r="AE44">
        <f t="shared" si="6"/>
        <v>2019</v>
      </c>
      <c r="AG44">
        <v>12</v>
      </c>
      <c r="AH44" s="26">
        <f t="shared" si="7"/>
        <v>10.465116279188488</v>
      </c>
      <c r="AI44" t="str">
        <f t="shared" si="8"/>
        <v>PM</v>
      </c>
      <c r="AJ44" t="str">
        <f t="shared" si="9"/>
        <v>9-2019-1</v>
      </c>
      <c r="AK44">
        <f t="shared" si="10"/>
        <v>9</v>
      </c>
      <c r="AL44" s="26">
        <f>IFERROR(Table2[[#This Row],[Calories]]/Table2[[#This Row],[Splat]],"")</f>
        <v>43.928571428571431</v>
      </c>
      <c r="AM44">
        <f>COUNTIF(N$2:$N$938,N44)</f>
        <v>48</v>
      </c>
      <c r="AN44" t="str">
        <f>VLOOKUP(N44,'Helpful Tables'!A:D,4,FALSE)</f>
        <v>Washington, DC</v>
      </c>
      <c r="AO44" s="24">
        <f>COUNTIF(AN:AN,Table2[[#This Row],[State]])/COUNTA(AN:AN)</f>
        <v>0.54904051172707891</v>
      </c>
      <c r="AP44">
        <f>VLOOKUP(N44,'Helpful Tables'!A:B,2,FALSE)</f>
        <v>38.916486999999996</v>
      </c>
      <c r="AQ44">
        <f>VLOOKUP(N44,'Helpful Tables'!A:C,3,FALSE)</f>
        <v>-77.031514000000001</v>
      </c>
      <c r="AR44">
        <f>COUNTIF(P$2:$P$938,P44)</f>
        <v>30</v>
      </c>
      <c r="AS44" cm="1">
        <f t="array" ref="AS44">_xlfn.IFS(E44&lt;6,((E44/D44)*60)*0.5,AND(E44&gt;=6,E44&lt;9),((E44/D44)*60)*0.75,AND(E44&gt;=9,E44&lt;=11),((E44/D44)*60)*0.9,AND(E44=12),((E44/D44)*60)*1,AND(E44&gt;=13,E44&lt;=15),((E44/D44)*60)*1.2,AND(E44&gt;=16,E44&lt;=19),((E44/D44)*60)*1.5,E44&gt;=20,((E44/D44)*60)*1.8)</f>
        <v>17.152580828328446</v>
      </c>
      <c r="AT44" cm="1">
        <f t="array" ref="AT44">_xlfn.IFS(F44&lt;550,((F44/D44)*60)*0.5,AND(F44&gt;=550,F44&lt;575),((F44/D44)*60)*0.75,AND(F44&gt;=575,F44&lt;600),((F44/D44)*60)*0.9,AND(F44=600),((F44/D44)*60)*1,AND(F44&gt;=601,F44&lt;=625),((F44/D44)*60)*1.2,AND(F44&gt;=626,F44&lt;=650),((F44/D44)*60)*1.5,F44&gt;=651,((F44/D44)*60)*1.8)</f>
        <v>753.48837210157103</v>
      </c>
      <c r="AU44">
        <f t="shared" si="11"/>
        <v>3.9500000000000046</v>
      </c>
      <c r="AV44">
        <f t="shared" si="16"/>
        <v>309.04638117195981</v>
      </c>
      <c r="AW44">
        <f t="shared" si="12"/>
        <v>31.3</v>
      </c>
      <c r="AX44" t="str">
        <f t="shared" si="13"/>
        <v>Sep-2019</v>
      </c>
      <c r="AY44">
        <f>ROUNDUP(Table2[[#This Row],[Month]]/3,0)</f>
        <v>3</v>
      </c>
    </row>
    <row r="45" spans="1:51" x14ac:dyDescent="0.2">
      <c r="A45">
        <v>44</v>
      </c>
      <c r="B45">
        <f t="shared" si="0"/>
        <v>17</v>
      </c>
      <c r="C45" s="22">
        <v>43712</v>
      </c>
      <c r="D45">
        <f>SUM(Table2[[#This Row],[Gray Min]:[Red Min]])</f>
        <v>56.849999999000005</v>
      </c>
      <c r="E45">
        <v>15</v>
      </c>
      <c r="F45">
        <v>567</v>
      </c>
      <c r="G45">
        <v>121</v>
      </c>
      <c r="H45">
        <v>173</v>
      </c>
      <c r="I45">
        <v>21.083333332999999</v>
      </c>
      <c r="J45">
        <v>14.266666667000001</v>
      </c>
      <c r="K45">
        <v>6.6333333330000004</v>
      </c>
      <c r="L45">
        <v>9.1833333330000002</v>
      </c>
      <c r="M45">
        <v>5.6833333330000002</v>
      </c>
      <c r="N45" t="s">
        <v>40</v>
      </c>
      <c r="O45" t="s">
        <v>26</v>
      </c>
      <c r="P45" t="s">
        <v>37</v>
      </c>
      <c r="Q45">
        <f t="shared" si="14"/>
        <v>1</v>
      </c>
      <c r="R45" t="str">
        <f t="shared" si="1"/>
        <v>9-2019</v>
      </c>
      <c r="S45" t="s">
        <v>47</v>
      </c>
      <c r="T45" t="str">
        <f t="shared" si="2"/>
        <v>Wednesday</v>
      </c>
      <c r="U45">
        <f t="shared" si="3"/>
        <v>1</v>
      </c>
      <c r="V45" s="24">
        <f>IFERROR(Table2[[#This Row],[Gray Min]]/Table2[[#This Row],[ClassLength]],"")</f>
        <v>0.37085898563537123</v>
      </c>
      <c r="W45" s="24">
        <f>IFERROR(Table2[[#This Row],[Blue Min]]/Table2[[#This Row],[ClassLength]],"")</f>
        <v>0.25095279977574236</v>
      </c>
      <c r="X45" s="24">
        <f>IFERROR(Table2[[#This Row],[Green Min]]/Table2[[#This Row],[ClassLength]],"")</f>
        <v>0.11668132512078595</v>
      </c>
      <c r="Y45" s="24">
        <f>IFERROR(Table2[[#This Row],[Orange Min]]/Table2[[#This Row],[ClassLength]],"")</f>
        <v>0.16153620638806571</v>
      </c>
      <c r="Z45" s="24">
        <f>IFERROR(Table2[[#This Row],[Red Min]]/Table2[[#This Row],[ClassLength]],"")</f>
        <v>9.9970683080034664E-2</v>
      </c>
      <c r="AA45" s="25">
        <v>232.14</v>
      </c>
      <c r="AB45" s="25">
        <f t="shared" si="18"/>
        <v>13.655294117647058</v>
      </c>
      <c r="AC45" s="26">
        <f t="shared" si="4"/>
        <v>592.88235294117646</v>
      </c>
      <c r="AD45" s="26">
        <f t="shared" si="5"/>
        <v>13.647058823529411</v>
      </c>
      <c r="AE45">
        <f t="shared" si="6"/>
        <v>2019</v>
      </c>
      <c r="AG45">
        <v>12</v>
      </c>
      <c r="AH45" s="26">
        <f t="shared" si="7"/>
        <v>9.9736147759010301</v>
      </c>
      <c r="AI45" t="str">
        <f t="shared" si="8"/>
        <v>PM</v>
      </c>
      <c r="AJ45" t="str">
        <f t="shared" si="9"/>
        <v>9-2019-1</v>
      </c>
      <c r="AK45">
        <f t="shared" si="10"/>
        <v>9</v>
      </c>
      <c r="AL45" s="26">
        <f>IFERROR(Table2[[#This Row],[Calories]]/Table2[[#This Row],[Splat]],"")</f>
        <v>37.799999999999997</v>
      </c>
      <c r="AM45">
        <f>COUNTIF(N$2:$N$938,N45)</f>
        <v>38</v>
      </c>
      <c r="AN45" t="str">
        <f>VLOOKUP(N45,'Helpful Tables'!A:D,4,FALSE)</f>
        <v>Washington, DC</v>
      </c>
      <c r="AO45" s="24">
        <f>COUNTIF(AN:AN,Table2[[#This Row],[State]])/COUNTA(AN:AN)</f>
        <v>0.54904051172707891</v>
      </c>
      <c r="AP45">
        <f>VLOOKUP(N45,'Helpful Tables'!A:B,2,FALSE)</f>
        <v>38.903509999999997</v>
      </c>
      <c r="AQ45">
        <f>VLOOKUP(N45,'Helpful Tables'!A:C,3,FALSE)</f>
        <v>-77.051809000000006</v>
      </c>
      <c r="AR45">
        <f>COUNTIF(P$2:$P$938,P45)</f>
        <v>12</v>
      </c>
      <c r="AS45" cm="1">
        <f t="array" ref="AS45">_xlfn.IFS(E45&lt;6,((E45/D45)*60)*0.5,AND(E45&gt;=6,E45&lt;9),((E45/D45)*60)*0.75,AND(E45&gt;=9,E45&lt;=11),((E45/D45)*60)*0.9,AND(E45=12),((E45/D45)*60)*1,AND(E45&gt;=13,E45&lt;=15),((E45/D45)*60)*1.2,AND(E45&gt;=16,E45&lt;=19),((E45/D45)*60)*1.5,E45&gt;=20,((E45/D45)*60)*1.8)</f>
        <v>18.997361477906722</v>
      </c>
      <c r="AT45" cm="1">
        <f t="array" ref="AT45">_xlfn.IFS(F45&lt;550,((F45/D45)*60)*0.5,AND(F45&gt;=550,F45&lt;575),((F45/D45)*60)*0.75,AND(F45&gt;=575,F45&lt;600),((F45/D45)*60)*0.9,AND(F45=600),((F45/D45)*60)*1,AND(F45&gt;=601,F45&lt;=625),((F45/D45)*60)*1.2,AND(F45&gt;=626,F45&lt;=650),((F45/D45)*60)*1.5,F45&gt;=651,((F45/D45)*60)*1.8)</f>
        <v>448.81266491554629</v>
      </c>
      <c r="AU45">
        <f t="shared" si="11"/>
        <v>-12.570000001299999</v>
      </c>
      <c r="AV45">
        <f t="shared" si="16"/>
        <v>184.6100105571212</v>
      </c>
      <c r="AW45">
        <f t="shared" si="12"/>
        <v>11.600000000000001</v>
      </c>
      <c r="AX45" t="str">
        <f t="shared" si="13"/>
        <v>Sep-2019</v>
      </c>
      <c r="AY45">
        <f>ROUNDUP(Table2[[#This Row],[Month]]/3,0)</f>
        <v>3</v>
      </c>
    </row>
    <row r="46" spans="1:51" x14ac:dyDescent="0.2">
      <c r="A46">
        <v>45</v>
      </c>
      <c r="B46">
        <f t="shared" si="0"/>
        <v>17</v>
      </c>
      <c r="C46" s="22">
        <v>43714</v>
      </c>
      <c r="D46">
        <f>SUM(Table2[[#This Row],[Gray Min]:[Red Min]])</f>
        <v>57.550000000000004</v>
      </c>
      <c r="E46">
        <v>20</v>
      </c>
      <c r="F46">
        <v>578</v>
      </c>
      <c r="G46">
        <v>121</v>
      </c>
      <c r="H46">
        <v>168</v>
      </c>
      <c r="I46">
        <v>22.083333332999999</v>
      </c>
      <c r="J46">
        <v>9.7833333329999999</v>
      </c>
      <c r="K46">
        <v>6.45</v>
      </c>
      <c r="L46">
        <v>15.566666667</v>
      </c>
      <c r="M46">
        <v>3.6666666669999999</v>
      </c>
      <c r="N46" t="s">
        <v>51</v>
      </c>
      <c r="O46" t="s">
        <v>39</v>
      </c>
      <c r="P46" t="s">
        <v>59</v>
      </c>
      <c r="Q46">
        <f t="shared" si="14"/>
        <v>2</v>
      </c>
      <c r="R46" t="str">
        <f t="shared" si="1"/>
        <v>9-2019</v>
      </c>
      <c r="S46" t="s">
        <v>48</v>
      </c>
      <c r="T46" t="str">
        <f t="shared" si="2"/>
        <v>Friday</v>
      </c>
      <c r="U46">
        <f t="shared" si="3"/>
        <v>1</v>
      </c>
      <c r="V46" s="24">
        <f>IFERROR(Table2[[#This Row],[Gray Min]]/Table2[[#This Row],[ClassLength]],"")</f>
        <v>0.38372429770634225</v>
      </c>
      <c r="W46" s="24">
        <f>IFERROR(Table2[[#This Row],[Blue Min]]/Table2[[#This Row],[ClassLength]],"")</f>
        <v>0.16999710396177237</v>
      </c>
      <c r="X46" s="24">
        <f>IFERROR(Table2[[#This Row],[Green Min]]/Table2[[#This Row],[ClassLength]],"")</f>
        <v>0.11207645525629886</v>
      </c>
      <c r="Y46" s="24">
        <f>IFERROR(Table2[[#This Row],[Orange Min]]/Table2[[#This Row],[ClassLength]],"")</f>
        <v>0.27048942948740223</v>
      </c>
      <c r="Z46" s="24">
        <f>IFERROR(Table2[[#This Row],[Red Min]]/Table2[[#This Row],[ClassLength]],"")</f>
        <v>6.3712713588184186E-2</v>
      </c>
      <c r="AA46" s="25">
        <v>232.14</v>
      </c>
      <c r="AB46" s="25">
        <f t="shared" si="18"/>
        <v>13.655294117647058</v>
      </c>
      <c r="AC46" s="26">
        <f t="shared" si="4"/>
        <v>592.88235294117646</v>
      </c>
      <c r="AD46" s="26">
        <f t="shared" si="5"/>
        <v>13.647058823529411</v>
      </c>
      <c r="AE46">
        <f t="shared" si="6"/>
        <v>2019</v>
      </c>
      <c r="AG46">
        <v>12</v>
      </c>
      <c r="AH46" s="26">
        <f t="shared" si="7"/>
        <v>10.043440486533449</v>
      </c>
      <c r="AI46" t="str">
        <f t="shared" si="8"/>
        <v>PM</v>
      </c>
      <c r="AJ46" t="str">
        <f t="shared" si="9"/>
        <v>9-2019-1</v>
      </c>
      <c r="AK46">
        <f t="shared" si="10"/>
        <v>9</v>
      </c>
      <c r="AL46" s="26">
        <f>IFERROR(Table2[[#This Row],[Calories]]/Table2[[#This Row],[Splat]],"")</f>
        <v>28.9</v>
      </c>
      <c r="AM46">
        <f>COUNTIF(N$2:$N$938,N46)</f>
        <v>3</v>
      </c>
      <c r="AN46" t="str">
        <f>VLOOKUP(N46,'Helpful Tables'!A:D,4,FALSE)</f>
        <v>Washington, DC</v>
      </c>
      <c r="AO46" s="24">
        <f>COUNTIF(AN:AN,Table2[[#This Row],[State]])/COUNTA(AN:AN)</f>
        <v>0.54904051172707891</v>
      </c>
      <c r="AP46">
        <f>VLOOKUP(N46,'Helpful Tables'!A:B,2,FALSE)</f>
        <v>38.904280999999997</v>
      </c>
      <c r="AQ46">
        <f>VLOOKUP(N46,'Helpful Tables'!A:C,3,FALSE)</f>
        <v>-77.031495000000007</v>
      </c>
      <c r="AR46">
        <f>COUNTIF(P$2:$P$938,P46)</f>
        <v>1</v>
      </c>
      <c r="AS46" cm="1">
        <f t="array" ref="AS46">_xlfn.IFS(E46&lt;6,((E46/D46)*60)*0.5,AND(E46&gt;=6,E46&lt;9),((E46/D46)*60)*0.75,AND(E46&gt;=9,E46&lt;=11),((E46/D46)*60)*0.9,AND(E46=12),((E46/D46)*60)*1,AND(E46&gt;=13,E46&lt;=15),((E46/D46)*60)*1.2,AND(E46&gt;=16,E46&lt;=19),((E46/D46)*60)*1.5,E46&gt;=20,((E46/D46)*60)*1.8)</f>
        <v>37.532580364900085</v>
      </c>
      <c r="AT46" cm="1">
        <f t="array" ref="AT46">_xlfn.IFS(F46&lt;550,((F46/D46)*60)*0.5,AND(F46&gt;=550,F46&lt;575),((F46/D46)*60)*0.75,AND(F46&gt;=575,F46&lt;600),((F46/D46)*60)*0.9,AND(F46=600),((F46/D46)*60)*1,AND(F46&gt;=601,F46&lt;=625),((F46/D46)*60)*1.2,AND(F46&gt;=626,F46&lt;=650),((F46/D46)*60)*1.5,F46&gt;=651,((F46/D46)*60)*1.8)</f>
        <v>542.34578627280621</v>
      </c>
      <c r="AU46">
        <f t="shared" si="11"/>
        <v>-3.7849999982999929</v>
      </c>
      <c r="AV46">
        <f t="shared" si="16"/>
        <v>231.19434665542255</v>
      </c>
      <c r="AW46">
        <f t="shared" si="12"/>
        <v>20</v>
      </c>
      <c r="AX46" t="str">
        <f t="shared" si="13"/>
        <v>Sep-2019</v>
      </c>
      <c r="AY46">
        <f>ROUNDUP(Table2[[#This Row],[Month]]/3,0)</f>
        <v>3</v>
      </c>
    </row>
    <row r="47" spans="1:51" x14ac:dyDescent="0.2">
      <c r="A47">
        <v>46</v>
      </c>
      <c r="B47">
        <f t="shared" si="0"/>
        <v>17</v>
      </c>
      <c r="C47" s="22">
        <v>43715</v>
      </c>
      <c r="D47">
        <f>SUM(Table2[[#This Row],[Gray Min]:[Red Min]])</f>
        <v>57.633333333000003</v>
      </c>
      <c r="E47">
        <v>11</v>
      </c>
      <c r="F47">
        <v>651</v>
      </c>
      <c r="G47">
        <v>129</v>
      </c>
      <c r="H47">
        <v>171</v>
      </c>
      <c r="I47">
        <v>5.8666666669999996</v>
      </c>
      <c r="J47">
        <v>17.433333333</v>
      </c>
      <c r="K47">
        <v>22.95</v>
      </c>
      <c r="L47">
        <v>9.0333333329999999</v>
      </c>
      <c r="M47">
        <v>2.35</v>
      </c>
      <c r="N47" t="s">
        <v>33</v>
      </c>
      <c r="O47" t="s">
        <v>45</v>
      </c>
      <c r="P47" t="s">
        <v>34</v>
      </c>
      <c r="Q47">
        <f t="shared" si="14"/>
        <v>1</v>
      </c>
      <c r="R47" t="str">
        <f t="shared" si="1"/>
        <v>9-2019</v>
      </c>
      <c r="S47" t="s">
        <v>43</v>
      </c>
      <c r="T47" t="str">
        <f t="shared" si="2"/>
        <v>Saturday</v>
      </c>
      <c r="U47">
        <f t="shared" si="3"/>
        <v>0</v>
      </c>
      <c r="V47" s="24">
        <f>IFERROR(Table2[[#This Row],[Gray Min]]/Table2[[#This Row],[ClassLength]],"")</f>
        <v>0.10179294390457948</v>
      </c>
      <c r="W47" s="24">
        <f>IFERROR(Table2[[#This Row],[Blue Min]]/Table2[[#This Row],[ClassLength]],"")</f>
        <v>0.30248698669347879</v>
      </c>
      <c r="X47" s="24">
        <f>IFERROR(Table2[[#This Row],[Green Min]]/Table2[[#This Row],[ClassLength]],"")</f>
        <v>0.39820705610409601</v>
      </c>
      <c r="Y47" s="24">
        <f>IFERROR(Table2[[#This Row],[Orange Min]]/Table2[[#This Row],[ClassLength]],"")</f>
        <v>0.15673799883838482</v>
      </c>
      <c r="Z47" s="24">
        <f>IFERROR(Table2[[#This Row],[Red Min]]/Table2[[#This Row],[ClassLength]],"")</f>
        <v>4.0775014459460815E-2</v>
      </c>
      <c r="AA47" s="25">
        <v>232.14</v>
      </c>
      <c r="AB47" s="25">
        <f t="shared" si="18"/>
        <v>13.655294117647058</v>
      </c>
      <c r="AC47" s="26">
        <f t="shared" si="4"/>
        <v>592.88235294117646</v>
      </c>
      <c r="AD47" s="26">
        <f t="shared" si="5"/>
        <v>13.647058823529411</v>
      </c>
      <c r="AE47">
        <f t="shared" si="6"/>
        <v>2019</v>
      </c>
      <c r="AG47">
        <v>12</v>
      </c>
      <c r="AH47" s="26">
        <f t="shared" si="7"/>
        <v>11.295546558769782</v>
      </c>
      <c r="AI47" t="str">
        <f t="shared" si="8"/>
        <v>AM</v>
      </c>
      <c r="AJ47" t="str">
        <f t="shared" si="9"/>
        <v>9-2019-1</v>
      </c>
      <c r="AK47">
        <f t="shared" si="10"/>
        <v>9</v>
      </c>
      <c r="AL47" s="26">
        <f>IFERROR(Table2[[#This Row],[Calories]]/Table2[[#This Row],[Splat]],"")</f>
        <v>59.18181818181818</v>
      </c>
      <c r="AM47">
        <f>COUNTIF(N$2:$N$938,N47)</f>
        <v>48</v>
      </c>
      <c r="AN47" t="str">
        <f>VLOOKUP(N47,'Helpful Tables'!A:D,4,FALSE)</f>
        <v>Washington, DC</v>
      </c>
      <c r="AO47" s="24">
        <f>COUNTIF(AN:AN,Table2[[#This Row],[State]])/COUNTA(AN:AN)</f>
        <v>0.54904051172707891</v>
      </c>
      <c r="AP47">
        <f>VLOOKUP(N47,'Helpful Tables'!A:B,2,FALSE)</f>
        <v>38.916486999999996</v>
      </c>
      <c r="AQ47">
        <f>VLOOKUP(N47,'Helpful Tables'!A:C,3,FALSE)</f>
        <v>-77.031514000000001</v>
      </c>
      <c r="AR47">
        <f>COUNTIF(P$2:$P$938,P47)</f>
        <v>30</v>
      </c>
      <c r="AS47" cm="1">
        <f t="array" ref="AS47">_xlfn.IFS(E47&lt;6,((E47/D47)*60)*0.5,AND(E47&gt;=6,E47&lt;9),((E47/D47)*60)*0.75,AND(E47&gt;=9,E47&lt;=11),((E47/D47)*60)*0.9,AND(E47=12),((E47/D47)*60)*1,AND(E47&gt;=13,E47&lt;=15),((E47/D47)*60)*1.2,AND(E47&gt;=16,E47&lt;=19),((E47/D47)*60)*1.5,E47&gt;=20,((E47/D47)*60)*1.8)</f>
        <v>10.306535569753073</v>
      </c>
      <c r="AT47" cm="1">
        <f t="array" ref="AT47">_xlfn.IFS(F47&lt;550,((F47/D47)*60)*0.5,AND(F47&gt;=550,F47&lt;575),((F47/D47)*60)*0.75,AND(F47&gt;=575,F47&lt;600),((F47/D47)*60)*0.9,AND(F47=600),((F47/D47)*60)*1,AND(F47&gt;=601,F47&lt;=625),((F47/D47)*60)*1.2,AND(F47&gt;=626,F47&lt;=650),((F47/D47)*60)*1.5,F47&gt;=651,((F47/D47)*60)*1.8)</f>
        <v>1219.9190283471364</v>
      </c>
      <c r="AU47">
        <f t="shared" si="11"/>
        <v>16.591666666199998</v>
      </c>
      <c r="AV47">
        <f t="shared" si="16"/>
        <v>495.4085588999958</v>
      </c>
      <c r="AW47">
        <f t="shared" si="12"/>
        <v>76.2</v>
      </c>
      <c r="AX47" t="str">
        <f t="shared" si="13"/>
        <v>Sep-2019</v>
      </c>
      <c r="AY47">
        <f>ROUNDUP(Table2[[#This Row],[Month]]/3,0)</f>
        <v>3</v>
      </c>
    </row>
    <row r="48" spans="1:51" x14ac:dyDescent="0.2">
      <c r="A48">
        <v>47</v>
      </c>
      <c r="B48">
        <f t="shared" si="0"/>
        <v>17</v>
      </c>
      <c r="C48" s="22">
        <v>43718</v>
      </c>
      <c r="D48">
        <f>SUM(Table2[[#This Row],[Gray Min]:[Red Min]])</f>
        <v>57.216666666999991</v>
      </c>
      <c r="E48">
        <v>16</v>
      </c>
      <c r="F48">
        <v>636</v>
      </c>
      <c r="G48">
        <v>128</v>
      </c>
      <c r="H48">
        <v>179</v>
      </c>
      <c r="I48">
        <v>13.516666667000001</v>
      </c>
      <c r="J48">
        <v>10.45</v>
      </c>
      <c r="K48">
        <v>17.649999999999999</v>
      </c>
      <c r="L48">
        <v>11.733333332999999</v>
      </c>
      <c r="M48">
        <v>3.8666666670000001</v>
      </c>
      <c r="N48" t="s">
        <v>24</v>
      </c>
      <c r="O48" t="s">
        <v>26</v>
      </c>
      <c r="P48" t="s">
        <v>28</v>
      </c>
      <c r="Q48">
        <f t="shared" si="14"/>
        <v>3</v>
      </c>
      <c r="R48" t="str">
        <f t="shared" si="1"/>
        <v>9-2019</v>
      </c>
      <c r="S48" t="s">
        <v>43</v>
      </c>
      <c r="T48" t="str">
        <f t="shared" si="2"/>
        <v>Tuesday</v>
      </c>
      <c r="U48">
        <f t="shared" si="3"/>
        <v>1</v>
      </c>
      <c r="V48" s="24">
        <f>IFERROR(Table2[[#This Row],[Gray Min]]/Table2[[#This Row],[ClassLength]],"")</f>
        <v>0.23623652782268437</v>
      </c>
      <c r="W48" s="24">
        <f>IFERROR(Table2[[#This Row],[Blue Min]]/Table2[[#This Row],[ClassLength]],"")</f>
        <v>0.18263909117283639</v>
      </c>
      <c r="X48" s="24">
        <f>IFERROR(Table2[[#This Row],[Green Min]]/Table2[[#This Row],[ClassLength]],"")</f>
        <v>0.30847655111967098</v>
      </c>
      <c r="Y48" s="24">
        <f>IFERROR(Table2[[#This Row],[Orange Min]]/Table2[[#This Row],[ClassLength]],"")</f>
        <v>0.20506845324086767</v>
      </c>
      <c r="Z48" s="24">
        <f>IFERROR(Table2[[#This Row],[Red Min]]/Table2[[#This Row],[ClassLength]],"")</f>
        <v>6.7579376643940703E-2</v>
      </c>
      <c r="AA48" s="25">
        <v>232.14</v>
      </c>
      <c r="AB48" s="25">
        <f t="shared" si="18"/>
        <v>13.655294117647058</v>
      </c>
      <c r="AC48" s="26">
        <f t="shared" si="4"/>
        <v>592.88235294117646</v>
      </c>
      <c r="AD48" s="26">
        <f t="shared" si="5"/>
        <v>13.647058823529411</v>
      </c>
      <c r="AE48">
        <f t="shared" si="6"/>
        <v>2019</v>
      </c>
      <c r="AG48">
        <v>12</v>
      </c>
      <c r="AH48" s="26">
        <f t="shared" si="7"/>
        <v>11.115642295303726</v>
      </c>
      <c r="AI48" t="str">
        <f t="shared" si="8"/>
        <v>PM</v>
      </c>
      <c r="AJ48" t="str">
        <f t="shared" si="9"/>
        <v>9-2019-2</v>
      </c>
      <c r="AK48">
        <f t="shared" si="10"/>
        <v>9</v>
      </c>
      <c r="AL48" s="26">
        <f>IFERROR(Table2[[#This Row],[Calories]]/Table2[[#This Row],[Splat]],"")</f>
        <v>39.75</v>
      </c>
      <c r="AM48">
        <f>COUNTIF(N$2:$N$938,N48)</f>
        <v>35</v>
      </c>
      <c r="AN48" t="str">
        <f>VLOOKUP(N48,'Helpful Tables'!A:D,4,FALSE)</f>
        <v>Virginia</v>
      </c>
      <c r="AO48" s="24">
        <f>COUNTIF(AN:AN,Table2[[#This Row],[State]])/COUNTA(AN:AN)</f>
        <v>5.6503198294243072E-2</v>
      </c>
      <c r="AP48">
        <f>VLOOKUP(N48,'Helpful Tables'!A:B,2,FALSE)</f>
        <v>38.881884999999997</v>
      </c>
      <c r="AQ48">
        <f>VLOOKUP(N48,'Helpful Tables'!A:C,3,FALSE)</f>
        <v>-77.229702000000003</v>
      </c>
      <c r="AR48">
        <f>COUNTIF(P$2:$P$938,P48)</f>
        <v>10</v>
      </c>
      <c r="AS48" cm="1">
        <f t="array" ref="AS48">_xlfn.IFS(E48&lt;6,((E48/D48)*60)*0.5,AND(E48&gt;=6,E48&lt;9),((E48/D48)*60)*0.75,AND(E48&gt;=9,E48&lt;=11),((E48/D48)*60)*0.9,AND(E48=12),((E48/D48)*60)*1,AND(E48&gt;=13,E48&lt;=15),((E48/D48)*60)*1.2,AND(E48&gt;=16,E48&lt;=19),((E48/D48)*60)*1.5,E48&gt;=20,((E48/D48)*60)*1.8)</f>
        <v>25.16749198936693</v>
      </c>
      <c r="AT48" cm="1">
        <f t="array" ref="AT48">_xlfn.IFS(F48&lt;550,((F48/D48)*60)*0.5,AND(F48&gt;=550,F48&lt;575),((F48/D48)*60)*0.75,AND(F48&gt;=575,F48&lt;600),((F48/D48)*60)*0.9,AND(F48=600),((F48/D48)*60)*1,AND(F48&gt;=601,F48&lt;=625),((F48/D48)*60)*1.2,AND(F48&gt;=626,F48&lt;=650),((F48/D48)*60)*1.5,F48&gt;=651,((F48/D48)*60)*1.8)</f>
        <v>1000.4078065773354</v>
      </c>
      <c r="AU48">
        <f t="shared" si="11"/>
        <v>14.518333332999994</v>
      </c>
      <c r="AV48">
        <f t="shared" si="16"/>
        <v>413.13378609328089</v>
      </c>
      <c r="AW48">
        <f t="shared" si="12"/>
        <v>59.599999999999994</v>
      </c>
      <c r="AX48" t="str">
        <f t="shared" si="13"/>
        <v>Sep-2019</v>
      </c>
      <c r="AY48">
        <f>ROUNDUP(Table2[[#This Row],[Month]]/3,0)</f>
        <v>3</v>
      </c>
    </row>
    <row r="49" spans="1:51" x14ac:dyDescent="0.2">
      <c r="A49">
        <v>48</v>
      </c>
      <c r="B49">
        <f t="shared" si="0"/>
        <v>17</v>
      </c>
      <c r="C49" s="22">
        <v>43719</v>
      </c>
      <c r="D49">
        <f>SUM(Table2[[#This Row],[Gray Min]:[Red Min]])</f>
        <v>55.266666666999996</v>
      </c>
      <c r="E49">
        <v>14</v>
      </c>
      <c r="F49">
        <v>588</v>
      </c>
      <c r="G49">
        <v>125</v>
      </c>
      <c r="H49">
        <v>169</v>
      </c>
      <c r="I49">
        <v>15.366666667000001</v>
      </c>
      <c r="J49">
        <v>12.8</v>
      </c>
      <c r="K49">
        <v>12.633333332999999</v>
      </c>
      <c r="L49">
        <v>12.466666667</v>
      </c>
      <c r="M49">
        <v>2</v>
      </c>
      <c r="N49" t="s">
        <v>40</v>
      </c>
      <c r="O49" t="s">
        <v>26</v>
      </c>
      <c r="P49" t="s">
        <v>37</v>
      </c>
      <c r="Q49">
        <f t="shared" si="14"/>
        <v>1</v>
      </c>
      <c r="R49" t="str">
        <f t="shared" si="1"/>
        <v>9-2019</v>
      </c>
      <c r="S49" t="s">
        <v>47</v>
      </c>
      <c r="T49" t="str">
        <f t="shared" si="2"/>
        <v>Wednesday</v>
      </c>
      <c r="U49">
        <f t="shared" si="3"/>
        <v>1</v>
      </c>
      <c r="V49" s="24">
        <f>IFERROR(Table2[[#This Row],[Gray Min]]/Table2[[#This Row],[ClassLength]],"")</f>
        <v>0.27804583836382363</v>
      </c>
      <c r="W49" s="24">
        <f>IFERROR(Table2[[#This Row],[Blue Min]]/Table2[[#This Row],[ClassLength]],"")</f>
        <v>0.23160434258002655</v>
      </c>
      <c r="X49" s="24">
        <f>IFERROR(Table2[[#This Row],[Green Min]]/Table2[[#This Row],[ClassLength]],"")</f>
        <v>0.2285886610299844</v>
      </c>
      <c r="Y49" s="24">
        <f>IFERROR(Table2[[#This Row],[Orange Min]]/Table2[[#This Row],[ClassLength]],"")</f>
        <v>0.22557297949803637</v>
      </c>
      <c r="Z49" s="24">
        <f>IFERROR(Table2[[#This Row],[Red Min]]/Table2[[#This Row],[ClassLength]],"")</f>
        <v>3.6188178528129146E-2</v>
      </c>
      <c r="AA49" s="25">
        <v>232.14</v>
      </c>
      <c r="AB49" s="25">
        <f t="shared" si="18"/>
        <v>13.655294117647058</v>
      </c>
      <c r="AC49" s="26">
        <f t="shared" si="4"/>
        <v>592.88235294117646</v>
      </c>
      <c r="AD49" s="26">
        <f t="shared" si="5"/>
        <v>13.647058823529411</v>
      </c>
      <c r="AE49">
        <f t="shared" si="6"/>
        <v>2019</v>
      </c>
      <c r="AG49">
        <v>12</v>
      </c>
      <c r="AH49" s="26">
        <f t="shared" si="7"/>
        <v>10.639324487269969</v>
      </c>
      <c r="AI49" t="str">
        <f t="shared" si="8"/>
        <v>PM</v>
      </c>
      <c r="AJ49" t="str">
        <f t="shared" si="9"/>
        <v>9-2019-2</v>
      </c>
      <c r="AK49">
        <f t="shared" si="10"/>
        <v>9</v>
      </c>
      <c r="AL49" s="26">
        <f>IFERROR(Table2[[#This Row],[Calories]]/Table2[[#This Row],[Splat]],"")</f>
        <v>42</v>
      </c>
      <c r="AM49">
        <f>COUNTIF(N$2:$N$938,N49)</f>
        <v>38</v>
      </c>
      <c r="AN49" t="str">
        <f>VLOOKUP(N49,'Helpful Tables'!A:D,4,FALSE)</f>
        <v>Washington, DC</v>
      </c>
      <c r="AO49" s="24">
        <f>COUNTIF(AN:AN,Table2[[#This Row],[State]])/COUNTA(AN:AN)</f>
        <v>0.54904051172707891</v>
      </c>
      <c r="AP49">
        <f>VLOOKUP(N49,'Helpful Tables'!A:B,2,FALSE)</f>
        <v>38.903509999999997</v>
      </c>
      <c r="AQ49">
        <f>VLOOKUP(N49,'Helpful Tables'!A:C,3,FALSE)</f>
        <v>-77.051809000000006</v>
      </c>
      <c r="AR49">
        <f>COUNTIF(P$2:$P$938,P49)</f>
        <v>12</v>
      </c>
      <c r="AS49" cm="1">
        <f t="array" ref="AS49">_xlfn.IFS(E49&lt;6,((E49/D49)*60)*0.5,AND(E49&gt;=6,E49&lt;9),((E49/D49)*60)*0.75,AND(E49&gt;=9,E49&lt;=11),((E49/D49)*60)*0.9,AND(E49=12),((E49/D49)*60)*1,AND(E49&gt;=13,E49&lt;=15),((E49/D49)*60)*1.2,AND(E49&gt;=16,E49&lt;=19),((E49/D49)*60)*1.5,E49&gt;=20,((E49/D49)*60)*1.8)</f>
        <v>18.238841978177089</v>
      </c>
      <c r="AT49" cm="1">
        <f t="array" ref="AT49">_xlfn.IFS(F49&lt;550,((F49/D49)*60)*0.5,AND(F49&gt;=550,F49&lt;575),((F49/D49)*60)*0.75,AND(F49&gt;=575,F49&lt;600),((F49/D49)*60)*0.9,AND(F49=600),((F49/D49)*60)*1,AND(F49&gt;=601,F49&lt;=625),((F49/D49)*60)*1.2,AND(F49&gt;=626,F49&lt;=650),((F49/D49)*60)*1.5,F49&gt;=651,((F49/D49)*60)*1.8)</f>
        <v>574.52352231257839</v>
      </c>
      <c r="AU49">
        <f t="shared" si="11"/>
        <v>1.8466666662999955</v>
      </c>
      <c r="AV49">
        <f t="shared" si="16"/>
        <v>237.4742790495622</v>
      </c>
      <c r="AW49">
        <f t="shared" si="12"/>
        <v>21.099999999999998</v>
      </c>
      <c r="AX49" t="str">
        <f t="shared" si="13"/>
        <v>Sep-2019</v>
      </c>
      <c r="AY49">
        <f>ROUNDUP(Table2[[#This Row],[Month]]/3,0)</f>
        <v>3</v>
      </c>
    </row>
    <row r="50" spans="1:51" x14ac:dyDescent="0.2">
      <c r="A50">
        <v>49</v>
      </c>
      <c r="B50">
        <f t="shared" si="0"/>
        <v>17</v>
      </c>
      <c r="C50" s="22">
        <v>43721</v>
      </c>
      <c r="D50">
        <f>SUM(Table2[[#This Row],[Gray Min]:[Red Min]])</f>
        <v>60.966666665999995</v>
      </c>
      <c r="E50">
        <v>14</v>
      </c>
      <c r="F50">
        <v>577</v>
      </c>
      <c r="G50">
        <v>117</v>
      </c>
      <c r="H50">
        <v>168</v>
      </c>
      <c r="I50">
        <v>24.75</v>
      </c>
      <c r="J50">
        <v>10.25</v>
      </c>
      <c r="K50">
        <v>12</v>
      </c>
      <c r="L50">
        <v>10.733333332999999</v>
      </c>
      <c r="M50">
        <v>3.233333333</v>
      </c>
      <c r="N50" t="s">
        <v>60</v>
      </c>
      <c r="O50" t="s">
        <v>39</v>
      </c>
      <c r="P50" t="s">
        <v>61</v>
      </c>
      <c r="Q50">
        <f t="shared" si="14"/>
        <v>2</v>
      </c>
      <c r="R50" t="str">
        <f t="shared" si="1"/>
        <v>9-2019</v>
      </c>
      <c r="S50" t="s">
        <v>47</v>
      </c>
      <c r="T50" t="str">
        <f t="shared" si="2"/>
        <v>Friday</v>
      </c>
      <c r="U50">
        <f t="shared" si="3"/>
        <v>1</v>
      </c>
      <c r="V50" s="24">
        <f>IFERROR(Table2[[#This Row],[Gray Min]]/Table2[[#This Row],[ClassLength]],"")</f>
        <v>0.40595954073707996</v>
      </c>
      <c r="W50" s="24">
        <f>IFERROR(Table2[[#This Row],[Blue Min]]/Table2[[#This Row],[ClassLength]],"")</f>
        <v>0.16812465828505332</v>
      </c>
      <c r="X50" s="24">
        <f>IFERROR(Table2[[#This Row],[Green Min]]/Table2[[#This Row],[ClassLength]],"")</f>
        <v>0.19682886823615997</v>
      </c>
      <c r="Y50" s="24">
        <f>IFERROR(Table2[[#This Row],[Orange Min]]/Table2[[#This Row],[ClassLength]],"")</f>
        <v>0.1760524876946534</v>
      </c>
      <c r="Z50" s="24">
        <f>IFERROR(Table2[[#This Row],[Red Min]]/Table2[[#This Row],[ClassLength]],"")</f>
        <v>5.3034445047053416E-2</v>
      </c>
      <c r="AA50" s="25">
        <v>232.14</v>
      </c>
      <c r="AB50" s="25">
        <f t="shared" si="18"/>
        <v>13.655294117647058</v>
      </c>
      <c r="AC50" s="26">
        <f t="shared" si="4"/>
        <v>592.88235294117646</v>
      </c>
      <c r="AD50" s="26">
        <f t="shared" si="5"/>
        <v>13.647058823529411</v>
      </c>
      <c r="AE50">
        <f t="shared" si="6"/>
        <v>2019</v>
      </c>
      <c r="AG50">
        <v>12</v>
      </c>
      <c r="AH50" s="26">
        <f t="shared" si="7"/>
        <v>9.4641880810220265</v>
      </c>
      <c r="AI50" t="str">
        <f t="shared" si="8"/>
        <v>PM</v>
      </c>
      <c r="AJ50" t="str">
        <f t="shared" si="9"/>
        <v>9-2019-2</v>
      </c>
      <c r="AK50">
        <f t="shared" si="10"/>
        <v>9</v>
      </c>
      <c r="AL50" s="26">
        <f>IFERROR(Table2[[#This Row],[Calories]]/Table2[[#This Row],[Splat]],"")</f>
        <v>41.214285714285715</v>
      </c>
      <c r="AM50">
        <f>COUNTIF(N$2:$N$938,N50)</f>
        <v>10</v>
      </c>
      <c r="AN50" t="str">
        <f>VLOOKUP(N50,'Helpful Tables'!A:D,4,FALSE)</f>
        <v>Washington, DC</v>
      </c>
      <c r="AO50" s="24">
        <f>COUNTIF(AN:AN,Table2[[#This Row],[State]])/COUNTA(AN:AN)</f>
        <v>0.54904051172707891</v>
      </c>
      <c r="AP50">
        <f>VLOOKUP(N50,'Helpful Tables'!A:B,2,FALSE)</f>
        <v>38.879828000000003</v>
      </c>
      <c r="AQ50">
        <f>VLOOKUP(N50,'Helpful Tables'!A:C,3,FALSE)</f>
        <v>-77.005566000000002</v>
      </c>
      <c r="AR50">
        <f>COUNTIF(P$2:$P$938,P50)</f>
        <v>9</v>
      </c>
      <c r="AS50" cm="1">
        <f t="array" ref="AS50">_xlfn.IFS(E50&lt;6,((E50/D50)*60)*0.5,AND(E50&gt;=6,E50&lt;9),((E50/D50)*60)*0.75,AND(E50&gt;=9,E50&lt;=11),((E50/D50)*60)*0.9,AND(E50=12),((E50/D50)*60)*1,AND(E50&gt;=13,E50&lt;=15),((E50/D50)*60)*1.2,AND(E50&gt;=16,E50&lt;=19),((E50/D50)*60)*1.5,E50&gt;=20,((E50/D50)*60)*1.8)</f>
        <v>16.533624931837437</v>
      </c>
      <c r="AT50" cm="1">
        <f t="array" ref="AT50">_xlfn.IFS(F50&lt;550,((F50/D50)*60)*0.5,AND(F50&gt;=550,F50&lt;575),((F50/D50)*60)*0.75,AND(F50&gt;=575,F50&lt;600),((F50/D50)*60)*0.9,AND(F50=600),((F50/D50)*60)*1,AND(F50&gt;=601,F50&lt;=625),((F50/D50)*60)*1.2,AND(F50&gt;=626,F50&lt;=650),((F50/D50)*60)*1.5,F50&gt;=651,((F50/D50)*60)*1.8)</f>
        <v>511.06615637518945</v>
      </c>
      <c r="AU50">
        <f t="shared" si="11"/>
        <v>-7.7716666676000035</v>
      </c>
      <c r="AV50">
        <f t="shared" si="16"/>
        <v>209.48557918929077</v>
      </c>
      <c r="AW50">
        <f t="shared" si="12"/>
        <v>13.8</v>
      </c>
      <c r="AX50" t="str">
        <f t="shared" si="13"/>
        <v>Sep-2019</v>
      </c>
      <c r="AY50">
        <f>ROUNDUP(Table2[[#This Row],[Month]]/3,0)</f>
        <v>3</v>
      </c>
    </row>
    <row r="51" spans="1:51" x14ac:dyDescent="0.2">
      <c r="A51">
        <v>50</v>
      </c>
      <c r="B51">
        <f t="shared" si="0"/>
        <v>17</v>
      </c>
      <c r="C51" s="22">
        <v>43722</v>
      </c>
      <c r="D51">
        <f>SUM(Table2[[#This Row],[Gray Min]:[Red Min]])</f>
        <v>57.366666666999997</v>
      </c>
      <c r="E51">
        <v>11</v>
      </c>
      <c r="F51">
        <v>633</v>
      </c>
      <c r="G51">
        <v>128</v>
      </c>
      <c r="H51">
        <v>167</v>
      </c>
      <c r="I51">
        <v>10.55</v>
      </c>
      <c r="J51">
        <v>14.066666667</v>
      </c>
      <c r="K51">
        <v>21.516666666999999</v>
      </c>
      <c r="L51">
        <v>10.333333333000001</v>
      </c>
      <c r="M51">
        <v>0.9</v>
      </c>
      <c r="N51" t="s">
        <v>33</v>
      </c>
      <c r="O51" t="s">
        <v>45</v>
      </c>
      <c r="P51" t="s">
        <v>37</v>
      </c>
      <c r="Q51">
        <f t="shared" si="14"/>
        <v>1</v>
      </c>
      <c r="R51" t="str">
        <f t="shared" si="1"/>
        <v>9-2019</v>
      </c>
      <c r="S51" t="s">
        <v>43</v>
      </c>
      <c r="T51" t="str">
        <f t="shared" si="2"/>
        <v>Saturday</v>
      </c>
      <c r="U51">
        <f t="shared" si="3"/>
        <v>0</v>
      </c>
      <c r="V51" s="24">
        <f>IFERROR(Table2[[#This Row],[Gray Min]]/Table2[[#This Row],[ClassLength]],"")</f>
        <v>0.18390470656488145</v>
      </c>
      <c r="W51" s="24">
        <f>IFERROR(Table2[[#This Row],[Blue Min]]/Table2[[#This Row],[ClassLength]],"")</f>
        <v>0.24520627542565249</v>
      </c>
      <c r="X51" s="24">
        <f>IFERROR(Table2[[#This Row],[Green Min]]/Table2[[#This Row],[ClassLength]],"")</f>
        <v>0.37507263219421805</v>
      </c>
      <c r="Y51" s="24">
        <f>IFERROR(Table2[[#This Row],[Orange Min]]/Table2[[#This Row],[ClassLength]],"")</f>
        <v>0.18012783264857568</v>
      </c>
      <c r="Z51" s="24">
        <f>IFERROR(Table2[[#This Row],[Red Min]]/Table2[[#This Row],[ClassLength]],"")</f>
        <v>1.568855316667235E-2</v>
      </c>
      <c r="AA51" s="25">
        <v>232.14</v>
      </c>
      <c r="AB51" s="25">
        <f t="shared" si="18"/>
        <v>13.655294117647058</v>
      </c>
      <c r="AC51" s="26">
        <f t="shared" si="4"/>
        <v>592.88235294117646</v>
      </c>
      <c r="AD51" s="26">
        <f t="shared" si="5"/>
        <v>13.647058823529411</v>
      </c>
      <c r="AE51">
        <f t="shared" si="6"/>
        <v>2019</v>
      </c>
      <c r="AG51">
        <v>12</v>
      </c>
      <c r="AH51" s="26">
        <f t="shared" si="7"/>
        <v>11.034282393892887</v>
      </c>
      <c r="AI51" t="str">
        <f t="shared" si="8"/>
        <v>AM</v>
      </c>
      <c r="AJ51" t="str">
        <f t="shared" si="9"/>
        <v>9-2019-2</v>
      </c>
      <c r="AK51">
        <f t="shared" si="10"/>
        <v>9</v>
      </c>
      <c r="AL51" s="26">
        <f>IFERROR(Table2[[#This Row],[Calories]]/Table2[[#This Row],[Splat]],"")</f>
        <v>57.545454545454547</v>
      </c>
      <c r="AM51">
        <f>COUNTIF(N$2:$N$938,N51)</f>
        <v>48</v>
      </c>
      <c r="AN51" t="str">
        <f>VLOOKUP(N51,'Helpful Tables'!A:D,4,FALSE)</f>
        <v>Washington, DC</v>
      </c>
      <c r="AO51" s="24">
        <f>COUNTIF(AN:AN,Table2[[#This Row],[State]])/COUNTA(AN:AN)</f>
        <v>0.54904051172707891</v>
      </c>
      <c r="AP51">
        <f>VLOOKUP(N51,'Helpful Tables'!A:B,2,FALSE)</f>
        <v>38.916486999999996</v>
      </c>
      <c r="AQ51">
        <f>VLOOKUP(N51,'Helpful Tables'!A:C,3,FALSE)</f>
        <v>-77.031514000000001</v>
      </c>
      <c r="AR51">
        <f>COUNTIF(P$2:$P$938,P51)</f>
        <v>12</v>
      </c>
      <c r="AS51" cm="1">
        <f t="array" ref="AS51">_xlfn.IFS(E51&lt;6,((E51/D51)*60)*0.5,AND(E51&gt;=6,E51&lt;9),((E51/D51)*60)*0.75,AND(E51&gt;=9,E51&lt;=11),((E51/D51)*60)*0.9,AND(E51=12),((E51/D51)*60)*1,AND(E51&gt;=13,E51&lt;=15),((E51/D51)*60)*1.2,AND(E51&gt;=16,E51&lt;=19),((E51/D51)*60)*1.5,E51&gt;=20,((E51/D51)*60)*1.8)</f>
        <v>10.354445090003752</v>
      </c>
      <c r="AT51" cm="1">
        <f t="array" ref="AT51">_xlfn.IFS(F51&lt;550,((F51/D51)*60)*0.5,AND(F51&gt;=550,F51&lt;575),((F51/D51)*60)*0.75,AND(F51&gt;=575,F51&lt;600),((F51/D51)*60)*0.9,AND(F51=600),((F51/D51)*60)*1,AND(F51&gt;=601,F51&lt;=625),((F51/D51)*60)*1.2,AND(F51&gt;=626,F51&lt;=650),((F51/D51)*60)*1.5,F51&gt;=651,((F51/D51)*60)*1.8)</f>
        <v>993.08541545035996</v>
      </c>
      <c r="AU51">
        <f t="shared" si="11"/>
        <v>12.469999999599997</v>
      </c>
      <c r="AV51">
        <f t="shared" si="16"/>
        <v>403.86994421606551</v>
      </c>
      <c r="AW51">
        <f t="shared" si="12"/>
        <v>55.600000000000009</v>
      </c>
      <c r="AX51" t="str">
        <f t="shared" si="13"/>
        <v>Sep-2019</v>
      </c>
      <c r="AY51">
        <f>ROUNDUP(Table2[[#This Row],[Month]]/3,0)</f>
        <v>3</v>
      </c>
    </row>
    <row r="52" spans="1:51" x14ac:dyDescent="0.2">
      <c r="A52">
        <v>51</v>
      </c>
      <c r="B52">
        <f t="shared" si="0"/>
        <v>17</v>
      </c>
      <c r="C52" s="22">
        <v>43725</v>
      </c>
      <c r="D52">
        <f>SUM(Table2[[#This Row],[Gray Min]:[Red Min]])</f>
        <v>58</v>
      </c>
      <c r="E52">
        <v>8</v>
      </c>
      <c r="F52">
        <v>574</v>
      </c>
      <c r="G52">
        <v>120</v>
      </c>
      <c r="H52">
        <v>167</v>
      </c>
      <c r="I52">
        <v>19.883333332999999</v>
      </c>
      <c r="J52">
        <v>13.466666667</v>
      </c>
      <c r="K52">
        <v>16.816666667</v>
      </c>
      <c r="L52">
        <v>6.3333333329999997</v>
      </c>
      <c r="M52">
        <v>1.5</v>
      </c>
      <c r="N52" t="s">
        <v>24</v>
      </c>
      <c r="O52" t="s">
        <v>26</v>
      </c>
      <c r="P52" t="s">
        <v>28</v>
      </c>
      <c r="Q52">
        <f t="shared" si="14"/>
        <v>3</v>
      </c>
      <c r="R52" t="str">
        <f t="shared" si="1"/>
        <v>9-2019</v>
      </c>
      <c r="S52" t="s">
        <v>43</v>
      </c>
      <c r="T52" t="str">
        <f t="shared" si="2"/>
        <v>Tuesday</v>
      </c>
      <c r="U52">
        <f t="shared" si="3"/>
        <v>0</v>
      </c>
      <c r="V52" s="24">
        <f>IFERROR(Table2[[#This Row],[Gray Min]]/Table2[[#This Row],[ClassLength]],"")</f>
        <v>0.34281609194827584</v>
      </c>
      <c r="W52" s="24">
        <f>IFERROR(Table2[[#This Row],[Blue Min]]/Table2[[#This Row],[ClassLength]],"")</f>
        <v>0.23218390805172415</v>
      </c>
      <c r="X52" s="24">
        <f>IFERROR(Table2[[#This Row],[Green Min]]/Table2[[#This Row],[ClassLength]],"")</f>
        <v>0.28994252874137932</v>
      </c>
      <c r="Y52" s="24">
        <f>IFERROR(Table2[[#This Row],[Orange Min]]/Table2[[#This Row],[ClassLength]],"")</f>
        <v>0.10919540229310344</v>
      </c>
      <c r="Z52" s="24">
        <f>IFERROR(Table2[[#This Row],[Red Min]]/Table2[[#This Row],[ClassLength]],"")</f>
        <v>2.5862068965517241E-2</v>
      </c>
      <c r="AA52" s="25">
        <v>232.14</v>
      </c>
      <c r="AB52" s="25">
        <f t="shared" si="18"/>
        <v>13.655294117647058</v>
      </c>
      <c r="AC52" s="26">
        <f t="shared" si="4"/>
        <v>592.88235294117646</v>
      </c>
      <c r="AD52" s="26">
        <f t="shared" si="5"/>
        <v>13.647058823529411</v>
      </c>
      <c r="AE52">
        <f t="shared" si="6"/>
        <v>2019</v>
      </c>
      <c r="AG52">
        <v>12</v>
      </c>
      <c r="AH52" s="26">
        <f t="shared" si="7"/>
        <v>9.8965517241379306</v>
      </c>
      <c r="AI52" t="str">
        <f t="shared" si="8"/>
        <v>PM</v>
      </c>
      <c r="AJ52" t="str">
        <f t="shared" si="9"/>
        <v>9-2019-3</v>
      </c>
      <c r="AK52">
        <f t="shared" si="10"/>
        <v>9</v>
      </c>
      <c r="AL52" s="26">
        <f>IFERROR(Table2[[#This Row],[Calories]]/Table2[[#This Row],[Splat]],"")</f>
        <v>71.75</v>
      </c>
      <c r="AM52">
        <f>COUNTIF(N$2:$N$938,N52)</f>
        <v>35</v>
      </c>
      <c r="AN52" t="str">
        <f>VLOOKUP(N52,'Helpful Tables'!A:D,4,FALSE)</f>
        <v>Virginia</v>
      </c>
      <c r="AO52" s="24">
        <f>COUNTIF(AN:AN,Table2[[#This Row],[State]])/COUNTA(AN:AN)</f>
        <v>5.6503198294243072E-2</v>
      </c>
      <c r="AP52">
        <f>VLOOKUP(N52,'Helpful Tables'!A:B,2,FALSE)</f>
        <v>38.881884999999997</v>
      </c>
      <c r="AQ52">
        <f>VLOOKUP(N52,'Helpful Tables'!A:C,3,FALSE)</f>
        <v>-77.229702000000003</v>
      </c>
      <c r="AR52">
        <f>COUNTIF(P$2:$P$938,P52)</f>
        <v>10</v>
      </c>
      <c r="AS52" cm="1">
        <f t="array" ref="AS52">_xlfn.IFS(E52&lt;6,((E52/D52)*60)*0.5,AND(E52&gt;=6,E52&lt;9),((E52/D52)*60)*0.75,AND(E52&gt;=9,E52&lt;=11),((E52/D52)*60)*0.9,AND(E52=12),((E52/D52)*60)*1,AND(E52&gt;=13,E52&lt;=15),((E52/D52)*60)*1.2,AND(E52&gt;=16,E52&lt;=19),((E52/D52)*60)*1.5,E52&gt;=20,((E52/D52)*60)*1.8)</f>
        <v>6.2068965517241388</v>
      </c>
      <c r="AT52" cm="1">
        <f t="array" ref="AT52">_xlfn.IFS(F52&lt;550,((F52/D52)*60)*0.5,AND(F52&gt;=550,F52&lt;575),((F52/D52)*60)*0.75,AND(F52&gt;=575,F52&lt;600),((F52/D52)*60)*0.9,AND(F52=600),((F52/D52)*60)*1,AND(F52&gt;=601,F52&lt;=625),((F52/D52)*60)*1.2,AND(F52&gt;=626,F52&lt;=650),((F52/D52)*60)*1.5,F52&gt;=651,((F52/D52)*60)*1.8)</f>
        <v>445.34482758620686</v>
      </c>
      <c r="AU52">
        <f t="shared" si="11"/>
        <v>-8.0100000000000016</v>
      </c>
      <c r="AV52">
        <f t="shared" si="16"/>
        <v>179.01868965517241</v>
      </c>
      <c r="AW52">
        <f t="shared" si="12"/>
        <v>10.4</v>
      </c>
      <c r="AX52" t="str">
        <f t="shared" si="13"/>
        <v>Sep-2019</v>
      </c>
      <c r="AY52">
        <f>ROUNDUP(Table2[[#This Row],[Month]]/3,0)</f>
        <v>3</v>
      </c>
    </row>
    <row r="53" spans="1:51" x14ac:dyDescent="0.2">
      <c r="A53">
        <v>52</v>
      </c>
      <c r="B53">
        <f t="shared" si="0"/>
        <v>17</v>
      </c>
      <c r="C53" s="22">
        <v>43726</v>
      </c>
      <c r="D53">
        <f>SUM(Table2[[#This Row],[Gray Min]:[Red Min]])</f>
        <v>56.550000000000004</v>
      </c>
      <c r="E53">
        <v>17</v>
      </c>
      <c r="F53">
        <v>554</v>
      </c>
      <c r="G53">
        <v>119</v>
      </c>
      <c r="H53">
        <v>166</v>
      </c>
      <c r="I53">
        <v>24.6</v>
      </c>
      <c r="J53">
        <v>7.1</v>
      </c>
      <c r="K53">
        <v>7.65</v>
      </c>
      <c r="L53">
        <v>15.183333333</v>
      </c>
      <c r="M53">
        <v>2.016666667</v>
      </c>
      <c r="N53" t="s">
        <v>40</v>
      </c>
      <c r="O53" t="s">
        <v>26</v>
      </c>
      <c r="P53" t="s">
        <v>37</v>
      </c>
      <c r="Q53">
        <f t="shared" si="14"/>
        <v>1</v>
      </c>
      <c r="R53" t="str">
        <f t="shared" si="1"/>
        <v>9-2019</v>
      </c>
      <c r="S53" t="s">
        <v>47</v>
      </c>
      <c r="T53" t="str">
        <f t="shared" si="2"/>
        <v>Wednesday</v>
      </c>
      <c r="U53">
        <f t="shared" si="3"/>
        <v>1</v>
      </c>
      <c r="V53" s="24">
        <f>IFERROR(Table2[[#This Row],[Gray Min]]/Table2[[#This Row],[ClassLength]],"")</f>
        <v>0.43501326259946949</v>
      </c>
      <c r="W53" s="24">
        <f>IFERROR(Table2[[#This Row],[Blue Min]]/Table2[[#This Row],[ClassLength]],"")</f>
        <v>0.125552608311229</v>
      </c>
      <c r="X53" s="24">
        <f>IFERROR(Table2[[#This Row],[Green Min]]/Table2[[#This Row],[ClassLength]],"")</f>
        <v>0.13527851458885942</v>
      </c>
      <c r="Y53" s="24">
        <f>IFERROR(Table2[[#This Row],[Orange Min]]/Table2[[#This Row],[ClassLength]],"")</f>
        <v>0.26849395814323607</v>
      </c>
      <c r="Z53" s="24">
        <f>IFERROR(Table2[[#This Row],[Red Min]]/Table2[[#This Row],[ClassLength]],"")</f>
        <v>3.5661656357206008E-2</v>
      </c>
      <c r="AA53" s="25">
        <v>232.14</v>
      </c>
      <c r="AB53" s="25">
        <f t="shared" si="18"/>
        <v>13.655294117647058</v>
      </c>
      <c r="AC53" s="26">
        <f t="shared" si="4"/>
        <v>592.88235294117646</v>
      </c>
      <c r="AD53" s="26">
        <f t="shared" si="5"/>
        <v>13.647058823529411</v>
      </c>
      <c r="AE53">
        <f t="shared" si="6"/>
        <v>2019</v>
      </c>
      <c r="AG53">
        <v>12</v>
      </c>
      <c r="AH53" s="26">
        <f t="shared" si="7"/>
        <v>9.7966401414677264</v>
      </c>
      <c r="AI53" t="str">
        <f t="shared" si="8"/>
        <v>PM</v>
      </c>
      <c r="AJ53" t="str">
        <f t="shared" si="9"/>
        <v>9-2019-3</v>
      </c>
      <c r="AK53">
        <f t="shared" si="10"/>
        <v>9</v>
      </c>
      <c r="AL53" s="26">
        <f>IFERROR(Table2[[#This Row],[Calories]]/Table2[[#This Row],[Splat]],"")</f>
        <v>32.588235294117645</v>
      </c>
      <c r="AM53">
        <f>COUNTIF(N$2:$N$938,N53)</f>
        <v>38</v>
      </c>
      <c r="AN53" t="str">
        <f>VLOOKUP(N53,'Helpful Tables'!A:D,4,FALSE)</f>
        <v>Washington, DC</v>
      </c>
      <c r="AO53" s="24">
        <f>COUNTIF(AN:AN,Table2[[#This Row],[State]])/COUNTA(AN:AN)</f>
        <v>0.54904051172707891</v>
      </c>
      <c r="AP53">
        <f>VLOOKUP(N53,'Helpful Tables'!A:B,2,FALSE)</f>
        <v>38.903509999999997</v>
      </c>
      <c r="AQ53">
        <f>VLOOKUP(N53,'Helpful Tables'!A:C,3,FALSE)</f>
        <v>-77.051809000000006</v>
      </c>
      <c r="AR53">
        <f>COUNTIF(P$2:$P$938,P53)</f>
        <v>12</v>
      </c>
      <c r="AS53" cm="1">
        <f t="array" ref="AS53">_xlfn.IFS(E53&lt;6,((E53/D53)*60)*0.5,AND(E53&gt;=6,E53&lt;9),((E53/D53)*60)*0.75,AND(E53&gt;=9,E53&lt;=11),((E53/D53)*60)*0.9,AND(E53=12),((E53/D53)*60)*1,AND(E53&gt;=13,E53&lt;=15),((E53/D53)*60)*1.2,AND(E53&gt;=16,E53&lt;=19),((E53/D53)*60)*1.5,E53&gt;=20,((E53/D53)*60)*1.8)</f>
        <v>27.055702917771885</v>
      </c>
      <c r="AT53" cm="1">
        <f t="array" ref="AT53">_xlfn.IFS(F53&lt;550,((F53/D53)*60)*0.5,AND(F53&gt;=550,F53&lt;575),((F53/D53)*60)*0.75,AND(F53&gt;=575,F53&lt;600),((F53/D53)*60)*0.9,AND(F53=600),((F53/D53)*60)*1,AND(F53&gt;=601,F53&lt;=625),((F53/D53)*60)*1.2,AND(F53&gt;=626,F53&lt;=650),((F53/D53)*60)*1.5,F53&gt;=651,((F53/D53)*60)*1.8)</f>
        <v>440.84880636604771</v>
      </c>
      <c r="AU53">
        <f t="shared" si="11"/>
        <v>-5.3866666665999965</v>
      </c>
      <c r="AV53">
        <f t="shared" si="16"/>
        <v>186.08447038020782</v>
      </c>
      <c r="AW53">
        <f t="shared" si="12"/>
        <v>11.899999999999999</v>
      </c>
      <c r="AX53" t="str">
        <f t="shared" si="13"/>
        <v>Sep-2019</v>
      </c>
      <c r="AY53">
        <f>ROUNDUP(Table2[[#This Row],[Month]]/3,0)</f>
        <v>3</v>
      </c>
    </row>
    <row r="54" spans="1:51" x14ac:dyDescent="0.2">
      <c r="A54">
        <v>53</v>
      </c>
      <c r="B54">
        <f t="shared" si="0"/>
        <v>17</v>
      </c>
      <c r="C54" s="22">
        <v>43728</v>
      </c>
      <c r="D54">
        <f>SUM(Table2[[#This Row],[Gray Min]:[Red Min]])</f>
        <v>51.98333333299999</v>
      </c>
      <c r="E54">
        <v>15</v>
      </c>
      <c r="F54">
        <v>553</v>
      </c>
      <c r="G54">
        <v>125</v>
      </c>
      <c r="H54">
        <v>166</v>
      </c>
      <c r="I54">
        <v>14.2</v>
      </c>
      <c r="J54">
        <v>15.166666666999999</v>
      </c>
      <c r="K54">
        <v>8.0833333330000006</v>
      </c>
      <c r="L54">
        <v>8.9833333329999991</v>
      </c>
      <c r="M54">
        <v>5.55</v>
      </c>
      <c r="N54" t="s">
        <v>55</v>
      </c>
      <c r="O54" t="s">
        <v>39</v>
      </c>
      <c r="P54" t="s">
        <v>62</v>
      </c>
      <c r="Q54">
        <f t="shared" si="14"/>
        <v>2</v>
      </c>
      <c r="R54" t="str">
        <f t="shared" si="1"/>
        <v>9-2019</v>
      </c>
      <c r="S54" t="s">
        <v>47</v>
      </c>
      <c r="T54" t="str">
        <f t="shared" si="2"/>
        <v>Friday</v>
      </c>
      <c r="U54">
        <f t="shared" si="3"/>
        <v>1</v>
      </c>
      <c r="V54" s="24">
        <f>IFERROR(Table2[[#This Row],[Gray Min]]/Table2[[#This Row],[ClassLength]],"")</f>
        <v>0.2731644757952752</v>
      </c>
      <c r="W54" s="24">
        <f>IFERROR(Table2[[#This Row],[Blue Min]]/Table2[[#This Row],[ClassLength]],"")</f>
        <v>0.29176017955300909</v>
      </c>
      <c r="X54" s="24">
        <f>IFERROR(Table2[[#This Row],[Green Min]]/Table2[[#This Row],[ClassLength]],"")</f>
        <v>0.15549855722446621</v>
      </c>
      <c r="Y54" s="24">
        <f>IFERROR(Table2[[#This Row],[Orange Min]]/Table2[[#This Row],[ClassLength]],"")</f>
        <v>0.17281179864811039</v>
      </c>
      <c r="Z54" s="24">
        <f>IFERROR(Table2[[#This Row],[Red Min]]/Table2[[#This Row],[ClassLength]],"")</f>
        <v>0.10676498877913926</v>
      </c>
      <c r="AA54" s="25">
        <v>232.14</v>
      </c>
      <c r="AB54" s="25">
        <f t="shared" si="18"/>
        <v>13.655294117647058</v>
      </c>
      <c r="AC54" s="26">
        <f t="shared" si="4"/>
        <v>592.88235294117646</v>
      </c>
      <c r="AD54" s="26">
        <f t="shared" si="5"/>
        <v>13.647058823529411</v>
      </c>
      <c r="AE54">
        <f t="shared" si="6"/>
        <v>2019</v>
      </c>
      <c r="AG54">
        <v>12</v>
      </c>
      <c r="AH54" s="26">
        <f t="shared" si="7"/>
        <v>10.638025008083606</v>
      </c>
      <c r="AI54" t="str">
        <f t="shared" si="8"/>
        <v>PM</v>
      </c>
      <c r="AJ54" t="str">
        <f t="shared" si="9"/>
        <v>9-2019-3</v>
      </c>
      <c r="AK54">
        <f t="shared" si="10"/>
        <v>9</v>
      </c>
      <c r="AL54" s="26">
        <f>IFERROR(Table2[[#This Row],[Calories]]/Table2[[#This Row],[Splat]],"")</f>
        <v>36.866666666666667</v>
      </c>
      <c r="AM54">
        <f>COUNTIF(N$2:$N$938,N54)</f>
        <v>3</v>
      </c>
      <c r="AN54" t="str">
        <f>VLOOKUP(N54,'Helpful Tables'!A:D,4,FALSE)</f>
        <v>Washington, DC</v>
      </c>
      <c r="AO54" s="24">
        <f>COUNTIF(AN:AN,Table2[[#This Row],[State]])/COUNTA(AN:AN)</f>
        <v>0.54904051172707891</v>
      </c>
      <c r="AP54">
        <f>VLOOKUP(N54,'Helpful Tables'!A:B,2,FALSE)</f>
        <v>38.901815999999997</v>
      </c>
      <c r="AQ54">
        <f>VLOOKUP(N54,'Helpful Tables'!A:C,3,FALSE)</f>
        <v>-77.017055999999997</v>
      </c>
      <c r="AR54">
        <f>COUNTIF(P$2:$P$938,P54)</f>
        <v>2</v>
      </c>
      <c r="AS54" cm="1">
        <f t="array" ref="AS54">_xlfn.IFS(E54&lt;6,((E54/D54)*60)*0.5,AND(E54&gt;=6,E54&lt;9),((E54/D54)*60)*0.75,AND(E54&gt;=9,E54&lt;=11),((E54/D54)*60)*0.9,AND(E54=12),((E54/D54)*60)*1,AND(E54&gt;=13,E54&lt;=15),((E54/D54)*60)*1.2,AND(E54&gt;=16,E54&lt;=19),((E54/D54)*60)*1.5,E54&gt;=20,((E54/D54)*60)*1.8)</f>
        <v>20.775889708373043</v>
      </c>
      <c r="AT54" cm="1">
        <f t="array" ref="AT54">_xlfn.IFS(F54&lt;550,((F54/D54)*60)*0.5,AND(F54&gt;=550,F54&lt;575),((F54/D54)*60)*0.75,AND(F54&gt;=575,F54&lt;600),((F54/D54)*60)*0.9,AND(F54=600),((F54/D54)*60)*1,AND(F54&gt;=601,F54&lt;=625),((F54/D54)*60)*1.2,AND(F54&gt;=626,F54&lt;=650),((F54/D54)*60)*1.5,F54&gt;=651,((F54/D54)*60)*1.8)</f>
        <v>478.71112536376222</v>
      </c>
      <c r="AU54">
        <f t="shared" si="11"/>
        <v>-4.0200000011999961</v>
      </c>
      <c r="AV54">
        <f t="shared" si="16"/>
        <v>198.99080602861412</v>
      </c>
      <c r="AW54">
        <f t="shared" si="12"/>
        <v>12.9</v>
      </c>
      <c r="AX54" t="str">
        <f t="shared" si="13"/>
        <v>Sep-2019</v>
      </c>
      <c r="AY54">
        <f>ROUNDUP(Table2[[#This Row],[Month]]/3,0)</f>
        <v>3</v>
      </c>
    </row>
    <row r="55" spans="1:51" x14ac:dyDescent="0.2">
      <c r="A55">
        <v>54</v>
      </c>
      <c r="B55">
        <f t="shared" si="0"/>
        <v>17</v>
      </c>
      <c r="C55" s="22">
        <v>43729</v>
      </c>
      <c r="D55">
        <f>SUM(Table2[[#This Row],[Gray Min]:[Red Min]])</f>
        <v>56.683333333</v>
      </c>
      <c r="E55">
        <v>18</v>
      </c>
      <c r="F55">
        <v>664</v>
      </c>
      <c r="G55">
        <v>132</v>
      </c>
      <c r="H55">
        <v>171</v>
      </c>
      <c r="I55">
        <v>5.6</v>
      </c>
      <c r="J55">
        <v>17.95</v>
      </c>
      <c r="K55">
        <v>15.516666667000001</v>
      </c>
      <c r="L55">
        <v>15.983333332999999</v>
      </c>
      <c r="M55">
        <v>1.6333333329999999</v>
      </c>
      <c r="N55" t="s">
        <v>33</v>
      </c>
      <c r="O55" t="s">
        <v>45</v>
      </c>
      <c r="P55" t="s">
        <v>34</v>
      </c>
      <c r="Q55">
        <f t="shared" si="14"/>
        <v>1</v>
      </c>
      <c r="R55" t="str">
        <f t="shared" si="1"/>
        <v>9-2019</v>
      </c>
      <c r="S55" t="s">
        <v>43</v>
      </c>
      <c r="T55" t="str">
        <f t="shared" si="2"/>
        <v>Saturday</v>
      </c>
      <c r="U55">
        <f t="shared" si="3"/>
        <v>1</v>
      </c>
      <c r="V55" s="24">
        <f>IFERROR(Table2[[#This Row],[Gray Min]]/Table2[[#This Row],[ClassLength]],"")</f>
        <v>9.8794472214635651E-2</v>
      </c>
      <c r="W55" s="24">
        <f>IFERROR(Table2[[#This Row],[Blue Min]]/Table2[[#This Row],[ClassLength]],"")</f>
        <v>0.31667156718798395</v>
      </c>
      <c r="X55" s="24">
        <f>IFERROR(Table2[[#This Row],[Green Min]]/Table2[[#This Row],[ClassLength]],"")</f>
        <v>0.27374301676726698</v>
      </c>
      <c r="Y55" s="24">
        <f>IFERROR(Table2[[#This Row],[Orange Min]]/Table2[[#This Row],[ClassLength]],"")</f>
        <v>0.28197588944005864</v>
      </c>
      <c r="Z55" s="24">
        <f>IFERROR(Table2[[#This Row],[Red Min]]/Table2[[#This Row],[ClassLength]],"")</f>
        <v>2.8815054390054776E-2</v>
      </c>
      <c r="AA55" s="25">
        <v>232.14</v>
      </c>
      <c r="AB55" s="25">
        <f t="shared" si="18"/>
        <v>13.655294117647058</v>
      </c>
      <c r="AC55" s="26">
        <f t="shared" si="4"/>
        <v>592.88235294117646</v>
      </c>
      <c r="AD55" s="26">
        <f t="shared" si="5"/>
        <v>13.647058823529411</v>
      </c>
      <c r="AE55">
        <f t="shared" si="6"/>
        <v>2019</v>
      </c>
      <c r="AG55">
        <v>12</v>
      </c>
      <c r="AH55" s="26">
        <f t="shared" si="7"/>
        <v>11.714201705449657</v>
      </c>
      <c r="AI55" t="str">
        <f t="shared" si="8"/>
        <v>AM</v>
      </c>
      <c r="AJ55" t="str">
        <f t="shared" si="9"/>
        <v>9-2019-3</v>
      </c>
      <c r="AK55">
        <f t="shared" si="10"/>
        <v>9</v>
      </c>
      <c r="AL55" s="26">
        <f>IFERROR(Table2[[#This Row],[Calories]]/Table2[[#This Row],[Splat]],"")</f>
        <v>36.888888888888886</v>
      </c>
      <c r="AM55">
        <f>COUNTIF(N$2:$N$938,N55)</f>
        <v>48</v>
      </c>
      <c r="AN55" t="str">
        <f>VLOOKUP(N55,'Helpful Tables'!A:D,4,FALSE)</f>
        <v>Washington, DC</v>
      </c>
      <c r="AO55" s="24">
        <f>COUNTIF(AN:AN,Table2[[#This Row],[State]])/COUNTA(AN:AN)</f>
        <v>0.54904051172707891</v>
      </c>
      <c r="AP55">
        <f>VLOOKUP(N55,'Helpful Tables'!A:B,2,FALSE)</f>
        <v>38.916486999999996</v>
      </c>
      <c r="AQ55">
        <f>VLOOKUP(N55,'Helpful Tables'!A:C,3,FALSE)</f>
        <v>-77.031514000000001</v>
      </c>
      <c r="AR55">
        <f>COUNTIF(P$2:$P$938,P55)</f>
        <v>30</v>
      </c>
      <c r="AS55" cm="1">
        <f t="array" ref="AS55">_xlfn.IFS(E55&lt;6,((E55/D55)*60)*0.5,AND(E55&gt;=6,E55&lt;9),((E55/D55)*60)*0.75,AND(E55&gt;=9,E55&lt;=11),((E55/D55)*60)*0.9,AND(E55=12),((E55/D55)*60)*1,AND(E55&gt;=13,E55&lt;=15),((E55/D55)*60)*1.2,AND(E55&gt;=16,E55&lt;=19),((E55/D55)*60)*1.5,E55&gt;=20,((E55/D55)*60)*1.8)</f>
        <v>28.579829462091027</v>
      </c>
      <c r="AT55" cm="1">
        <f t="array" ref="AT55">_xlfn.IFS(F55&lt;550,((F55/D55)*60)*0.5,AND(F55&gt;=550,F55&lt;575),((F55/D55)*60)*0.75,AND(F55&gt;=575,F55&lt;600),((F55/D55)*60)*0.9,AND(F55=600),((F55/D55)*60)*1,AND(F55&gt;=601,F55&lt;=625),((F55/D55)*60)*1.2,AND(F55&gt;=626,F55&lt;=650),((F55/D55)*60)*1.5,F55&gt;=651,((F55/D55)*60)*1.8)</f>
        <v>1265.1337841885629</v>
      </c>
      <c r="AU55">
        <f t="shared" si="11"/>
        <v>15.383333332800003</v>
      </c>
      <c r="AV55">
        <f t="shared" si="16"/>
        <v>520.56211212682149</v>
      </c>
      <c r="AW55">
        <f t="shared" si="12"/>
        <v>90.4</v>
      </c>
      <c r="AX55" t="str">
        <f t="shared" si="13"/>
        <v>Sep-2019</v>
      </c>
      <c r="AY55">
        <f>ROUNDUP(Table2[[#This Row],[Month]]/3,0)</f>
        <v>3</v>
      </c>
    </row>
    <row r="56" spans="1:51" x14ac:dyDescent="0.2">
      <c r="A56">
        <v>55</v>
      </c>
      <c r="B56">
        <f t="shared" si="0"/>
        <v>17</v>
      </c>
      <c r="C56" s="22">
        <v>43732</v>
      </c>
      <c r="D56">
        <f>SUM(Table2[[#This Row],[Gray Min]:[Red Min]])</f>
        <v>58.5</v>
      </c>
      <c r="E56">
        <v>10</v>
      </c>
      <c r="F56">
        <v>587</v>
      </c>
      <c r="G56">
        <v>121</v>
      </c>
      <c r="H56">
        <v>166</v>
      </c>
      <c r="I56">
        <v>19.866666667000001</v>
      </c>
      <c r="J56">
        <v>10.75</v>
      </c>
      <c r="K56">
        <v>17.433333333</v>
      </c>
      <c r="L56">
        <v>9.0333333329999999</v>
      </c>
      <c r="M56">
        <v>1.4166666670000001</v>
      </c>
      <c r="N56" t="s">
        <v>24</v>
      </c>
      <c r="O56" t="s">
        <v>26</v>
      </c>
      <c r="P56" t="s">
        <v>28</v>
      </c>
      <c r="Q56">
        <f t="shared" si="14"/>
        <v>3</v>
      </c>
      <c r="R56" t="str">
        <f t="shared" si="1"/>
        <v>9-2019</v>
      </c>
      <c r="S56" t="s">
        <v>47</v>
      </c>
      <c r="T56" t="str">
        <f t="shared" si="2"/>
        <v>Tuesday</v>
      </c>
      <c r="U56">
        <f t="shared" si="3"/>
        <v>0</v>
      </c>
      <c r="V56" s="24">
        <f>IFERROR(Table2[[#This Row],[Gray Min]]/Table2[[#This Row],[ClassLength]],"")</f>
        <v>0.33960113960683763</v>
      </c>
      <c r="W56" s="24">
        <f>IFERROR(Table2[[#This Row],[Blue Min]]/Table2[[#This Row],[ClassLength]],"")</f>
        <v>0.18376068376068377</v>
      </c>
      <c r="X56" s="24">
        <f>IFERROR(Table2[[#This Row],[Green Min]]/Table2[[#This Row],[ClassLength]],"")</f>
        <v>0.29800569799999999</v>
      </c>
      <c r="Y56" s="24">
        <f>IFERROR(Table2[[#This Row],[Orange Min]]/Table2[[#This Row],[ClassLength]],"")</f>
        <v>0.15441595441025641</v>
      </c>
      <c r="Z56" s="24">
        <f>IFERROR(Table2[[#This Row],[Red Min]]/Table2[[#This Row],[ClassLength]],"")</f>
        <v>2.4216524222222223E-2</v>
      </c>
      <c r="AA56" s="25">
        <v>232.14</v>
      </c>
      <c r="AB56" s="25">
        <f t="shared" si="18"/>
        <v>13.655294117647058</v>
      </c>
      <c r="AC56" s="26">
        <f t="shared" si="4"/>
        <v>592.88235294117646</v>
      </c>
      <c r="AD56" s="26">
        <f t="shared" si="5"/>
        <v>13.647058823529411</v>
      </c>
      <c r="AE56">
        <f t="shared" si="6"/>
        <v>2019</v>
      </c>
      <c r="AG56">
        <v>12</v>
      </c>
      <c r="AH56" s="26">
        <f t="shared" si="7"/>
        <v>10.034188034188034</v>
      </c>
      <c r="AI56" t="str">
        <f t="shared" si="8"/>
        <v>PM</v>
      </c>
      <c r="AJ56" t="str">
        <f t="shared" si="9"/>
        <v>9-2019-4</v>
      </c>
      <c r="AK56">
        <f t="shared" si="10"/>
        <v>9</v>
      </c>
      <c r="AL56" s="26">
        <f>IFERROR(Table2[[#This Row],[Calories]]/Table2[[#This Row],[Splat]],"")</f>
        <v>58.7</v>
      </c>
      <c r="AM56">
        <f>COUNTIF(N$2:$N$938,N56)</f>
        <v>35</v>
      </c>
      <c r="AN56" t="str">
        <f>VLOOKUP(N56,'Helpful Tables'!A:D,4,FALSE)</f>
        <v>Virginia</v>
      </c>
      <c r="AO56" s="24">
        <f>COUNTIF(AN:AN,Table2[[#This Row],[State]])/COUNTA(AN:AN)</f>
        <v>5.6503198294243072E-2</v>
      </c>
      <c r="AP56">
        <f>VLOOKUP(N56,'Helpful Tables'!A:B,2,FALSE)</f>
        <v>38.881884999999997</v>
      </c>
      <c r="AQ56">
        <f>VLOOKUP(N56,'Helpful Tables'!A:C,3,FALSE)</f>
        <v>-77.229702000000003</v>
      </c>
      <c r="AR56">
        <f>COUNTIF(P$2:$P$938,P56)</f>
        <v>10</v>
      </c>
      <c r="AS56" cm="1">
        <f t="array" ref="AS56">_xlfn.IFS(E56&lt;6,((E56/D56)*60)*0.5,AND(E56&gt;=6,E56&lt;9),((E56/D56)*60)*0.75,AND(E56&gt;=9,E56&lt;=11),((E56/D56)*60)*0.9,AND(E56=12),((E56/D56)*60)*1,AND(E56&gt;=13,E56&lt;=15),((E56/D56)*60)*1.2,AND(E56&gt;=16,E56&lt;=19),((E56/D56)*60)*1.5,E56&gt;=20,((E56/D56)*60)*1.8)</f>
        <v>9.2307692307692317</v>
      </c>
      <c r="AT56" cm="1">
        <f t="array" ref="AT56">_xlfn.IFS(F56&lt;550,((F56/D56)*60)*0.5,AND(F56&gt;=550,F56&lt;575),((F56/D56)*60)*0.75,AND(F56&gt;=575,F56&lt;600),((F56/D56)*60)*0.9,AND(F56=600),((F56/D56)*60)*1,AND(F56&gt;=601,F56&lt;=625),((F56/D56)*60)*1.2,AND(F56&gt;=626,F56&lt;=650),((F56/D56)*60)*1.5,F56&gt;=651,((F56/D56)*60)*1.8)</f>
        <v>541.84615384615381</v>
      </c>
      <c r="AU56">
        <f t="shared" si="11"/>
        <v>-0.87666666740000032</v>
      </c>
      <c r="AV56">
        <f t="shared" si="16"/>
        <v>220.2554358972892</v>
      </c>
      <c r="AW56">
        <f t="shared" si="12"/>
        <v>16.900000000000002</v>
      </c>
      <c r="AX56" t="str">
        <f t="shared" si="13"/>
        <v>Sep-2019</v>
      </c>
      <c r="AY56">
        <f>ROUNDUP(Table2[[#This Row],[Month]]/3,0)</f>
        <v>3</v>
      </c>
    </row>
    <row r="57" spans="1:51" x14ac:dyDescent="0.2">
      <c r="A57">
        <v>56</v>
      </c>
      <c r="B57">
        <f t="shared" si="0"/>
        <v>17</v>
      </c>
      <c r="C57" s="22">
        <v>43734</v>
      </c>
      <c r="D57">
        <f>SUM(Table2[[#This Row],[Gray Min]:[Red Min]])</f>
        <v>59.349999999999994</v>
      </c>
      <c r="E57">
        <v>12</v>
      </c>
      <c r="F57">
        <v>575</v>
      </c>
      <c r="G57">
        <v>119</v>
      </c>
      <c r="H57">
        <v>171</v>
      </c>
      <c r="I57">
        <v>24.766666666999999</v>
      </c>
      <c r="J57">
        <v>10.25</v>
      </c>
      <c r="K57">
        <v>12.733333332999999</v>
      </c>
      <c r="L57">
        <v>6.7166666670000001</v>
      </c>
      <c r="M57">
        <v>4.8833333330000004</v>
      </c>
      <c r="N57" t="s">
        <v>33</v>
      </c>
      <c r="O57" t="s">
        <v>39</v>
      </c>
      <c r="P57" t="s">
        <v>63</v>
      </c>
      <c r="Q57">
        <f t="shared" si="14"/>
        <v>2</v>
      </c>
      <c r="R57" t="str">
        <f t="shared" si="1"/>
        <v>9-2019</v>
      </c>
      <c r="S57" t="s">
        <v>43</v>
      </c>
      <c r="T57" t="str">
        <f t="shared" si="2"/>
        <v>Thursday</v>
      </c>
      <c r="U57">
        <f t="shared" si="3"/>
        <v>1</v>
      </c>
      <c r="V57" s="24">
        <f>IFERROR(Table2[[#This Row],[Gray Min]]/Table2[[#This Row],[ClassLength]],"")</f>
        <v>0.41729851165964621</v>
      </c>
      <c r="W57" s="24">
        <f>IFERROR(Table2[[#This Row],[Blue Min]]/Table2[[#This Row],[ClassLength]],"")</f>
        <v>0.1727042965459141</v>
      </c>
      <c r="X57" s="24">
        <f>IFERROR(Table2[[#This Row],[Green Min]]/Table2[[#This Row],[ClassLength]],"")</f>
        <v>0.21454647570345409</v>
      </c>
      <c r="Y57" s="24">
        <f>IFERROR(Table2[[#This Row],[Orange Min]]/Table2[[#This Row],[ClassLength]],"")</f>
        <v>0.11317045774220726</v>
      </c>
      <c r="Z57" s="24">
        <f>IFERROR(Table2[[#This Row],[Red Min]]/Table2[[#This Row],[ClassLength]],"")</f>
        <v>8.2280258348778446E-2</v>
      </c>
      <c r="AA57" s="25">
        <v>232.14</v>
      </c>
      <c r="AB57" s="25">
        <f t="shared" si="18"/>
        <v>13.655294117647058</v>
      </c>
      <c r="AC57" s="26">
        <f t="shared" si="4"/>
        <v>592.88235294117646</v>
      </c>
      <c r="AD57" s="26">
        <f t="shared" si="5"/>
        <v>13.647058823529411</v>
      </c>
      <c r="AE57">
        <f t="shared" si="6"/>
        <v>2019</v>
      </c>
      <c r="AG57">
        <v>12</v>
      </c>
      <c r="AH57" s="26">
        <f t="shared" si="7"/>
        <v>9.688289806234204</v>
      </c>
      <c r="AI57" t="str">
        <f t="shared" si="8"/>
        <v>PM</v>
      </c>
      <c r="AJ57" t="str">
        <f t="shared" si="9"/>
        <v>9-2019-4</v>
      </c>
      <c r="AK57">
        <f t="shared" si="10"/>
        <v>9</v>
      </c>
      <c r="AL57" s="26">
        <f>IFERROR(Table2[[#This Row],[Calories]]/Table2[[#This Row],[Splat]],"")</f>
        <v>47.916666666666664</v>
      </c>
      <c r="AM57">
        <f>COUNTIF(N$2:$N$938,N57)</f>
        <v>48</v>
      </c>
      <c r="AN57" t="str">
        <f>VLOOKUP(N57,'Helpful Tables'!A:D,4,FALSE)</f>
        <v>Washington, DC</v>
      </c>
      <c r="AO57" s="24">
        <f>COUNTIF(AN:AN,Table2[[#This Row],[State]])/COUNTA(AN:AN)</f>
        <v>0.54904051172707891</v>
      </c>
      <c r="AP57">
        <f>VLOOKUP(N57,'Helpful Tables'!A:B,2,FALSE)</f>
        <v>38.916486999999996</v>
      </c>
      <c r="AQ57">
        <f>VLOOKUP(N57,'Helpful Tables'!A:C,3,FALSE)</f>
        <v>-77.031514000000001</v>
      </c>
      <c r="AR57">
        <f>COUNTIF(P$2:$P$938,P57)</f>
        <v>1</v>
      </c>
      <c r="AS57" cm="1">
        <f t="array" ref="AS57">_xlfn.IFS(E57&lt;6,((E57/D57)*60)*0.5,AND(E57&gt;=6,E57&lt;9),((E57/D57)*60)*0.75,AND(E57&gt;=9,E57&lt;=11),((E57/D57)*60)*0.9,AND(E57=12),((E57/D57)*60)*1,AND(E57&gt;=13,E57&lt;=15),((E57/D57)*60)*1.2,AND(E57&gt;=16,E57&lt;=19),((E57/D57)*60)*1.5,E57&gt;=20,((E57/D57)*60)*1.8)</f>
        <v>12.131423757371525</v>
      </c>
      <c r="AT57" cm="1">
        <f t="array" ref="AT57">_xlfn.IFS(F57&lt;550,((F57/D57)*60)*0.5,AND(F57&gt;=550,F57&lt;575),((F57/D57)*60)*0.75,AND(F57&gt;=575,F57&lt;600),((F57/D57)*60)*0.9,AND(F57=600),((F57/D57)*60)*1,AND(F57&gt;=601,F57&lt;=625),((F57/D57)*60)*1.2,AND(F57&gt;=626,F57&lt;=650),((F57/D57)*60)*1.5,F57&gt;=651,((F57/D57)*60)*1.8)</f>
        <v>523.1676495366471</v>
      </c>
      <c r="AU57">
        <f t="shared" si="11"/>
        <v>-9.6583333341999982</v>
      </c>
      <c r="AV57">
        <f t="shared" si="16"/>
        <v>212.18796265076747</v>
      </c>
      <c r="AW57">
        <f t="shared" si="12"/>
        <v>14.499999999999998</v>
      </c>
      <c r="AX57" t="str">
        <f t="shared" si="13"/>
        <v>Sep-2019</v>
      </c>
      <c r="AY57">
        <f>ROUNDUP(Table2[[#This Row],[Month]]/3,0)</f>
        <v>3</v>
      </c>
    </row>
    <row r="58" spans="1:51" x14ac:dyDescent="0.2">
      <c r="A58">
        <v>57</v>
      </c>
      <c r="B58">
        <f t="shared" si="0"/>
        <v>17</v>
      </c>
      <c r="C58" s="22">
        <v>43735</v>
      </c>
      <c r="D58">
        <f>SUM(Table2[[#This Row],[Gray Min]:[Red Min]])</f>
        <v>59.466666665999988</v>
      </c>
      <c r="E58">
        <v>15</v>
      </c>
      <c r="F58">
        <v>557</v>
      </c>
      <c r="G58">
        <v>116</v>
      </c>
      <c r="H58">
        <v>167</v>
      </c>
      <c r="I58">
        <v>22.45</v>
      </c>
      <c r="J58">
        <v>12.433333333</v>
      </c>
      <c r="K58">
        <v>9.5500000000000007</v>
      </c>
      <c r="L58">
        <v>11.8</v>
      </c>
      <c r="M58">
        <v>3.233333333</v>
      </c>
      <c r="N58" t="s">
        <v>60</v>
      </c>
      <c r="O58" t="s">
        <v>39</v>
      </c>
      <c r="P58" t="s">
        <v>61</v>
      </c>
      <c r="Q58">
        <f t="shared" si="14"/>
        <v>1</v>
      </c>
      <c r="R58" t="str">
        <f t="shared" si="1"/>
        <v>9-2019</v>
      </c>
      <c r="S58" t="s">
        <v>47</v>
      </c>
      <c r="T58" t="str">
        <f t="shared" si="2"/>
        <v>Friday</v>
      </c>
      <c r="U58">
        <f t="shared" si="3"/>
        <v>1</v>
      </c>
      <c r="V58" s="24">
        <f>IFERROR(Table2[[#This Row],[Gray Min]]/Table2[[#This Row],[ClassLength]],"")</f>
        <v>0.37752242152889603</v>
      </c>
      <c r="W58" s="24">
        <f>IFERROR(Table2[[#This Row],[Blue Min]]/Table2[[#This Row],[ClassLength]],"")</f>
        <v>0.20908071748552787</v>
      </c>
      <c r="X58" s="24">
        <f>IFERROR(Table2[[#This Row],[Green Min]]/Table2[[#This Row],[ClassLength]],"")</f>
        <v>0.16059417040538787</v>
      </c>
      <c r="Y58" s="24">
        <f>IFERROR(Table2[[#This Row],[Orange Min]]/Table2[[#This Row],[ClassLength]],"")</f>
        <v>0.1984304932757672</v>
      </c>
      <c r="Z58" s="24">
        <f>IFERROR(Table2[[#This Row],[Red Min]]/Table2[[#This Row],[ClassLength]],"")</f>
        <v>5.4372197304421221E-2</v>
      </c>
      <c r="AA58" s="25">
        <v>232.14</v>
      </c>
      <c r="AB58" s="25">
        <f t="shared" si="18"/>
        <v>13.655294117647058</v>
      </c>
      <c r="AC58" s="26">
        <f t="shared" si="4"/>
        <v>592.88235294117646</v>
      </c>
      <c r="AD58" s="26">
        <f t="shared" si="5"/>
        <v>13.647058823529411</v>
      </c>
      <c r="AE58">
        <f t="shared" si="6"/>
        <v>2019</v>
      </c>
      <c r="AG58">
        <v>12</v>
      </c>
      <c r="AH58" s="26">
        <f t="shared" si="7"/>
        <v>9.3665919283561294</v>
      </c>
      <c r="AI58" t="str">
        <f t="shared" si="8"/>
        <v>PM</v>
      </c>
      <c r="AJ58" t="str">
        <f t="shared" si="9"/>
        <v>9-2019-4</v>
      </c>
      <c r="AK58">
        <f t="shared" si="10"/>
        <v>9</v>
      </c>
      <c r="AL58" s="26">
        <f>IFERROR(Table2[[#This Row],[Calories]]/Table2[[#This Row],[Splat]],"")</f>
        <v>37.133333333333333</v>
      </c>
      <c r="AM58">
        <f>COUNTIF(N$2:$N$938,N58)</f>
        <v>10</v>
      </c>
      <c r="AN58" t="str">
        <f>VLOOKUP(N58,'Helpful Tables'!A:D,4,FALSE)</f>
        <v>Washington, DC</v>
      </c>
      <c r="AO58" s="24">
        <f>COUNTIF(AN:AN,Table2[[#This Row],[State]])/COUNTA(AN:AN)</f>
        <v>0.54904051172707891</v>
      </c>
      <c r="AP58">
        <f>VLOOKUP(N58,'Helpful Tables'!A:B,2,FALSE)</f>
        <v>38.879828000000003</v>
      </c>
      <c r="AQ58">
        <f>VLOOKUP(N58,'Helpful Tables'!A:C,3,FALSE)</f>
        <v>-77.005566000000002</v>
      </c>
      <c r="AR58">
        <f>COUNTIF(P$2:$P$938,P58)</f>
        <v>9</v>
      </c>
      <c r="AS58" cm="1">
        <f t="array" ref="AS58">_xlfn.IFS(E58&lt;6,((E58/D58)*60)*0.5,AND(E58&gt;=6,E58&lt;9),((E58/D58)*60)*0.75,AND(E58&gt;=9,E58&lt;=11),((E58/D58)*60)*0.9,AND(E58=12),((E58/D58)*60)*1,AND(E58&gt;=13,E58&lt;=15),((E58/D58)*60)*1.2,AND(E58&gt;=16,E58&lt;=19),((E58/D58)*60)*1.5,E58&gt;=20,((E58/D58)*60)*1.8)</f>
        <v>18.161434977782083</v>
      </c>
      <c r="AT58" cm="1">
        <f t="array" ref="AT58">_xlfn.IFS(F58&lt;550,((F58/D58)*60)*0.5,AND(F58&gt;=550,F58&lt;575),((F58/D58)*60)*0.75,AND(F58&gt;=575,F58&lt;600),((F58/D58)*60)*0.9,AND(F58=600),((F58/D58)*60)*1,AND(F58&gt;=601,F58&lt;=625),((F58/D58)*60)*1.2,AND(F58&gt;=626,F58&lt;=650),((F58/D58)*60)*1.5,F58&gt;=651,((F58/D58)*60)*1.8)</f>
        <v>421.49663677602587</v>
      </c>
      <c r="AU58">
        <f t="shared" si="11"/>
        <v>-8.9666666667999966</v>
      </c>
      <c r="AV58">
        <f t="shared" si="16"/>
        <v>174.06989536816317</v>
      </c>
      <c r="AW58">
        <f t="shared" si="12"/>
        <v>8.9</v>
      </c>
      <c r="AX58" t="str">
        <f t="shared" si="13"/>
        <v>Sep-2019</v>
      </c>
      <c r="AY58">
        <f>ROUNDUP(Table2[[#This Row],[Month]]/3,0)</f>
        <v>3</v>
      </c>
    </row>
    <row r="59" spans="1:51" x14ac:dyDescent="0.2">
      <c r="A59">
        <v>58</v>
      </c>
      <c r="B59">
        <f t="shared" si="0"/>
        <v>17</v>
      </c>
      <c r="C59" s="22">
        <v>43737</v>
      </c>
      <c r="D59">
        <f>SUM(Table2[[#This Row],[Gray Min]:[Red Min]])</f>
        <v>53.550000000000004</v>
      </c>
      <c r="E59">
        <v>7</v>
      </c>
      <c r="F59">
        <v>583</v>
      </c>
      <c r="G59">
        <v>127</v>
      </c>
      <c r="H59">
        <v>164</v>
      </c>
      <c r="I59">
        <v>8.0166666670000009</v>
      </c>
      <c r="J59">
        <v>14.733333332999999</v>
      </c>
      <c r="K59">
        <v>24.483333333000001</v>
      </c>
      <c r="L59">
        <v>5.7</v>
      </c>
      <c r="M59">
        <v>0.61666666699999995</v>
      </c>
      <c r="N59" t="s">
        <v>33</v>
      </c>
      <c r="O59" t="s">
        <v>45</v>
      </c>
      <c r="P59" t="s">
        <v>34</v>
      </c>
      <c r="Q59">
        <f t="shared" si="14"/>
        <v>2</v>
      </c>
      <c r="R59" t="str">
        <f t="shared" si="1"/>
        <v>9-2019</v>
      </c>
      <c r="S59" t="s">
        <v>43</v>
      </c>
      <c r="T59" t="str">
        <f t="shared" si="2"/>
        <v>Sunday</v>
      </c>
      <c r="U59">
        <f t="shared" si="3"/>
        <v>0</v>
      </c>
      <c r="V59" s="24">
        <f>IFERROR(Table2[[#This Row],[Gray Min]]/Table2[[#This Row],[ClassLength]],"")</f>
        <v>0.14970432618113913</v>
      </c>
      <c r="W59" s="24">
        <f>IFERROR(Table2[[#This Row],[Blue Min]]/Table2[[#This Row],[ClassLength]],"")</f>
        <v>0.27513227512605037</v>
      </c>
      <c r="X59" s="24">
        <f>IFERROR(Table2[[#This Row],[Green Min]]/Table2[[#This Row],[ClassLength]],"")</f>
        <v>0.45720510425770305</v>
      </c>
      <c r="Y59" s="24">
        <f>IFERROR(Table2[[#This Row],[Orange Min]]/Table2[[#This Row],[ClassLength]],"")</f>
        <v>0.10644257703081232</v>
      </c>
      <c r="Z59" s="24">
        <f>IFERROR(Table2[[#This Row],[Red Min]]/Table2[[#This Row],[ClassLength]],"")</f>
        <v>1.1515717404295049E-2</v>
      </c>
      <c r="AA59" s="25">
        <v>232.14</v>
      </c>
      <c r="AB59" s="25">
        <f t="shared" si="18"/>
        <v>13.655294117647058</v>
      </c>
      <c r="AC59" s="26">
        <f t="shared" si="4"/>
        <v>592.88235294117646</v>
      </c>
      <c r="AD59" s="26">
        <f t="shared" si="5"/>
        <v>13.647058823529411</v>
      </c>
      <c r="AE59">
        <f t="shared" si="6"/>
        <v>2019</v>
      </c>
      <c r="AG59">
        <v>12</v>
      </c>
      <c r="AH59" s="26">
        <f t="shared" si="7"/>
        <v>10.887021475256768</v>
      </c>
      <c r="AI59" t="str">
        <f t="shared" si="8"/>
        <v>AM</v>
      </c>
      <c r="AJ59" t="str">
        <f t="shared" si="9"/>
        <v>9-2019-5</v>
      </c>
      <c r="AK59">
        <f t="shared" si="10"/>
        <v>9</v>
      </c>
      <c r="AL59" s="26">
        <f>IFERROR(Table2[[#This Row],[Calories]]/Table2[[#This Row],[Splat]],"")</f>
        <v>83.285714285714292</v>
      </c>
      <c r="AM59">
        <f>COUNTIF(N$2:$N$938,N59)</f>
        <v>48</v>
      </c>
      <c r="AN59" t="str">
        <f>VLOOKUP(N59,'Helpful Tables'!A:D,4,FALSE)</f>
        <v>Washington, DC</v>
      </c>
      <c r="AO59" s="24">
        <f>COUNTIF(AN:AN,Table2[[#This Row],[State]])/COUNTA(AN:AN)</f>
        <v>0.54904051172707891</v>
      </c>
      <c r="AP59">
        <f>VLOOKUP(N59,'Helpful Tables'!A:B,2,FALSE)</f>
        <v>38.916486999999996</v>
      </c>
      <c r="AQ59">
        <f>VLOOKUP(N59,'Helpful Tables'!A:C,3,FALSE)</f>
        <v>-77.031514000000001</v>
      </c>
      <c r="AR59">
        <f>COUNTIF(P$2:$P$938,P59)</f>
        <v>30</v>
      </c>
      <c r="AS59" cm="1">
        <f t="array" ref="AS59">_xlfn.IFS(E59&lt;6,((E59/D59)*60)*0.5,AND(E59&gt;=6,E59&lt;9),((E59/D59)*60)*0.75,AND(E59&gt;=9,E59&lt;=11),((E59/D59)*60)*0.9,AND(E59=12),((E59/D59)*60)*1,AND(E59&gt;=13,E59&lt;=15),((E59/D59)*60)*1.2,AND(E59&gt;=16,E59&lt;=19),((E59/D59)*60)*1.5,E59&gt;=20,((E59/D59)*60)*1.8)</f>
        <v>5.8823529411764692</v>
      </c>
      <c r="AT59" cm="1">
        <f t="array" ref="AT59">_xlfn.IFS(F59&lt;550,((F59/D59)*60)*0.5,AND(F59&gt;=550,F59&lt;575),((F59/D59)*60)*0.75,AND(F59&gt;=575,F59&lt;600),((F59/D59)*60)*0.9,AND(F59=600),((F59/D59)*60)*1,AND(F59&gt;=601,F59&lt;=625),((F59/D59)*60)*1.2,AND(F59&gt;=626,F59&lt;=650),((F59/D59)*60)*1.5,F59&gt;=651,((F59/D59)*60)*1.8)</f>
        <v>587.89915966386548</v>
      </c>
      <c r="AU59">
        <f t="shared" si="11"/>
        <v>11.888333333399995</v>
      </c>
      <c r="AV59">
        <f t="shared" si="16"/>
        <v>239.89027170869679</v>
      </c>
      <c r="AW59">
        <f t="shared" si="12"/>
        <v>21.9</v>
      </c>
      <c r="AX59" t="str">
        <f t="shared" si="13"/>
        <v>Sep-2019</v>
      </c>
      <c r="AY59">
        <f>ROUNDUP(Table2[[#This Row],[Month]]/3,0)</f>
        <v>3</v>
      </c>
    </row>
    <row r="60" spans="1:51" x14ac:dyDescent="0.2">
      <c r="A60">
        <v>59</v>
      </c>
      <c r="B60">
        <f t="shared" si="0"/>
        <v>17</v>
      </c>
      <c r="C60" s="22">
        <v>43738</v>
      </c>
      <c r="D60">
        <f>SUM(Table2[[#This Row],[Gray Min]:[Red Min]])</f>
        <v>58.283333332999995</v>
      </c>
      <c r="E60">
        <v>15</v>
      </c>
      <c r="F60">
        <v>587</v>
      </c>
      <c r="G60">
        <v>121</v>
      </c>
      <c r="H60">
        <v>167</v>
      </c>
      <c r="I60">
        <v>19</v>
      </c>
      <c r="J60">
        <v>13.183333333</v>
      </c>
      <c r="K60">
        <v>11.333333333000001</v>
      </c>
      <c r="L60">
        <v>10.616666667000001</v>
      </c>
      <c r="M60">
        <v>4.1500000000000004</v>
      </c>
      <c r="N60" t="s">
        <v>40</v>
      </c>
      <c r="O60" t="s">
        <v>26</v>
      </c>
      <c r="P60" t="s">
        <v>64</v>
      </c>
      <c r="Q60">
        <f t="shared" si="14"/>
        <v>1</v>
      </c>
      <c r="R60" t="str">
        <f t="shared" si="1"/>
        <v>9-2019</v>
      </c>
      <c r="S60" t="s">
        <v>47</v>
      </c>
      <c r="T60" t="str">
        <f t="shared" si="2"/>
        <v>Monday</v>
      </c>
      <c r="U60">
        <f t="shared" si="3"/>
        <v>1</v>
      </c>
      <c r="V60" s="24">
        <f>IFERROR(Table2[[#This Row],[Gray Min]]/Table2[[#This Row],[ClassLength]],"")</f>
        <v>0.32599370889520157</v>
      </c>
      <c r="W60" s="24">
        <f>IFERROR(Table2[[#This Row],[Blue Min]]/Table2[[#This Row],[ClassLength]],"")</f>
        <v>0.22619388046454789</v>
      </c>
      <c r="X60" s="24">
        <f>IFERROR(Table2[[#This Row],[Green Min]]/Table2[[#This Row],[ClassLength]],"")</f>
        <v>0.19445238775633089</v>
      </c>
      <c r="Y60" s="24">
        <f>IFERROR(Table2[[#This Row],[Orange Min]]/Table2[[#This Row],[ClassLength]],"")</f>
        <v>0.18215613383575729</v>
      </c>
      <c r="Z60" s="24">
        <f>IFERROR(Table2[[#This Row],[Red Min]]/Table2[[#This Row],[ClassLength]],"")</f>
        <v>7.1203889048162466E-2</v>
      </c>
      <c r="AA60" s="25">
        <v>232.14</v>
      </c>
      <c r="AB60" s="25">
        <f t="shared" si="18"/>
        <v>13.655294117647058</v>
      </c>
      <c r="AC60" s="26">
        <f t="shared" si="4"/>
        <v>592.88235294117646</v>
      </c>
      <c r="AD60" s="26">
        <f t="shared" si="5"/>
        <v>13.647058823529411</v>
      </c>
      <c r="AE60">
        <f t="shared" si="6"/>
        <v>2019</v>
      </c>
      <c r="AG60">
        <v>12</v>
      </c>
      <c r="AH60" s="26">
        <f t="shared" si="7"/>
        <v>10.071489848499123</v>
      </c>
      <c r="AI60" t="str">
        <f t="shared" si="8"/>
        <v>PM</v>
      </c>
      <c r="AJ60" t="str">
        <f t="shared" si="9"/>
        <v>9-2019-5</v>
      </c>
      <c r="AK60">
        <f t="shared" si="10"/>
        <v>9</v>
      </c>
      <c r="AL60" s="26">
        <f>IFERROR(Table2[[#This Row],[Calories]]/Table2[[#This Row],[Splat]],"")</f>
        <v>39.133333333333333</v>
      </c>
      <c r="AM60">
        <f>COUNTIF(N$2:$N$938,N60)</f>
        <v>38</v>
      </c>
      <c r="AN60" t="str">
        <f>VLOOKUP(N60,'Helpful Tables'!A:D,4,FALSE)</f>
        <v>Washington, DC</v>
      </c>
      <c r="AO60" s="24">
        <f>COUNTIF(AN:AN,Table2[[#This Row],[State]])/COUNTA(AN:AN)</f>
        <v>0.54904051172707891</v>
      </c>
      <c r="AP60">
        <f>VLOOKUP(N60,'Helpful Tables'!A:B,2,FALSE)</f>
        <v>38.903509999999997</v>
      </c>
      <c r="AQ60">
        <f>VLOOKUP(N60,'Helpful Tables'!A:C,3,FALSE)</f>
        <v>-77.051809000000006</v>
      </c>
      <c r="AR60">
        <f>COUNTIF(P$2:$P$938,P60)</f>
        <v>8</v>
      </c>
      <c r="AS60" cm="1">
        <f t="array" ref="AS60">_xlfn.IFS(E60&lt;6,((E60/D60)*60)*0.5,AND(E60&gt;=6,E60&lt;9),((E60/D60)*60)*0.75,AND(E60&gt;=9,E60&lt;=11),((E60/D60)*60)*0.9,AND(E60=12),((E60/D60)*60)*1,AND(E60&gt;=13,E60&lt;=15),((E60/D60)*60)*1.2,AND(E60&gt;=16,E60&lt;=19),((E60/D60)*60)*1.5,E60&gt;=20,((E60/D60)*60)*1.8)</f>
        <v>18.530168716148303</v>
      </c>
      <c r="AT60" cm="1">
        <f t="array" ref="AT60">_xlfn.IFS(F60&lt;550,((F60/D60)*60)*0.5,AND(F60&gt;=550,F60&lt;575),((F60/D60)*60)*0.75,AND(F60&gt;=575,F60&lt;600),((F60/D60)*60)*0.9,AND(F60=600),((F60/D60)*60)*1,AND(F60&gt;=601,F60&lt;=625),((F60/D60)*60)*1.2,AND(F60&gt;=626,F60&lt;=650),((F60/D60)*60)*1.5,F60&gt;=651,((F60/D60)*60)*1.8)</f>
        <v>543.8604518189527</v>
      </c>
      <c r="AU60">
        <f t="shared" si="11"/>
        <v>-3.674999999599998</v>
      </c>
      <c r="AV60">
        <f t="shared" si="16"/>
        <v>224.22124821412038</v>
      </c>
      <c r="AW60">
        <f t="shared" si="12"/>
        <v>17.899999999999999</v>
      </c>
      <c r="AX60" t="str">
        <f t="shared" si="13"/>
        <v>Sep-2019</v>
      </c>
      <c r="AY60">
        <f>ROUNDUP(Table2[[#This Row],[Month]]/3,0)</f>
        <v>3</v>
      </c>
    </row>
    <row r="61" spans="1:51" x14ac:dyDescent="0.2">
      <c r="A61">
        <v>60</v>
      </c>
      <c r="B61">
        <f t="shared" si="0"/>
        <v>17</v>
      </c>
      <c r="C61" s="22">
        <v>43741</v>
      </c>
      <c r="D61">
        <f>SUM(Table2[[#This Row],[Gray Min]:[Red Min]])</f>
        <v>60.000000000000007</v>
      </c>
      <c r="E61">
        <v>17</v>
      </c>
      <c r="F61">
        <v>655</v>
      </c>
      <c r="G61">
        <v>127</v>
      </c>
      <c r="H61">
        <v>167</v>
      </c>
      <c r="I61">
        <v>15.55</v>
      </c>
      <c r="J61">
        <v>11.75</v>
      </c>
      <c r="K61">
        <v>15.566666667</v>
      </c>
      <c r="L61">
        <v>14.683333333</v>
      </c>
      <c r="M61">
        <v>2.4500000000000002</v>
      </c>
      <c r="N61" t="s">
        <v>24</v>
      </c>
      <c r="O61" t="s">
        <v>26</v>
      </c>
      <c r="P61" t="s">
        <v>65</v>
      </c>
      <c r="Q61">
        <f t="shared" si="14"/>
        <v>3</v>
      </c>
      <c r="R61" t="str">
        <f t="shared" si="1"/>
        <v>10-2019</v>
      </c>
      <c r="S61" t="s">
        <v>43</v>
      </c>
      <c r="T61" t="str">
        <f t="shared" si="2"/>
        <v>Thursday</v>
      </c>
      <c r="U61">
        <f t="shared" si="3"/>
        <v>1</v>
      </c>
      <c r="V61" s="24">
        <f>IFERROR(Table2[[#This Row],[Gray Min]]/Table2[[#This Row],[ClassLength]],"")</f>
        <v>0.25916666666666666</v>
      </c>
      <c r="W61" s="24">
        <f>IFERROR(Table2[[#This Row],[Blue Min]]/Table2[[#This Row],[ClassLength]],"")</f>
        <v>0.1958333333333333</v>
      </c>
      <c r="X61" s="24">
        <f>IFERROR(Table2[[#This Row],[Green Min]]/Table2[[#This Row],[ClassLength]],"")</f>
        <v>0.25944444444999998</v>
      </c>
      <c r="Y61" s="24">
        <f>IFERROR(Table2[[#This Row],[Orange Min]]/Table2[[#This Row],[ClassLength]],"")</f>
        <v>0.24472222221666665</v>
      </c>
      <c r="Z61" s="24">
        <f>IFERROR(Table2[[#This Row],[Red Min]]/Table2[[#This Row],[ClassLength]],"")</f>
        <v>4.0833333333333333E-2</v>
      </c>
      <c r="AA61" s="25">
        <v>327.14</v>
      </c>
      <c r="AB61" s="25">
        <f t="shared" si="18"/>
        <v>19.243529411764705</v>
      </c>
      <c r="AC61" s="26">
        <f t="shared" si="4"/>
        <v>585.94117647058829</v>
      </c>
      <c r="AD61" s="26">
        <f t="shared" si="5"/>
        <v>13.823529411764707</v>
      </c>
      <c r="AE61">
        <f t="shared" si="6"/>
        <v>2019</v>
      </c>
      <c r="AG61">
        <v>12</v>
      </c>
      <c r="AH61" s="26">
        <f t="shared" si="7"/>
        <v>10.916666666666666</v>
      </c>
      <c r="AI61" t="str">
        <f t="shared" si="8"/>
        <v>PM</v>
      </c>
      <c r="AJ61" t="str">
        <f t="shared" si="9"/>
        <v>10-2019-1</v>
      </c>
      <c r="AK61">
        <f t="shared" si="10"/>
        <v>10</v>
      </c>
      <c r="AL61" s="26">
        <f>IFERROR(Table2[[#This Row],[Calories]]/Table2[[#This Row],[Splat]],"")</f>
        <v>38.529411764705884</v>
      </c>
      <c r="AM61">
        <f>COUNTIF(N$2:$N$938,N61)</f>
        <v>35</v>
      </c>
      <c r="AN61" t="str">
        <f>VLOOKUP(N61,'Helpful Tables'!A:D,4,FALSE)</f>
        <v>Virginia</v>
      </c>
      <c r="AO61" s="24">
        <f>COUNTIF(AN:AN,Table2[[#This Row],[State]])/COUNTA(AN:AN)</f>
        <v>5.6503198294243072E-2</v>
      </c>
      <c r="AP61">
        <f>VLOOKUP(N61,'Helpful Tables'!A:B,2,FALSE)</f>
        <v>38.881884999999997</v>
      </c>
      <c r="AQ61">
        <f>VLOOKUP(N61,'Helpful Tables'!A:C,3,FALSE)</f>
        <v>-77.229702000000003</v>
      </c>
      <c r="AR61">
        <f>COUNTIF(P$2:$P$938,P61)</f>
        <v>1</v>
      </c>
      <c r="AS61" cm="1">
        <f t="array" ref="AS61">_xlfn.IFS(E61&lt;6,((E61/D61)*60)*0.5,AND(E61&gt;=6,E61&lt;9),((E61/D61)*60)*0.75,AND(E61&gt;=9,E61&lt;=11),((E61/D61)*60)*0.9,AND(E61=12),((E61/D61)*60)*1,AND(E61&gt;=13,E61&lt;=15),((E61/D61)*60)*1.2,AND(E61&gt;=16,E61&lt;=19),((E61/D61)*60)*1.5,E61&gt;=20,((E61/D61)*60)*1.8)</f>
        <v>25.5</v>
      </c>
      <c r="AT61" cm="1">
        <f t="array" ref="AT61">_xlfn.IFS(F61&lt;550,((F61/D61)*60)*0.5,AND(F61&gt;=550,F61&lt;575),((F61/D61)*60)*0.75,AND(F61&gt;=575,F61&lt;600),((F61/D61)*60)*0.9,AND(F61=600),((F61/D61)*60)*1,AND(F61&gt;=601,F61&lt;=625),((F61/D61)*60)*1.2,AND(F61&gt;=626,F61&lt;=650),((F61/D61)*60)*1.5,F61&gt;=651,((F61/D61)*60)*1.8)</f>
        <v>1179</v>
      </c>
      <c r="AU61">
        <f t="shared" si="11"/>
        <v>9.8583333332999992</v>
      </c>
      <c r="AV61">
        <f t="shared" si="16"/>
        <v>483.77166666666</v>
      </c>
      <c r="AW61">
        <f t="shared" si="12"/>
        <v>70.899999999999991</v>
      </c>
      <c r="AX61" t="str">
        <f t="shared" si="13"/>
        <v>Oct-2019</v>
      </c>
      <c r="AY61">
        <f>ROUNDUP(Table2[[#This Row],[Month]]/3,0)</f>
        <v>4</v>
      </c>
    </row>
    <row r="62" spans="1:51" x14ac:dyDescent="0.2">
      <c r="A62">
        <v>61</v>
      </c>
      <c r="B62">
        <f t="shared" si="0"/>
        <v>17</v>
      </c>
      <c r="C62" s="22">
        <v>43742</v>
      </c>
      <c r="D62">
        <f>SUM(Table2[[#This Row],[Gray Min]:[Red Min]])</f>
        <v>58.749999999999993</v>
      </c>
      <c r="E62">
        <v>18</v>
      </c>
      <c r="F62">
        <v>545</v>
      </c>
      <c r="G62">
        <v>116</v>
      </c>
      <c r="H62">
        <v>171</v>
      </c>
      <c r="I62">
        <v>28.066666667</v>
      </c>
      <c r="J62">
        <v>5.6166666669999996</v>
      </c>
      <c r="K62">
        <v>7.0333333329999999</v>
      </c>
      <c r="L62">
        <v>14.883333332999999</v>
      </c>
      <c r="M62">
        <v>3.15</v>
      </c>
      <c r="N62" t="s">
        <v>60</v>
      </c>
      <c r="O62" t="s">
        <v>39</v>
      </c>
      <c r="P62" t="s">
        <v>66</v>
      </c>
      <c r="Q62">
        <f t="shared" si="14"/>
        <v>1</v>
      </c>
      <c r="R62" t="str">
        <f t="shared" si="1"/>
        <v>10-2019</v>
      </c>
      <c r="S62" t="s">
        <v>47</v>
      </c>
      <c r="T62" t="str">
        <f t="shared" si="2"/>
        <v>Friday</v>
      </c>
      <c r="U62">
        <f t="shared" si="3"/>
        <v>1</v>
      </c>
      <c r="V62" s="24">
        <f>IFERROR(Table2[[#This Row],[Gray Min]]/Table2[[#This Row],[ClassLength]],"")</f>
        <v>0.47773049645957455</v>
      </c>
      <c r="W62" s="24">
        <f>IFERROR(Table2[[#This Row],[Blue Min]]/Table2[[#This Row],[ClassLength]],"")</f>
        <v>9.5602836885106388E-2</v>
      </c>
      <c r="X62" s="24">
        <f>IFERROR(Table2[[#This Row],[Green Min]]/Table2[[#This Row],[ClassLength]],"")</f>
        <v>0.11971631205106384</v>
      </c>
      <c r="Y62" s="24">
        <f>IFERROR(Table2[[#This Row],[Orange Min]]/Table2[[#This Row],[ClassLength]],"")</f>
        <v>0.25333333332765962</v>
      </c>
      <c r="Z62" s="24">
        <f>IFERROR(Table2[[#This Row],[Red Min]]/Table2[[#This Row],[ClassLength]],"")</f>
        <v>5.3617021276595747E-2</v>
      </c>
      <c r="AA62" s="25">
        <v>327.14</v>
      </c>
      <c r="AB62" s="25">
        <f t="shared" si="18"/>
        <v>19.243529411764705</v>
      </c>
      <c r="AC62" s="26">
        <f t="shared" si="4"/>
        <v>585.94117647058829</v>
      </c>
      <c r="AD62" s="26">
        <f t="shared" si="5"/>
        <v>13.823529411764707</v>
      </c>
      <c r="AE62">
        <f t="shared" si="6"/>
        <v>2019</v>
      </c>
      <c r="AG62">
        <v>12</v>
      </c>
      <c r="AH62" s="26">
        <f t="shared" si="7"/>
        <v>9.2765957446808525</v>
      </c>
      <c r="AI62" t="str">
        <f t="shared" si="8"/>
        <v>PM</v>
      </c>
      <c r="AJ62" t="str">
        <f t="shared" si="9"/>
        <v>10-2019-1</v>
      </c>
      <c r="AK62">
        <f t="shared" si="10"/>
        <v>10</v>
      </c>
      <c r="AL62" s="26">
        <f>IFERROR(Table2[[#This Row],[Calories]]/Table2[[#This Row],[Splat]],"")</f>
        <v>30.277777777777779</v>
      </c>
      <c r="AM62">
        <f>COUNTIF(N$2:$N$938,N62)</f>
        <v>10</v>
      </c>
      <c r="AN62" t="str">
        <f>VLOOKUP(N62,'Helpful Tables'!A:D,4,FALSE)</f>
        <v>Washington, DC</v>
      </c>
      <c r="AO62" s="24">
        <f>COUNTIF(AN:AN,Table2[[#This Row],[State]])/COUNTA(AN:AN)</f>
        <v>0.54904051172707891</v>
      </c>
      <c r="AP62">
        <f>VLOOKUP(N62,'Helpful Tables'!A:B,2,FALSE)</f>
        <v>38.879828000000003</v>
      </c>
      <c r="AQ62">
        <f>VLOOKUP(N62,'Helpful Tables'!A:C,3,FALSE)</f>
        <v>-77.005566000000002</v>
      </c>
      <c r="AR62">
        <f>COUNTIF(P$2:$P$938,P62)</f>
        <v>1</v>
      </c>
      <c r="AS62" cm="1">
        <f t="array" ref="AS62">_xlfn.IFS(E62&lt;6,((E62/D62)*60)*0.5,AND(E62&gt;=6,E62&lt;9),((E62/D62)*60)*0.75,AND(E62&gt;=9,E62&lt;=11),((E62/D62)*60)*0.9,AND(E62=12),((E62/D62)*60)*1,AND(E62&gt;=13,E62&lt;=15),((E62/D62)*60)*1.2,AND(E62&gt;=16,E62&lt;=19),((E62/D62)*60)*1.5,E62&gt;=20,((E62/D62)*60)*1.8)</f>
        <v>27.574468085106385</v>
      </c>
      <c r="AT62" cm="1">
        <f t="array" ref="AT62">_xlfn.IFS(F62&lt;550,((F62/D62)*60)*0.5,AND(F62&gt;=550,F62&lt;575),((F62/D62)*60)*0.75,AND(F62&gt;=575,F62&lt;600),((F62/D62)*60)*0.9,AND(F62=600),((F62/D62)*60)*1,AND(F62&gt;=601,F62&lt;=625),((F62/D62)*60)*1.2,AND(F62&gt;=626,F62&lt;=650),((F62/D62)*60)*1.5,F62&gt;=651,((F62/D62)*60)*1.8)</f>
        <v>278.29787234042556</v>
      </c>
      <c r="AU62">
        <f t="shared" si="11"/>
        <v>-7.3450000016000043</v>
      </c>
      <c r="AV62">
        <f t="shared" si="16"/>
        <v>120.87993616989279</v>
      </c>
      <c r="AW62">
        <f t="shared" si="12"/>
        <v>7.0000000000000009</v>
      </c>
      <c r="AX62" t="str">
        <f t="shared" si="13"/>
        <v>Oct-2019</v>
      </c>
      <c r="AY62">
        <f>ROUNDUP(Table2[[#This Row],[Month]]/3,0)</f>
        <v>4</v>
      </c>
    </row>
    <row r="63" spans="1:51" x14ac:dyDescent="0.2">
      <c r="A63">
        <v>62</v>
      </c>
      <c r="B63">
        <f t="shared" si="0"/>
        <v>17</v>
      </c>
      <c r="C63" s="22">
        <v>43744</v>
      </c>
      <c r="D63">
        <f>SUM(Table2[[#This Row],[Gray Min]:[Red Min]])</f>
        <v>52.883333332999996</v>
      </c>
      <c r="E63">
        <v>15</v>
      </c>
      <c r="F63">
        <v>598</v>
      </c>
      <c r="G63">
        <v>129</v>
      </c>
      <c r="H63">
        <v>166</v>
      </c>
      <c r="I63">
        <v>12.65</v>
      </c>
      <c r="J63">
        <v>9.2166666670000001</v>
      </c>
      <c r="K63">
        <v>16.100000000000001</v>
      </c>
      <c r="L63">
        <v>13.383333332999999</v>
      </c>
      <c r="M63">
        <v>1.5333333330000001</v>
      </c>
      <c r="N63" t="s">
        <v>33</v>
      </c>
      <c r="O63" t="s">
        <v>45</v>
      </c>
      <c r="P63" t="s">
        <v>34</v>
      </c>
      <c r="Q63">
        <f t="shared" si="14"/>
        <v>2</v>
      </c>
      <c r="R63" t="str">
        <f t="shared" si="1"/>
        <v>10-2019</v>
      </c>
      <c r="S63" t="s">
        <v>43</v>
      </c>
      <c r="T63" t="str">
        <f t="shared" si="2"/>
        <v>Sunday</v>
      </c>
      <c r="U63">
        <f t="shared" si="3"/>
        <v>1</v>
      </c>
      <c r="V63" s="24">
        <f>IFERROR(Table2[[#This Row],[Gray Min]]/Table2[[#This Row],[ClassLength]],"")</f>
        <v>0.23920579892996666</v>
      </c>
      <c r="W63" s="24">
        <f>IFERROR(Table2[[#This Row],[Blue Min]]/Table2[[#This Row],[ClassLength]],"")</f>
        <v>0.17428301292892712</v>
      </c>
      <c r="X63" s="24">
        <f>IFERROR(Table2[[#This Row],[Green Min]]/Table2[[#This Row],[ClassLength]],"")</f>
        <v>0.30444374409268488</v>
      </c>
      <c r="Y63" s="24">
        <f>IFERROR(Table2[[#This Row],[Orange Min]]/Table2[[#This Row],[ClassLength]],"")</f>
        <v>0.25307280176018326</v>
      </c>
      <c r="Z63" s="24">
        <f>IFERROR(Table2[[#This Row],[Red Min]]/Table2[[#This Row],[ClassLength]],"")</f>
        <v>2.8994642288238229E-2</v>
      </c>
      <c r="AA63" s="25">
        <v>327.14</v>
      </c>
      <c r="AB63" s="25">
        <f t="shared" si="18"/>
        <v>19.243529411764705</v>
      </c>
      <c r="AC63" s="26">
        <f t="shared" si="4"/>
        <v>585.94117647058829</v>
      </c>
      <c r="AD63" s="26">
        <f t="shared" si="5"/>
        <v>13.823529411764707</v>
      </c>
      <c r="AE63">
        <f t="shared" si="6"/>
        <v>2019</v>
      </c>
      <c r="AG63">
        <v>12</v>
      </c>
      <c r="AH63" s="26">
        <f t="shared" si="7"/>
        <v>11.30791049487115</v>
      </c>
      <c r="AI63" t="str">
        <f t="shared" si="8"/>
        <v>AM</v>
      </c>
      <c r="AJ63" t="str">
        <f t="shared" si="9"/>
        <v>10-2019-2</v>
      </c>
      <c r="AK63">
        <f t="shared" si="10"/>
        <v>10</v>
      </c>
      <c r="AL63" s="26">
        <f>IFERROR(Table2[[#This Row],[Calories]]/Table2[[#This Row],[Splat]],"")</f>
        <v>39.866666666666667</v>
      </c>
      <c r="AM63">
        <f>COUNTIF(N$2:$N$938,N63)</f>
        <v>48</v>
      </c>
      <c r="AN63" t="str">
        <f>VLOOKUP(N63,'Helpful Tables'!A:D,4,FALSE)</f>
        <v>Washington, DC</v>
      </c>
      <c r="AO63" s="24">
        <f>COUNTIF(AN:AN,Table2[[#This Row],[State]])/COUNTA(AN:AN)</f>
        <v>0.54904051172707891</v>
      </c>
      <c r="AP63">
        <f>VLOOKUP(N63,'Helpful Tables'!A:B,2,FALSE)</f>
        <v>38.916486999999996</v>
      </c>
      <c r="AQ63">
        <f>VLOOKUP(N63,'Helpful Tables'!A:C,3,FALSE)</f>
        <v>-77.031514000000001</v>
      </c>
      <c r="AR63">
        <f>COUNTIF(P$2:$P$938,P63)</f>
        <v>30</v>
      </c>
      <c r="AS63" cm="1">
        <f t="array" ref="AS63">_xlfn.IFS(E63&lt;6,((E63/D63)*60)*0.5,AND(E63&gt;=6,E63&lt;9),((E63/D63)*60)*0.75,AND(E63&gt;=9,E63&lt;=11),((E63/D63)*60)*0.9,AND(E63=12),((E63/D63)*60)*1,AND(E63&gt;=13,E63&lt;=15),((E63/D63)*60)*1.2,AND(E63&gt;=16,E63&lt;=19),((E63/D63)*60)*1.5,E63&gt;=20,((E63/D63)*60)*1.8)</f>
        <v>20.422313268329169</v>
      </c>
      <c r="AT63" cm="1">
        <f t="array" ref="AT63">_xlfn.IFS(F63&lt;550,((F63/D63)*60)*0.5,AND(F63&gt;=550,F63&lt;575),((F63/D63)*60)*0.75,AND(F63&gt;=575,F63&lt;600),((F63/D63)*60)*0.9,AND(F63=600),((F63/D63)*60)*1,AND(F63&gt;=601,F63&lt;=625),((F63/D63)*60)*1.2,AND(F63&gt;=626,F63&lt;=650),((F63/D63)*60)*1.5,F63&gt;=651,((F63/D63)*60)*1.8)</f>
        <v>610.62716672304214</v>
      </c>
      <c r="AU63">
        <f t="shared" si="11"/>
        <v>13.699999998699999</v>
      </c>
      <c r="AV63">
        <f t="shared" si="16"/>
        <v>255.15979199628856</v>
      </c>
      <c r="AW63">
        <f t="shared" si="12"/>
        <v>23.3</v>
      </c>
      <c r="AX63" t="str">
        <f t="shared" si="13"/>
        <v>Oct-2019</v>
      </c>
      <c r="AY63">
        <f>ROUNDUP(Table2[[#This Row],[Month]]/3,0)</f>
        <v>4</v>
      </c>
    </row>
    <row r="64" spans="1:51" x14ac:dyDescent="0.2">
      <c r="A64">
        <v>63</v>
      </c>
      <c r="B64">
        <f t="shared" si="0"/>
        <v>17</v>
      </c>
      <c r="C64" s="22">
        <v>43746</v>
      </c>
      <c r="D64">
        <f>SUM(Table2[[#This Row],[Gray Min]:[Red Min]])</f>
        <v>58.016666668000006</v>
      </c>
      <c r="E64">
        <v>11</v>
      </c>
      <c r="F64">
        <v>585</v>
      </c>
      <c r="G64">
        <v>121</v>
      </c>
      <c r="H64">
        <v>168</v>
      </c>
      <c r="I64">
        <v>23.266666666999999</v>
      </c>
      <c r="J64">
        <v>7.766666667</v>
      </c>
      <c r="K64">
        <v>16.266666666999999</v>
      </c>
      <c r="L64">
        <v>8.1999999999999993</v>
      </c>
      <c r="M64">
        <v>2.516666667</v>
      </c>
      <c r="N64" t="s">
        <v>24</v>
      </c>
      <c r="O64" t="s">
        <v>57</v>
      </c>
      <c r="P64" t="s">
        <v>67</v>
      </c>
      <c r="Q64">
        <f t="shared" si="14"/>
        <v>2</v>
      </c>
      <c r="R64" t="str">
        <f t="shared" si="1"/>
        <v>10-2019</v>
      </c>
      <c r="S64" t="s">
        <v>43</v>
      </c>
      <c r="T64" t="str">
        <f t="shared" si="2"/>
        <v>Tuesday</v>
      </c>
      <c r="U64">
        <f t="shared" si="3"/>
        <v>0</v>
      </c>
      <c r="V64" s="24">
        <f>IFERROR(Table2[[#This Row],[Gray Min]]/Table2[[#This Row],[ClassLength]],"")</f>
        <v>0.40103418557538556</v>
      </c>
      <c r="W64" s="24">
        <f>IFERROR(Table2[[#This Row],[Blue Min]]/Table2[[#This Row],[ClassLength]],"")</f>
        <v>0.13386957771022417</v>
      </c>
      <c r="X64" s="24">
        <f>IFERROR(Table2[[#This Row],[Green Min]]/Table2[[#This Row],[ClassLength]],"")</f>
        <v>0.28037920137821587</v>
      </c>
      <c r="Y64" s="24">
        <f>IFERROR(Table2[[#This Row],[Orange Min]]/Table2[[#This Row],[ClassLength]],"")</f>
        <v>0.14133869577382729</v>
      </c>
      <c r="Z64" s="24">
        <f>IFERROR(Table2[[#This Row],[Red Min]]/Table2[[#This Row],[ClassLength]],"")</f>
        <v>4.3378339562346942E-2</v>
      </c>
      <c r="AA64" s="25">
        <v>327.14</v>
      </c>
      <c r="AB64" s="25">
        <f t="shared" si="18"/>
        <v>19.243529411764705</v>
      </c>
      <c r="AC64" s="26">
        <f t="shared" si="4"/>
        <v>585.94117647058829</v>
      </c>
      <c r="AD64" s="26">
        <f t="shared" si="5"/>
        <v>13.823529411764707</v>
      </c>
      <c r="AE64">
        <f t="shared" si="6"/>
        <v>2019</v>
      </c>
      <c r="AG64">
        <v>12</v>
      </c>
      <c r="AH64" s="26">
        <f t="shared" si="7"/>
        <v>10.083309393620606</v>
      </c>
      <c r="AI64" t="str">
        <f t="shared" si="8"/>
        <v>PM</v>
      </c>
      <c r="AJ64" t="str">
        <f t="shared" si="9"/>
        <v>10-2019-2</v>
      </c>
      <c r="AK64">
        <f t="shared" si="10"/>
        <v>10</v>
      </c>
      <c r="AL64" s="26">
        <f>IFERROR(Table2[[#This Row],[Calories]]/Table2[[#This Row],[Splat]],"")</f>
        <v>53.18181818181818</v>
      </c>
      <c r="AM64">
        <f>COUNTIF(N$2:$N$938,N64)</f>
        <v>35</v>
      </c>
      <c r="AN64" t="str">
        <f>VLOOKUP(N64,'Helpful Tables'!A:D,4,FALSE)</f>
        <v>Virginia</v>
      </c>
      <c r="AO64" s="24">
        <f>COUNTIF(AN:AN,Table2[[#This Row],[State]])/COUNTA(AN:AN)</f>
        <v>5.6503198294243072E-2</v>
      </c>
      <c r="AP64">
        <f>VLOOKUP(N64,'Helpful Tables'!A:B,2,FALSE)</f>
        <v>38.881884999999997</v>
      </c>
      <c r="AQ64">
        <f>VLOOKUP(N64,'Helpful Tables'!A:C,3,FALSE)</f>
        <v>-77.229702000000003</v>
      </c>
      <c r="AR64">
        <f>COUNTIF(P$2:$P$938,P64)</f>
        <v>2</v>
      </c>
      <c r="AS64" cm="1">
        <f t="array" ref="AS64">_xlfn.IFS(E64&lt;6,((E64/D64)*60)*0.5,AND(E64&gt;=6,E64&lt;9),((E64/D64)*60)*0.75,AND(E64&gt;=9,E64&lt;=11),((E64/D64)*60)*0.9,AND(E64=12),((E64/D64)*60)*1,AND(E64&gt;=13,E64&lt;=15),((E64/D64)*60)*1.2,AND(E64&gt;=16,E64&lt;=19),((E64/D64)*60)*1.5,E64&gt;=20,((E64/D64)*60)*1.8)</f>
        <v>10.238437230445539</v>
      </c>
      <c r="AT64" cm="1">
        <f t="array" ref="AT64">_xlfn.IFS(F64&lt;550,((F64/D64)*60)*0.5,AND(F64&gt;=550,F64&lt;575),((F64/D64)*60)*0.75,AND(F64&gt;=575,F64&lt;600),((F64/D64)*60)*0.9,AND(F64=600),((F64/D64)*60)*1,AND(F64&gt;=601,F64&lt;=625),((F64/D64)*60)*1.2,AND(F64&gt;=626,F64&lt;=650),((F64/D64)*60)*1.5,F64&gt;=651,((F64/D64)*60)*1.8)</f>
        <v>544.49870725551284</v>
      </c>
      <c r="AU64">
        <f t="shared" si="11"/>
        <v>-2.5083333332</v>
      </c>
      <c r="AV64">
        <f t="shared" si="16"/>
        <v>221.39319112774336</v>
      </c>
      <c r="AW64">
        <f t="shared" si="12"/>
        <v>17.2</v>
      </c>
      <c r="AX64" t="str">
        <f t="shared" si="13"/>
        <v>Oct-2019</v>
      </c>
      <c r="AY64">
        <f>ROUNDUP(Table2[[#This Row],[Month]]/3,0)</f>
        <v>4</v>
      </c>
    </row>
    <row r="65" spans="1:51" x14ac:dyDescent="0.2">
      <c r="A65">
        <v>64</v>
      </c>
      <c r="B65">
        <f t="shared" si="0"/>
        <v>17</v>
      </c>
      <c r="C65" s="22">
        <v>43749</v>
      </c>
      <c r="D65">
        <f>SUM(Table2[[#This Row],[Gray Min]:[Red Min]])</f>
        <v>56.016666667000003</v>
      </c>
      <c r="E65">
        <v>19</v>
      </c>
      <c r="F65">
        <v>572</v>
      </c>
      <c r="G65">
        <v>122</v>
      </c>
      <c r="H65">
        <v>173</v>
      </c>
      <c r="I65">
        <v>25.983333333000001</v>
      </c>
      <c r="J65">
        <v>4.5</v>
      </c>
      <c r="K65">
        <v>6.4666666670000001</v>
      </c>
      <c r="L65">
        <v>9.9166666669999994</v>
      </c>
      <c r="M65">
        <v>9.15</v>
      </c>
      <c r="N65" t="s">
        <v>33</v>
      </c>
      <c r="O65" t="s">
        <v>39</v>
      </c>
      <c r="P65" t="s">
        <v>68</v>
      </c>
      <c r="Q65">
        <f t="shared" si="14"/>
        <v>3</v>
      </c>
      <c r="R65" t="str">
        <f t="shared" si="1"/>
        <v>10-2019</v>
      </c>
      <c r="S65" t="s">
        <v>48</v>
      </c>
      <c r="T65" t="str">
        <f t="shared" si="2"/>
        <v>Friday</v>
      </c>
      <c r="U65">
        <f t="shared" si="3"/>
        <v>1</v>
      </c>
      <c r="V65" s="24">
        <f>IFERROR(Table2[[#This Row],[Gray Min]]/Table2[[#This Row],[ClassLength]],"")</f>
        <v>0.46385004462086371</v>
      </c>
      <c r="W65" s="24">
        <f>IFERROR(Table2[[#This Row],[Blue Min]]/Table2[[#This Row],[ClassLength]],"")</f>
        <v>8.0333234156023003E-2</v>
      </c>
      <c r="X65" s="24">
        <f>IFERROR(Table2[[#This Row],[Green Min]]/Table2[[#This Row],[ClassLength]],"")</f>
        <v>0.11544183279312441</v>
      </c>
      <c r="Y65" s="24">
        <f>IFERROR(Table2[[#This Row],[Orange Min]]/Table2[[#This Row],[ClassLength]],"")</f>
        <v>0.17703064564607537</v>
      </c>
      <c r="Z65" s="24">
        <f>IFERROR(Table2[[#This Row],[Red Min]]/Table2[[#This Row],[ClassLength]],"")</f>
        <v>0.16334424278391346</v>
      </c>
      <c r="AA65" s="25">
        <v>327.14</v>
      </c>
      <c r="AB65" s="25">
        <f t="shared" si="18"/>
        <v>19.243529411764705</v>
      </c>
      <c r="AC65" s="26">
        <f t="shared" si="4"/>
        <v>585.94117647058829</v>
      </c>
      <c r="AD65" s="26">
        <f t="shared" si="5"/>
        <v>13.823529411764707</v>
      </c>
      <c r="AE65">
        <f t="shared" si="6"/>
        <v>2019</v>
      </c>
      <c r="AG65">
        <v>12</v>
      </c>
      <c r="AH65" s="26">
        <f t="shared" si="7"/>
        <v>10.211246652721147</v>
      </c>
      <c r="AI65" t="str">
        <f t="shared" si="8"/>
        <v>PM</v>
      </c>
      <c r="AJ65" t="str">
        <f t="shared" si="9"/>
        <v>10-2019-2</v>
      </c>
      <c r="AK65">
        <f t="shared" si="10"/>
        <v>10</v>
      </c>
      <c r="AL65" s="26">
        <f>IFERROR(Table2[[#This Row],[Calories]]/Table2[[#This Row],[Splat]],"")</f>
        <v>30.105263157894736</v>
      </c>
      <c r="AM65">
        <f>COUNTIF(N$2:$N$938,N65)</f>
        <v>48</v>
      </c>
      <c r="AN65" t="str">
        <f>VLOOKUP(N65,'Helpful Tables'!A:D,4,FALSE)</f>
        <v>Washington, DC</v>
      </c>
      <c r="AO65" s="24">
        <f>COUNTIF(AN:AN,Table2[[#This Row],[State]])/COUNTA(AN:AN)</f>
        <v>0.54904051172707891</v>
      </c>
      <c r="AP65">
        <f>VLOOKUP(N65,'Helpful Tables'!A:B,2,FALSE)</f>
        <v>38.916486999999996</v>
      </c>
      <c r="AQ65">
        <f>VLOOKUP(N65,'Helpful Tables'!A:C,3,FALSE)</f>
        <v>-77.031514000000001</v>
      </c>
      <c r="AR65">
        <f>COUNTIF(P$2:$P$938,P65)</f>
        <v>5</v>
      </c>
      <c r="AS65" cm="1">
        <f t="array" ref="AS65">_xlfn.IFS(E65&lt;6,((E65/D65)*60)*0.5,AND(E65&gt;=6,E65&lt;9),((E65/D65)*60)*0.75,AND(E65&gt;=9,E65&lt;=11),((E65/D65)*60)*0.9,AND(E65=12),((E65/D65)*60)*1,AND(E65&gt;=13,E65&lt;=15),((E65/D65)*60)*1.2,AND(E65&gt;=16,E65&lt;=19),((E65/D65)*60)*1.5,E65&gt;=20,((E65/D65)*60)*1.8)</f>
        <v>30.526628979288745</v>
      </c>
      <c r="AT65" cm="1">
        <f t="array" ref="AT65">_xlfn.IFS(F65&lt;550,((F65/D65)*60)*0.5,AND(F65&gt;=550,F65&lt;575),((F65/D65)*60)*0.75,AND(F65&gt;=575,F65&lt;600),((F65/D65)*60)*0.9,AND(F65=600),((F65/D65)*60)*1,AND(F65&gt;=601,F65&lt;=625),((F65/D65)*60)*1.2,AND(F65&gt;=626,F65&lt;=650),((F65/D65)*60)*1.5,F65&gt;=651,((F65/D65)*60)*1.8)</f>
        <v>459.50609937245167</v>
      </c>
      <c r="AU65">
        <f t="shared" si="11"/>
        <v>-1.753333332100004</v>
      </c>
      <c r="AV65">
        <f t="shared" si="16"/>
        <v>195.66242467427617</v>
      </c>
      <c r="AW65">
        <f t="shared" si="12"/>
        <v>12.7</v>
      </c>
      <c r="AX65" t="str">
        <f t="shared" si="13"/>
        <v>Oct-2019</v>
      </c>
      <c r="AY65">
        <f>ROUNDUP(Table2[[#This Row],[Month]]/3,0)</f>
        <v>4</v>
      </c>
    </row>
    <row r="66" spans="1:51" x14ac:dyDescent="0.2">
      <c r="A66">
        <v>65</v>
      </c>
      <c r="B66">
        <f t="shared" ref="B66:B129" si="19">COUNTIF(R:R,R66)</f>
        <v>17</v>
      </c>
      <c r="C66" s="22">
        <v>43751</v>
      </c>
      <c r="D66">
        <f>SUM(Table2[[#This Row],[Gray Min]:[Red Min]])</f>
        <v>55.599999998999998</v>
      </c>
      <c r="E66">
        <v>16</v>
      </c>
      <c r="F66">
        <v>647</v>
      </c>
      <c r="G66">
        <v>132</v>
      </c>
      <c r="H66">
        <v>168</v>
      </c>
      <c r="I66">
        <v>8.8000000000000007</v>
      </c>
      <c r="J66">
        <v>11.883333332999999</v>
      </c>
      <c r="K66">
        <v>18.933333333</v>
      </c>
      <c r="L66">
        <v>14.883333332999999</v>
      </c>
      <c r="M66">
        <v>1.1000000000000001</v>
      </c>
      <c r="N66" t="s">
        <v>33</v>
      </c>
      <c r="O66" t="s">
        <v>38</v>
      </c>
      <c r="P66" t="s">
        <v>37</v>
      </c>
      <c r="Q66">
        <f t="shared" si="14"/>
        <v>2</v>
      </c>
      <c r="R66" t="str">
        <f t="shared" ref="R66:R129" si="20">MONTH(C66)&amp;"-"&amp;YEAR(C66)</f>
        <v>10-2019</v>
      </c>
      <c r="S66" t="s">
        <v>48</v>
      </c>
      <c r="T66" t="str">
        <f t="shared" ref="T66:T129" si="21">IF(WEEKDAY(C66)=1,"Sunday",IF(WEEKDAY(C66)=2,"Monday",IF(WEEKDAY(C66)=3,"Tuesday",IF(WEEKDAY(C66)=4,"Wednesday",IF(WEEKDAY(C66)=5,"Thursday",IF(WEEKDAY(C66)=6,"Friday","Saturday"))))))</f>
        <v>Sunday</v>
      </c>
      <c r="U66">
        <f t="shared" ref="U66:U129" si="22">IF(E66&gt;=12,1,0)</f>
        <v>1</v>
      </c>
      <c r="V66" s="24">
        <f>IFERROR(Table2[[#This Row],[Gray Min]]/Table2[[#This Row],[ClassLength]],"")</f>
        <v>0.15827338129781068</v>
      </c>
      <c r="W66" s="24">
        <f>IFERROR(Table2[[#This Row],[Blue Min]]/Table2[[#This Row],[ClassLength]],"")</f>
        <v>0.21372901678441958</v>
      </c>
      <c r="X66" s="24">
        <f>IFERROR(Table2[[#This Row],[Green Min]]/Table2[[#This Row],[ClassLength]],"")</f>
        <v>0.34052757793777927</v>
      </c>
      <c r="Y66" s="24">
        <f>IFERROR(Table2[[#This Row],[Orange Min]]/Table2[[#This Row],[ClassLength]],"")</f>
        <v>0.26768585131776412</v>
      </c>
      <c r="Z66" s="24">
        <f>IFERROR(Table2[[#This Row],[Red Min]]/Table2[[#This Row],[ClassLength]],"")</f>
        <v>1.9784172662226335E-2</v>
      </c>
      <c r="AA66" s="25">
        <v>327.14</v>
      </c>
      <c r="AB66" s="25">
        <f t="shared" si="18"/>
        <v>19.243529411764705</v>
      </c>
      <c r="AC66" s="26">
        <f t="shared" ref="AC66:AC129" si="23">AVERAGEIF(R:R,R66,F:F)</f>
        <v>585.94117647058829</v>
      </c>
      <c r="AD66" s="26">
        <f t="shared" ref="AD66:AD129" si="24">AVERAGEIF(R:R,R66,E:E)</f>
        <v>13.823529411764707</v>
      </c>
      <c r="AE66">
        <f t="shared" ref="AE66:AE129" si="25">YEAR(C66)</f>
        <v>2019</v>
      </c>
      <c r="AG66">
        <v>12</v>
      </c>
      <c r="AH66" s="26">
        <f t="shared" ref="AH66:AH129" si="26">F66/D66</f>
        <v>11.636690647691308</v>
      </c>
      <c r="AI66" t="str">
        <f t="shared" ref="AI66:AI129" si="27">RIGHT(O66,2)</f>
        <v>PM</v>
      </c>
      <c r="AJ66" t="str">
        <f t="shared" ref="AJ66:AJ129" si="28">R66&amp;"-"&amp;WEEKNUM(C66,1)-WEEKNUM(DATE(YEAR(C66),MONTH(C66),1),1)+1</f>
        <v>10-2019-3</v>
      </c>
      <c r="AK66">
        <f t="shared" ref="AK66:AK129" si="29">MONTH(C66)</f>
        <v>10</v>
      </c>
      <c r="AL66" s="26">
        <f>IFERROR(Table2[[#This Row],[Calories]]/Table2[[#This Row],[Splat]],"")</f>
        <v>40.4375</v>
      </c>
      <c r="AM66">
        <f>COUNTIF(N$2:$N$938,N66)</f>
        <v>48</v>
      </c>
      <c r="AN66" t="str">
        <f>VLOOKUP(N66,'Helpful Tables'!A:D,4,FALSE)</f>
        <v>Washington, DC</v>
      </c>
      <c r="AO66" s="24">
        <f>COUNTIF(AN:AN,Table2[[#This Row],[State]])/COUNTA(AN:AN)</f>
        <v>0.54904051172707891</v>
      </c>
      <c r="AP66">
        <f>VLOOKUP(N66,'Helpful Tables'!A:B,2,FALSE)</f>
        <v>38.916486999999996</v>
      </c>
      <c r="AQ66">
        <f>VLOOKUP(N66,'Helpful Tables'!A:C,3,FALSE)</f>
        <v>-77.031514000000001</v>
      </c>
      <c r="AR66">
        <f>COUNTIF(P$2:$P$938,P66)</f>
        <v>12</v>
      </c>
      <c r="AS66" cm="1">
        <f t="array" ref="AS66">_xlfn.IFS(E66&lt;6,((E66/D66)*60)*0.5,AND(E66&gt;=6,E66&lt;9),((E66/D66)*60)*0.75,AND(E66&gt;=9,E66&lt;=11),((E66/D66)*60)*0.9,AND(E66=12),((E66/D66)*60)*1,AND(E66&gt;=13,E66&lt;=15),((E66/D66)*60)*1.2,AND(E66&gt;=16,E66&lt;=19),((E66/D66)*60)*1.5,E66&gt;=20,((E66/D66)*60)*1.8)</f>
        <v>25.899280576005388</v>
      </c>
      <c r="AT66" cm="1">
        <f t="array" ref="AT66">_xlfn.IFS(F66&lt;550,((F66/D66)*60)*0.5,AND(F66&gt;=550,F66&lt;575),((F66/D66)*60)*0.75,AND(F66&gt;=575,F66&lt;600),((F66/D66)*60)*0.9,AND(F66=600),((F66/D66)*60)*1,AND(F66&gt;=601,F66&lt;=625),((F66/D66)*60)*1.2,AND(F66&gt;=626,F66&lt;=650),((F66/D66)*60)*1.5,F66&gt;=651,((F66/D66)*60)*1.8)</f>
        <v>1047.3021582922179</v>
      </c>
      <c r="AU66">
        <f t="shared" ref="AU66:AU129" si="30">(I66*-1.2)+(J66*-1.1)+(K66*1.2)+(L66*1.3)+(M66*1.5)</f>
        <v>20.086666666199999</v>
      </c>
      <c r="AV66">
        <f t="shared" si="16"/>
        <v>433.29790888052935</v>
      </c>
      <c r="AW66">
        <f t="shared" ref="AW66:AW129" si="31">PERCENTRANK(AV:AV,AV66)*100</f>
        <v>65.3</v>
      </c>
      <c r="AX66" t="str">
        <f t="shared" ref="AX66:AX129" si="32">_xlfn.CONCAT(TEXT(C66,"mmm"),"-",AE66)</f>
        <v>Oct-2019</v>
      </c>
      <c r="AY66">
        <f>ROUNDUP(Table2[[#This Row],[Month]]/3,0)</f>
        <v>4</v>
      </c>
    </row>
    <row r="67" spans="1:51" x14ac:dyDescent="0.2">
      <c r="A67">
        <v>66</v>
      </c>
      <c r="B67">
        <f t="shared" si="19"/>
        <v>17</v>
      </c>
      <c r="C67" s="22">
        <v>43752</v>
      </c>
      <c r="D67">
        <f>SUM(Table2[[#This Row],[Gray Min]:[Red Min]])</f>
        <v>55.466666666999998</v>
      </c>
      <c r="E67">
        <v>12</v>
      </c>
      <c r="F67">
        <v>577</v>
      </c>
      <c r="G67">
        <v>124</v>
      </c>
      <c r="H67">
        <v>170</v>
      </c>
      <c r="I67">
        <v>17.95</v>
      </c>
      <c r="J67">
        <v>9.8000000000000007</v>
      </c>
      <c r="K67">
        <v>15.666666666999999</v>
      </c>
      <c r="L67">
        <v>9.4</v>
      </c>
      <c r="M67">
        <v>2.65</v>
      </c>
      <c r="N67" t="s">
        <v>40</v>
      </c>
      <c r="O67" t="s">
        <v>69</v>
      </c>
      <c r="P67" t="s">
        <v>41</v>
      </c>
      <c r="Q67">
        <f t="shared" ref="Q67:Q130" si="33">C67-C66</f>
        <v>1</v>
      </c>
      <c r="R67" t="str">
        <f t="shared" si="20"/>
        <v>10-2019</v>
      </c>
      <c r="S67" t="s">
        <v>47</v>
      </c>
      <c r="T67" t="str">
        <f t="shared" si="21"/>
        <v>Monday</v>
      </c>
      <c r="U67">
        <f t="shared" si="22"/>
        <v>1</v>
      </c>
      <c r="V67" s="24">
        <f>IFERROR(Table2[[#This Row],[Gray Min]]/Table2[[#This Row],[ClassLength]],"")</f>
        <v>0.32361778845959366</v>
      </c>
      <c r="W67" s="24">
        <f>IFERROR(Table2[[#This Row],[Blue Min]]/Table2[[#This Row],[ClassLength]],"")</f>
        <v>0.17668269230663053</v>
      </c>
      <c r="X67" s="24">
        <f>IFERROR(Table2[[#This Row],[Green Min]]/Table2[[#This Row],[ClassLength]],"")</f>
        <v>0.28245192308123529</v>
      </c>
      <c r="Y67" s="24">
        <f>IFERROR(Table2[[#This Row],[Orange Min]]/Table2[[#This Row],[ClassLength]],"")</f>
        <v>0.16947115384513539</v>
      </c>
      <c r="Z67" s="24">
        <f>IFERROR(Table2[[#This Row],[Red Min]]/Table2[[#This Row],[ClassLength]],"")</f>
        <v>4.7776442307405187E-2</v>
      </c>
      <c r="AA67" s="25">
        <v>327.14</v>
      </c>
      <c r="AB67" s="25">
        <f t="shared" si="18"/>
        <v>19.243529411764705</v>
      </c>
      <c r="AC67" s="26">
        <f t="shared" si="23"/>
        <v>585.94117647058829</v>
      </c>
      <c r="AD67" s="26">
        <f t="shared" si="24"/>
        <v>13.823529411764707</v>
      </c>
      <c r="AE67">
        <f t="shared" si="25"/>
        <v>2019</v>
      </c>
      <c r="AG67">
        <v>12</v>
      </c>
      <c r="AH67" s="26">
        <f t="shared" si="26"/>
        <v>10.402644230706715</v>
      </c>
      <c r="AI67" t="str">
        <f t="shared" si="27"/>
        <v>AM</v>
      </c>
      <c r="AJ67" t="str">
        <f t="shared" si="28"/>
        <v>10-2019-3</v>
      </c>
      <c r="AK67">
        <f t="shared" si="29"/>
        <v>10</v>
      </c>
      <c r="AL67" s="26">
        <f>IFERROR(Table2[[#This Row],[Calories]]/Table2[[#This Row],[Splat]],"")</f>
        <v>48.083333333333336</v>
      </c>
      <c r="AM67">
        <f>COUNTIF(N$2:$N$938,N67)</f>
        <v>38</v>
      </c>
      <c r="AN67" t="str">
        <f>VLOOKUP(N67,'Helpful Tables'!A:D,4,FALSE)</f>
        <v>Washington, DC</v>
      </c>
      <c r="AO67" s="24">
        <f>COUNTIF(AN:AN,Table2[[#This Row],[State]])/COUNTA(AN:AN)</f>
        <v>0.54904051172707891</v>
      </c>
      <c r="AP67">
        <f>VLOOKUP(N67,'Helpful Tables'!A:B,2,FALSE)</f>
        <v>38.903509999999997</v>
      </c>
      <c r="AQ67">
        <f>VLOOKUP(N67,'Helpful Tables'!A:C,3,FALSE)</f>
        <v>-77.051809000000006</v>
      </c>
      <c r="AR67">
        <f>COUNTIF(P$2:$P$938,P67)</f>
        <v>20</v>
      </c>
      <c r="AS67" cm="1">
        <f t="array" ref="AS67">_xlfn.IFS(E67&lt;6,((E67/D67)*60)*0.5,AND(E67&gt;=6,E67&lt;9),((E67/D67)*60)*0.75,AND(E67&gt;=9,E67&lt;=11),((E67/D67)*60)*0.9,AND(E67=12),((E67/D67)*60)*1,AND(E67&gt;=13,E67&lt;=15),((E67/D67)*60)*1.2,AND(E67&gt;=16,E67&lt;=19),((E67/D67)*60)*1.5,E67&gt;=20,((E67/D67)*60)*1.8)</f>
        <v>12.980769230691221</v>
      </c>
      <c r="AT67" cm="1">
        <f t="array" ref="AT67">_xlfn.IFS(F67&lt;550,((F67/D67)*60)*0.5,AND(F67&gt;=550,F67&lt;575),((F67/D67)*60)*0.75,AND(F67&gt;=575,F67&lt;600),((F67/D67)*60)*0.9,AND(F67=600),((F67/D67)*60)*1,AND(F67&gt;=601,F67&lt;=625),((F67/D67)*60)*1.2,AND(F67&gt;=626,F67&lt;=650),((F67/D67)*60)*1.5,F67&gt;=651,((F67/D67)*60)*1.8)</f>
        <v>561.74278845816252</v>
      </c>
      <c r="AU67">
        <f t="shared" si="30"/>
        <v>2.6750000003999972</v>
      </c>
      <c r="AV67">
        <f t="shared" ref="AV67:AV130" si="34">(AS67*0.4)+(AT67*0.4)+(AU67*0.2)</f>
        <v>230.42442307562152</v>
      </c>
      <c r="AW67">
        <f t="shared" si="31"/>
        <v>19.900000000000002</v>
      </c>
      <c r="AX67" t="str">
        <f t="shared" si="32"/>
        <v>Oct-2019</v>
      </c>
      <c r="AY67">
        <f>ROUNDUP(Table2[[#This Row],[Month]]/3,0)</f>
        <v>4</v>
      </c>
    </row>
    <row r="68" spans="1:51" x14ac:dyDescent="0.2">
      <c r="A68">
        <v>67</v>
      </c>
      <c r="B68">
        <f t="shared" si="19"/>
        <v>17</v>
      </c>
      <c r="C68" s="22">
        <v>43754</v>
      </c>
      <c r="D68">
        <f>SUM(Table2[[#This Row],[Gray Min]:[Red Min]])</f>
        <v>52.933333333999997</v>
      </c>
      <c r="E68">
        <v>10</v>
      </c>
      <c r="F68">
        <v>554</v>
      </c>
      <c r="G68">
        <v>124</v>
      </c>
      <c r="H68">
        <v>168</v>
      </c>
      <c r="I68">
        <v>13.7</v>
      </c>
      <c r="J68">
        <v>13.516666667000001</v>
      </c>
      <c r="K68">
        <v>15.016666667000001</v>
      </c>
      <c r="L68">
        <v>8.3666666670000005</v>
      </c>
      <c r="M68">
        <v>2.3333333330000001</v>
      </c>
      <c r="N68" t="s">
        <v>40</v>
      </c>
      <c r="O68" t="s">
        <v>26</v>
      </c>
      <c r="P68" t="s">
        <v>41</v>
      </c>
      <c r="Q68">
        <f t="shared" si="33"/>
        <v>2</v>
      </c>
      <c r="R68" t="str">
        <f t="shared" si="20"/>
        <v>10-2019</v>
      </c>
      <c r="S68" t="s">
        <v>47</v>
      </c>
      <c r="T68" t="str">
        <f t="shared" si="21"/>
        <v>Wednesday</v>
      </c>
      <c r="U68">
        <f t="shared" si="22"/>
        <v>0</v>
      </c>
      <c r="V68" s="24">
        <f>IFERROR(Table2[[#This Row],[Gray Min]]/Table2[[#This Row],[ClassLength]],"")</f>
        <v>0.25881612090354134</v>
      </c>
      <c r="W68" s="24">
        <f>IFERROR(Table2[[#This Row],[Blue Min]]/Table2[[#This Row],[ClassLength]],"")</f>
        <v>0.25535264483935327</v>
      </c>
      <c r="X68" s="24">
        <f>IFERROR(Table2[[#This Row],[Green Min]]/Table2[[#This Row],[ClassLength]],"")</f>
        <v>0.28369017632514248</v>
      </c>
      <c r="Y68" s="24">
        <f>IFERROR(Table2[[#This Row],[Orange Min]]/Table2[[#This Row],[ClassLength]],"")</f>
        <v>0.15806045340481034</v>
      </c>
      <c r="Z68" s="24">
        <f>IFERROR(Table2[[#This Row],[Red Min]]/Table2[[#This Row],[ClassLength]],"")</f>
        <v>4.4080604527152643E-2</v>
      </c>
      <c r="AA68" s="25">
        <v>327.14</v>
      </c>
      <c r="AB68" s="25">
        <f t="shared" si="18"/>
        <v>19.243529411764705</v>
      </c>
      <c r="AC68" s="26">
        <f t="shared" si="23"/>
        <v>585.94117647058829</v>
      </c>
      <c r="AD68" s="26">
        <f t="shared" si="24"/>
        <v>13.823529411764707</v>
      </c>
      <c r="AE68">
        <f t="shared" si="25"/>
        <v>2019</v>
      </c>
      <c r="AG68">
        <v>12</v>
      </c>
      <c r="AH68" s="26">
        <f t="shared" si="26"/>
        <v>10.465994962084812</v>
      </c>
      <c r="AI68" t="str">
        <f t="shared" si="27"/>
        <v>PM</v>
      </c>
      <c r="AJ68" t="str">
        <f t="shared" si="28"/>
        <v>10-2019-3</v>
      </c>
      <c r="AK68">
        <f t="shared" si="29"/>
        <v>10</v>
      </c>
      <c r="AL68" s="26">
        <f>IFERROR(Table2[[#This Row],[Calories]]/Table2[[#This Row],[Splat]],"")</f>
        <v>55.4</v>
      </c>
      <c r="AM68">
        <f>COUNTIF(N$2:$N$938,N68)</f>
        <v>38</v>
      </c>
      <c r="AN68" t="str">
        <f>VLOOKUP(N68,'Helpful Tables'!A:D,4,FALSE)</f>
        <v>Washington, DC</v>
      </c>
      <c r="AO68" s="24">
        <f>COUNTIF(AN:AN,Table2[[#This Row],[State]])/COUNTA(AN:AN)</f>
        <v>0.54904051172707891</v>
      </c>
      <c r="AP68">
        <f>VLOOKUP(N68,'Helpful Tables'!A:B,2,FALSE)</f>
        <v>38.903509999999997</v>
      </c>
      <c r="AQ68">
        <f>VLOOKUP(N68,'Helpful Tables'!A:C,3,FALSE)</f>
        <v>-77.051809000000006</v>
      </c>
      <c r="AR68">
        <f>COUNTIF(P$2:$P$938,P68)</f>
        <v>20</v>
      </c>
      <c r="AS68" cm="1">
        <f t="array" ref="AS68">_xlfn.IFS(E68&lt;6,((E68/D68)*60)*0.5,AND(E68&gt;=6,E68&lt;9),((E68/D68)*60)*0.75,AND(E68&gt;=9,E68&lt;=11),((E68/D68)*60)*0.9,AND(E68=12),((E68/D68)*60)*1,AND(E68&gt;=13,E68&lt;=15),((E68/D68)*60)*1.2,AND(E68&gt;=16,E68&lt;=19),((E68/D68)*60)*1.5,E68&gt;=20,((E68/D68)*60)*1.8)</f>
        <v>10.201511334884113</v>
      </c>
      <c r="AT68" cm="1">
        <f t="array" ref="AT68">_xlfn.IFS(F68&lt;550,((F68/D68)*60)*0.5,AND(F68&gt;=550,F68&lt;575),((F68/D68)*60)*0.75,AND(F68&gt;=575,F68&lt;600),((F68/D68)*60)*0.9,AND(F68=600),((F68/D68)*60)*1,AND(F68&gt;=601,F68&lt;=625),((F68/D68)*60)*1.2,AND(F68&gt;=626,F68&lt;=650),((F68/D68)*60)*1.5,F68&gt;=651,((F68/D68)*60)*1.8)</f>
        <v>470.96977329381656</v>
      </c>
      <c r="AU68">
        <f t="shared" si="30"/>
        <v>1.0883333333000014</v>
      </c>
      <c r="AV68">
        <f t="shared" si="34"/>
        <v>192.68618051814028</v>
      </c>
      <c r="AW68">
        <f t="shared" si="31"/>
        <v>12.4</v>
      </c>
      <c r="AX68" t="str">
        <f t="shared" si="32"/>
        <v>Oct-2019</v>
      </c>
      <c r="AY68">
        <f>ROUNDUP(Table2[[#This Row],[Month]]/3,0)</f>
        <v>4</v>
      </c>
    </row>
    <row r="69" spans="1:51" x14ac:dyDescent="0.2">
      <c r="A69">
        <v>68</v>
      </c>
      <c r="B69">
        <f t="shared" si="19"/>
        <v>17</v>
      </c>
      <c r="C69" s="22">
        <v>43756</v>
      </c>
      <c r="D69">
        <f>SUM(Table2[[#This Row],[Gray Min]:[Red Min]])</f>
        <v>56.916666667000001</v>
      </c>
      <c r="E69">
        <v>17</v>
      </c>
      <c r="F69">
        <v>618</v>
      </c>
      <c r="G69">
        <v>127</v>
      </c>
      <c r="H69">
        <v>171</v>
      </c>
      <c r="I69">
        <v>13.633333332999999</v>
      </c>
      <c r="J69">
        <v>14.466666667</v>
      </c>
      <c r="K69">
        <v>11.933333333</v>
      </c>
      <c r="L69">
        <v>8.9666666670000001</v>
      </c>
      <c r="M69">
        <v>7.9166666670000003</v>
      </c>
      <c r="N69" t="s">
        <v>60</v>
      </c>
      <c r="O69" t="s">
        <v>39</v>
      </c>
      <c r="P69" t="s">
        <v>61</v>
      </c>
      <c r="Q69">
        <f t="shared" si="33"/>
        <v>2</v>
      </c>
      <c r="R69" t="str">
        <f t="shared" si="20"/>
        <v>10-2019</v>
      </c>
      <c r="S69" t="s">
        <v>47</v>
      </c>
      <c r="T69" t="str">
        <f t="shared" si="21"/>
        <v>Friday</v>
      </c>
      <c r="U69">
        <f t="shared" si="22"/>
        <v>1</v>
      </c>
      <c r="V69" s="24">
        <f>IFERROR(Table2[[#This Row],[Gray Min]]/Table2[[#This Row],[ClassLength]],"")</f>
        <v>0.23953147876287242</v>
      </c>
      <c r="W69" s="24">
        <f>IFERROR(Table2[[#This Row],[Blue Min]]/Table2[[#This Row],[ClassLength]],"")</f>
        <v>0.25417276720788184</v>
      </c>
      <c r="X69" s="24">
        <f>IFERROR(Table2[[#This Row],[Green Min]]/Table2[[#This Row],[ClassLength]],"")</f>
        <v>0.20966325035894781</v>
      </c>
      <c r="Y69" s="24">
        <f>IFERROR(Table2[[#This Row],[Orange Min]]/Table2[[#This Row],[ClassLength]],"")</f>
        <v>0.15754026354812567</v>
      </c>
      <c r="Z69" s="24">
        <f>IFERROR(Table2[[#This Row],[Red Min]]/Table2[[#This Row],[ClassLength]],"")</f>
        <v>0.13909224012217222</v>
      </c>
      <c r="AA69" s="25">
        <v>327.14</v>
      </c>
      <c r="AB69" s="25">
        <f t="shared" si="18"/>
        <v>19.243529411764705</v>
      </c>
      <c r="AC69" s="26">
        <f t="shared" si="23"/>
        <v>585.94117647058829</v>
      </c>
      <c r="AD69" s="26">
        <f t="shared" si="24"/>
        <v>13.823529411764707</v>
      </c>
      <c r="AE69">
        <f t="shared" si="25"/>
        <v>2019</v>
      </c>
      <c r="AG69">
        <v>12</v>
      </c>
      <c r="AH69" s="26">
        <f t="shared" si="26"/>
        <v>10.857979502132602</v>
      </c>
      <c r="AI69" t="str">
        <f t="shared" si="27"/>
        <v>PM</v>
      </c>
      <c r="AJ69" t="str">
        <f t="shared" si="28"/>
        <v>10-2019-3</v>
      </c>
      <c r="AK69">
        <f t="shared" si="29"/>
        <v>10</v>
      </c>
      <c r="AL69" s="26">
        <f>IFERROR(Table2[[#This Row],[Calories]]/Table2[[#This Row],[Splat]],"")</f>
        <v>36.352941176470587</v>
      </c>
      <c r="AM69">
        <f>COUNTIF(N$2:$N$938,N69)</f>
        <v>10</v>
      </c>
      <c r="AN69" t="str">
        <f>VLOOKUP(N69,'Helpful Tables'!A:D,4,FALSE)</f>
        <v>Washington, DC</v>
      </c>
      <c r="AO69" s="24">
        <f>COUNTIF(AN:AN,Table2[[#This Row],[State]])/COUNTA(AN:AN)</f>
        <v>0.54904051172707891</v>
      </c>
      <c r="AP69">
        <f>VLOOKUP(N69,'Helpful Tables'!A:B,2,FALSE)</f>
        <v>38.879828000000003</v>
      </c>
      <c r="AQ69">
        <f>VLOOKUP(N69,'Helpful Tables'!A:C,3,FALSE)</f>
        <v>-77.005566000000002</v>
      </c>
      <c r="AR69">
        <f>COUNTIF(P$2:$P$938,P69)</f>
        <v>9</v>
      </c>
      <c r="AS69" cm="1">
        <f t="array" ref="AS69">_xlfn.IFS(E69&lt;6,((E69/D69)*60)*0.5,AND(E69&gt;=6,E69&lt;9),((E69/D69)*60)*0.75,AND(E69&gt;=9,E69&lt;=11),((E69/D69)*60)*0.9,AND(E69=12),((E69/D69)*60)*1,AND(E69&gt;=13,E69&lt;=15),((E69/D69)*60)*1.2,AND(E69&gt;=16,E69&lt;=19),((E69/D69)*60)*1.5,E69&gt;=20,((E69/D69)*60)*1.8)</f>
        <v>26.881405563532169</v>
      </c>
      <c r="AT69" cm="1">
        <f t="array" ref="AT69">_xlfn.IFS(F69&lt;550,((F69/D69)*60)*0.5,AND(F69&gt;=550,F69&lt;575),((F69/D69)*60)*0.75,AND(F69&gt;=575,F69&lt;600),((F69/D69)*60)*0.9,AND(F69=600),((F69/D69)*60)*1,AND(F69&gt;=601,F69&lt;=625),((F69/D69)*60)*1.2,AND(F69&gt;=626,F69&lt;=650),((F69/D69)*60)*1.5,F69&gt;=651,((F69/D69)*60)*1.8)</f>
        <v>781.77452415354742</v>
      </c>
      <c r="AU69">
        <f t="shared" si="30"/>
        <v>5.5783333338999999</v>
      </c>
      <c r="AV69">
        <f t="shared" si="34"/>
        <v>324.57803855361186</v>
      </c>
      <c r="AW69">
        <f t="shared" si="31"/>
        <v>38.5</v>
      </c>
      <c r="AX69" t="str">
        <f t="shared" si="32"/>
        <v>Oct-2019</v>
      </c>
      <c r="AY69">
        <f>ROUNDUP(Table2[[#This Row],[Month]]/3,0)</f>
        <v>4</v>
      </c>
    </row>
    <row r="70" spans="1:51" x14ac:dyDescent="0.2">
      <c r="A70">
        <v>69</v>
      </c>
      <c r="B70">
        <f t="shared" si="19"/>
        <v>17</v>
      </c>
      <c r="C70" s="22">
        <v>43758</v>
      </c>
      <c r="D70">
        <f>SUM(Table2[[#This Row],[Gray Min]:[Red Min]])</f>
        <v>54.783333333000002</v>
      </c>
      <c r="E70">
        <v>16</v>
      </c>
      <c r="F70">
        <v>593</v>
      </c>
      <c r="G70">
        <v>126</v>
      </c>
      <c r="H70">
        <v>173</v>
      </c>
      <c r="I70">
        <v>14.316666667</v>
      </c>
      <c r="J70">
        <v>11.766666667000001</v>
      </c>
      <c r="K70">
        <v>13.233333332999999</v>
      </c>
      <c r="L70">
        <v>12.533333333</v>
      </c>
      <c r="M70">
        <v>2.9333333330000002</v>
      </c>
      <c r="N70" t="s">
        <v>33</v>
      </c>
      <c r="O70" t="s">
        <v>70</v>
      </c>
      <c r="P70" t="s">
        <v>37</v>
      </c>
      <c r="Q70">
        <f t="shared" si="33"/>
        <v>2</v>
      </c>
      <c r="R70" t="str">
        <f t="shared" si="20"/>
        <v>10-2019</v>
      </c>
      <c r="S70" t="s">
        <v>48</v>
      </c>
      <c r="T70" t="str">
        <f t="shared" si="21"/>
        <v>Sunday</v>
      </c>
      <c r="U70">
        <f t="shared" si="22"/>
        <v>1</v>
      </c>
      <c r="V70" s="24">
        <f>IFERROR(Table2[[#This Row],[Gray Min]]/Table2[[#This Row],[ClassLength]],"")</f>
        <v>0.26133252206426122</v>
      </c>
      <c r="W70" s="24">
        <f>IFERROR(Table2[[#This Row],[Blue Min]]/Table2[[#This Row],[ClassLength]],"")</f>
        <v>0.21478551871746143</v>
      </c>
      <c r="X70" s="24">
        <f>IFERROR(Table2[[#This Row],[Green Min]]/Table2[[#This Row],[ClassLength]],"")</f>
        <v>0.24155765134920326</v>
      </c>
      <c r="Y70" s="24">
        <f>IFERROR(Table2[[#This Row],[Orange Min]]/Table2[[#This Row],[ClassLength]],"")</f>
        <v>0.22878004258733664</v>
      </c>
      <c r="Z70" s="24">
        <f>IFERROR(Table2[[#This Row],[Red Min]]/Table2[[#This Row],[ClassLength]],"")</f>
        <v>5.3544265281737419E-2</v>
      </c>
      <c r="AA70" s="25">
        <v>327.14</v>
      </c>
      <c r="AB70" s="25">
        <f t="shared" si="18"/>
        <v>19.243529411764705</v>
      </c>
      <c r="AC70" s="26">
        <f t="shared" si="23"/>
        <v>585.94117647058829</v>
      </c>
      <c r="AD70" s="26">
        <f t="shared" si="24"/>
        <v>13.823529411764707</v>
      </c>
      <c r="AE70">
        <f t="shared" si="25"/>
        <v>2019</v>
      </c>
      <c r="AG70">
        <v>12</v>
      </c>
      <c r="AH70" s="26">
        <f t="shared" si="26"/>
        <v>10.824459993981286</v>
      </c>
      <c r="AI70" t="str">
        <f t="shared" si="27"/>
        <v>PM</v>
      </c>
      <c r="AJ70" t="str">
        <f t="shared" si="28"/>
        <v>10-2019-4</v>
      </c>
      <c r="AK70">
        <f t="shared" si="29"/>
        <v>10</v>
      </c>
      <c r="AL70" s="26">
        <f>IFERROR(Table2[[#This Row],[Calories]]/Table2[[#This Row],[Splat]],"")</f>
        <v>37.0625</v>
      </c>
      <c r="AM70">
        <f>COUNTIF(N$2:$N$938,N70)</f>
        <v>48</v>
      </c>
      <c r="AN70" t="str">
        <f>VLOOKUP(N70,'Helpful Tables'!A:D,4,FALSE)</f>
        <v>Washington, DC</v>
      </c>
      <c r="AO70" s="24">
        <f>COUNTIF(AN:AN,Table2[[#This Row],[State]])/COUNTA(AN:AN)</f>
        <v>0.54904051172707891</v>
      </c>
      <c r="AP70">
        <f>VLOOKUP(N70,'Helpful Tables'!A:B,2,FALSE)</f>
        <v>38.916486999999996</v>
      </c>
      <c r="AQ70">
        <f>VLOOKUP(N70,'Helpful Tables'!A:C,3,FALSE)</f>
        <v>-77.031514000000001</v>
      </c>
      <c r="AR70">
        <f>COUNTIF(P$2:$P$938,P70)</f>
        <v>12</v>
      </c>
      <c r="AS70" cm="1">
        <f t="array" ref="AS70">_xlfn.IFS(E70&lt;6,((E70/D70)*60)*0.5,AND(E70&gt;=6,E70&lt;9),((E70/D70)*60)*0.75,AND(E70&gt;=9,E70&lt;=11),((E70/D70)*60)*0.9,AND(E70=12),((E70/D70)*60)*1,AND(E70&gt;=13,E70&lt;=15),((E70/D70)*60)*1.2,AND(E70&gt;=16,E70&lt;=19),((E70/D70)*60)*1.5,E70&gt;=20,((E70/D70)*60)*1.8)</f>
        <v>26.285366595839889</v>
      </c>
      <c r="AT70" cm="1">
        <f t="array" ref="AT70">_xlfn.IFS(F70&lt;550,((F70/D70)*60)*0.5,AND(F70&gt;=550,F70&lt;575),((F70/D70)*60)*0.75,AND(F70&gt;=575,F70&lt;600),((F70/D70)*60)*0.9,AND(F70=600),((F70/D70)*60)*1,AND(F70&gt;=601,F70&lt;=625),((F70/D70)*60)*1.2,AND(F70&gt;=626,F70&lt;=650),((F70/D70)*60)*1.5,F70&gt;=651,((F70/D70)*60)*1.8)</f>
        <v>584.52083967498947</v>
      </c>
      <c r="AU70">
        <f t="shared" si="30"/>
        <v>6.4499999978999973</v>
      </c>
      <c r="AV70">
        <f t="shared" si="34"/>
        <v>245.61248250791175</v>
      </c>
      <c r="AW70">
        <f t="shared" si="31"/>
        <v>22.7</v>
      </c>
      <c r="AX70" t="str">
        <f t="shared" si="32"/>
        <v>Oct-2019</v>
      </c>
      <c r="AY70">
        <f>ROUNDUP(Table2[[#This Row],[Month]]/3,0)</f>
        <v>4</v>
      </c>
    </row>
    <row r="71" spans="1:51" x14ac:dyDescent="0.2">
      <c r="A71">
        <v>70</v>
      </c>
      <c r="B71">
        <f t="shared" si="19"/>
        <v>17</v>
      </c>
      <c r="C71" s="22">
        <v>43760</v>
      </c>
      <c r="D71">
        <f>SUM(Table2[[#This Row],[Gray Min]:[Red Min]])</f>
        <v>60.000000001000004</v>
      </c>
      <c r="E71">
        <v>12</v>
      </c>
      <c r="F71">
        <v>593</v>
      </c>
      <c r="G71">
        <v>120</v>
      </c>
      <c r="H71">
        <v>171</v>
      </c>
      <c r="I71">
        <v>22.683333333</v>
      </c>
      <c r="J71">
        <v>9.9166666669999994</v>
      </c>
      <c r="K71">
        <v>15.166666666999999</v>
      </c>
      <c r="L71">
        <v>8.9666666670000001</v>
      </c>
      <c r="M71">
        <v>3.266666667</v>
      </c>
      <c r="N71" t="s">
        <v>24</v>
      </c>
      <c r="O71" t="s">
        <v>57</v>
      </c>
      <c r="P71" t="s">
        <v>71</v>
      </c>
      <c r="Q71">
        <f t="shared" si="33"/>
        <v>2</v>
      </c>
      <c r="R71" t="str">
        <f t="shared" si="20"/>
        <v>10-2019</v>
      </c>
      <c r="S71" t="s">
        <v>43</v>
      </c>
      <c r="T71" t="str">
        <f t="shared" si="21"/>
        <v>Tuesday</v>
      </c>
      <c r="U71">
        <f t="shared" si="22"/>
        <v>1</v>
      </c>
      <c r="V71" s="24">
        <f>IFERROR(Table2[[#This Row],[Gray Min]]/Table2[[#This Row],[ClassLength]],"")</f>
        <v>0.37805555554369907</v>
      </c>
      <c r="W71" s="24">
        <f>IFERROR(Table2[[#This Row],[Blue Min]]/Table2[[#This Row],[ClassLength]],"")</f>
        <v>0.16527777778057867</v>
      </c>
      <c r="X71" s="24">
        <f>IFERROR(Table2[[#This Row],[Green Min]]/Table2[[#This Row],[ClassLength]],"")</f>
        <v>0.25277777777912036</v>
      </c>
      <c r="Y71" s="24">
        <f>IFERROR(Table2[[#This Row],[Orange Min]]/Table2[[#This Row],[ClassLength]],"")</f>
        <v>0.14944444444750926</v>
      </c>
      <c r="Z71" s="24">
        <f>IFERROR(Table2[[#This Row],[Red Min]]/Table2[[#This Row],[ClassLength]],"")</f>
        <v>5.4444444449092591E-2</v>
      </c>
      <c r="AA71" s="25">
        <v>327.14</v>
      </c>
      <c r="AB71" s="25">
        <f t="shared" si="18"/>
        <v>19.243529411764705</v>
      </c>
      <c r="AC71" s="26">
        <f t="shared" si="23"/>
        <v>585.94117647058829</v>
      </c>
      <c r="AD71" s="26">
        <f t="shared" si="24"/>
        <v>13.823529411764707</v>
      </c>
      <c r="AE71">
        <f t="shared" si="25"/>
        <v>2019</v>
      </c>
      <c r="AG71">
        <v>12</v>
      </c>
      <c r="AH71" s="26">
        <f t="shared" si="26"/>
        <v>9.8833333331686113</v>
      </c>
      <c r="AI71" t="str">
        <f t="shared" si="27"/>
        <v>PM</v>
      </c>
      <c r="AJ71" t="str">
        <f t="shared" si="28"/>
        <v>10-2019-4</v>
      </c>
      <c r="AK71">
        <f t="shared" si="29"/>
        <v>10</v>
      </c>
      <c r="AL71" s="26">
        <f>IFERROR(Table2[[#This Row],[Calories]]/Table2[[#This Row],[Splat]],"")</f>
        <v>49.416666666666664</v>
      </c>
      <c r="AM71">
        <f>COUNTIF(N$2:$N$938,N71)</f>
        <v>35</v>
      </c>
      <c r="AN71" t="str">
        <f>VLOOKUP(N71,'Helpful Tables'!A:D,4,FALSE)</f>
        <v>Virginia</v>
      </c>
      <c r="AO71" s="24">
        <f>COUNTIF(AN:AN,Table2[[#This Row],[State]])/COUNTA(AN:AN)</f>
        <v>5.6503198294243072E-2</v>
      </c>
      <c r="AP71">
        <f>VLOOKUP(N71,'Helpful Tables'!A:B,2,FALSE)</f>
        <v>38.881884999999997</v>
      </c>
      <c r="AQ71">
        <f>VLOOKUP(N71,'Helpful Tables'!A:C,3,FALSE)</f>
        <v>-77.229702000000003</v>
      </c>
      <c r="AR71">
        <f>COUNTIF(P$2:$P$938,P71)</f>
        <v>4</v>
      </c>
      <c r="AS71" cm="1">
        <f t="array" ref="AS71">_xlfn.IFS(E71&lt;6,((E71/D71)*60)*0.5,AND(E71&gt;=6,E71&lt;9),((E71/D71)*60)*0.75,AND(E71&gt;=9,E71&lt;=11),((E71/D71)*60)*0.9,AND(E71=12),((E71/D71)*60)*1,AND(E71&gt;=13,E71&lt;=15),((E71/D71)*60)*1.2,AND(E71&gt;=16,E71&lt;=19),((E71/D71)*60)*1.5,E71&gt;=20,((E71/D71)*60)*1.8)</f>
        <v>11.999999999799998</v>
      </c>
      <c r="AT71" cm="1">
        <f t="array" ref="AT71">_xlfn.IFS(F71&lt;550,((F71/D71)*60)*0.5,AND(F71&gt;=550,F71&lt;575),((F71/D71)*60)*0.75,AND(F71&gt;=575,F71&lt;600),((F71/D71)*60)*0.9,AND(F71=600),((F71/D71)*60)*1,AND(F71&gt;=601,F71&lt;=625),((F71/D71)*60)*1.2,AND(F71&gt;=626,F71&lt;=650),((F71/D71)*60)*1.5,F71&gt;=651,((F71/D71)*60)*1.8)</f>
        <v>533.69999999110496</v>
      </c>
      <c r="AU71">
        <f t="shared" si="30"/>
        <v>-3.3716666652999976</v>
      </c>
      <c r="AV71">
        <f t="shared" si="34"/>
        <v>217.605666663302</v>
      </c>
      <c r="AW71">
        <f t="shared" si="31"/>
        <v>16.2</v>
      </c>
      <c r="AX71" t="str">
        <f t="shared" si="32"/>
        <v>Oct-2019</v>
      </c>
      <c r="AY71">
        <f>ROUNDUP(Table2[[#This Row],[Month]]/3,0)</f>
        <v>4</v>
      </c>
    </row>
    <row r="72" spans="1:51" x14ac:dyDescent="0.2">
      <c r="A72">
        <v>71</v>
      </c>
      <c r="B72">
        <f t="shared" si="19"/>
        <v>17</v>
      </c>
      <c r="C72" s="22">
        <v>43761</v>
      </c>
      <c r="D72">
        <f>SUM(Table2[[#This Row],[Gray Min]:[Red Min]])</f>
        <v>57.866666667000004</v>
      </c>
      <c r="E72">
        <v>18</v>
      </c>
      <c r="F72">
        <v>565</v>
      </c>
      <c r="G72">
        <v>119</v>
      </c>
      <c r="H72">
        <v>165</v>
      </c>
      <c r="I72">
        <v>24.616666667000001</v>
      </c>
      <c r="J72">
        <v>7.15</v>
      </c>
      <c r="K72">
        <v>7.9</v>
      </c>
      <c r="L72">
        <v>16.733333333000001</v>
      </c>
      <c r="M72">
        <v>1.4666666669999999</v>
      </c>
      <c r="N72" t="s">
        <v>40</v>
      </c>
      <c r="O72" t="s">
        <v>26</v>
      </c>
      <c r="P72" t="s">
        <v>41</v>
      </c>
      <c r="Q72">
        <f t="shared" si="33"/>
        <v>1</v>
      </c>
      <c r="R72" t="str">
        <f t="shared" si="20"/>
        <v>10-2019</v>
      </c>
      <c r="S72" t="s">
        <v>47</v>
      </c>
      <c r="T72" t="str">
        <f t="shared" si="21"/>
        <v>Wednesday</v>
      </c>
      <c r="U72">
        <f t="shared" si="22"/>
        <v>1</v>
      </c>
      <c r="V72" s="24">
        <f>IFERROR(Table2[[#This Row],[Gray Min]]/Table2[[#This Row],[ClassLength]],"")</f>
        <v>0.42540322580976148</v>
      </c>
      <c r="W72" s="24">
        <f>IFERROR(Table2[[#This Row],[Blue Min]]/Table2[[#This Row],[ClassLength]],"")</f>
        <v>0.12355990783338963</v>
      </c>
      <c r="X72" s="24">
        <f>IFERROR(Table2[[#This Row],[Green Min]]/Table2[[#This Row],[ClassLength]],"")</f>
        <v>0.13652073732640252</v>
      </c>
      <c r="Y72" s="24">
        <f>IFERROR(Table2[[#This Row],[Orange Min]]/Table2[[#This Row],[ClassLength]],"")</f>
        <v>0.28917050690501628</v>
      </c>
      <c r="Z72" s="24">
        <f>IFERROR(Table2[[#This Row],[Red Min]]/Table2[[#This Row],[ClassLength]],"")</f>
        <v>2.5345622125430033E-2</v>
      </c>
      <c r="AA72" s="25">
        <v>327.14</v>
      </c>
      <c r="AB72" s="25">
        <f t="shared" si="18"/>
        <v>19.243529411764705</v>
      </c>
      <c r="AC72" s="26">
        <f t="shared" si="23"/>
        <v>585.94117647058829</v>
      </c>
      <c r="AD72" s="26">
        <f t="shared" si="24"/>
        <v>13.823529411764707</v>
      </c>
      <c r="AE72">
        <f t="shared" si="25"/>
        <v>2019</v>
      </c>
      <c r="AG72">
        <v>12</v>
      </c>
      <c r="AH72" s="26">
        <f t="shared" si="26"/>
        <v>9.7638248847363833</v>
      </c>
      <c r="AI72" t="str">
        <f t="shared" si="27"/>
        <v>PM</v>
      </c>
      <c r="AJ72" t="str">
        <f t="shared" si="28"/>
        <v>10-2019-4</v>
      </c>
      <c r="AK72">
        <f t="shared" si="29"/>
        <v>10</v>
      </c>
      <c r="AL72" s="26">
        <f>IFERROR(Table2[[#This Row],[Calories]]/Table2[[#This Row],[Splat]],"")</f>
        <v>31.388888888888889</v>
      </c>
      <c r="AM72">
        <f>COUNTIF(N$2:$N$938,N72)</f>
        <v>38</v>
      </c>
      <c r="AN72" t="str">
        <f>VLOOKUP(N72,'Helpful Tables'!A:D,4,FALSE)</f>
        <v>Washington, DC</v>
      </c>
      <c r="AO72" s="24">
        <f>COUNTIF(AN:AN,Table2[[#This Row],[State]])/COUNTA(AN:AN)</f>
        <v>0.54904051172707891</v>
      </c>
      <c r="AP72">
        <f>VLOOKUP(N72,'Helpful Tables'!A:B,2,FALSE)</f>
        <v>38.903509999999997</v>
      </c>
      <c r="AQ72">
        <f>VLOOKUP(N72,'Helpful Tables'!A:C,3,FALSE)</f>
        <v>-77.051809000000006</v>
      </c>
      <c r="AR72">
        <f>COUNTIF(P$2:$P$938,P72)</f>
        <v>20</v>
      </c>
      <c r="AS72" cm="1">
        <f t="array" ref="AS72">_xlfn.IFS(E72&lt;6,((E72/D72)*60)*0.5,AND(E72&gt;=6,E72&lt;9),((E72/D72)*60)*0.75,AND(E72&gt;=9,E72&lt;=11),((E72/D72)*60)*0.9,AND(E72=12),((E72/D72)*60)*1,AND(E72&gt;=13,E72&lt;=15),((E72/D72)*60)*1.2,AND(E72&gt;=16,E72&lt;=19),((E72/D72)*60)*1.5,E72&gt;=20,((E72/D72)*60)*1.8)</f>
        <v>27.99539170490786</v>
      </c>
      <c r="AT72" cm="1">
        <f t="array" ref="AT72">_xlfn.IFS(F72&lt;550,((F72/D72)*60)*0.5,AND(F72&gt;=550,F72&lt;575),((F72/D72)*60)*0.75,AND(F72&gt;=575,F72&lt;600),((F72/D72)*60)*0.9,AND(F72=600),((F72/D72)*60)*1,AND(F72&gt;=601,F72&lt;=625),((F72/D72)*60)*1.2,AND(F72&gt;=626,F72&lt;=650),((F72/D72)*60)*1.5,F72&gt;=651,((F72/D72)*60)*1.8)</f>
        <v>439.37211981313726</v>
      </c>
      <c r="AU72">
        <f t="shared" si="30"/>
        <v>-3.9716666669999987</v>
      </c>
      <c r="AV72">
        <f t="shared" si="34"/>
        <v>186.15267127381807</v>
      </c>
      <c r="AW72">
        <f t="shared" si="31"/>
        <v>12</v>
      </c>
      <c r="AX72" t="str">
        <f t="shared" si="32"/>
        <v>Oct-2019</v>
      </c>
      <c r="AY72">
        <f>ROUNDUP(Table2[[#This Row],[Month]]/3,0)</f>
        <v>4</v>
      </c>
    </row>
    <row r="73" spans="1:51" x14ac:dyDescent="0.2">
      <c r="A73">
        <v>72</v>
      </c>
      <c r="B73">
        <f t="shared" si="19"/>
        <v>17</v>
      </c>
      <c r="C73" s="22">
        <v>43763</v>
      </c>
      <c r="D73">
        <f>SUM(Table2[[#This Row],[Gray Min]:[Red Min]])</f>
        <v>53.200000001000006</v>
      </c>
      <c r="E73">
        <v>6</v>
      </c>
      <c r="F73">
        <v>447</v>
      </c>
      <c r="G73">
        <v>110</v>
      </c>
      <c r="H73">
        <v>166</v>
      </c>
      <c r="I73">
        <v>31.566666667</v>
      </c>
      <c r="J73">
        <v>3.95</v>
      </c>
      <c r="K73">
        <v>11.266666667000001</v>
      </c>
      <c r="L73">
        <v>5.2</v>
      </c>
      <c r="M73">
        <v>1.2166666669999999</v>
      </c>
      <c r="N73" t="s">
        <v>33</v>
      </c>
      <c r="O73" t="s">
        <v>26</v>
      </c>
      <c r="P73" t="s">
        <v>72</v>
      </c>
      <c r="Q73">
        <f t="shared" si="33"/>
        <v>2</v>
      </c>
      <c r="R73" t="str">
        <f t="shared" si="20"/>
        <v>10-2019</v>
      </c>
      <c r="S73" t="s">
        <v>48</v>
      </c>
      <c r="T73" t="str">
        <f t="shared" si="21"/>
        <v>Friday</v>
      </c>
      <c r="U73">
        <f t="shared" si="22"/>
        <v>0</v>
      </c>
      <c r="V73" s="24">
        <f>IFERROR(Table2[[#This Row],[Gray Min]]/Table2[[#This Row],[ClassLength]],"")</f>
        <v>0.59335839598508722</v>
      </c>
      <c r="W73" s="24">
        <f>IFERROR(Table2[[#This Row],[Blue Min]]/Table2[[#This Row],[ClassLength]],"")</f>
        <v>7.4248120299356235E-2</v>
      </c>
      <c r="X73" s="24">
        <f>IFERROR(Table2[[#This Row],[Green Min]]/Table2[[#This Row],[ClassLength]],"")</f>
        <v>0.21177944862383871</v>
      </c>
      <c r="Y73" s="24">
        <f>IFERROR(Table2[[#This Row],[Orange Min]]/Table2[[#This Row],[ClassLength]],"")</f>
        <v>9.7744360900418326E-2</v>
      </c>
      <c r="Z73" s="24">
        <f>IFERROR(Table2[[#This Row],[Red Min]]/Table2[[#This Row],[ClassLength]],"")</f>
        <v>2.2869674191299438E-2</v>
      </c>
      <c r="AA73" s="25">
        <v>327.14</v>
      </c>
      <c r="AB73" s="25">
        <f t="shared" si="18"/>
        <v>19.243529411764705</v>
      </c>
      <c r="AC73" s="26">
        <f t="shared" si="23"/>
        <v>585.94117647058829</v>
      </c>
      <c r="AD73" s="26">
        <f t="shared" si="24"/>
        <v>13.823529411764707</v>
      </c>
      <c r="AE73">
        <f t="shared" si="25"/>
        <v>2019</v>
      </c>
      <c r="AG73">
        <v>12</v>
      </c>
      <c r="AH73" s="26">
        <f t="shared" si="26"/>
        <v>8.4022556389398062</v>
      </c>
      <c r="AI73" t="str">
        <f t="shared" si="27"/>
        <v>PM</v>
      </c>
      <c r="AJ73" t="str">
        <f t="shared" si="28"/>
        <v>10-2019-4</v>
      </c>
      <c r="AK73">
        <f t="shared" si="29"/>
        <v>10</v>
      </c>
      <c r="AL73" s="26">
        <f>IFERROR(Table2[[#This Row],[Calories]]/Table2[[#This Row],[Splat]],"")</f>
        <v>74.5</v>
      </c>
      <c r="AM73">
        <f>COUNTIF(N$2:$N$938,N73)</f>
        <v>48</v>
      </c>
      <c r="AN73" t="str">
        <f>VLOOKUP(N73,'Helpful Tables'!A:D,4,FALSE)</f>
        <v>Washington, DC</v>
      </c>
      <c r="AO73" s="24">
        <f>COUNTIF(AN:AN,Table2[[#This Row],[State]])/COUNTA(AN:AN)</f>
        <v>0.54904051172707891</v>
      </c>
      <c r="AP73">
        <f>VLOOKUP(N73,'Helpful Tables'!A:B,2,FALSE)</f>
        <v>38.916486999999996</v>
      </c>
      <c r="AQ73">
        <f>VLOOKUP(N73,'Helpful Tables'!A:C,3,FALSE)</f>
        <v>-77.031514000000001</v>
      </c>
      <c r="AR73">
        <f>COUNTIF(P$2:$P$938,P73)</f>
        <v>3</v>
      </c>
      <c r="AS73" cm="1">
        <f t="array" ref="AS73">_xlfn.IFS(E73&lt;6,((E73/D73)*60)*0.5,AND(E73&gt;=6,E73&lt;9),((E73/D73)*60)*0.75,AND(E73&gt;=9,E73&lt;=11),((E73/D73)*60)*0.9,AND(E73=12),((E73/D73)*60)*1,AND(E73&gt;=13,E73&lt;=15),((E73/D73)*60)*1.2,AND(E73&gt;=16,E73&lt;=19),((E73/D73)*60)*1.5,E73&gt;=20,((E73/D73)*60)*1.8)</f>
        <v>5.0751879698294129</v>
      </c>
      <c r="AT73" cm="1">
        <f t="array" ref="AT73">_xlfn.IFS(F73&lt;550,((F73/D73)*60)*0.5,AND(F73&gt;=550,F73&lt;575),((F73/D73)*60)*0.75,AND(F73&gt;=575,F73&lt;600),((F73/D73)*60)*0.9,AND(F73=600),((F73/D73)*60)*1,AND(F73&gt;=601,F73&lt;=625),((F73/D73)*60)*1.2,AND(F73&gt;=626,F73&lt;=650),((F73/D73)*60)*1.5,F73&gt;=651,((F73/D73)*60)*1.8)</f>
        <v>252.06766916819419</v>
      </c>
      <c r="AU73">
        <f t="shared" si="30"/>
        <v>-20.119999999499989</v>
      </c>
      <c r="AV73">
        <f t="shared" si="34"/>
        <v>98.833142855309447</v>
      </c>
      <c r="AW73">
        <f t="shared" si="31"/>
        <v>0.70000000000000007</v>
      </c>
      <c r="AX73" t="str">
        <f t="shared" si="32"/>
        <v>Oct-2019</v>
      </c>
      <c r="AY73">
        <f>ROUNDUP(Table2[[#This Row],[Month]]/3,0)</f>
        <v>4</v>
      </c>
    </row>
    <row r="74" spans="1:51" x14ac:dyDescent="0.2">
      <c r="A74">
        <v>73</v>
      </c>
      <c r="B74">
        <f t="shared" si="19"/>
        <v>17</v>
      </c>
      <c r="C74" s="22">
        <v>43765</v>
      </c>
      <c r="D74">
        <f>SUM(Table2[[#This Row],[Gray Min]:[Red Min]])</f>
        <v>58.35</v>
      </c>
      <c r="E74">
        <v>18</v>
      </c>
      <c r="F74">
        <v>701</v>
      </c>
      <c r="G74">
        <v>134</v>
      </c>
      <c r="H74">
        <v>170</v>
      </c>
      <c r="I74">
        <v>6.2</v>
      </c>
      <c r="J74">
        <v>8.2833333329999999</v>
      </c>
      <c r="K74">
        <v>26.45</v>
      </c>
      <c r="L74">
        <v>13.716666667</v>
      </c>
      <c r="M74">
        <v>3.7</v>
      </c>
      <c r="N74" t="s">
        <v>33</v>
      </c>
      <c r="O74" t="s">
        <v>38</v>
      </c>
      <c r="P74" t="s">
        <v>37</v>
      </c>
      <c r="Q74">
        <f t="shared" si="33"/>
        <v>2</v>
      </c>
      <c r="R74" t="str">
        <f t="shared" si="20"/>
        <v>10-2019</v>
      </c>
      <c r="S74" t="s">
        <v>48</v>
      </c>
      <c r="T74" t="str">
        <f t="shared" si="21"/>
        <v>Sunday</v>
      </c>
      <c r="U74">
        <f t="shared" si="22"/>
        <v>1</v>
      </c>
      <c r="V74" s="24">
        <f>IFERROR(Table2[[#This Row],[Gray Min]]/Table2[[#This Row],[ClassLength]],"")</f>
        <v>0.1062553556126821</v>
      </c>
      <c r="W74" s="24">
        <f>IFERROR(Table2[[#This Row],[Blue Min]]/Table2[[#This Row],[ClassLength]],"")</f>
        <v>0.14195944015424164</v>
      </c>
      <c r="X74" s="24">
        <f>IFERROR(Table2[[#This Row],[Green Min]]/Table2[[#This Row],[ClassLength]],"")</f>
        <v>0.45329905741216792</v>
      </c>
      <c r="Y74" s="24">
        <f>IFERROR(Table2[[#This Row],[Orange Min]]/Table2[[#This Row],[ClassLength]],"")</f>
        <v>0.23507569266495287</v>
      </c>
      <c r="Z74" s="24">
        <f>IFERROR(Table2[[#This Row],[Red Min]]/Table2[[#This Row],[ClassLength]],"")</f>
        <v>6.3410454155955448E-2</v>
      </c>
      <c r="AA74" s="25">
        <v>327.14</v>
      </c>
      <c r="AB74" s="25">
        <f t="shared" si="18"/>
        <v>19.243529411764705</v>
      </c>
      <c r="AC74" s="26">
        <f t="shared" si="23"/>
        <v>585.94117647058829</v>
      </c>
      <c r="AD74" s="26">
        <f t="shared" si="24"/>
        <v>13.823529411764707</v>
      </c>
      <c r="AE74">
        <f t="shared" si="25"/>
        <v>2019</v>
      </c>
      <c r="AG74">
        <v>12</v>
      </c>
      <c r="AH74" s="26">
        <f t="shared" si="26"/>
        <v>12.013710368466151</v>
      </c>
      <c r="AI74" t="str">
        <f t="shared" si="27"/>
        <v>PM</v>
      </c>
      <c r="AJ74" t="str">
        <f t="shared" si="28"/>
        <v>10-2019-5</v>
      </c>
      <c r="AK74">
        <f t="shared" si="29"/>
        <v>10</v>
      </c>
      <c r="AL74" s="26">
        <f>IFERROR(Table2[[#This Row],[Calories]]/Table2[[#This Row],[Splat]],"")</f>
        <v>38.944444444444443</v>
      </c>
      <c r="AM74">
        <f>COUNTIF(N$2:$N$938,N74)</f>
        <v>48</v>
      </c>
      <c r="AN74" t="str">
        <f>VLOOKUP(N74,'Helpful Tables'!A:D,4,FALSE)</f>
        <v>Washington, DC</v>
      </c>
      <c r="AO74" s="24">
        <f>COUNTIF(AN:AN,Table2[[#This Row],[State]])/COUNTA(AN:AN)</f>
        <v>0.54904051172707891</v>
      </c>
      <c r="AP74">
        <f>VLOOKUP(N74,'Helpful Tables'!A:B,2,FALSE)</f>
        <v>38.916486999999996</v>
      </c>
      <c r="AQ74">
        <f>VLOOKUP(N74,'Helpful Tables'!A:C,3,FALSE)</f>
        <v>-77.031514000000001</v>
      </c>
      <c r="AR74">
        <f>COUNTIF(P$2:$P$938,P74)</f>
        <v>12</v>
      </c>
      <c r="AS74" cm="1">
        <f t="array" ref="AS74">_xlfn.IFS(E74&lt;6,((E74/D74)*60)*0.5,AND(E74&gt;=6,E74&lt;9),((E74/D74)*60)*0.75,AND(E74&gt;=9,E74&lt;=11),((E74/D74)*60)*0.9,AND(E74=12),((E74/D74)*60)*1,AND(E74&gt;=13,E74&lt;=15),((E74/D74)*60)*1.2,AND(E74&gt;=16,E74&lt;=19),((E74/D74)*60)*1.5,E74&gt;=20,((E74/D74)*60)*1.8)</f>
        <v>27.763496143958868</v>
      </c>
      <c r="AT74" cm="1">
        <f t="array" ref="AT74">_xlfn.IFS(F74&lt;550,((F74/D74)*60)*0.5,AND(F74&gt;=550,F74&lt;575),((F74/D74)*60)*0.75,AND(F74&gt;=575,F74&lt;600),((F74/D74)*60)*0.9,AND(F74=600),((F74/D74)*60)*1,AND(F74&gt;=601,F74&lt;=625),((F74/D74)*60)*1.2,AND(F74&gt;=626,F74&lt;=650),((F74/D74)*60)*1.5,F74&gt;=651,((F74/D74)*60)*1.8)</f>
        <v>1297.4807197943444</v>
      </c>
      <c r="AU74">
        <f t="shared" si="30"/>
        <v>38.570000000799993</v>
      </c>
      <c r="AV74">
        <f t="shared" si="34"/>
        <v>537.81168637548137</v>
      </c>
      <c r="AW74">
        <f t="shared" si="31"/>
        <v>95.8</v>
      </c>
      <c r="AX74" t="str">
        <f t="shared" si="32"/>
        <v>Oct-2019</v>
      </c>
      <c r="AY74">
        <f>ROUNDUP(Table2[[#This Row],[Month]]/3,0)</f>
        <v>4</v>
      </c>
    </row>
    <row r="75" spans="1:51" x14ac:dyDescent="0.2">
      <c r="A75">
        <v>74</v>
      </c>
      <c r="B75">
        <f t="shared" si="19"/>
        <v>17</v>
      </c>
      <c r="C75" s="22">
        <v>43766</v>
      </c>
      <c r="D75">
        <f>SUM(Table2[[#This Row],[Gray Min]:[Red Min]])</f>
        <v>56.566666667000007</v>
      </c>
      <c r="E75">
        <v>10</v>
      </c>
      <c r="F75">
        <v>544</v>
      </c>
      <c r="G75">
        <v>118</v>
      </c>
      <c r="H75">
        <v>167</v>
      </c>
      <c r="I75">
        <v>16.316666667</v>
      </c>
      <c r="J75">
        <v>20.016666666999999</v>
      </c>
      <c r="K75">
        <v>10.7</v>
      </c>
      <c r="L75">
        <v>7.65</v>
      </c>
      <c r="M75">
        <v>1.8833333329999999</v>
      </c>
      <c r="N75" t="s">
        <v>40</v>
      </c>
      <c r="O75" t="s">
        <v>26</v>
      </c>
      <c r="P75" t="s">
        <v>64</v>
      </c>
      <c r="Q75">
        <f t="shared" si="33"/>
        <v>1</v>
      </c>
      <c r="R75" t="str">
        <f t="shared" si="20"/>
        <v>10-2019</v>
      </c>
      <c r="S75" t="s">
        <v>47</v>
      </c>
      <c r="T75" t="str">
        <f t="shared" si="21"/>
        <v>Monday</v>
      </c>
      <c r="U75">
        <f t="shared" si="22"/>
        <v>0</v>
      </c>
      <c r="V75" s="24">
        <f>IFERROR(Table2[[#This Row],[Gray Min]]/Table2[[#This Row],[ClassLength]],"")</f>
        <v>0.28845020625050999</v>
      </c>
      <c r="W75" s="24">
        <f>IFERROR(Table2[[#This Row],[Blue Min]]/Table2[[#This Row],[ClassLength]],"")</f>
        <v>0.35385975250822704</v>
      </c>
      <c r="X75" s="24">
        <f>IFERROR(Table2[[#This Row],[Green Min]]/Table2[[#This Row],[ClassLength]],"")</f>
        <v>0.18915733647501967</v>
      </c>
      <c r="Y75" s="24">
        <f>IFERROR(Table2[[#This Row],[Orange Min]]/Table2[[#This Row],[ClassLength]],"")</f>
        <v>0.13523865645176641</v>
      </c>
      <c r="Z75" s="24">
        <f>IFERROR(Table2[[#This Row],[Red Min]]/Table2[[#This Row],[ClassLength]],"")</f>
        <v>3.3294048314476757E-2</v>
      </c>
      <c r="AA75" s="25">
        <v>327.14</v>
      </c>
      <c r="AB75" s="25">
        <f t="shared" si="18"/>
        <v>19.243529411764705</v>
      </c>
      <c r="AC75" s="26">
        <f t="shared" si="23"/>
        <v>585.94117647058829</v>
      </c>
      <c r="AD75" s="26">
        <f t="shared" si="24"/>
        <v>13.823529411764707</v>
      </c>
      <c r="AE75">
        <f t="shared" si="25"/>
        <v>2019</v>
      </c>
      <c r="AG75">
        <v>12</v>
      </c>
      <c r="AH75" s="26">
        <f t="shared" si="26"/>
        <v>9.6169711254589441</v>
      </c>
      <c r="AI75" t="str">
        <f t="shared" si="27"/>
        <v>PM</v>
      </c>
      <c r="AJ75" t="str">
        <f t="shared" si="28"/>
        <v>10-2019-5</v>
      </c>
      <c r="AK75">
        <f t="shared" si="29"/>
        <v>10</v>
      </c>
      <c r="AL75" s="26">
        <f>IFERROR(Table2[[#This Row],[Calories]]/Table2[[#This Row],[Splat]],"")</f>
        <v>54.4</v>
      </c>
      <c r="AM75">
        <f>COUNTIF(N$2:$N$938,N75)</f>
        <v>38</v>
      </c>
      <c r="AN75" t="str">
        <f>VLOOKUP(N75,'Helpful Tables'!A:D,4,FALSE)</f>
        <v>Washington, DC</v>
      </c>
      <c r="AO75" s="24">
        <f>COUNTIF(AN:AN,Table2[[#This Row],[State]])/COUNTA(AN:AN)</f>
        <v>0.54904051172707891</v>
      </c>
      <c r="AP75">
        <f>VLOOKUP(N75,'Helpful Tables'!A:B,2,FALSE)</f>
        <v>38.903509999999997</v>
      </c>
      <c r="AQ75">
        <f>VLOOKUP(N75,'Helpful Tables'!A:C,3,FALSE)</f>
        <v>-77.051809000000006</v>
      </c>
      <c r="AR75">
        <f>COUNTIF(P$2:$P$938,P75)</f>
        <v>8</v>
      </c>
      <c r="AS75" cm="1">
        <f t="array" ref="AS75">_xlfn.IFS(E75&lt;6,((E75/D75)*60)*0.5,AND(E75&gt;=6,E75&lt;9),((E75/D75)*60)*0.75,AND(E75&gt;=9,E75&lt;=11),((E75/D75)*60)*0.9,AND(E75=12),((E75/D75)*60)*1,AND(E75&gt;=13,E75&lt;=15),((E75/D75)*60)*1.2,AND(E75&gt;=16,E75&lt;=19),((E75/D75)*60)*1.5,E75&gt;=20,((E75/D75)*60)*1.8)</f>
        <v>9.5462581024776281</v>
      </c>
      <c r="AT75" cm="1">
        <f t="array" ref="AT75">_xlfn.IFS(F75&lt;550,((F75/D75)*60)*0.5,AND(F75&gt;=550,F75&lt;575),((F75/D75)*60)*0.75,AND(F75&gt;=575,F75&lt;600),((F75/D75)*60)*0.9,AND(F75=600),((F75/D75)*60)*1,AND(F75&gt;=601,F75&lt;=625),((F75/D75)*60)*1.2,AND(F75&gt;=626,F75&lt;=650),((F75/D75)*60)*1.5,F75&gt;=651,((F75/D75)*60)*1.8)</f>
        <v>288.50913376376832</v>
      </c>
      <c r="AU75">
        <f t="shared" si="30"/>
        <v>-15.9883333346</v>
      </c>
      <c r="AV75">
        <f t="shared" si="34"/>
        <v>116.02449007957838</v>
      </c>
      <c r="AW75">
        <f t="shared" si="31"/>
        <v>6</v>
      </c>
      <c r="AX75" t="str">
        <f t="shared" si="32"/>
        <v>Oct-2019</v>
      </c>
      <c r="AY75">
        <f>ROUNDUP(Table2[[#This Row],[Month]]/3,0)</f>
        <v>4</v>
      </c>
    </row>
    <row r="76" spans="1:51" x14ac:dyDescent="0.2">
      <c r="A76">
        <v>75</v>
      </c>
      <c r="B76">
        <f t="shared" si="19"/>
        <v>17</v>
      </c>
      <c r="C76" s="22">
        <v>43768</v>
      </c>
      <c r="D76">
        <f>SUM(Table2[[#This Row],[Gray Min]:[Red Min]])</f>
        <v>52.950000000999999</v>
      </c>
      <c r="E76">
        <v>10</v>
      </c>
      <c r="F76">
        <v>577</v>
      </c>
      <c r="G76">
        <v>127</v>
      </c>
      <c r="H76">
        <v>165</v>
      </c>
      <c r="I76">
        <v>7.8166666669999998</v>
      </c>
      <c r="J76">
        <v>13.4</v>
      </c>
      <c r="K76">
        <v>21.666666667000001</v>
      </c>
      <c r="L76">
        <v>9.3000000000000007</v>
      </c>
      <c r="M76">
        <v>0.76666666699999997</v>
      </c>
      <c r="N76" t="s">
        <v>40</v>
      </c>
      <c r="O76" t="s">
        <v>26</v>
      </c>
      <c r="P76" t="s">
        <v>41</v>
      </c>
      <c r="Q76">
        <f t="shared" si="33"/>
        <v>2</v>
      </c>
      <c r="R76" t="str">
        <f t="shared" si="20"/>
        <v>10-2019</v>
      </c>
      <c r="S76" t="s">
        <v>47</v>
      </c>
      <c r="T76" t="str">
        <f t="shared" si="21"/>
        <v>Wednesday</v>
      </c>
      <c r="U76">
        <f t="shared" si="22"/>
        <v>0</v>
      </c>
      <c r="V76" s="24">
        <f>IFERROR(Table2[[#This Row],[Gray Min]]/Table2[[#This Row],[ClassLength]],"")</f>
        <v>0.14762354422761806</v>
      </c>
      <c r="W76" s="24">
        <f>IFERROR(Table2[[#This Row],[Blue Min]]/Table2[[#This Row],[ClassLength]],"")</f>
        <v>0.2530689329508391</v>
      </c>
      <c r="X76" s="24">
        <f>IFERROR(Table2[[#This Row],[Green Min]]/Table2[[#This Row],[ClassLength]],"")</f>
        <v>0.40919106074770178</v>
      </c>
      <c r="Y76" s="24">
        <f>IFERROR(Table2[[#This Row],[Orange Min]]/Table2[[#This Row],[ClassLength]],"")</f>
        <v>0.17563739376438836</v>
      </c>
      <c r="Z76" s="24">
        <f>IFERROR(Table2[[#This Row],[Red Min]]/Table2[[#This Row],[ClassLength]],"")</f>
        <v>1.4479068309452708E-2</v>
      </c>
      <c r="AA76" s="25">
        <v>327.14</v>
      </c>
      <c r="AB76" s="25">
        <f t="shared" si="18"/>
        <v>19.243529411764705</v>
      </c>
      <c r="AC76" s="26">
        <f t="shared" si="23"/>
        <v>585.94117647058829</v>
      </c>
      <c r="AD76" s="26">
        <f t="shared" si="24"/>
        <v>13.823529411764707</v>
      </c>
      <c r="AE76">
        <f t="shared" si="25"/>
        <v>2019</v>
      </c>
      <c r="AG76">
        <v>12</v>
      </c>
      <c r="AH76" s="26">
        <f t="shared" si="26"/>
        <v>10.897072709898072</v>
      </c>
      <c r="AI76" t="str">
        <f t="shared" si="27"/>
        <v>PM</v>
      </c>
      <c r="AJ76" t="str">
        <f t="shared" si="28"/>
        <v>10-2019-5</v>
      </c>
      <c r="AK76">
        <f t="shared" si="29"/>
        <v>10</v>
      </c>
      <c r="AL76" s="26">
        <f>IFERROR(Table2[[#This Row],[Calories]]/Table2[[#This Row],[Splat]],"")</f>
        <v>57.7</v>
      </c>
      <c r="AM76">
        <f>COUNTIF(N$2:$N$938,N76)</f>
        <v>38</v>
      </c>
      <c r="AN76" t="str">
        <f>VLOOKUP(N76,'Helpful Tables'!A:D,4,FALSE)</f>
        <v>Washington, DC</v>
      </c>
      <c r="AO76" s="24">
        <f>COUNTIF(AN:AN,Table2[[#This Row],[State]])/COUNTA(AN:AN)</f>
        <v>0.54904051172707891</v>
      </c>
      <c r="AP76">
        <f>VLOOKUP(N76,'Helpful Tables'!A:B,2,FALSE)</f>
        <v>38.903509999999997</v>
      </c>
      <c r="AQ76">
        <f>VLOOKUP(N76,'Helpful Tables'!A:C,3,FALSE)</f>
        <v>-77.051809000000006</v>
      </c>
      <c r="AR76">
        <f>COUNTIF(P$2:$P$938,P76)</f>
        <v>20</v>
      </c>
      <c r="AS76" cm="1">
        <f t="array" ref="AS76">_xlfn.IFS(E76&lt;6,((E76/D76)*60)*0.5,AND(E76&gt;=6,E76&lt;9),((E76/D76)*60)*0.75,AND(E76&gt;=9,E76&lt;=11),((E76/D76)*60)*0.9,AND(E76=12),((E76/D76)*60)*1,AND(E76&gt;=13,E76&lt;=15),((E76/D76)*60)*1.2,AND(E76&gt;=16,E76&lt;=19),((E76/D76)*60)*1.5,E76&gt;=20,((E76/D76)*60)*1.8)</f>
        <v>10.198300283093516</v>
      </c>
      <c r="AT76" cm="1">
        <f t="array" ref="AT76">_xlfn.IFS(F76&lt;550,((F76/D76)*60)*0.5,AND(F76&gt;=550,F76&lt;575),((F76/D76)*60)*0.75,AND(F76&gt;=575,F76&lt;600),((F76/D76)*60)*0.9,AND(F76=600),((F76/D76)*60)*1,AND(F76&gt;=601,F76&lt;=625),((F76/D76)*60)*1.2,AND(F76&gt;=626,F76&lt;=650),((F76/D76)*60)*1.5,F76&gt;=651,((F76/D76)*60)*1.8)</f>
        <v>588.44192633449586</v>
      </c>
      <c r="AU76">
        <f t="shared" si="30"/>
        <v>15.120000000500001</v>
      </c>
      <c r="AV76">
        <f t="shared" si="34"/>
        <v>242.48009064713574</v>
      </c>
      <c r="AW76">
        <f t="shared" si="31"/>
        <v>22.3</v>
      </c>
      <c r="AX76" t="str">
        <f t="shared" si="32"/>
        <v>Oct-2019</v>
      </c>
      <c r="AY76">
        <f>ROUNDUP(Table2[[#This Row],[Month]]/3,0)</f>
        <v>4</v>
      </c>
    </row>
    <row r="77" spans="1:51" x14ac:dyDescent="0.2">
      <c r="A77">
        <v>76</v>
      </c>
      <c r="B77">
        <f t="shared" si="19"/>
        <v>17</v>
      </c>
      <c r="C77" s="22">
        <v>43769</v>
      </c>
      <c r="D77">
        <f>SUM(Table2[[#This Row],[Gray Min]:[Red Min]])</f>
        <v>56.999999999999993</v>
      </c>
      <c r="E77">
        <v>10</v>
      </c>
      <c r="F77">
        <v>590</v>
      </c>
      <c r="G77">
        <v>123</v>
      </c>
      <c r="H77">
        <v>168</v>
      </c>
      <c r="I77">
        <v>10.466666667</v>
      </c>
      <c r="J77">
        <v>19.333333332999999</v>
      </c>
      <c r="K77">
        <v>16.566666667</v>
      </c>
      <c r="L77">
        <v>9.2333333329999991</v>
      </c>
      <c r="M77">
        <v>1.4</v>
      </c>
      <c r="N77" t="s">
        <v>24</v>
      </c>
      <c r="O77" t="s">
        <v>57</v>
      </c>
      <c r="P77" t="s">
        <v>73</v>
      </c>
      <c r="Q77">
        <f t="shared" si="33"/>
        <v>1</v>
      </c>
      <c r="R77" t="str">
        <f t="shared" si="20"/>
        <v>10-2019</v>
      </c>
      <c r="S77" t="s">
        <v>43</v>
      </c>
      <c r="T77" t="str">
        <f t="shared" si="21"/>
        <v>Thursday</v>
      </c>
      <c r="U77">
        <f t="shared" si="22"/>
        <v>0</v>
      </c>
      <c r="V77" s="24">
        <f>IFERROR(Table2[[#This Row],[Gray Min]]/Table2[[#This Row],[ClassLength]],"")</f>
        <v>0.18362573100000001</v>
      </c>
      <c r="W77" s="24">
        <f>IFERROR(Table2[[#This Row],[Blue Min]]/Table2[[#This Row],[ClassLength]],"")</f>
        <v>0.33918128654385965</v>
      </c>
      <c r="X77" s="24">
        <f>IFERROR(Table2[[#This Row],[Green Min]]/Table2[[#This Row],[ClassLength]],"")</f>
        <v>0.29064327485964914</v>
      </c>
      <c r="Y77" s="24">
        <f>IFERROR(Table2[[#This Row],[Orange Min]]/Table2[[#This Row],[ClassLength]],"")</f>
        <v>0.1619883040877193</v>
      </c>
      <c r="Z77" s="24">
        <f>IFERROR(Table2[[#This Row],[Red Min]]/Table2[[#This Row],[ClassLength]],"")</f>
        <v>2.456140350877193E-2</v>
      </c>
      <c r="AA77" s="25">
        <v>327.14</v>
      </c>
      <c r="AB77" s="25">
        <f t="shared" si="18"/>
        <v>19.243529411764705</v>
      </c>
      <c r="AC77" s="26">
        <f t="shared" si="23"/>
        <v>585.94117647058829</v>
      </c>
      <c r="AD77" s="26">
        <f t="shared" si="24"/>
        <v>13.823529411764707</v>
      </c>
      <c r="AE77">
        <f t="shared" si="25"/>
        <v>2019</v>
      </c>
      <c r="AF77" s="25">
        <v>95</v>
      </c>
      <c r="AG77">
        <v>12</v>
      </c>
      <c r="AH77" s="26">
        <f t="shared" si="26"/>
        <v>10.350877192982457</v>
      </c>
      <c r="AI77" t="str">
        <f t="shared" si="27"/>
        <v>PM</v>
      </c>
      <c r="AJ77" t="str">
        <f t="shared" si="28"/>
        <v>10-2019-5</v>
      </c>
      <c r="AK77">
        <f t="shared" si="29"/>
        <v>10</v>
      </c>
      <c r="AL77" s="26">
        <f>IFERROR(Table2[[#This Row],[Calories]]/Table2[[#This Row],[Splat]],"")</f>
        <v>59</v>
      </c>
      <c r="AM77">
        <f>COUNTIF(N$2:$N$938,N77)</f>
        <v>35</v>
      </c>
      <c r="AN77" t="str">
        <f>VLOOKUP(N77,'Helpful Tables'!A:D,4,FALSE)</f>
        <v>Virginia</v>
      </c>
      <c r="AO77" s="24">
        <f>COUNTIF(AN:AN,Table2[[#This Row],[State]])/COUNTA(AN:AN)</f>
        <v>5.6503198294243072E-2</v>
      </c>
      <c r="AP77">
        <f>VLOOKUP(N77,'Helpful Tables'!A:B,2,FALSE)</f>
        <v>38.881884999999997</v>
      </c>
      <c r="AQ77">
        <f>VLOOKUP(N77,'Helpful Tables'!A:C,3,FALSE)</f>
        <v>-77.229702000000003</v>
      </c>
      <c r="AR77">
        <f>COUNTIF(P$2:$P$938,P77)</f>
        <v>1</v>
      </c>
      <c r="AS77" cm="1">
        <f t="array" ref="AS77">_xlfn.IFS(E77&lt;6,((E77/D77)*60)*0.5,AND(E77&gt;=6,E77&lt;9),((E77/D77)*60)*0.75,AND(E77&gt;=9,E77&lt;=11),((E77/D77)*60)*0.9,AND(E77=12),((E77/D77)*60)*1,AND(E77&gt;=13,E77&lt;=15),((E77/D77)*60)*1.2,AND(E77&gt;=16,E77&lt;=19),((E77/D77)*60)*1.5,E77&gt;=20,((E77/D77)*60)*1.8)</f>
        <v>9.4736842105263168</v>
      </c>
      <c r="AT77" cm="1">
        <f t="array" ref="AT77">_xlfn.IFS(F77&lt;550,((F77/D77)*60)*0.5,AND(F77&gt;=550,F77&lt;575),((F77/D77)*60)*0.75,AND(F77&gt;=575,F77&lt;600),((F77/D77)*60)*0.9,AND(F77=600),((F77/D77)*60)*1,AND(F77&gt;=601,F77&lt;=625),((F77/D77)*60)*1.2,AND(F77&gt;=626,F77&lt;=650),((F77/D77)*60)*1.5,F77&gt;=651,((F77/D77)*60)*1.8)</f>
        <v>558.94736842105272</v>
      </c>
      <c r="AU77">
        <f t="shared" si="30"/>
        <v>0.15666666659999784</v>
      </c>
      <c r="AV77">
        <f t="shared" si="34"/>
        <v>227.39975438595161</v>
      </c>
      <c r="AW77">
        <f t="shared" si="31"/>
        <v>19</v>
      </c>
      <c r="AX77" t="str">
        <f t="shared" si="32"/>
        <v>Oct-2019</v>
      </c>
      <c r="AY77">
        <f>ROUNDUP(Table2[[#This Row],[Month]]/3,0)</f>
        <v>4</v>
      </c>
    </row>
    <row r="78" spans="1:51" x14ac:dyDescent="0.2">
      <c r="A78">
        <v>77</v>
      </c>
      <c r="B78">
        <f t="shared" si="19"/>
        <v>15</v>
      </c>
      <c r="C78" s="22">
        <v>43773</v>
      </c>
      <c r="D78">
        <f>SUM(Table2[[#This Row],[Gray Min]:[Red Min]])</f>
        <v>57.133333332999996</v>
      </c>
      <c r="E78">
        <v>15</v>
      </c>
      <c r="F78">
        <v>639</v>
      </c>
      <c r="G78">
        <v>129</v>
      </c>
      <c r="H78">
        <v>170</v>
      </c>
      <c r="I78">
        <v>10.783333333</v>
      </c>
      <c r="J78">
        <v>14.4</v>
      </c>
      <c r="K78">
        <v>17.333333332999999</v>
      </c>
      <c r="L78">
        <v>8.7166666670000001</v>
      </c>
      <c r="M78">
        <v>5.9</v>
      </c>
      <c r="N78" t="s">
        <v>40</v>
      </c>
      <c r="O78" t="s">
        <v>26</v>
      </c>
      <c r="P78" t="s">
        <v>74</v>
      </c>
      <c r="Q78">
        <f t="shared" si="33"/>
        <v>4</v>
      </c>
      <c r="R78" t="str">
        <f t="shared" si="20"/>
        <v>11-2019</v>
      </c>
      <c r="S78" t="s">
        <v>47</v>
      </c>
      <c r="T78" t="str">
        <f t="shared" si="21"/>
        <v>Monday</v>
      </c>
      <c r="U78">
        <f t="shared" si="22"/>
        <v>1</v>
      </c>
      <c r="V78" s="24">
        <f>IFERROR(Table2[[#This Row],[Gray Min]]/Table2[[#This Row],[ClassLength]],"")</f>
        <v>0.18873978996026103</v>
      </c>
      <c r="W78" s="24">
        <f>IFERROR(Table2[[#This Row],[Blue Min]]/Table2[[#This Row],[ClassLength]],"")</f>
        <v>0.2520420070026374</v>
      </c>
      <c r="X78" s="24">
        <f>IFERROR(Table2[[#This Row],[Green Min]]/Table2[[#This Row],[ClassLength]],"")</f>
        <v>0.30338389731215509</v>
      </c>
      <c r="Y78" s="24">
        <f>IFERROR(Table2[[#This Row],[Orange Min]]/Table2[[#This Row],[ClassLength]],"")</f>
        <v>0.15256709452247708</v>
      </c>
      <c r="Z78" s="24">
        <f>IFERROR(Table2[[#This Row],[Red Min]]/Table2[[#This Row],[ClassLength]],"")</f>
        <v>0.10326721120246948</v>
      </c>
      <c r="AA78" s="25">
        <v>237.14</v>
      </c>
      <c r="AB78" s="25">
        <f t="shared" si="18"/>
        <v>15.809333333333333</v>
      </c>
      <c r="AC78" s="26">
        <f t="shared" si="23"/>
        <v>602.06666666666672</v>
      </c>
      <c r="AD78" s="26">
        <f t="shared" si="24"/>
        <v>15.133333333333333</v>
      </c>
      <c r="AE78">
        <f t="shared" si="25"/>
        <v>2019</v>
      </c>
      <c r="AG78">
        <v>12</v>
      </c>
      <c r="AH78" s="26">
        <f t="shared" si="26"/>
        <v>11.184364060742034</v>
      </c>
      <c r="AI78" t="str">
        <f t="shared" si="27"/>
        <v>PM</v>
      </c>
      <c r="AJ78" t="str">
        <f t="shared" si="28"/>
        <v>11-2019-2</v>
      </c>
      <c r="AK78">
        <f t="shared" si="29"/>
        <v>11</v>
      </c>
      <c r="AL78" s="26">
        <f>IFERROR(Table2[[#This Row],[Calories]]/Table2[[#This Row],[Splat]],"")</f>
        <v>42.6</v>
      </c>
      <c r="AM78">
        <f>COUNTIF(N$2:$N$938,N78)</f>
        <v>38</v>
      </c>
      <c r="AN78" t="str">
        <f>VLOOKUP(N78,'Helpful Tables'!A:D,4,FALSE)</f>
        <v>Washington, DC</v>
      </c>
      <c r="AO78" s="24">
        <f>COUNTIF(AN:AN,Table2[[#This Row],[State]])/COUNTA(AN:AN)</f>
        <v>0.54904051172707891</v>
      </c>
      <c r="AP78">
        <f>VLOOKUP(N78,'Helpful Tables'!A:B,2,FALSE)</f>
        <v>38.903509999999997</v>
      </c>
      <c r="AQ78">
        <f>VLOOKUP(N78,'Helpful Tables'!A:C,3,FALSE)</f>
        <v>-77.051809000000006</v>
      </c>
      <c r="AR78">
        <f>COUNTIF(P$2:$P$938,P78)</f>
        <v>2</v>
      </c>
      <c r="AS78" cm="1">
        <f t="array" ref="AS78">_xlfn.IFS(E78&lt;6,((E78/D78)*60)*0.5,AND(E78&gt;=6,E78&lt;9),((E78/D78)*60)*0.75,AND(E78&gt;=9,E78&lt;=11),((E78/D78)*60)*0.9,AND(E78=12),((E78/D78)*60)*1,AND(E78&gt;=13,E78&lt;=15),((E78/D78)*60)*1.2,AND(E78&gt;=16,E78&lt;=19),((E78/D78)*60)*1.5,E78&gt;=20,((E78/D78)*60)*1.8)</f>
        <v>18.903150525197802</v>
      </c>
      <c r="AT78" cm="1">
        <f t="array" ref="AT78">_xlfn.IFS(F78&lt;550,((F78/D78)*60)*0.5,AND(F78&gt;=550,F78&lt;575),((F78/D78)*60)*0.75,AND(F78&gt;=575,F78&lt;600),((F78/D78)*60)*0.9,AND(F78=600),((F78/D78)*60)*1,AND(F78&gt;=601,F78&lt;=625),((F78/D78)*60)*1.2,AND(F78&gt;=626,F78&lt;=650),((F78/D78)*60)*1.5,F78&gt;=651,((F78/D78)*60)*1.8)</f>
        <v>1006.592765466783</v>
      </c>
      <c r="AU78">
        <f t="shared" si="30"/>
        <v>12.201666667099998</v>
      </c>
      <c r="AV78">
        <f t="shared" si="34"/>
        <v>412.63869973021235</v>
      </c>
      <c r="AW78">
        <f t="shared" si="31"/>
        <v>59.5</v>
      </c>
      <c r="AX78" t="str">
        <f t="shared" si="32"/>
        <v>Nov-2019</v>
      </c>
      <c r="AY78">
        <f>ROUNDUP(Table2[[#This Row],[Month]]/3,0)</f>
        <v>4</v>
      </c>
    </row>
    <row r="79" spans="1:51" x14ac:dyDescent="0.2">
      <c r="A79">
        <v>78</v>
      </c>
      <c r="B79">
        <f t="shared" si="19"/>
        <v>15</v>
      </c>
      <c r="C79" s="22">
        <v>43775</v>
      </c>
      <c r="D79">
        <f>SUM(Table2[[#This Row],[Gray Min]:[Red Min]])</f>
        <v>58.650000001000002</v>
      </c>
      <c r="E79">
        <v>15</v>
      </c>
      <c r="F79">
        <v>646</v>
      </c>
      <c r="G79">
        <v>127</v>
      </c>
      <c r="H79">
        <v>166</v>
      </c>
      <c r="I79">
        <v>13.966666667</v>
      </c>
      <c r="J79">
        <v>11.066666667</v>
      </c>
      <c r="K79">
        <v>18.516666666999999</v>
      </c>
      <c r="L79">
        <v>13.316666667</v>
      </c>
      <c r="M79">
        <v>1.7833333330000001</v>
      </c>
      <c r="N79" t="s">
        <v>40</v>
      </c>
      <c r="O79" t="s">
        <v>26</v>
      </c>
      <c r="P79" t="s">
        <v>75</v>
      </c>
      <c r="Q79">
        <f t="shared" si="33"/>
        <v>2</v>
      </c>
      <c r="R79" t="str">
        <f t="shared" si="20"/>
        <v>11-2019</v>
      </c>
      <c r="S79" t="s">
        <v>47</v>
      </c>
      <c r="T79" t="str">
        <f t="shared" si="21"/>
        <v>Wednesday</v>
      </c>
      <c r="U79">
        <f t="shared" si="22"/>
        <v>1</v>
      </c>
      <c r="V79" s="24">
        <f>IFERROR(Table2[[#This Row],[Gray Min]]/Table2[[#This Row],[ClassLength]],"")</f>
        <v>0.23813583404538557</v>
      </c>
      <c r="W79" s="24">
        <f>IFERROR(Table2[[#This Row],[Blue Min]]/Table2[[#This Row],[ClassLength]],"")</f>
        <v>0.18868996874358585</v>
      </c>
      <c r="X79" s="24">
        <f>IFERROR(Table2[[#This Row],[Green Min]]/Table2[[#This Row],[ClassLength]],"")</f>
        <v>0.31571469167407135</v>
      </c>
      <c r="Y79" s="24">
        <f>IFERROR(Table2[[#This Row],[Orange Min]]/Table2[[#This Row],[ClassLength]],"")</f>
        <v>0.22705314009843044</v>
      </c>
      <c r="Z79" s="24">
        <f>IFERROR(Table2[[#This Row],[Red Min]]/Table2[[#This Row],[ClassLength]],"")</f>
        <v>3.0406365438526747E-2</v>
      </c>
      <c r="AA79" s="25">
        <v>237.14</v>
      </c>
      <c r="AB79" s="25">
        <f t="shared" si="18"/>
        <v>15.809333333333333</v>
      </c>
      <c r="AC79" s="26">
        <f t="shared" si="23"/>
        <v>602.06666666666672</v>
      </c>
      <c r="AD79" s="26">
        <f t="shared" si="24"/>
        <v>15.133333333333333</v>
      </c>
      <c r="AE79">
        <f t="shared" si="25"/>
        <v>2019</v>
      </c>
      <c r="AG79">
        <v>12</v>
      </c>
      <c r="AH79" s="26">
        <f t="shared" si="26"/>
        <v>11.014492753435388</v>
      </c>
      <c r="AI79" t="str">
        <f t="shared" si="27"/>
        <v>PM</v>
      </c>
      <c r="AJ79" t="str">
        <f t="shared" si="28"/>
        <v>11-2019-2</v>
      </c>
      <c r="AK79">
        <f t="shared" si="29"/>
        <v>11</v>
      </c>
      <c r="AL79" s="26">
        <f>IFERROR(Table2[[#This Row],[Calories]]/Table2[[#This Row],[Splat]],"")</f>
        <v>43.06666666666667</v>
      </c>
      <c r="AM79">
        <f>COUNTIF(N$2:$N$938,N79)</f>
        <v>38</v>
      </c>
      <c r="AN79" t="str">
        <f>VLOOKUP(N79,'Helpful Tables'!A:D,4,FALSE)</f>
        <v>Washington, DC</v>
      </c>
      <c r="AO79" s="24">
        <f>COUNTIF(AN:AN,Table2[[#This Row],[State]])/COUNTA(AN:AN)</f>
        <v>0.54904051172707891</v>
      </c>
      <c r="AP79">
        <f>VLOOKUP(N79,'Helpful Tables'!A:B,2,FALSE)</f>
        <v>38.903509999999997</v>
      </c>
      <c r="AQ79">
        <f>VLOOKUP(N79,'Helpful Tables'!A:C,3,FALSE)</f>
        <v>-77.051809000000006</v>
      </c>
      <c r="AR79">
        <f>COUNTIF(P$2:$P$938,P79)</f>
        <v>2</v>
      </c>
      <c r="AS79" cm="1">
        <f t="array" ref="AS79">_xlfn.IFS(E79&lt;6,((E79/D79)*60)*0.5,AND(E79&gt;=6,E79&lt;9),((E79/D79)*60)*0.75,AND(E79&gt;=9,E79&lt;=11),((E79/D79)*60)*0.9,AND(E79=12),((E79/D79)*60)*1,AND(E79&gt;=13,E79&lt;=15),((E79/D79)*60)*1.2,AND(E79&gt;=16,E79&lt;=19),((E79/D79)*60)*1.5,E79&gt;=20,((E79/D79)*60)*1.8)</f>
        <v>18.414322250325412</v>
      </c>
      <c r="AT79" cm="1">
        <f t="array" ref="AT79">_xlfn.IFS(F79&lt;550,((F79/D79)*60)*0.5,AND(F79&gt;=550,F79&lt;575),((F79/D79)*60)*0.75,AND(F79&gt;=575,F79&lt;600),((F79/D79)*60)*0.9,AND(F79=600),((F79/D79)*60)*1,AND(F79&gt;=601,F79&lt;=625),((F79/D79)*60)*1.2,AND(F79&gt;=626,F79&lt;=650),((F79/D79)*60)*1.5,F79&gt;=651,((F79/D79)*60)*1.8)</f>
        <v>991.30434780918495</v>
      </c>
      <c r="AU79">
        <f t="shared" si="30"/>
        <v>13.2733333329</v>
      </c>
      <c r="AV79">
        <f t="shared" si="34"/>
        <v>406.54213469038422</v>
      </c>
      <c r="AW79">
        <f t="shared" si="31"/>
        <v>56.399999999999991</v>
      </c>
      <c r="AX79" t="str">
        <f t="shared" si="32"/>
        <v>Nov-2019</v>
      </c>
      <c r="AY79">
        <f>ROUNDUP(Table2[[#This Row],[Month]]/3,0)</f>
        <v>4</v>
      </c>
    </row>
    <row r="80" spans="1:51" x14ac:dyDescent="0.2">
      <c r="A80">
        <v>79</v>
      </c>
      <c r="B80">
        <f t="shared" si="19"/>
        <v>15</v>
      </c>
      <c r="C80" s="22">
        <v>43777</v>
      </c>
      <c r="D80">
        <f>SUM(Table2[[#This Row],[Gray Min]:[Red Min]])</f>
        <v>48.666666668000005</v>
      </c>
      <c r="E80">
        <v>22</v>
      </c>
      <c r="F80">
        <v>584</v>
      </c>
      <c r="G80">
        <v>134</v>
      </c>
      <c r="H80">
        <v>176</v>
      </c>
      <c r="I80">
        <v>10.166666666999999</v>
      </c>
      <c r="J80">
        <v>8.2666666670000009</v>
      </c>
      <c r="K80">
        <v>7.6166666669999996</v>
      </c>
      <c r="L80">
        <v>15.166666666999999</v>
      </c>
      <c r="M80">
        <v>7.45</v>
      </c>
      <c r="N80" t="s">
        <v>60</v>
      </c>
      <c r="O80" t="s">
        <v>39</v>
      </c>
      <c r="P80" t="s">
        <v>61</v>
      </c>
      <c r="Q80">
        <f t="shared" si="33"/>
        <v>2</v>
      </c>
      <c r="R80" t="str">
        <f t="shared" si="20"/>
        <v>11-2019</v>
      </c>
      <c r="S80" t="s">
        <v>47</v>
      </c>
      <c r="T80" t="str">
        <f t="shared" si="21"/>
        <v>Friday</v>
      </c>
      <c r="U80">
        <f t="shared" si="22"/>
        <v>1</v>
      </c>
      <c r="V80" s="24">
        <f>IFERROR(Table2[[#This Row],[Gray Min]]/Table2[[#This Row],[ClassLength]],"")</f>
        <v>0.20890410959016698</v>
      </c>
      <c r="W80" s="24">
        <f>IFERROR(Table2[[#This Row],[Blue Min]]/Table2[[#This Row],[ClassLength]],"")</f>
        <v>0.16986301370082568</v>
      </c>
      <c r="X80" s="24">
        <f>IFERROR(Table2[[#This Row],[Green Min]]/Table2[[#This Row],[ClassLength]],"")</f>
        <v>0.15650684931762993</v>
      </c>
      <c r="Y80" s="24">
        <f>IFERROR(Table2[[#This Row],[Orange Min]]/Table2[[#This Row],[ClassLength]],"")</f>
        <v>0.31164383561474945</v>
      </c>
      <c r="Z80" s="24">
        <f>IFERROR(Table2[[#This Row],[Red Min]]/Table2[[#This Row],[ClassLength]],"")</f>
        <v>0.15308219177662788</v>
      </c>
      <c r="AA80" s="25">
        <v>237.14</v>
      </c>
      <c r="AB80" s="25">
        <f t="shared" ref="AB80:AB143" si="35">AA80/B80</f>
        <v>15.809333333333333</v>
      </c>
      <c r="AC80" s="26">
        <f t="shared" si="23"/>
        <v>602.06666666666672</v>
      </c>
      <c r="AD80" s="26">
        <f t="shared" si="24"/>
        <v>15.133333333333333</v>
      </c>
      <c r="AE80">
        <f t="shared" si="25"/>
        <v>2019</v>
      </c>
      <c r="AG80">
        <v>12</v>
      </c>
      <c r="AH80" s="26">
        <f t="shared" si="26"/>
        <v>11.999999999671232</v>
      </c>
      <c r="AI80" t="str">
        <f t="shared" si="27"/>
        <v>PM</v>
      </c>
      <c r="AJ80" t="str">
        <f t="shared" si="28"/>
        <v>11-2019-2</v>
      </c>
      <c r="AK80">
        <f t="shared" si="29"/>
        <v>11</v>
      </c>
      <c r="AL80" s="26">
        <f>IFERROR(Table2[[#This Row],[Calories]]/Table2[[#This Row],[Splat]],"")</f>
        <v>26.545454545454547</v>
      </c>
      <c r="AM80">
        <f>COUNTIF(N$2:$N$938,N80)</f>
        <v>10</v>
      </c>
      <c r="AN80" t="str">
        <f>VLOOKUP(N80,'Helpful Tables'!A:D,4,FALSE)</f>
        <v>Washington, DC</v>
      </c>
      <c r="AO80" s="24">
        <f>COUNTIF(AN:AN,Table2[[#This Row],[State]])/COUNTA(AN:AN)</f>
        <v>0.54904051172707891</v>
      </c>
      <c r="AP80">
        <f>VLOOKUP(N80,'Helpful Tables'!A:B,2,FALSE)</f>
        <v>38.879828000000003</v>
      </c>
      <c r="AQ80">
        <f>VLOOKUP(N80,'Helpful Tables'!A:C,3,FALSE)</f>
        <v>-77.005566000000002</v>
      </c>
      <c r="AR80">
        <f>COUNTIF(P$2:$P$938,P80)</f>
        <v>9</v>
      </c>
      <c r="AS80" cm="1">
        <f t="array" ref="AS80">_xlfn.IFS(E80&lt;6,((E80/D80)*60)*0.5,AND(E80&gt;=6,E80&lt;9),((E80/D80)*60)*0.75,AND(E80&gt;=9,E80&lt;=11),((E80/D80)*60)*0.9,AND(E80=12),((E80/D80)*60)*1,AND(E80&gt;=13,E80&lt;=15),((E80/D80)*60)*1.2,AND(E80&gt;=16,E80&lt;=19),((E80/D80)*60)*1.5,E80&gt;=20,((E80/D80)*60)*1.8)</f>
        <v>48.821917806881586</v>
      </c>
      <c r="AT80" cm="1">
        <f t="array" ref="AT80">_xlfn.IFS(F80&lt;550,((F80/D80)*60)*0.5,AND(F80&gt;=550,F80&lt;575),((F80/D80)*60)*0.75,AND(F80&gt;=575,F80&lt;600),((F80/D80)*60)*0.9,AND(F80=600),((F80/D80)*60)*1,AND(F80&gt;=601,F80&lt;=625),((F80/D80)*60)*1.2,AND(F80&gt;=626,F80&lt;=650),((F80/D80)*60)*1.5,F80&gt;=651,((F80/D80)*60)*1.8)</f>
        <v>647.99999998224655</v>
      </c>
      <c r="AU80">
        <f t="shared" si="30"/>
        <v>18.7383333334</v>
      </c>
      <c r="AV80">
        <f t="shared" si="34"/>
        <v>282.4764337823313</v>
      </c>
      <c r="AW80">
        <f t="shared" si="31"/>
        <v>24.099999999999998</v>
      </c>
      <c r="AX80" t="str">
        <f t="shared" si="32"/>
        <v>Nov-2019</v>
      </c>
      <c r="AY80">
        <f>ROUNDUP(Table2[[#This Row],[Month]]/3,0)</f>
        <v>4</v>
      </c>
    </row>
    <row r="81" spans="1:51" x14ac:dyDescent="0.2">
      <c r="A81">
        <v>80</v>
      </c>
      <c r="B81">
        <f t="shared" si="19"/>
        <v>15</v>
      </c>
      <c r="C81" s="22">
        <v>43779</v>
      </c>
      <c r="D81">
        <f>SUM(Table2[[#This Row],[Gray Min]:[Red Min]])</f>
        <v>55.716666666000002</v>
      </c>
      <c r="E81">
        <v>17</v>
      </c>
      <c r="F81">
        <v>566</v>
      </c>
      <c r="G81">
        <v>122</v>
      </c>
      <c r="H81">
        <v>173</v>
      </c>
      <c r="I81">
        <v>22.2</v>
      </c>
      <c r="J81">
        <v>8.3833333329999995</v>
      </c>
      <c r="K81">
        <v>8.35</v>
      </c>
      <c r="L81">
        <v>12.25</v>
      </c>
      <c r="M81">
        <v>4.5333333329999999</v>
      </c>
      <c r="N81" t="s">
        <v>33</v>
      </c>
      <c r="O81" t="s">
        <v>38</v>
      </c>
      <c r="P81" t="s">
        <v>68</v>
      </c>
      <c r="Q81">
        <f t="shared" si="33"/>
        <v>2</v>
      </c>
      <c r="R81" t="str">
        <f t="shared" si="20"/>
        <v>11-2019</v>
      </c>
      <c r="S81" t="s">
        <v>48</v>
      </c>
      <c r="T81" t="str">
        <f t="shared" si="21"/>
        <v>Sunday</v>
      </c>
      <c r="U81">
        <f t="shared" si="22"/>
        <v>1</v>
      </c>
      <c r="V81" s="24">
        <f>IFERROR(Table2[[#This Row],[Gray Min]]/Table2[[#This Row],[ClassLength]],"")</f>
        <v>0.39844451092310429</v>
      </c>
      <c r="W81" s="24">
        <f>IFERROR(Table2[[#This Row],[Blue Min]]/Table2[[#This Row],[ClassLength]],"")</f>
        <v>0.15046365539515957</v>
      </c>
      <c r="X81" s="24">
        <f>IFERROR(Table2[[#This Row],[Green Min]]/Table2[[#This Row],[ClassLength]],"")</f>
        <v>0.14986539036972615</v>
      </c>
      <c r="Y81" s="24">
        <f>IFERROR(Table2[[#This Row],[Orange Min]]/Table2[[#This Row],[ClassLength]],"")</f>
        <v>0.21986239904540666</v>
      </c>
      <c r="Z81" s="24">
        <f>IFERROR(Table2[[#This Row],[Red Min]]/Table2[[#This Row],[ClassLength]],"")</f>
        <v>8.1364044266603208E-2</v>
      </c>
      <c r="AA81" s="25">
        <v>237.14</v>
      </c>
      <c r="AB81" s="25">
        <f t="shared" si="35"/>
        <v>15.809333333333333</v>
      </c>
      <c r="AC81" s="26">
        <f t="shared" si="23"/>
        <v>602.06666666666672</v>
      </c>
      <c r="AD81" s="26">
        <f t="shared" si="24"/>
        <v>15.133333333333333</v>
      </c>
      <c r="AE81">
        <f t="shared" si="25"/>
        <v>2019</v>
      </c>
      <c r="AG81">
        <v>12</v>
      </c>
      <c r="AH81" s="26">
        <f t="shared" si="26"/>
        <v>10.158540233444912</v>
      </c>
      <c r="AI81" t="str">
        <f t="shared" si="27"/>
        <v>PM</v>
      </c>
      <c r="AJ81" t="str">
        <f t="shared" si="28"/>
        <v>11-2019-3</v>
      </c>
      <c r="AK81">
        <f t="shared" si="29"/>
        <v>11</v>
      </c>
      <c r="AL81" s="26">
        <f>IFERROR(Table2[[#This Row],[Calories]]/Table2[[#This Row],[Splat]],"")</f>
        <v>33.294117647058826</v>
      </c>
      <c r="AM81">
        <f>COUNTIF(N$2:$N$938,N81)</f>
        <v>48</v>
      </c>
      <c r="AN81" t="str">
        <f>VLOOKUP(N81,'Helpful Tables'!A:D,4,FALSE)</f>
        <v>Washington, DC</v>
      </c>
      <c r="AO81" s="24">
        <f>COUNTIF(AN:AN,Table2[[#This Row],[State]])/COUNTA(AN:AN)</f>
        <v>0.54904051172707891</v>
      </c>
      <c r="AP81">
        <f>VLOOKUP(N81,'Helpful Tables'!A:B,2,FALSE)</f>
        <v>38.916486999999996</v>
      </c>
      <c r="AQ81">
        <f>VLOOKUP(N81,'Helpful Tables'!A:C,3,FALSE)</f>
        <v>-77.031514000000001</v>
      </c>
      <c r="AR81">
        <f>COUNTIF(P$2:$P$938,P81)</f>
        <v>5</v>
      </c>
      <c r="AS81" cm="1">
        <f t="array" ref="AS81">_xlfn.IFS(E81&lt;6,((E81/D81)*60)*0.5,AND(E81&gt;=6,E81&lt;9),((E81/D81)*60)*0.75,AND(E81&gt;=9,E81&lt;=11),((E81/D81)*60)*0.9,AND(E81=12),((E81/D81)*60)*1,AND(E81&gt;=13,E81&lt;=15),((E81/D81)*60)*1.2,AND(E81&gt;=16,E81&lt;=19),((E81/D81)*60)*1.5,E81&gt;=20,((E81/D81)*60)*1.8)</f>
        <v>27.460364941997732</v>
      </c>
      <c r="AT81" cm="1">
        <f t="array" ref="AT81">_xlfn.IFS(F81&lt;550,((F81/D81)*60)*0.5,AND(F81&gt;=550,F81&lt;575),((F81/D81)*60)*0.75,AND(F81&gt;=575,F81&lt;600),((F81/D81)*60)*0.9,AND(F81=600),((F81/D81)*60)*1,AND(F81&gt;=601,F81&lt;=625),((F81/D81)*60)*1.2,AND(F81&gt;=626,F81&lt;=650),((F81/D81)*60)*1.5,F81&gt;=651,((F81/D81)*60)*1.8)</f>
        <v>457.13431050502106</v>
      </c>
      <c r="AU81">
        <f t="shared" si="30"/>
        <v>-3.116666666799996</v>
      </c>
      <c r="AV81">
        <f t="shared" si="34"/>
        <v>193.21453684544753</v>
      </c>
      <c r="AW81">
        <f t="shared" si="31"/>
        <v>12.6</v>
      </c>
      <c r="AX81" t="str">
        <f t="shared" si="32"/>
        <v>Nov-2019</v>
      </c>
      <c r="AY81">
        <f>ROUNDUP(Table2[[#This Row],[Month]]/3,0)</f>
        <v>4</v>
      </c>
    </row>
    <row r="82" spans="1:51" x14ac:dyDescent="0.2">
      <c r="A82">
        <v>81</v>
      </c>
      <c r="B82">
        <f t="shared" si="19"/>
        <v>15</v>
      </c>
      <c r="C82" s="22">
        <v>43780</v>
      </c>
      <c r="D82">
        <f>SUM(Table2[[#This Row],[Gray Min]:[Red Min]])</f>
        <v>53.149999999999991</v>
      </c>
      <c r="E82">
        <v>18</v>
      </c>
      <c r="F82">
        <v>569</v>
      </c>
      <c r="G82">
        <v>125</v>
      </c>
      <c r="H82">
        <v>167</v>
      </c>
      <c r="I82">
        <v>16.466666666999998</v>
      </c>
      <c r="J82">
        <v>10.233333332999999</v>
      </c>
      <c r="K82">
        <v>8.7333333329999991</v>
      </c>
      <c r="L82">
        <v>15</v>
      </c>
      <c r="M82">
        <v>2.7166666670000001</v>
      </c>
      <c r="N82" t="s">
        <v>33</v>
      </c>
      <c r="O82" t="s">
        <v>76</v>
      </c>
      <c r="P82" t="s">
        <v>34</v>
      </c>
      <c r="Q82">
        <f t="shared" si="33"/>
        <v>1</v>
      </c>
      <c r="R82" t="str">
        <f t="shared" si="20"/>
        <v>11-2019</v>
      </c>
      <c r="S82" t="s">
        <v>48</v>
      </c>
      <c r="T82" t="str">
        <f t="shared" si="21"/>
        <v>Monday</v>
      </c>
      <c r="U82">
        <f t="shared" si="22"/>
        <v>1</v>
      </c>
      <c r="V82" s="24">
        <f>IFERROR(Table2[[#This Row],[Gray Min]]/Table2[[#This Row],[ClassLength]],"")</f>
        <v>0.30981498903104421</v>
      </c>
      <c r="W82" s="24">
        <f>IFERROR(Table2[[#This Row],[Blue Min]]/Table2[[#This Row],[ClassLength]],"")</f>
        <v>0.19253684539981186</v>
      </c>
      <c r="X82" s="24">
        <f>IFERROR(Table2[[#This Row],[Green Min]]/Table2[[#This Row],[ClassLength]],"")</f>
        <v>0.16431483222953905</v>
      </c>
      <c r="Y82" s="24">
        <f>IFERROR(Table2[[#This Row],[Orange Min]]/Table2[[#This Row],[ClassLength]],"")</f>
        <v>0.28222013170272819</v>
      </c>
      <c r="Z82" s="24">
        <f>IFERROR(Table2[[#This Row],[Red Min]]/Table2[[#This Row],[ClassLength]],"")</f>
        <v>5.1113201636876777E-2</v>
      </c>
      <c r="AA82" s="25">
        <v>237.14</v>
      </c>
      <c r="AB82" s="25">
        <f t="shared" si="35"/>
        <v>15.809333333333333</v>
      </c>
      <c r="AC82" s="26">
        <f t="shared" si="23"/>
        <v>602.06666666666672</v>
      </c>
      <c r="AD82" s="26">
        <f t="shared" si="24"/>
        <v>15.133333333333333</v>
      </c>
      <c r="AE82">
        <f t="shared" si="25"/>
        <v>2019</v>
      </c>
      <c r="AG82">
        <v>12</v>
      </c>
      <c r="AH82" s="26">
        <f t="shared" si="26"/>
        <v>10.705550329256821</v>
      </c>
      <c r="AI82" t="str">
        <f t="shared" si="27"/>
        <v>AM</v>
      </c>
      <c r="AJ82" t="str">
        <f t="shared" si="28"/>
        <v>11-2019-3</v>
      </c>
      <c r="AK82">
        <f t="shared" si="29"/>
        <v>11</v>
      </c>
      <c r="AL82" s="26">
        <f>IFERROR(Table2[[#This Row],[Calories]]/Table2[[#This Row],[Splat]],"")</f>
        <v>31.611111111111111</v>
      </c>
      <c r="AM82">
        <f>COUNTIF(N$2:$N$938,N82)</f>
        <v>48</v>
      </c>
      <c r="AN82" t="str">
        <f>VLOOKUP(N82,'Helpful Tables'!A:D,4,FALSE)</f>
        <v>Washington, DC</v>
      </c>
      <c r="AO82" s="24">
        <f>COUNTIF(AN:AN,Table2[[#This Row],[State]])/COUNTA(AN:AN)</f>
        <v>0.54904051172707891</v>
      </c>
      <c r="AP82">
        <f>VLOOKUP(N82,'Helpful Tables'!A:B,2,FALSE)</f>
        <v>38.916486999999996</v>
      </c>
      <c r="AQ82">
        <f>VLOOKUP(N82,'Helpful Tables'!A:C,3,FALSE)</f>
        <v>-77.031514000000001</v>
      </c>
      <c r="AR82">
        <f>COUNTIF(P$2:$P$938,P82)</f>
        <v>30</v>
      </c>
      <c r="AS82" cm="1">
        <f t="array" ref="AS82">_xlfn.IFS(E82&lt;6,((E82/D82)*60)*0.5,AND(E82&gt;=6,E82&lt;9),((E82/D82)*60)*0.75,AND(E82&gt;=9,E82&lt;=11),((E82/D82)*60)*0.9,AND(E82=12),((E82/D82)*60)*1,AND(E82&gt;=13,E82&lt;=15),((E82/D82)*60)*1.2,AND(E82&gt;=16,E82&lt;=19),((E82/D82)*60)*1.5,E82&gt;=20,((E82/D82)*60)*1.8)</f>
        <v>30.479774223894644</v>
      </c>
      <c r="AT82" cm="1">
        <f t="array" ref="AT82">_xlfn.IFS(F82&lt;550,((F82/D82)*60)*0.5,AND(F82&gt;=550,F82&lt;575),((F82/D82)*60)*0.75,AND(F82&gt;=575,F82&lt;600),((F82/D82)*60)*0.9,AND(F82=600),((F82/D82)*60)*1,AND(F82&gt;=601,F82&lt;=625),((F82/D82)*60)*1.2,AND(F82&gt;=626,F82&lt;=650),((F82/D82)*60)*1.5,F82&gt;=651,((F82/D82)*60)*1.8)</f>
        <v>481.74976481655699</v>
      </c>
      <c r="AU82">
        <f t="shared" si="30"/>
        <v>3.0383333333999998</v>
      </c>
      <c r="AV82">
        <f t="shared" si="34"/>
        <v>205.49948228286067</v>
      </c>
      <c r="AW82">
        <f t="shared" si="31"/>
        <v>13.5</v>
      </c>
      <c r="AX82" t="str">
        <f t="shared" si="32"/>
        <v>Nov-2019</v>
      </c>
      <c r="AY82">
        <f>ROUNDUP(Table2[[#This Row],[Month]]/3,0)</f>
        <v>4</v>
      </c>
    </row>
    <row r="83" spans="1:51" x14ac:dyDescent="0.2">
      <c r="A83">
        <v>82</v>
      </c>
      <c r="B83">
        <f t="shared" si="19"/>
        <v>15</v>
      </c>
      <c r="C83" s="22">
        <v>43782</v>
      </c>
      <c r="D83">
        <f>SUM(Table2[[#This Row],[Gray Min]:[Red Min]])</f>
        <v>56.216666666999998</v>
      </c>
      <c r="E83">
        <v>10</v>
      </c>
      <c r="F83">
        <v>626</v>
      </c>
      <c r="G83">
        <v>128</v>
      </c>
      <c r="H83">
        <v>170</v>
      </c>
      <c r="I83">
        <v>9.9166666669999994</v>
      </c>
      <c r="J83">
        <v>12.8</v>
      </c>
      <c r="K83">
        <v>23</v>
      </c>
      <c r="L83">
        <v>7.15</v>
      </c>
      <c r="M83">
        <v>3.35</v>
      </c>
      <c r="N83" t="s">
        <v>33</v>
      </c>
      <c r="O83" t="s">
        <v>39</v>
      </c>
      <c r="P83" t="s">
        <v>37</v>
      </c>
      <c r="Q83">
        <f t="shared" si="33"/>
        <v>2</v>
      </c>
      <c r="R83" t="str">
        <f t="shared" si="20"/>
        <v>11-2019</v>
      </c>
      <c r="S83" t="s">
        <v>43</v>
      </c>
      <c r="T83" t="str">
        <f t="shared" si="21"/>
        <v>Wednesday</v>
      </c>
      <c r="U83">
        <f t="shared" si="22"/>
        <v>0</v>
      </c>
      <c r="V83" s="24">
        <f>IFERROR(Table2[[#This Row],[Gray Min]]/Table2[[#This Row],[ClassLength]],"")</f>
        <v>0.17640083012643698</v>
      </c>
      <c r="W83" s="24">
        <f>IFERROR(Table2[[#This Row],[Blue Min]]/Table2[[#This Row],[ClassLength]],"")</f>
        <v>0.22769048324798288</v>
      </c>
      <c r="X83" s="24">
        <f>IFERROR(Table2[[#This Row],[Green Min]]/Table2[[#This Row],[ClassLength]],"")</f>
        <v>0.40913133708621924</v>
      </c>
      <c r="Y83" s="24">
        <f>IFERROR(Table2[[#This Row],[Orange Min]]/Table2[[#This Row],[ClassLength]],"")</f>
        <v>0.12718648087680293</v>
      </c>
      <c r="Z83" s="24">
        <f>IFERROR(Table2[[#This Row],[Red Min]]/Table2[[#This Row],[ClassLength]],"")</f>
        <v>5.9590868662558021E-2</v>
      </c>
      <c r="AA83" s="25">
        <v>237.14</v>
      </c>
      <c r="AB83" s="25">
        <f t="shared" si="35"/>
        <v>15.809333333333333</v>
      </c>
      <c r="AC83" s="26">
        <f t="shared" si="23"/>
        <v>602.06666666666672</v>
      </c>
      <c r="AD83" s="26">
        <f t="shared" si="24"/>
        <v>15.133333333333333</v>
      </c>
      <c r="AE83">
        <f t="shared" si="25"/>
        <v>2019</v>
      </c>
      <c r="AG83">
        <v>12</v>
      </c>
      <c r="AH83" s="26">
        <f t="shared" si="26"/>
        <v>11.135487696346662</v>
      </c>
      <c r="AI83" t="str">
        <f t="shared" si="27"/>
        <v>PM</v>
      </c>
      <c r="AJ83" t="str">
        <f t="shared" si="28"/>
        <v>11-2019-3</v>
      </c>
      <c r="AK83">
        <f t="shared" si="29"/>
        <v>11</v>
      </c>
      <c r="AL83" s="26">
        <f>IFERROR(Table2[[#This Row],[Calories]]/Table2[[#This Row],[Splat]],"")</f>
        <v>62.6</v>
      </c>
      <c r="AM83">
        <f>COUNTIF(N$2:$N$938,N83)</f>
        <v>48</v>
      </c>
      <c r="AN83" t="str">
        <f>VLOOKUP(N83,'Helpful Tables'!A:D,4,FALSE)</f>
        <v>Washington, DC</v>
      </c>
      <c r="AO83" s="24">
        <f>COUNTIF(AN:AN,Table2[[#This Row],[State]])/COUNTA(AN:AN)</f>
        <v>0.54904051172707891</v>
      </c>
      <c r="AP83">
        <f>VLOOKUP(N83,'Helpful Tables'!A:B,2,FALSE)</f>
        <v>38.916486999999996</v>
      </c>
      <c r="AQ83">
        <f>VLOOKUP(N83,'Helpful Tables'!A:C,3,FALSE)</f>
        <v>-77.031514000000001</v>
      </c>
      <c r="AR83">
        <f>COUNTIF(P$2:$P$938,P83)</f>
        <v>12</v>
      </c>
      <c r="AS83" cm="1">
        <f t="array" ref="AS83">_xlfn.IFS(E83&lt;6,((E83/D83)*60)*0.5,AND(E83&gt;=6,E83&lt;9),((E83/D83)*60)*0.75,AND(E83&gt;=9,E83&lt;=11),((E83/D83)*60)*0.9,AND(E83=12),((E83/D83)*60)*1,AND(E83&gt;=13,E83&lt;=15),((E83/D83)*60)*1.2,AND(E83&gt;=16,E83&lt;=19),((E83/D83)*60)*1.5,E83&gt;=20,((E83/D83)*60)*1.8)</f>
        <v>9.6056922620242773</v>
      </c>
      <c r="AT83" cm="1">
        <f t="array" ref="AT83">_xlfn.IFS(F83&lt;550,((F83/D83)*60)*0.5,AND(F83&gt;=550,F83&lt;575),((F83/D83)*60)*0.75,AND(F83&gt;=575,F83&lt;600),((F83/D83)*60)*0.9,AND(F83=600),((F83/D83)*60)*1,AND(F83&gt;=601,F83&lt;=625),((F83/D83)*60)*1.2,AND(F83&gt;=626,F83&lt;=650),((F83/D83)*60)*1.5,F83&gt;=651,((F83/D83)*60)*1.8)</f>
        <v>1002.1938926711995</v>
      </c>
      <c r="AU83">
        <f t="shared" si="30"/>
        <v>15.939999999599998</v>
      </c>
      <c r="AV83">
        <f t="shared" si="34"/>
        <v>407.90783397320951</v>
      </c>
      <c r="AW83">
        <f t="shared" si="31"/>
        <v>57.599999999999994</v>
      </c>
      <c r="AX83" t="str">
        <f t="shared" si="32"/>
        <v>Nov-2019</v>
      </c>
      <c r="AY83">
        <f>ROUNDUP(Table2[[#This Row],[Month]]/3,0)</f>
        <v>4</v>
      </c>
    </row>
    <row r="84" spans="1:51" x14ac:dyDescent="0.2">
      <c r="A84">
        <v>83</v>
      </c>
      <c r="B84">
        <f t="shared" si="19"/>
        <v>15</v>
      </c>
      <c r="C84" s="22">
        <v>43784</v>
      </c>
      <c r="D84">
        <f>SUM(Table2[[#This Row],[Gray Min]:[Red Min]])</f>
        <v>54.883333333000003</v>
      </c>
      <c r="E84">
        <v>16</v>
      </c>
      <c r="F84">
        <v>544</v>
      </c>
      <c r="G84">
        <v>120</v>
      </c>
      <c r="H84">
        <v>174</v>
      </c>
      <c r="I84">
        <v>22</v>
      </c>
      <c r="J84">
        <v>8.7666666670000009</v>
      </c>
      <c r="K84">
        <v>8.3333333330000006</v>
      </c>
      <c r="L84">
        <v>9.0500000000000007</v>
      </c>
      <c r="M84">
        <v>6.733333333</v>
      </c>
      <c r="N84" t="s">
        <v>60</v>
      </c>
      <c r="O84" t="s">
        <v>39</v>
      </c>
      <c r="P84" t="s">
        <v>61</v>
      </c>
      <c r="Q84">
        <f t="shared" si="33"/>
        <v>2</v>
      </c>
      <c r="R84" t="str">
        <f t="shared" si="20"/>
        <v>11-2019</v>
      </c>
      <c r="S84" t="s">
        <v>47</v>
      </c>
      <c r="T84" t="str">
        <f t="shared" si="21"/>
        <v>Friday</v>
      </c>
      <c r="U84">
        <f t="shared" si="22"/>
        <v>1</v>
      </c>
      <c r="V84" s="24">
        <f>IFERROR(Table2[[#This Row],[Gray Min]]/Table2[[#This Row],[ClassLength]],"")</f>
        <v>0.40085028849317245</v>
      </c>
      <c r="W84" s="24">
        <f>IFERROR(Table2[[#This Row],[Blue Min]]/Table2[[#This Row],[ClassLength]],"")</f>
        <v>0.15973276648138313</v>
      </c>
      <c r="X84" s="24">
        <f>IFERROR(Table2[[#This Row],[Green Min]]/Table2[[#This Row],[ClassLength]],"")</f>
        <v>0.15183723048376457</v>
      </c>
      <c r="Y84" s="24">
        <f>IFERROR(Table2[[#This Row],[Orange Min]]/Table2[[#This Row],[ClassLength]],"")</f>
        <v>0.16489523231196415</v>
      </c>
      <c r="Z84" s="24">
        <f>IFERROR(Table2[[#This Row],[Red Min]]/Table2[[#This Row],[ClassLength]],"")</f>
        <v>0.12268448222971566</v>
      </c>
      <c r="AA84" s="25">
        <v>237.14</v>
      </c>
      <c r="AB84" s="25">
        <f t="shared" si="35"/>
        <v>15.809333333333333</v>
      </c>
      <c r="AC84" s="26">
        <f t="shared" si="23"/>
        <v>602.06666666666672</v>
      </c>
      <c r="AD84" s="26">
        <f t="shared" si="24"/>
        <v>15.133333333333333</v>
      </c>
      <c r="AE84">
        <f t="shared" si="25"/>
        <v>2019</v>
      </c>
      <c r="AG84">
        <v>12</v>
      </c>
      <c r="AH84" s="26">
        <f t="shared" si="26"/>
        <v>9.9119344063766288</v>
      </c>
      <c r="AI84" t="str">
        <f t="shared" si="27"/>
        <v>PM</v>
      </c>
      <c r="AJ84" t="str">
        <f t="shared" si="28"/>
        <v>11-2019-3</v>
      </c>
      <c r="AK84">
        <f t="shared" si="29"/>
        <v>11</v>
      </c>
      <c r="AL84" s="26">
        <f>IFERROR(Table2[[#This Row],[Calories]]/Table2[[#This Row],[Splat]],"")</f>
        <v>34</v>
      </c>
      <c r="AM84">
        <f>COUNTIF(N$2:$N$938,N84)</f>
        <v>10</v>
      </c>
      <c r="AN84" t="str">
        <f>VLOOKUP(N84,'Helpful Tables'!A:D,4,FALSE)</f>
        <v>Washington, DC</v>
      </c>
      <c r="AO84" s="24">
        <f>COUNTIF(AN:AN,Table2[[#This Row],[State]])/COUNTA(AN:AN)</f>
        <v>0.54904051172707891</v>
      </c>
      <c r="AP84">
        <f>VLOOKUP(N84,'Helpful Tables'!A:B,2,FALSE)</f>
        <v>38.879828000000003</v>
      </c>
      <c r="AQ84">
        <f>VLOOKUP(N84,'Helpful Tables'!A:C,3,FALSE)</f>
        <v>-77.005566000000002</v>
      </c>
      <c r="AR84">
        <f>COUNTIF(P$2:$P$938,P84)</f>
        <v>9</v>
      </c>
      <c r="AS84" cm="1">
        <f t="array" ref="AS84">_xlfn.IFS(E84&lt;6,((E84/D84)*60)*0.5,AND(E84&gt;=6,E84&lt;9),((E84/D84)*60)*0.75,AND(E84&gt;=9,E84&lt;=11),((E84/D84)*60)*0.9,AND(E84=12),((E84/D84)*60)*1,AND(E84&gt;=13,E84&lt;=15),((E84/D84)*60)*1.2,AND(E84&gt;=16,E84&lt;=19),((E84/D84)*60)*1.5,E84&gt;=20,((E84/D84)*60)*1.8)</f>
        <v>26.237473428644016</v>
      </c>
      <c r="AT84" cm="1">
        <f t="array" ref="AT84">_xlfn.IFS(F84&lt;550,((F84/D84)*60)*0.5,AND(F84&gt;=550,F84&lt;575),((F84/D84)*60)*0.75,AND(F84&gt;=575,F84&lt;600),((F84/D84)*60)*0.9,AND(F84=600),((F84/D84)*60)*1,AND(F84&gt;=601,F84&lt;=625),((F84/D84)*60)*1.2,AND(F84&gt;=626,F84&lt;=650),((F84/D84)*60)*1.5,F84&gt;=651,((F84/D84)*60)*1.8)</f>
        <v>297.35803219129889</v>
      </c>
      <c r="AU84">
        <f t="shared" si="30"/>
        <v>-4.1783333345999978</v>
      </c>
      <c r="AV84">
        <f t="shared" si="34"/>
        <v>128.6025355810572</v>
      </c>
      <c r="AW84">
        <f t="shared" si="31"/>
        <v>7.3999999999999995</v>
      </c>
      <c r="AX84" t="str">
        <f t="shared" si="32"/>
        <v>Nov-2019</v>
      </c>
      <c r="AY84">
        <f>ROUNDUP(Table2[[#This Row],[Month]]/3,0)</f>
        <v>4</v>
      </c>
    </row>
    <row r="85" spans="1:51" x14ac:dyDescent="0.2">
      <c r="A85">
        <v>84</v>
      </c>
      <c r="B85">
        <f t="shared" si="19"/>
        <v>15</v>
      </c>
      <c r="C85" s="22">
        <v>43785</v>
      </c>
      <c r="D85">
        <f>SUM(Table2[[#This Row],[Gray Min]:[Red Min]])</f>
        <v>55.733333333000004</v>
      </c>
      <c r="E85">
        <v>15</v>
      </c>
      <c r="F85">
        <v>631</v>
      </c>
      <c r="G85">
        <v>130</v>
      </c>
      <c r="H85">
        <v>168</v>
      </c>
      <c r="I85">
        <v>10.55</v>
      </c>
      <c r="J85">
        <v>9.2833333329999999</v>
      </c>
      <c r="K85">
        <v>21.433333333</v>
      </c>
      <c r="L85">
        <v>13.55</v>
      </c>
      <c r="M85">
        <v>0.91666666699999999</v>
      </c>
      <c r="N85" t="s">
        <v>33</v>
      </c>
      <c r="O85" t="s">
        <v>45</v>
      </c>
      <c r="P85" t="s">
        <v>68</v>
      </c>
      <c r="Q85">
        <f t="shared" si="33"/>
        <v>1</v>
      </c>
      <c r="R85" t="str">
        <f t="shared" si="20"/>
        <v>11-2019</v>
      </c>
      <c r="S85" t="s">
        <v>43</v>
      </c>
      <c r="T85" t="str">
        <f t="shared" si="21"/>
        <v>Saturday</v>
      </c>
      <c r="U85">
        <f t="shared" si="22"/>
        <v>1</v>
      </c>
      <c r="V85" s="24">
        <f>IFERROR(Table2[[#This Row],[Gray Min]]/Table2[[#This Row],[ClassLength]],"")</f>
        <v>0.18929425837433789</v>
      </c>
      <c r="W85" s="24">
        <f>IFERROR(Table2[[#This Row],[Blue Min]]/Table2[[#This Row],[ClassLength]],"")</f>
        <v>0.16656698564094835</v>
      </c>
      <c r="X85" s="24">
        <f>IFERROR(Table2[[#This Row],[Green Min]]/Table2[[#This Row],[ClassLength]],"")</f>
        <v>0.38456937798674978</v>
      </c>
      <c r="Y85" s="24">
        <f>IFERROR(Table2[[#This Row],[Orange Min]]/Table2[[#This Row],[ClassLength]],"")</f>
        <v>0.24312200957083208</v>
      </c>
      <c r="Z85" s="24">
        <f>IFERROR(Table2[[#This Row],[Red Min]]/Table2[[#This Row],[ClassLength]],"")</f>
        <v>1.6447368427131862E-2</v>
      </c>
      <c r="AA85" s="25">
        <v>237.14</v>
      </c>
      <c r="AB85" s="25">
        <f t="shared" si="35"/>
        <v>15.809333333333333</v>
      </c>
      <c r="AC85" s="26">
        <f t="shared" si="23"/>
        <v>602.06666666666672</v>
      </c>
      <c r="AD85" s="26">
        <f t="shared" si="24"/>
        <v>15.133333333333333</v>
      </c>
      <c r="AE85">
        <f t="shared" si="25"/>
        <v>2019</v>
      </c>
      <c r="AG85">
        <v>12</v>
      </c>
      <c r="AH85" s="26">
        <f t="shared" si="26"/>
        <v>11.321770334995943</v>
      </c>
      <c r="AI85" t="str">
        <f t="shared" si="27"/>
        <v>AM</v>
      </c>
      <c r="AJ85" t="str">
        <f t="shared" si="28"/>
        <v>11-2019-3</v>
      </c>
      <c r="AK85">
        <f t="shared" si="29"/>
        <v>11</v>
      </c>
      <c r="AL85" s="26">
        <f>IFERROR(Table2[[#This Row],[Calories]]/Table2[[#This Row],[Splat]],"")</f>
        <v>42.06666666666667</v>
      </c>
      <c r="AM85">
        <f>COUNTIF(N$2:$N$938,N85)</f>
        <v>48</v>
      </c>
      <c r="AN85" t="str">
        <f>VLOOKUP(N85,'Helpful Tables'!A:D,4,FALSE)</f>
        <v>Washington, DC</v>
      </c>
      <c r="AO85" s="24">
        <f>COUNTIF(AN:AN,Table2[[#This Row],[State]])/COUNTA(AN:AN)</f>
        <v>0.54904051172707891</v>
      </c>
      <c r="AP85">
        <f>VLOOKUP(N85,'Helpful Tables'!A:B,2,FALSE)</f>
        <v>38.916486999999996</v>
      </c>
      <c r="AQ85">
        <f>VLOOKUP(N85,'Helpful Tables'!A:C,3,FALSE)</f>
        <v>-77.031514000000001</v>
      </c>
      <c r="AR85">
        <f>COUNTIF(P$2:$P$938,P85)</f>
        <v>5</v>
      </c>
      <c r="AS85" cm="1">
        <f t="array" ref="AS85">_xlfn.IFS(E85&lt;6,((E85/D85)*60)*0.5,AND(E85&gt;=6,E85&lt;9),((E85/D85)*60)*0.75,AND(E85&gt;=9,E85&lt;=11),((E85/D85)*60)*0.9,AND(E85=12),((E85/D85)*60)*1,AND(E85&gt;=13,E85&lt;=15),((E85/D85)*60)*1.2,AND(E85&gt;=16,E85&lt;=19),((E85/D85)*60)*1.5,E85&gt;=20,((E85/D85)*60)*1.8)</f>
        <v>19.377990430737903</v>
      </c>
      <c r="AT85" cm="1">
        <f t="array" ref="AT85">_xlfn.IFS(F85&lt;550,((F85/D85)*60)*0.5,AND(F85&gt;=550,F85&lt;575),((F85/D85)*60)*0.75,AND(F85&gt;=575,F85&lt;600),((F85/D85)*60)*0.9,AND(F85=600),((F85/D85)*60)*1,AND(F85&gt;=601,F85&lt;=625),((F85/D85)*60)*1.2,AND(F85&gt;=626,F85&lt;=650),((F85/D85)*60)*1.5,F85&gt;=651,((F85/D85)*60)*1.8)</f>
        <v>1018.959330149635</v>
      </c>
      <c r="AU85">
        <f t="shared" si="30"/>
        <v>21.838333333800001</v>
      </c>
      <c r="AV85">
        <f t="shared" si="34"/>
        <v>419.70259489890918</v>
      </c>
      <c r="AW85">
        <f t="shared" si="31"/>
        <v>61.5</v>
      </c>
      <c r="AX85" t="str">
        <f t="shared" si="32"/>
        <v>Nov-2019</v>
      </c>
      <c r="AY85">
        <f>ROUNDUP(Table2[[#This Row],[Month]]/3,0)</f>
        <v>4</v>
      </c>
    </row>
    <row r="86" spans="1:51" x14ac:dyDescent="0.2">
      <c r="A86">
        <v>85</v>
      </c>
      <c r="B86">
        <f t="shared" si="19"/>
        <v>15</v>
      </c>
      <c r="C86" s="22">
        <v>43786</v>
      </c>
      <c r="D86">
        <f>SUM(Table2[[#This Row],[Gray Min]:[Red Min]])</f>
        <v>56.433333334000004</v>
      </c>
      <c r="E86">
        <v>15</v>
      </c>
      <c r="F86">
        <v>625</v>
      </c>
      <c r="G86">
        <v>128</v>
      </c>
      <c r="H86">
        <v>168</v>
      </c>
      <c r="I86">
        <v>7.9</v>
      </c>
      <c r="J86">
        <v>18.55</v>
      </c>
      <c r="K86">
        <v>14.516666667000001</v>
      </c>
      <c r="L86">
        <v>13.466666667</v>
      </c>
      <c r="M86">
        <v>2</v>
      </c>
      <c r="N86" t="s">
        <v>33</v>
      </c>
      <c r="O86" t="s">
        <v>45</v>
      </c>
      <c r="P86" t="s">
        <v>34</v>
      </c>
      <c r="Q86">
        <f t="shared" si="33"/>
        <v>1</v>
      </c>
      <c r="R86" t="str">
        <f t="shared" si="20"/>
        <v>11-2019</v>
      </c>
      <c r="S86" t="s">
        <v>43</v>
      </c>
      <c r="T86" t="str">
        <f t="shared" si="21"/>
        <v>Sunday</v>
      </c>
      <c r="U86">
        <f t="shared" si="22"/>
        <v>1</v>
      </c>
      <c r="V86" s="24">
        <f>IFERROR(Table2[[#This Row],[Gray Min]]/Table2[[#This Row],[ClassLength]],"")</f>
        <v>0.1399881866492618</v>
      </c>
      <c r="W86" s="24">
        <f>IFERROR(Table2[[#This Row],[Blue Min]]/Table2[[#This Row],[ClassLength]],"")</f>
        <v>0.32870643827136792</v>
      </c>
      <c r="X86" s="24">
        <f>IFERROR(Table2[[#This Row],[Green Min]]/Table2[[#This Row],[ClassLength]],"")</f>
        <v>0.25723567631710292</v>
      </c>
      <c r="Y86" s="24">
        <f>IFERROR(Table2[[#This Row],[Orange Min]]/Table2[[#This Row],[ClassLength]],"")</f>
        <v>0.23862965150928966</v>
      </c>
      <c r="Z86" s="24">
        <f>IFERROR(Table2[[#This Row],[Red Min]]/Table2[[#This Row],[ClassLength]],"")</f>
        <v>3.5440047252977669E-2</v>
      </c>
      <c r="AA86" s="25">
        <v>237.14</v>
      </c>
      <c r="AB86" s="25">
        <f t="shared" si="35"/>
        <v>15.809333333333333</v>
      </c>
      <c r="AC86" s="26">
        <f t="shared" si="23"/>
        <v>602.06666666666672</v>
      </c>
      <c r="AD86" s="26">
        <f t="shared" si="24"/>
        <v>15.133333333333333</v>
      </c>
      <c r="AE86">
        <f t="shared" si="25"/>
        <v>2019</v>
      </c>
      <c r="AG86">
        <v>12</v>
      </c>
      <c r="AH86" s="26">
        <f t="shared" si="26"/>
        <v>11.075014766555523</v>
      </c>
      <c r="AI86" t="str">
        <f t="shared" si="27"/>
        <v>AM</v>
      </c>
      <c r="AJ86" t="str">
        <f t="shared" si="28"/>
        <v>11-2019-4</v>
      </c>
      <c r="AK86">
        <f t="shared" si="29"/>
        <v>11</v>
      </c>
      <c r="AL86" s="26">
        <f>IFERROR(Table2[[#This Row],[Calories]]/Table2[[#This Row],[Splat]],"")</f>
        <v>41.666666666666664</v>
      </c>
      <c r="AM86">
        <f>COUNTIF(N$2:$N$938,N86)</f>
        <v>48</v>
      </c>
      <c r="AN86" t="str">
        <f>VLOOKUP(N86,'Helpful Tables'!A:D,4,FALSE)</f>
        <v>Washington, DC</v>
      </c>
      <c r="AO86" s="24">
        <f>COUNTIF(AN:AN,Table2[[#This Row],[State]])/COUNTA(AN:AN)</f>
        <v>0.54904051172707891</v>
      </c>
      <c r="AP86">
        <f>VLOOKUP(N86,'Helpful Tables'!A:B,2,FALSE)</f>
        <v>38.916486999999996</v>
      </c>
      <c r="AQ86">
        <f>VLOOKUP(N86,'Helpful Tables'!A:C,3,FALSE)</f>
        <v>-77.031514000000001</v>
      </c>
      <c r="AR86">
        <f>COUNTIF(P$2:$P$938,P86)</f>
        <v>30</v>
      </c>
      <c r="AS86" cm="1">
        <f t="array" ref="AS86">_xlfn.IFS(E86&lt;6,((E86/D86)*60)*0.5,AND(E86&gt;=6,E86&lt;9),((E86/D86)*60)*0.75,AND(E86&gt;=9,E86&lt;=11),((E86/D86)*60)*0.9,AND(E86=12),((E86/D86)*60)*1,AND(E86&gt;=13,E86&lt;=15),((E86/D86)*60)*1.2,AND(E86&gt;=16,E86&lt;=19),((E86/D86)*60)*1.5,E86&gt;=20,((E86/D86)*60)*1.8)</f>
        <v>19.13762551660794</v>
      </c>
      <c r="AT86" cm="1">
        <f t="array" ref="AT86">_xlfn.IFS(F86&lt;550,((F86/D86)*60)*0.5,AND(F86&gt;=550,F86&lt;575),((F86/D86)*60)*0.75,AND(F86&gt;=575,F86&lt;600),((F86/D86)*60)*0.9,AND(F86=600),((F86/D86)*60)*1,AND(F86&gt;=601,F86&lt;=625),((F86/D86)*60)*1.2,AND(F86&gt;=626,F86&lt;=650),((F86/D86)*60)*1.5,F86&gt;=651,((F86/D86)*60)*1.8)</f>
        <v>797.40106319199765</v>
      </c>
      <c r="AU86">
        <f t="shared" si="30"/>
        <v>8.0416666674999995</v>
      </c>
      <c r="AV86">
        <f t="shared" si="34"/>
        <v>328.22380881694227</v>
      </c>
      <c r="AW86">
        <f t="shared" si="31"/>
        <v>39.800000000000004</v>
      </c>
      <c r="AX86" t="str">
        <f t="shared" si="32"/>
        <v>Nov-2019</v>
      </c>
      <c r="AY86">
        <f>ROUNDUP(Table2[[#This Row],[Month]]/3,0)</f>
        <v>4</v>
      </c>
    </row>
    <row r="87" spans="1:51" x14ac:dyDescent="0.2">
      <c r="A87">
        <v>86</v>
      </c>
      <c r="B87">
        <f t="shared" si="19"/>
        <v>15</v>
      </c>
      <c r="C87" s="22">
        <v>43788</v>
      </c>
      <c r="D87">
        <f>SUM(Table2[[#This Row],[Gray Min]:[Red Min]])</f>
        <v>57.999999999999993</v>
      </c>
      <c r="E87">
        <v>14</v>
      </c>
      <c r="F87">
        <v>595</v>
      </c>
      <c r="G87">
        <v>122</v>
      </c>
      <c r="H87">
        <v>170</v>
      </c>
      <c r="I87">
        <v>21.8</v>
      </c>
      <c r="J87">
        <v>6.85</v>
      </c>
      <c r="K87">
        <v>15.616666667000001</v>
      </c>
      <c r="L87">
        <v>9.8333333330000006</v>
      </c>
      <c r="M87">
        <v>3.9</v>
      </c>
      <c r="N87" t="s">
        <v>24</v>
      </c>
      <c r="O87" t="s">
        <v>26</v>
      </c>
      <c r="P87" t="s">
        <v>28</v>
      </c>
      <c r="Q87">
        <f t="shared" si="33"/>
        <v>2</v>
      </c>
      <c r="R87" t="str">
        <f t="shared" si="20"/>
        <v>11-2019</v>
      </c>
      <c r="S87" t="s">
        <v>43</v>
      </c>
      <c r="T87" t="str">
        <f t="shared" si="21"/>
        <v>Tuesday</v>
      </c>
      <c r="U87">
        <f t="shared" si="22"/>
        <v>1</v>
      </c>
      <c r="V87" s="24">
        <f>IFERROR(Table2[[#This Row],[Gray Min]]/Table2[[#This Row],[ClassLength]],"")</f>
        <v>0.37586206896551733</v>
      </c>
      <c r="W87" s="24">
        <f>IFERROR(Table2[[#This Row],[Blue Min]]/Table2[[#This Row],[ClassLength]],"")</f>
        <v>0.11810344827586208</v>
      </c>
      <c r="X87" s="24">
        <f>IFERROR(Table2[[#This Row],[Green Min]]/Table2[[#This Row],[ClassLength]],"")</f>
        <v>0.26925287356896555</v>
      </c>
      <c r="Y87" s="24">
        <f>IFERROR(Table2[[#This Row],[Orange Min]]/Table2[[#This Row],[ClassLength]],"")</f>
        <v>0.16954022987931039</v>
      </c>
      <c r="Z87" s="24">
        <f>IFERROR(Table2[[#This Row],[Red Min]]/Table2[[#This Row],[ClassLength]],"")</f>
        <v>6.7241379310344837E-2</v>
      </c>
      <c r="AA87" s="25">
        <v>237.14</v>
      </c>
      <c r="AB87" s="25">
        <f t="shared" si="35"/>
        <v>15.809333333333333</v>
      </c>
      <c r="AC87" s="26">
        <f t="shared" si="23"/>
        <v>602.06666666666672</v>
      </c>
      <c r="AD87" s="26">
        <f t="shared" si="24"/>
        <v>15.133333333333333</v>
      </c>
      <c r="AE87">
        <f t="shared" si="25"/>
        <v>2019</v>
      </c>
      <c r="AG87">
        <v>12</v>
      </c>
      <c r="AH87" s="26">
        <f t="shared" si="26"/>
        <v>10.258620689655174</v>
      </c>
      <c r="AI87" t="str">
        <f t="shared" si="27"/>
        <v>PM</v>
      </c>
      <c r="AJ87" t="str">
        <f t="shared" si="28"/>
        <v>11-2019-4</v>
      </c>
      <c r="AK87">
        <f t="shared" si="29"/>
        <v>11</v>
      </c>
      <c r="AL87" s="26">
        <f>IFERROR(Table2[[#This Row],[Calories]]/Table2[[#This Row],[Splat]],"")</f>
        <v>42.5</v>
      </c>
      <c r="AM87">
        <f>COUNTIF(N$2:$N$938,N87)</f>
        <v>35</v>
      </c>
      <c r="AN87" t="str">
        <f>VLOOKUP(N87,'Helpful Tables'!A:D,4,FALSE)</f>
        <v>Virginia</v>
      </c>
      <c r="AO87" s="24">
        <f>COUNTIF(AN:AN,Table2[[#This Row],[State]])/COUNTA(AN:AN)</f>
        <v>5.6503198294243072E-2</v>
      </c>
      <c r="AP87">
        <f>VLOOKUP(N87,'Helpful Tables'!A:B,2,FALSE)</f>
        <v>38.881884999999997</v>
      </c>
      <c r="AQ87">
        <f>VLOOKUP(N87,'Helpful Tables'!A:C,3,FALSE)</f>
        <v>-77.229702000000003</v>
      </c>
      <c r="AR87">
        <f>COUNTIF(P$2:$P$938,P87)</f>
        <v>10</v>
      </c>
      <c r="AS87" cm="1">
        <f t="array" ref="AS87">_xlfn.IFS(E87&lt;6,((E87/D87)*60)*0.5,AND(E87&gt;=6,E87&lt;9),((E87/D87)*60)*0.75,AND(E87&gt;=9,E87&lt;=11),((E87/D87)*60)*0.9,AND(E87=12),((E87/D87)*60)*1,AND(E87&gt;=13,E87&lt;=15),((E87/D87)*60)*1.2,AND(E87&gt;=16,E87&lt;=19),((E87/D87)*60)*1.5,E87&gt;=20,((E87/D87)*60)*1.8)</f>
        <v>17.379310344827591</v>
      </c>
      <c r="AT87" cm="1">
        <f t="array" ref="AT87">_xlfn.IFS(F87&lt;550,((F87/D87)*60)*0.5,AND(F87&gt;=550,F87&lt;575),((F87/D87)*60)*0.75,AND(F87&gt;=575,F87&lt;600),((F87/D87)*60)*0.9,AND(F87=600),((F87/D87)*60)*1,AND(F87&gt;=601,F87&lt;=625),((F87/D87)*60)*1.2,AND(F87&gt;=626,F87&lt;=650),((F87/D87)*60)*1.5,F87&gt;=651,((F87/D87)*60)*1.8)</f>
        <v>553.96551724137942</v>
      </c>
      <c r="AU87">
        <f t="shared" si="30"/>
        <v>3.6783333332999995</v>
      </c>
      <c r="AV87">
        <f t="shared" si="34"/>
        <v>229.27359770114279</v>
      </c>
      <c r="AW87">
        <f t="shared" si="31"/>
        <v>19.7</v>
      </c>
      <c r="AX87" t="str">
        <f t="shared" si="32"/>
        <v>Nov-2019</v>
      </c>
      <c r="AY87">
        <f>ROUNDUP(Table2[[#This Row],[Month]]/3,0)</f>
        <v>4</v>
      </c>
    </row>
    <row r="88" spans="1:51" x14ac:dyDescent="0.2">
      <c r="A88">
        <v>87</v>
      </c>
      <c r="B88">
        <f t="shared" si="19"/>
        <v>15</v>
      </c>
      <c r="C88" s="22">
        <v>43790</v>
      </c>
      <c r="D88">
        <f>SUM(Table2[[#This Row],[Gray Min]:[Red Min]])</f>
        <v>58</v>
      </c>
      <c r="E88">
        <v>11</v>
      </c>
      <c r="F88">
        <v>585</v>
      </c>
      <c r="G88">
        <v>121</v>
      </c>
      <c r="H88">
        <v>169</v>
      </c>
      <c r="I88">
        <v>18.75</v>
      </c>
      <c r="J88">
        <v>13.016666667000001</v>
      </c>
      <c r="K88">
        <v>15.8</v>
      </c>
      <c r="L88">
        <v>8.8833333329999995</v>
      </c>
      <c r="M88">
        <v>1.55</v>
      </c>
      <c r="N88" t="s">
        <v>24</v>
      </c>
      <c r="O88" t="s">
        <v>26</v>
      </c>
      <c r="P88" t="s">
        <v>67</v>
      </c>
      <c r="Q88">
        <f t="shared" si="33"/>
        <v>2</v>
      </c>
      <c r="R88" t="str">
        <f t="shared" si="20"/>
        <v>11-2019</v>
      </c>
      <c r="S88" t="s">
        <v>43</v>
      </c>
      <c r="T88" t="str">
        <f t="shared" si="21"/>
        <v>Thursday</v>
      </c>
      <c r="U88">
        <f t="shared" si="22"/>
        <v>0</v>
      </c>
      <c r="V88" s="24">
        <f>IFERROR(Table2[[#This Row],[Gray Min]]/Table2[[#This Row],[ClassLength]],"")</f>
        <v>0.32327586206896552</v>
      </c>
      <c r="W88" s="24">
        <f>IFERROR(Table2[[#This Row],[Blue Min]]/Table2[[#This Row],[ClassLength]],"")</f>
        <v>0.22442528736206899</v>
      </c>
      <c r="X88" s="24">
        <f>IFERROR(Table2[[#This Row],[Green Min]]/Table2[[#This Row],[ClassLength]],"")</f>
        <v>0.27241379310344827</v>
      </c>
      <c r="Y88" s="24">
        <f>IFERROR(Table2[[#This Row],[Orange Min]]/Table2[[#This Row],[ClassLength]],"")</f>
        <v>0.15316091953448274</v>
      </c>
      <c r="Z88" s="24">
        <f>IFERROR(Table2[[#This Row],[Red Min]]/Table2[[#This Row],[ClassLength]],"")</f>
        <v>2.6724137931034484E-2</v>
      </c>
      <c r="AA88" s="25">
        <v>237.14</v>
      </c>
      <c r="AB88" s="25">
        <f t="shared" si="35"/>
        <v>15.809333333333333</v>
      </c>
      <c r="AC88" s="26">
        <f t="shared" si="23"/>
        <v>602.06666666666672</v>
      </c>
      <c r="AD88" s="26">
        <f t="shared" si="24"/>
        <v>15.133333333333333</v>
      </c>
      <c r="AE88">
        <f t="shared" si="25"/>
        <v>2019</v>
      </c>
      <c r="AG88">
        <v>12</v>
      </c>
      <c r="AH88" s="26">
        <f t="shared" si="26"/>
        <v>10.086206896551724</v>
      </c>
      <c r="AI88" t="str">
        <f t="shared" si="27"/>
        <v>PM</v>
      </c>
      <c r="AJ88" t="str">
        <f t="shared" si="28"/>
        <v>11-2019-4</v>
      </c>
      <c r="AK88">
        <f t="shared" si="29"/>
        <v>11</v>
      </c>
      <c r="AL88" s="26">
        <f>IFERROR(Table2[[#This Row],[Calories]]/Table2[[#This Row],[Splat]],"")</f>
        <v>53.18181818181818</v>
      </c>
      <c r="AM88">
        <f>COUNTIF(N$2:$N$938,N88)</f>
        <v>35</v>
      </c>
      <c r="AN88" t="str">
        <f>VLOOKUP(N88,'Helpful Tables'!A:D,4,FALSE)</f>
        <v>Virginia</v>
      </c>
      <c r="AO88" s="24">
        <f>COUNTIF(AN:AN,Table2[[#This Row],[State]])/COUNTA(AN:AN)</f>
        <v>5.6503198294243072E-2</v>
      </c>
      <c r="AP88">
        <f>VLOOKUP(N88,'Helpful Tables'!A:B,2,FALSE)</f>
        <v>38.881884999999997</v>
      </c>
      <c r="AQ88">
        <f>VLOOKUP(N88,'Helpful Tables'!A:C,3,FALSE)</f>
        <v>-77.229702000000003</v>
      </c>
      <c r="AR88">
        <f>COUNTIF(P$2:$P$938,P88)</f>
        <v>2</v>
      </c>
      <c r="AS88" cm="1">
        <f t="array" ref="AS88">_xlfn.IFS(E88&lt;6,((E88/D88)*60)*0.5,AND(E88&gt;=6,E88&lt;9),((E88/D88)*60)*0.75,AND(E88&gt;=9,E88&lt;=11),((E88/D88)*60)*0.9,AND(E88=12),((E88/D88)*60)*1,AND(E88&gt;=13,E88&lt;=15),((E88/D88)*60)*1.2,AND(E88&gt;=16,E88&lt;=19),((E88/D88)*60)*1.5,E88&gt;=20,((E88/D88)*60)*1.8)</f>
        <v>10.241379310344827</v>
      </c>
      <c r="AT88" cm="1">
        <f t="array" ref="AT88">_xlfn.IFS(F88&lt;550,((F88/D88)*60)*0.5,AND(F88&gt;=550,F88&lt;575),((F88/D88)*60)*0.75,AND(F88&gt;=575,F88&lt;600),((F88/D88)*60)*0.9,AND(F88=600),((F88/D88)*60)*1,AND(F88&gt;=601,F88&lt;=625),((F88/D88)*60)*1.2,AND(F88&gt;=626,F88&lt;=650),((F88/D88)*60)*1.5,F88&gt;=651,((F88/D88)*60)*1.8)</f>
        <v>544.65517241379314</v>
      </c>
      <c r="AU88">
        <f t="shared" si="30"/>
        <v>-3.9850000008000022</v>
      </c>
      <c r="AV88">
        <f t="shared" si="34"/>
        <v>221.16162068949518</v>
      </c>
      <c r="AW88">
        <f t="shared" si="31"/>
        <v>17.100000000000001</v>
      </c>
      <c r="AX88" t="str">
        <f t="shared" si="32"/>
        <v>Nov-2019</v>
      </c>
      <c r="AY88">
        <f>ROUNDUP(Table2[[#This Row],[Month]]/3,0)</f>
        <v>4</v>
      </c>
    </row>
    <row r="89" spans="1:51" x14ac:dyDescent="0.2">
      <c r="A89">
        <v>88</v>
      </c>
      <c r="B89">
        <f t="shared" si="19"/>
        <v>15</v>
      </c>
      <c r="C89" s="22">
        <v>43791</v>
      </c>
      <c r="D89">
        <f>SUM(Table2[[#This Row],[Gray Min]:[Red Min]])</f>
        <v>57.016666666000006</v>
      </c>
      <c r="E89">
        <v>16</v>
      </c>
      <c r="F89">
        <v>550</v>
      </c>
      <c r="G89">
        <v>118</v>
      </c>
      <c r="H89">
        <v>175</v>
      </c>
      <c r="I89">
        <v>26.6</v>
      </c>
      <c r="J89">
        <v>5.5333333329999999</v>
      </c>
      <c r="K89">
        <v>9.15</v>
      </c>
      <c r="L89">
        <v>12.6</v>
      </c>
      <c r="M89">
        <v>3.1333333329999999</v>
      </c>
      <c r="N89" t="s">
        <v>33</v>
      </c>
      <c r="O89" t="s">
        <v>39</v>
      </c>
      <c r="P89" t="s">
        <v>68</v>
      </c>
      <c r="Q89">
        <f t="shared" si="33"/>
        <v>1</v>
      </c>
      <c r="R89" t="str">
        <f t="shared" si="20"/>
        <v>11-2019</v>
      </c>
      <c r="S89" t="s">
        <v>48</v>
      </c>
      <c r="T89" t="str">
        <f t="shared" si="21"/>
        <v>Friday</v>
      </c>
      <c r="U89">
        <f t="shared" si="22"/>
        <v>1</v>
      </c>
      <c r="V89" s="24">
        <f>IFERROR(Table2[[#This Row],[Gray Min]]/Table2[[#This Row],[ClassLength]],"")</f>
        <v>0.46653025431705969</v>
      </c>
      <c r="W89" s="24">
        <f>IFERROR(Table2[[#This Row],[Blue Min]]/Table2[[#This Row],[ClassLength]],"")</f>
        <v>9.7047646882163649E-2</v>
      </c>
      <c r="X89" s="24">
        <f>IFERROR(Table2[[#This Row],[Green Min]]/Table2[[#This Row],[ClassLength]],"")</f>
        <v>0.1604793919925224</v>
      </c>
      <c r="Y89" s="24">
        <f>IFERROR(Table2[[#This Row],[Orange Min]]/Table2[[#This Row],[ClassLength]],"")</f>
        <v>0.22098801520281772</v>
      </c>
      <c r="Z89" s="24">
        <f>IFERROR(Table2[[#This Row],[Red Min]]/Table2[[#This Row],[ClassLength]],"")</f>
        <v>5.4954691605436472E-2</v>
      </c>
      <c r="AA89" s="25">
        <v>237.14</v>
      </c>
      <c r="AB89" s="25">
        <f t="shared" si="35"/>
        <v>15.809333333333333</v>
      </c>
      <c r="AC89" s="26">
        <f t="shared" si="23"/>
        <v>602.06666666666672</v>
      </c>
      <c r="AD89" s="26">
        <f t="shared" si="24"/>
        <v>15.133333333333333</v>
      </c>
      <c r="AE89">
        <f t="shared" si="25"/>
        <v>2019</v>
      </c>
      <c r="AG89">
        <v>12</v>
      </c>
      <c r="AH89" s="26">
        <f t="shared" si="26"/>
        <v>9.6463022509166461</v>
      </c>
      <c r="AI89" t="str">
        <f t="shared" si="27"/>
        <v>PM</v>
      </c>
      <c r="AJ89" t="str">
        <f t="shared" si="28"/>
        <v>11-2019-4</v>
      </c>
      <c r="AK89">
        <f t="shared" si="29"/>
        <v>11</v>
      </c>
      <c r="AL89" s="26">
        <f>IFERROR(Table2[[#This Row],[Calories]]/Table2[[#This Row],[Splat]],"")</f>
        <v>34.375</v>
      </c>
      <c r="AM89">
        <f>COUNTIF(N$2:$N$938,N89)</f>
        <v>48</v>
      </c>
      <c r="AN89" t="str">
        <f>VLOOKUP(N89,'Helpful Tables'!A:D,4,FALSE)</f>
        <v>Washington, DC</v>
      </c>
      <c r="AO89" s="24">
        <f>COUNTIF(AN:AN,Table2[[#This Row],[State]])/COUNTA(AN:AN)</f>
        <v>0.54904051172707891</v>
      </c>
      <c r="AP89">
        <f>VLOOKUP(N89,'Helpful Tables'!A:B,2,FALSE)</f>
        <v>38.916486999999996</v>
      </c>
      <c r="AQ89">
        <f>VLOOKUP(N89,'Helpful Tables'!A:C,3,FALSE)</f>
        <v>-77.031514000000001</v>
      </c>
      <c r="AR89">
        <f>COUNTIF(P$2:$P$938,P89)</f>
        <v>5</v>
      </c>
      <c r="AS89" cm="1">
        <f t="array" ref="AS89">_xlfn.IFS(E89&lt;6,((E89/D89)*60)*0.5,AND(E89&gt;=6,E89&lt;9),((E89/D89)*60)*0.75,AND(E89&gt;=9,E89&lt;=11),((E89/D89)*60)*0.9,AND(E89=12),((E89/D89)*60)*1,AND(E89&gt;=13,E89&lt;=15),((E89/D89)*60)*1.2,AND(E89&gt;=16,E89&lt;=19),((E89/D89)*60)*1.5,E89&gt;=20,((E89/D89)*60)*1.8)</f>
        <v>25.255773166036313</v>
      </c>
      <c r="AT89" cm="1">
        <f t="array" ref="AT89">_xlfn.IFS(F89&lt;550,((F89/D89)*60)*0.5,AND(F89&gt;=550,F89&lt;575),((F89/D89)*60)*0.75,AND(F89&gt;=575,F89&lt;600),((F89/D89)*60)*0.9,AND(F89=600),((F89/D89)*60)*1,AND(F89&gt;=601,F89&lt;=625),((F89/D89)*60)*1.2,AND(F89&gt;=626,F89&lt;=650),((F89/D89)*60)*1.5,F89&gt;=651,((F89/D89)*60)*1.8)</f>
        <v>434.08360129124907</v>
      </c>
      <c r="AU89">
        <f t="shared" si="30"/>
        <v>-5.9466666667999997</v>
      </c>
      <c r="AV89">
        <f t="shared" si="34"/>
        <v>182.54641644955416</v>
      </c>
      <c r="AW89">
        <f t="shared" si="31"/>
        <v>11.1</v>
      </c>
      <c r="AX89" t="str">
        <f t="shared" si="32"/>
        <v>Nov-2019</v>
      </c>
      <c r="AY89">
        <f>ROUNDUP(Table2[[#This Row],[Month]]/3,0)</f>
        <v>4</v>
      </c>
    </row>
    <row r="90" spans="1:51" x14ac:dyDescent="0.2">
      <c r="A90">
        <v>89</v>
      </c>
      <c r="B90">
        <f t="shared" si="19"/>
        <v>15</v>
      </c>
      <c r="C90" s="22">
        <v>43792</v>
      </c>
      <c r="D90">
        <f>SUM(Table2[[#This Row],[Gray Min]:[Red Min]])</f>
        <v>54.33333333400001</v>
      </c>
      <c r="E90">
        <v>15</v>
      </c>
      <c r="F90">
        <v>612</v>
      </c>
      <c r="G90">
        <v>129</v>
      </c>
      <c r="H90">
        <v>174</v>
      </c>
      <c r="I90">
        <v>7.4166666670000003</v>
      </c>
      <c r="J90">
        <v>17.666666667000001</v>
      </c>
      <c r="K90">
        <v>15.116666667000001</v>
      </c>
      <c r="L90">
        <v>10.6</v>
      </c>
      <c r="M90">
        <v>3.5333333329999999</v>
      </c>
      <c r="N90" t="s">
        <v>33</v>
      </c>
      <c r="O90" t="s">
        <v>45</v>
      </c>
      <c r="P90" t="s">
        <v>34</v>
      </c>
      <c r="Q90">
        <f t="shared" si="33"/>
        <v>1</v>
      </c>
      <c r="R90" t="str">
        <f t="shared" si="20"/>
        <v>11-2019</v>
      </c>
      <c r="S90" t="s">
        <v>43</v>
      </c>
      <c r="T90" t="str">
        <f t="shared" si="21"/>
        <v>Saturday</v>
      </c>
      <c r="U90">
        <f t="shared" si="22"/>
        <v>1</v>
      </c>
      <c r="V90" s="24">
        <f>IFERROR(Table2[[#This Row],[Gray Min]]/Table2[[#This Row],[ClassLength]],"")</f>
        <v>0.13650306748912264</v>
      </c>
      <c r="W90" s="24">
        <f>IFERROR(Table2[[#This Row],[Blue Min]]/Table2[[#This Row],[ClassLength]],"")</f>
        <v>0.32515337423527418</v>
      </c>
      <c r="X90" s="24">
        <f>IFERROR(Table2[[#This Row],[Green Min]]/Table2[[#This Row],[ClassLength]],"")</f>
        <v>0.27822085889842668</v>
      </c>
      <c r="Y90" s="24">
        <f>IFERROR(Table2[[#This Row],[Orange Min]]/Table2[[#This Row],[ClassLength]],"")</f>
        <v>0.1950920245374835</v>
      </c>
      <c r="Z90" s="24">
        <f>IFERROR(Table2[[#This Row],[Red Min]]/Table2[[#This Row],[ClassLength]],"")</f>
        <v>6.5030674839692867E-2</v>
      </c>
      <c r="AA90" s="25">
        <v>237.14</v>
      </c>
      <c r="AB90" s="25">
        <f t="shared" si="35"/>
        <v>15.809333333333333</v>
      </c>
      <c r="AC90" s="26">
        <f t="shared" si="23"/>
        <v>602.06666666666672</v>
      </c>
      <c r="AD90" s="26">
        <f t="shared" si="24"/>
        <v>15.133333333333333</v>
      </c>
      <c r="AE90">
        <f t="shared" si="25"/>
        <v>2019</v>
      </c>
      <c r="AG90">
        <v>12</v>
      </c>
      <c r="AH90" s="26">
        <f t="shared" si="26"/>
        <v>11.263803680843386</v>
      </c>
      <c r="AI90" t="str">
        <f t="shared" si="27"/>
        <v>AM</v>
      </c>
      <c r="AJ90" t="str">
        <f t="shared" si="28"/>
        <v>11-2019-4</v>
      </c>
      <c r="AK90">
        <f t="shared" si="29"/>
        <v>11</v>
      </c>
      <c r="AL90" s="26">
        <f>IFERROR(Table2[[#This Row],[Calories]]/Table2[[#This Row],[Splat]],"")</f>
        <v>40.799999999999997</v>
      </c>
      <c r="AM90">
        <f>COUNTIF(N$2:$N$938,N90)</f>
        <v>48</v>
      </c>
      <c r="AN90" t="str">
        <f>VLOOKUP(N90,'Helpful Tables'!A:D,4,FALSE)</f>
        <v>Washington, DC</v>
      </c>
      <c r="AO90" s="24">
        <f>COUNTIF(AN:AN,Table2[[#This Row],[State]])/COUNTA(AN:AN)</f>
        <v>0.54904051172707891</v>
      </c>
      <c r="AP90">
        <f>VLOOKUP(N90,'Helpful Tables'!A:B,2,FALSE)</f>
        <v>38.916486999999996</v>
      </c>
      <c r="AQ90">
        <f>VLOOKUP(N90,'Helpful Tables'!A:C,3,FALSE)</f>
        <v>-77.031514000000001</v>
      </c>
      <c r="AR90">
        <f>COUNTIF(P$2:$P$938,P90)</f>
        <v>30</v>
      </c>
      <c r="AS90" cm="1">
        <f t="array" ref="AS90">_xlfn.IFS(E90&lt;6,((E90/D90)*60)*0.5,AND(E90&gt;=6,E90&lt;9),((E90/D90)*60)*0.75,AND(E90&gt;=9,E90&lt;=11),((E90/D90)*60)*0.9,AND(E90=12),((E90/D90)*60)*1,AND(E90&gt;=13,E90&lt;=15),((E90/D90)*60)*1.2,AND(E90&gt;=16,E90&lt;=19),((E90/D90)*60)*1.5,E90&gt;=20,((E90/D90)*60)*1.8)</f>
        <v>19.877300613253038</v>
      </c>
      <c r="AT90" cm="1">
        <f t="array" ref="AT90">_xlfn.IFS(F90&lt;550,((F90/D90)*60)*0.5,AND(F90&gt;=550,F90&lt;575),((F90/D90)*60)*0.75,AND(F90&gt;=575,F90&lt;600),((F90/D90)*60)*0.9,AND(F90=600),((F90/D90)*60)*1,AND(F90&gt;=601,F90&lt;=625),((F90/D90)*60)*1.2,AND(F90&gt;=626,F90&lt;=650),((F90/D90)*60)*1.5,F90&gt;=651,((F90/D90)*60)*1.8)</f>
        <v>810.99386502072377</v>
      </c>
      <c r="AU90">
        <f t="shared" si="30"/>
        <v>8.8866666657999964</v>
      </c>
      <c r="AV90">
        <f t="shared" si="34"/>
        <v>334.12579958675076</v>
      </c>
      <c r="AW90">
        <f t="shared" si="31"/>
        <v>41.8</v>
      </c>
      <c r="AX90" t="str">
        <f t="shared" si="32"/>
        <v>Nov-2019</v>
      </c>
      <c r="AY90">
        <f>ROUNDUP(Table2[[#This Row],[Month]]/3,0)</f>
        <v>4</v>
      </c>
    </row>
    <row r="91" spans="1:51" x14ac:dyDescent="0.2">
      <c r="A91">
        <v>90</v>
      </c>
      <c r="B91">
        <f t="shared" si="19"/>
        <v>15</v>
      </c>
      <c r="C91" s="22">
        <v>43796</v>
      </c>
      <c r="D91">
        <f>SUM(Table2[[#This Row],[Gray Min]:[Red Min]])</f>
        <v>56.65</v>
      </c>
      <c r="E91">
        <v>12</v>
      </c>
      <c r="F91">
        <v>613</v>
      </c>
      <c r="G91">
        <v>126</v>
      </c>
      <c r="H91">
        <v>172</v>
      </c>
      <c r="I91">
        <v>9.9333333330000002</v>
      </c>
      <c r="J91">
        <v>18.399999999999999</v>
      </c>
      <c r="K91">
        <v>16.2</v>
      </c>
      <c r="L91">
        <v>6.8666666669999996</v>
      </c>
      <c r="M91">
        <v>5.25</v>
      </c>
      <c r="N91" t="s">
        <v>77</v>
      </c>
      <c r="O91" t="s">
        <v>79</v>
      </c>
      <c r="P91" t="s">
        <v>78</v>
      </c>
      <c r="Q91">
        <f t="shared" si="33"/>
        <v>4</v>
      </c>
      <c r="R91" t="str">
        <f t="shared" si="20"/>
        <v>11-2019</v>
      </c>
      <c r="S91" t="s">
        <v>47</v>
      </c>
      <c r="T91" t="str">
        <f t="shared" si="21"/>
        <v>Wednesday</v>
      </c>
      <c r="U91">
        <f t="shared" si="22"/>
        <v>1</v>
      </c>
      <c r="V91" s="24">
        <f>IFERROR(Table2[[#This Row],[Gray Min]]/Table2[[#This Row],[ClassLength]],"")</f>
        <v>0.17534568990291263</v>
      </c>
      <c r="W91" s="24">
        <f>IFERROR(Table2[[#This Row],[Blue Min]]/Table2[[#This Row],[ClassLength]],"")</f>
        <v>0.32480141218005293</v>
      </c>
      <c r="X91" s="24">
        <f>IFERROR(Table2[[#This Row],[Green Min]]/Table2[[#This Row],[ClassLength]],"")</f>
        <v>0.28596646072374227</v>
      </c>
      <c r="Y91" s="24">
        <f>IFERROR(Table2[[#This Row],[Orange Min]]/Table2[[#This Row],[ClassLength]],"")</f>
        <v>0.12121212121800529</v>
      </c>
      <c r="Z91" s="24">
        <f>IFERROR(Table2[[#This Row],[Red Min]]/Table2[[#This Row],[ClassLength]],"")</f>
        <v>9.2674315975286845E-2</v>
      </c>
      <c r="AA91" s="25">
        <v>237.14</v>
      </c>
      <c r="AB91" s="25">
        <f t="shared" si="35"/>
        <v>15.809333333333333</v>
      </c>
      <c r="AC91" s="26">
        <f t="shared" si="23"/>
        <v>602.06666666666672</v>
      </c>
      <c r="AD91" s="26">
        <f t="shared" si="24"/>
        <v>15.133333333333333</v>
      </c>
      <c r="AE91">
        <f t="shared" si="25"/>
        <v>2019</v>
      </c>
      <c r="AG91">
        <v>12</v>
      </c>
      <c r="AH91" s="26">
        <f t="shared" si="26"/>
        <v>10.820829655781113</v>
      </c>
      <c r="AI91" t="str">
        <f t="shared" si="27"/>
        <v>AM</v>
      </c>
      <c r="AJ91" t="str">
        <f t="shared" si="28"/>
        <v>11-2019-5</v>
      </c>
      <c r="AK91">
        <f t="shared" si="29"/>
        <v>11</v>
      </c>
      <c r="AL91" s="26">
        <f>IFERROR(Table2[[#This Row],[Calories]]/Table2[[#This Row],[Splat]],"")</f>
        <v>51.083333333333336</v>
      </c>
      <c r="AM91">
        <f>COUNTIF(N$2:$N$938,N91)</f>
        <v>2</v>
      </c>
      <c r="AN91" t="str">
        <f>VLOOKUP(N91,'Helpful Tables'!A:D,4,FALSE)</f>
        <v>New Jersey</v>
      </c>
      <c r="AO91" s="24">
        <f>COUNTIF(AN:AN,Table2[[#This Row],[State]])/COUNTA(AN:AN)</f>
        <v>2.1321961620469083E-3</v>
      </c>
      <c r="AP91">
        <f>VLOOKUP(N91,'Helpful Tables'!A:B,2,FALSE)</f>
        <v>40.724210999999997</v>
      </c>
      <c r="AQ91">
        <f>VLOOKUP(N91,'Helpful Tables'!A:C,3,FALSE)</f>
        <v>-74.036191000000002</v>
      </c>
      <c r="AR91">
        <f>COUNTIF(P$2:$P$938,P91)</f>
        <v>2</v>
      </c>
      <c r="AS91" cm="1">
        <f t="array" ref="AS91">_xlfn.IFS(E91&lt;6,((E91/D91)*60)*0.5,AND(E91&gt;=6,E91&lt;9),((E91/D91)*60)*0.75,AND(E91&gt;=9,E91&lt;=11),((E91/D91)*60)*0.9,AND(E91=12),((E91/D91)*60)*1,AND(E91&gt;=13,E91&lt;=15),((E91/D91)*60)*1.2,AND(E91&gt;=16,E91&lt;=19),((E91/D91)*60)*1.5,E91&gt;=20,((E91/D91)*60)*1.8)</f>
        <v>12.709620476610768</v>
      </c>
      <c r="AT91" cm="1">
        <f t="array" ref="AT91">_xlfn.IFS(F91&lt;550,((F91/D91)*60)*0.5,AND(F91&gt;=550,F91&lt;575),((F91/D91)*60)*0.75,AND(F91&gt;=575,F91&lt;600),((F91/D91)*60)*0.9,AND(F91=600),((F91/D91)*60)*1,AND(F91&gt;=601,F91&lt;=625),((F91/D91)*60)*1.2,AND(F91&gt;=626,F91&lt;=650),((F91/D91)*60)*1.5,F91&gt;=651,((F91/D91)*60)*1.8)</f>
        <v>779.09973521623999</v>
      </c>
      <c r="AU91">
        <f t="shared" si="30"/>
        <v>4.0816666675000004</v>
      </c>
      <c r="AV91">
        <f t="shared" si="34"/>
        <v>317.54007561064032</v>
      </c>
      <c r="AW91">
        <f t="shared" si="31"/>
        <v>35.4</v>
      </c>
      <c r="AX91" t="str">
        <f t="shared" si="32"/>
        <v>Nov-2019</v>
      </c>
      <c r="AY91">
        <f>ROUNDUP(Table2[[#This Row],[Month]]/3,0)</f>
        <v>4</v>
      </c>
    </row>
    <row r="92" spans="1:51" x14ac:dyDescent="0.2">
      <c r="A92">
        <v>91</v>
      </c>
      <c r="B92">
        <f t="shared" si="19"/>
        <v>15</v>
      </c>
      <c r="C92" s="22">
        <v>43797</v>
      </c>
      <c r="D92">
        <f>SUM(Table2[[#This Row],[Gray Min]:[Red Min]])</f>
        <v>56.633333332999996</v>
      </c>
      <c r="E92">
        <v>16</v>
      </c>
      <c r="F92">
        <v>646</v>
      </c>
      <c r="G92">
        <v>130</v>
      </c>
      <c r="H92">
        <v>168</v>
      </c>
      <c r="I92">
        <v>7.2833333329999999</v>
      </c>
      <c r="J92">
        <v>15.1</v>
      </c>
      <c r="K92">
        <v>18.5</v>
      </c>
      <c r="L92">
        <v>11.716666667</v>
      </c>
      <c r="M92">
        <v>4.0333333329999999</v>
      </c>
      <c r="N92" t="s">
        <v>77</v>
      </c>
      <c r="O92" t="s">
        <v>81</v>
      </c>
      <c r="P92" t="s">
        <v>78</v>
      </c>
      <c r="Q92">
        <f t="shared" si="33"/>
        <v>1</v>
      </c>
      <c r="R92" t="str">
        <f t="shared" si="20"/>
        <v>11-2019</v>
      </c>
      <c r="S92" t="s">
        <v>43</v>
      </c>
      <c r="T92" t="str">
        <f t="shared" si="21"/>
        <v>Thursday</v>
      </c>
      <c r="U92">
        <f t="shared" si="22"/>
        <v>1</v>
      </c>
      <c r="V92" s="24">
        <f>IFERROR(Table2[[#This Row],[Gray Min]]/Table2[[#This Row],[ClassLength]],"")</f>
        <v>0.12860506179593059</v>
      </c>
      <c r="W92" s="24">
        <f>IFERROR(Table2[[#This Row],[Blue Min]]/Table2[[#This Row],[ClassLength]],"")</f>
        <v>0.26662742790033334</v>
      </c>
      <c r="X92" s="24">
        <f>IFERROR(Table2[[#This Row],[Green Min]]/Table2[[#This Row],[ClassLength]],"")</f>
        <v>0.32666274279179908</v>
      </c>
      <c r="Y92" s="24">
        <f>IFERROR(Table2[[#This Row],[Orange Min]]/Table2[[#This Row],[ClassLength]],"")</f>
        <v>0.20688640377402526</v>
      </c>
      <c r="Z92" s="24">
        <f>IFERROR(Table2[[#This Row],[Red Min]]/Table2[[#This Row],[ClassLength]],"")</f>
        <v>7.1218363737911822E-2</v>
      </c>
      <c r="AA92" s="25">
        <v>237.14</v>
      </c>
      <c r="AB92" s="25">
        <f t="shared" si="35"/>
        <v>15.809333333333333</v>
      </c>
      <c r="AC92" s="26">
        <f t="shared" si="23"/>
        <v>602.06666666666672</v>
      </c>
      <c r="AD92" s="26">
        <f t="shared" si="24"/>
        <v>15.133333333333333</v>
      </c>
      <c r="AE92">
        <f t="shared" si="25"/>
        <v>2019</v>
      </c>
      <c r="AF92" s="25">
        <v>5</v>
      </c>
      <c r="AG92">
        <v>12</v>
      </c>
      <c r="AH92" s="26">
        <f t="shared" si="26"/>
        <v>11.406709829378498</v>
      </c>
      <c r="AI92" t="str">
        <f t="shared" si="27"/>
        <v>AM</v>
      </c>
      <c r="AJ92" t="str">
        <f t="shared" si="28"/>
        <v>11-2019-5</v>
      </c>
      <c r="AK92">
        <f t="shared" si="29"/>
        <v>11</v>
      </c>
      <c r="AL92" s="26">
        <f>IFERROR(Table2[[#This Row],[Calories]]/Table2[[#This Row],[Splat]],"")</f>
        <v>40.375</v>
      </c>
      <c r="AM92">
        <f>COUNTIF(N$2:$N$938,N92)</f>
        <v>2</v>
      </c>
      <c r="AN92" t="str">
        <f>VLOOKUP(N92,'Helpful Tables'!A:D,4,FALSE)</f>
        <v>New Jersey</v>
      </c>
      <c r="AO92" s="24">
        <f>COUNTIF(AN:AN,Table2[[#This Row],[State]])/COUNTA(AN:AN)</f>
        <v>2.1321961620469083E-3</v>
      </c>
      <c r="AP92">
        <f>VLOOKUP(N92,'Helpful Tables'!A:B,2,FALSE)</f>
        <v>40.724210999999997</v>
      </c>
      <c r="AQ92">
        <f>VLOOKUP(N92,'Helpful Tables'!A:C,3,FALSE)</f>
        <v>-74.036191000000002</v>
      </c>
      <c r="AR92">
        <f>COUNTIF(P$2:$P$938,P92)</f>
        <v>2</v>
      </c>
      <c r="AS92" cm="1">
        <f t="array" ref="AS92">_xlfn.IFS(E92&lt;6,((E92/D92)*60)*0.5,AND(E92&gt;=6,E92&lt;9),((E92/D92)*60)*0.75,AND(E92&gt;=9,E92&lt;=11),((E92/D92)*60)*0.9,AND(E92=12),((E92/D92)*60)*1,AND(E92&gt;=13,E92&lt;=15),((E92/D92)*60)*1.2,AND(E92&gt;=16,E92&lt;=19),((E92/D92)*60)*1.5,E92&gt;=20,((E92/D92)*60)*1.8)</f>
        <v>25.426721601091387</v>
      </c>
      <c r="AT92" cm="1">
        <f t="array" ref="AT92">_xlfn.IFS(F92&lt;550,((F92/D92)*60)*0.5,AND(F92&gt;=550,F92&lt;575),((F92/D92)*60)*0.75,AND(F92&gt;=575,F92&lt;600),((F92/D92)*60)*0.9,AND(F92=600),((F92/D92)*60)*1,AND(F92&gt;=601,F92&lt;=625),((F92/D92)*60)*1.2,AND(F92&gt;=626,F92&lt;=650),((F92/D92)*60)*1.5,F92&gt;=651,((F92/D92)*60)*1.8)</f>
        <v>1026.6038846440649</v>
      </c>
      <c r="AU92">
        <f t="shared" si="30"/>
        <v>18.131666666999998</v>
      </c>
      <c r="AV92">
        <f t="shared" si="34"/>
        <v>424.43857583146251</v>
      </c>
      <c r="AW92">
        <f t="shared" si="31"/>
        <v>63.3</v>
      </c>
      <c r="AX92" t="str">
        <f t="shared" si="32"/>
        <v>Nov-2019</v>
      </c>
      <c r="AY92">
        <f>ROUNDUP(Table2[[#This Row],[Month]]/3,0)</f>
        <v>4</v>
      </c>
    </row>
    <row r="93" spans="1:51" x14ac:dyDescent="0.2">
      <c r="A93">
        <v>92</v>
      </c>
      <c r="B93">
        <f t="shared" si="19"/>
        <v>14</v>
      </c>
      <c r="C93" s="22">
        <v>43800</v>
      </c>
      <c r="D93">
        <f>SUM(Table2[[#This Row],[Gray Min]:[Red Min]])</f>
        <v>56.183333333000007</v>
      </c>
      <c r="E93">
        <v>15</v>
      </c>
      <c r="F93">
        <v>601</v>
      </c>
      <c r="G93">
        <v>125</v>
      </c>
      <c r="H93">
        <v>170</v>
      </c>
      <c r="I93">
        <v>13.733333332999999</v>
      </c>
      <c r="J93">
        <v>15.866666667000001</v>
      </c>
      <c r="K93">
        <v>11.633333332999999</v>
      </c>
      <c r="L93">
        <v>12.416666666999999</v>
      </c>
      <c r="M93">
        <v>2.5333333329999999</v>
      </c>
      <c r="N93" t="s">
        <v>33</v>
      </c>
      <c r="O93" t="s">
        <v>42</v>
      </c>
      <c r="P93" t="s">
        <v>34</v>
      </c>
      <c r="Q93">
        <f t="shared" si="33"/>
        <v>3</v>
      </c>
      <c r="R93" t="str">
        <f t="shared" si="20"/>
        <v>12-2019</v>
      </c>
      <c r="S93" t="s">
        <v>48</v>
      </c>
      <c r="T93" t="str">
        <f t="shared" si="21"/>
        <v>Sunday</v>
      </c>
      <c r="U93">
        <f t="shared" si="22"/>
        <v>1</v>
      </c>
      <c r="V93" s="24">
        <f>IFERROR(Table2[[#This Row],[Gray Min]]/Table2[[#This Row],[ClassLength]],"")</f>
        <v>0.2444378522648735</v>
      </c>
      <c r="W93" s="24">
        <f>IFERROR(Table2[[#This Row],[Blue Min]]/Table2[[#This Row],[ClassLength]],"")</f>
        <v>0.2824087807848259</v>
      </c>
      <c r="X93" s="24">
        <f>IFERROR(Table2[[#This Row],[Green Min]]/Table2[[#This Row],[ClassLength]],"")</f>
        <v>0.20706021951472592</v>
      </c>
      <c r="Y93" s="24">
        <f>IFERROR(Table2[[#This Row],[Orange Min]]/Table2[[#This Row],[ClassLength]],"")</f>
        <v>0.22100266983815484</v>
      </c>
      <c r="Z93" s="24">
        <f>IFERROR(Table2[[#This Row],[Red Min]]/Table2[[#This Row],[ClassLength]],"")</f>
        <v>4.5090477597419694E-2</v>
      </c>
      <c r="AA93" s="25">
        <v>232.14</v>
      </c>
      <c r="AB93" s="25">
        <f t="shared" si="35"/>
        <v>16.581428571428571</v>
      </c>
      <c r="AC93" s="26">
        <f t="shared" si="23"/>
        <v>626.71428571428567</v>
      </c>
      <c r="AD93" s="26">
        <f t="shared" si="24"/>
        <v>15.071428571428571</v>
      </c>
      <c r="AE93">
        <f t="shared" si="25"/>
        <v>2019</v>
      </c>
      <c r="AG93">
        <v>12</v>
      </c>
      <c r="AH93" s="26">
        <f t="shared" si="26"/>
        <v>10.697122515637478</v>
      </c>
      <c r="AI93" t="str">
        <f t="shared" si="27"/>
        <v>AM</v>
      </c>
      <c r="AJ93" t="str">
        <f t="shared" si="28"/>
        <v>12-2019-1</v>
      </c>
      <c r="AK93">
        <f t="shared" si="29"/>
        <v>12</v>
      </c>
      <c r="AL93" s="26">
        <f>IFERROR(Table2[[#This Row],[Calories]]/Table2[[#This Row],[Splat]],"")</f>
        <v>40.06666666666667</v>
      </c>
      <c r="AM93">
        <f>COUNTIF(N$2:$N$938,N93)</f>
        <v>48</v>
      </c>
      <c r="AN93" t="str">
        <f>VLOOKUP(N93,'Helpful Tables'!A:D,4,FALSE)</f>
        <v>Washington, DC</v>
      </c>
      <c r="AO93" s="24">
        <f>COUNTIF(AN:AN,Table2[[#This Row],[State]])/COUNTA(AN:AN)</f>
        <v>0.54904051172707891</v>
      </c>
      <c r="AP93">
        <f>VLOOKUP(N93,'Helpful Tables'!A:B,2,FALSE)</f>
        <v>38.916486999999996</v>
      </c>
      <c r="AQ93">
        <f>VLOOKUP(N93,'Helpful Tables'!A:C,3,FALSE)</f>
        <v>-77.031514000000001</v>
      </c>
      <c r="AR93">
        <f>COUNTIF(P$2:$P$938,P93)</f>
        <v>30</v>
      </c>
      <c r="AS93" cm="1">
        <f t="array" ref="AS93">_xlfn.IFS(E93&lt;6,((E93/D93)*60)*0.5,AND(E93&gt;=6,E93&lt;9),((E93/D93)*60)*0.75,AND(E93&gt;=9,E93&lt;=11),((E93/D93)*60)*0.9,AND(E93=12),((E93/D93)*60)*1,AND(E93&gt;=13,E93&lt;=15),((E93/D93)*60)*1.2,AND(E93&gt;=16,E93&lt;=19),((E93/D93)*60)*1.5,E93&gt;=20,((E93/D93)*60)*1.8)</f>
        <v>19.222782557218761</v>
      </c>
      <c r="AT93" cm="1">
        <f t="array" ref="AT93">_xlfn.IFS(F93&lt;550,((F93/D93)*60)*0.5,AND(F93&gt;=550,F93&lt;575),((F93/D93)*60)*0.75,AND(F93&gt;=575,F93&lt;600),((F93/D93)*60)*0.9,AND(F93=600),((F93/D93)*60)*1,AND(F93&gt;=601,F93&lt;=625),((F93/D93)*60)*1.2,AND(F93&gt;=626,F93&lt;=650),((F93/D93)*60)*1.5,F93&gt;=651,((F93/D93)*60)*1.8)</f>
        <v>770.19282112589838</v>
      </c>
      <c r="AU93">
        <f t="shared" si="30"/>
        <v>-3.1666667099996992E-2</v>
      </c>
      <c r="AV93">
        <f t="shared" si="34"/>
        <v>315.7599081398269</v>
      </c>
      <c r="AW93">
        <f t="shared" si="31"/>
        <v>34.5</v>
      </c>
      <c r="AX93" t="str">
        <f t="shared" si="32"/>
        <v>Dec-2019</v>
      </c>
      <c r="AY93">
        <f>ROUNDUP(Table2[[#This Row],[Month]]/3,0)</f>
        <v>4</v>
      </c>
    </row>
    <row r="94" spans="1:51" x14ac:dyDescent="0.2">
      <c r="A94">
        <v>93</v>
      </c>
      <c r="B94">
        <f t="shared" si="19"/>
        <v>14</v>
      </c>
      <c r="C94" s="22">
        <v>43801</v>
      </c>
      <c r="D94">
        <f>SUM(Table2[[#This Row],[Gray Min]:[Red Min]])</f>
        <v>58.633333332999996</v>
      </c>
      <c r="E94">
        <v>10</v>
      </c>
      <c r="F94">
        <v>676</v>
      </c>
      <c r="G94">
        <v>131</v>
      </c>
      <c r="H94">
        <v>165</v>
      </c>
      <c r="I94">
        <v>7.6</v>
      </c>
      <c r="J94">
        <v>11.3</v>
      </c>
      <c r="K94">
        <v>29.183333333</v>
      </c>
      <c r="L94">
        <v>9.4666666670000001</v>
      </c>
      <c r="M94">
        <v>1.0833333329999999</v>
      </c>
      <c r="N94" t="s">
        <v>40</v>
      </c>
      <c r="O94" t="s">
        <v>26</v>
      </c>
      <c r="P94" t="s">
        <v>64</v>
      </c>
      <c r="Q94">
        <f t="shared" si="33"/>
        <v>1</v>
      </c>
      <c r="R94" t="str">
        <f t="shared" si="20"/>
        <v>12-2019</v>
      </c>
      <c r="S94" t="s">
        <v>47</v>
      </c>
      <c r="T94" t="str">
        <f t="shared" si="21"/>
        <v>Monday</v>
      </c>
      <c r="U94">
        <f t="shared" si="22"/>
        <v>0</v>
      </c>
      <c r="V94" s="24">
        <f>IFERROR(Table2[[#This Row],[Gray Min]]/Table2[[#This Row],[ClassLength]],"")</f>
        <v>0.12961910176310187</v>
      </c>
      <c r="W94" s="24">
        <f>IFERROR(Table2[[#This Row],[Blue Min]]/Table2[[#This Row],[ClassLength]],"")</f>
        <v>0.19272313814776992</v>
      </c>
      <c r="X94" s="24">
        <f>IFERROR(Table2[[#This Row],[Green Min]]/Table2[[#This Row],[ClassLength]],"")</f>
        <v>0.49772598066798029</v>
      </c>
      <c r="Y94" s="24">
        <f>IFERROR(Table2[[#This Row],[Orange Min]]/Table2[[#This Row],[ClassLength]],"")</f>
        <v>0.16145537237726809</v>
      </c>
      <c r="Z94" s="24">
        <f>IFERROR(Table2[[#This Row],[Red Min]]/Table2[[#This Row],[ClassLength]],"")</f>
        <v>1.847640704387991E-2</v>
      </c>
      <c r="AA94" s="25">
        <v>232.14</v>
      </c>
      <c r="AB94" s="25">
        <f t="shared" si="35"/>
        <v>16.581428571428571</v>
      </c>
      <c r="AC94" s="26">
        <f t="shared" si="23"/>
        <v>626.71428571428567</v>
      </c>
      <c r="AD94" s="26">
        <f t="shared" si="24"/>
        <v>15.071428571428571</v>
      </c>
      <c r="AE94">
        <f t="shared" si="25"/>
        <v>2019</v>
      </c>
      <c r="AG94">
        <v>12</v>
      </c>
      <c r="AH94" s="26">
        <f t="shared" si="26"/>
        <v>11.529277998928535</v>
      </c>
      <c r="AI94" t="str">
        <f t="shared" si="27"/>
        <v>PM</v>
      </c>
      <c r="AJ94" t="str">
        <f t="shared" si="28"/>
        <v>12-2019-1</v>
      </c>
      <c r="AK94">
        <f t="shared" si="29"/>
        <v>12</v>
      </c>
      <c r="AL94" s="26">
        <f>IFERROR(Table2[[#This Row],[Calories]]/Table2[[#This Row],[Splat]],"")</f>
        <v>67.599999999999994</v>
      </c>
      <c r="AM94">
        <f>COUNTIF(N$2:$N$938,N94)</f>
        <v>38</v>
      </c>
      <c r="AN94" t="str">
        <f>VLOOKUP(N94,'Helpful Tables'!A:D,4,FALSE)</f>
        <v>Washington, DC</v>
      </c>
      <c r="AO94" s="24">
        <f>COUNTIF(AN:AN,Table2[[#This Row],[State]])/COUNTA(AN:AN)</f>
        <v>0.54904051172707891</v>
      </c>
      <c r="AP94">
        <f>VLOOKUP(N94,'Helpful Tables'!A:B,2,FALSE)</f>
        <v>38.903509999999997</v>
      </c>
      <c r="AQ94">
        <f>VLOOKUP(N94,'Helpful Tables'!A:C,3,FALSE)</f>
        <v>-77.051809000000006</v>
      </c>
      <c r="AR94">
        <f>COUNTIF(P$2:$P$938,P94)</f>
        <v>8</v>
      </c>
      <c r="AS94" cm="1">
        <f t="array" ref="AS94">_xlfn.IFS(E94&lt;6,((E94/D94)*60)*0.5,AND(E94&gt;=6,E94&lt;9),((E94/D94)*60)*0.75,AND(E94&gt;=9,E94&lt;=11),((E94/D94)*60)*0.9,AND(E94=12),((E94/D94)*60)*1,AND(E94&gt;=13,E94&lt;=15),((E94/D94)*60)*1.2,AND(E94&gt;=16,E94&lt;=19),((E94/D94)*60)*1.5,E94&gt;=20,((E94/D94)*60)*1.8)</f>
        <v>9.2097782831677648</v>
      </c>
      <c r="AT94" cm="1">
        <f t="array" ref="AT94">_xlfn.IFS(F94&lt;550,((F94/D94)*60)*0.5,AND(F94&gt;=550,F94&lt;575),((F94/D94)*60)*0.75,AND(F94&gt;=575,F94&lt;600),((F94/D94)*60)*0.9,AND(F94=600),((F94/D94)*60)*1,AND(F94&gt;=601,F94&lt;=625),((F94/D94)*60)*1.2,AND(F94&gt;=626,F94&lt;=650),((F94/D94)*60)*1.5,F94&gt;=651,((F94/D94)*60)*1.8)</f>
        <v>1245.1620238842818</v>
      </c>
      <c r="AU94">
        <f t="shared" si="30"/>
        <v>27.401666666199993</v>
      </c>
      <c r="AV94">
        <f t="shared" si="34"/>
        <v>507.22905420021988</v>
      </c>
      <c r="AW94">
        <f t="shared" si="31"/>
        <v>83.899999999999991</v>
      </c>
      <c r="AX94" t="str">
        <f t="shared" si="32"/>
        <v>Dec-2019</v>
      </c>
      <c r="AY94">
        <f>ROUNDUP(Table2[[#This Row],[Month]]/3,0)</f>
        <v>4</v>
      </c>
    </row>
    <row r="95" spans="1:51" x14ac:dyDescent="0.2">
      <c r="A95">
        <v>94</v>
      </c>
      <c r="B95">
        <f t="shared" si="19"/>
        <v>14</v>
      </c>
      <c r="C95" s="22">
        <v>43803</v>
      </c>
      <c r="D95">
        <f>SUM(Table2[[#This Row],[Gray Min]:[Red Min]])</f>
        <v>56.300000000000004</v>
      </c>
      <c r="E95">
        <v>23</v>
      </c>
      <c r="F95">
        <v>610</v>
      </c>
      <c r="G95">
        <v>126</v>
      </c>
      <c r="H95">
        <v>173</v>
      </c>
      <c r="I95">
        <v>20.833333332999999</v>
      </c>
      <c r="J95">
        <v>6.25</v>
      </c>
      <c r="K95">
        <v>6.4166666670000003</v>
      </c>
      <c r="L95">
        <v>17.233333333000001</v>
      </c>
      <c r="M95">
        <v>5.5666666669999998</v>
      </c>
      <c r="N95" t="s">
        <v>40</v>
      </c>
      <c r="O95" t="s">
        <v>26</v>
      </c>
      <c r="P95" t="s">
        <v>41</v>
      </c>
      <c r="Q95">
        <f t="shared" si="33"/>
        <v>2</v>
      </c>
      <c r="R95" t="str">
        <f t="shared" si="20"/>
        <v>12-2019</v>
      </c>
      <c r="S95" t="s">
        <v>47</v>
      </c>
      <c r="T95" t="str">
        <f t="shared" si="21"/>
        <v>Wednesday</v>
      </c>
      <c r="U95">
        <f t="shared" si="22"/>
        <v>1</v>
      </c>
      <c r="V95" s="24">
        <f>IFERROR(Table2[[#This Row],[Gray Min]]/Table2[[#This Row],[ClassLength]],"")</f>
        <v>0.37004144463587918</v>
      </c>
      <c r="W95" s="24">
        <f>IFERROR(Table2[[#This Row],[Blue Min]]/Table2[[#This Row],[ClassLength]],"")</f>
        <v>0.11101243339253995</v>
      </c>
      <c r="X95" s="24">
        <f>IFERROR(Table2[[#This Row],[Green Min]]/Table2[[#This Row],[ClassLength]],"")</f>
        <v>0.11397276495559502</v>
      </c>
      <c r="Y95" s="24">
        <f>IFERROR(Table2[[#This Row],[Orange Min]]/Table2[[#This Row],[ClassLength]],"")</f>
        <v>0.30609828300177622</v>
      </c>
      <c r="Z95" s="24">
        <f>IFERROR(Table2[[#This Row],[Red Min]]/Table2[[#This Row],[ClassLength]],"")</f>
        <v>9.8875074014209585E-2</v>
      </c>
      <c r="AA95" s="25">
        <v>232.14</v>
      </c>
      <c r="AB95" s="25">
        <f t="shared" si="35"/>
        <v>16.581428571428571</v>
      </c>
      <c r="AC95" s="26">
        <f t="shared" si="23"/>
        <v>626.71428571428567</v>
      </c>
      <c r="AD95" s="26">
        <f t="shared" si="24"/>
        <v>15.071428571428571</v>
      </c>
      <c r="AE95">
        <f t="shared" si="25"/>
        <v>2019</v>
      </c>
      <c r="AG95">
        <v>12</v>
      </c>
      <c r="AH95" s="26">
        <f t="shared" si="26"/>
        <v>10.834813499111899</v>
      </c>
      <c r="AI95" t="str">
        <f t="shared" si="27"/>
        <v>PM</v>
      </c>
      <c r="AJ95" t="str">
        <f t="shared" si="28"/>
        <v>12-2019-1</v>
      </c>
      <c r="AK95">
        <f t="shared" si="29"/>
        <v>12</v>
      </c>
      <c r="AL95" s="26">
        <f>IFERROR(Table2[[#This Row],[Calories]]/Table2[[#This Row],[Splat]],"")</f>
        <v>26.521739130434781</v>
      </c>
      <c r="AM95">
        <f>COUNTIF(N$2:$N$938,N95)</f>
        <v>38</v>
      </c>
      <c r="AN95" t="str">
        <f>VLOOKUP(N95,'Helpful Tables'!A:D,4,FALSE)</f>
        <v>Washington, DC</v>
      </c>
      <c r="AO95" s="24">
        <f>COUNTIF(AN:AN,Table2[[#This Row],[State]])/COUNTA(AN:AN)</f>
        <v>0.54904051172707891</v>
      </c>
      <c r="AP95">
        <f>VLOOKUP(N95,'Helpful Tables'!A:B,2,FALSE)</f>
        <v>38.903509999999997</v>
      </c>
      <c r="AQ95">
        <f>VLOOKUP(N95,'Helpful Tables'!A:C,3,FALSE)</f>
        <v>-77.051809000000006</v>
      </c>
      <c r="AR95">
        <f>COUNTIF(P$2:$P$938,P95)</f>
        <v>20</v>
      </c>
      <c r="AS95" cm="1">
        <f t="array" ref="AS95">_xlfn.IFS(E95&lt;6,((E95/D95)*60)*0.5,AND(E95&gt;=6,E95&lt;9),((E95/D95)*60)*0.75,AND(E95&gt;=9,E95&lt;=11),((E95/D95)*60)*0.9,AND(E95=12),((E95/D95)*60)*1,AND(E95&gt;=13,E95&lt;=15),((E95/D95)*60)*1.2,AND(E95&gt;=16,E95&lt;=19),((E95/D95)*60)*1.5,E95&gt;=20,((E95/D95)*60)*1.8)</f>
        <v>44.120781527531086</v>
      </c>
      <c r="AT95" cm="1">
        <f t="array" ref="AT95">_xlfn.IFS(F95&lt;550,((F95/D95)*60)*0.5,AND(F95&gt;=550,F95&lt;575),((F95/D95)*60)*0.75,AND(F95&gt;=575,F95&lt;600),((F95/D95)*60)*0.9,AND(F95=600),((F95/D95)*60)*1,AND(F95&gt;=601,F95&lt;=625),((F95/D95)*60)*1.2,AND(F95&gt;=626,F95&lt;=650),((F95/D95)*60)*1.5,F95&gt;=651,((F95/D95)*60)*1.8)</f>
        <v>780.10657193605664</v>
      </c>
      <c r="AU95">
        <f t="shared" si="30"/>
        <v>6.5783333342000034</v>
      </c>
      <c r="AV95">
        <f t="shared" si="34"/>
        <v>331.00660805227511</v>
      </c>
      <c r="AW95">
        <f t="shared" si="31"/>
        <v>40.6</v>
      </c>
      <c r="AX95" t="str">
        <f t="shared" si="32"/>
        <v>Dec-2019</v>
      </c>
      <c r="AY95">
        <f>ROUNDUP(Table2[[#This Row],[Month]]/3,0)</f>
        <v>4</v>
      </c>
    </row>
    <row r="96" spans="1:51" x14ac:dyDescent="0.2">
      <c r="A96">
        <v>95</v>
      </c>
      <c r="B96">
        <f t="shared" si="19"/>
        <v>14</v>
      </c>
      <c r="C96" s="22">
        <v>43804</v>
      </c>
      <c r="D96">
        <f>SUM(Table2[[#This Row],[Gray Min]:[Red Min]])</f>
        <v>56.9</v>
      </c>
      <c r="E96">
        <v>16</v>
      </c>
      <c r="F96">
        <v>678</v>
      </c>
      <c r="G96">
        <v>134</v>
      </c>
      <c r="H96">
        <v>167</v>
      </c>
      <c r="I96">
        <v>6.2</v>
      </c>
      <c r="J96">
        <v>5.6833333330000002</v>
      </c>
      <c r="K96">
        <v>29.016666666999999</v>
      </c>
      <c r="L96">
        <v>13.9</v>
      </c>
      <c r="M96">
        <v>2.1</v>
      </c>
      <c r="N96" t="s">
        <v>51</v>
      </c>
      <c r="O96" t="s">
        <v>39</v>
      </c>
      <c r="P96" t="s">
        <v>82</v>
      </c>
      <c r="Q96">
        <f t="shared" si="33"/>
        <v>1</v>
      </c>
      <c r="R96" t="str">
        <f t="shared" si="20"/>
        <v>12-2019</v>
      </c>
      <c r="S96" t="s">
        <v>48</v>
      </c>
      <c r="T96" t="str">
        <f t="shared" si="21"/>
        <v>Thursday</v>
      </c>
      <c r="U96">
        <f t="shared" si="22"/>
        <v>1</v>
      </c>
      <c r="V96" s="24">
        <f>IFERROR(Table2[[#This Row],[Gray Min]]/Table2[[#This Row],[ClassLength]],"")</f>
        <v>0.10896309314586995</v>
      </c>
      <c r="W96" s="24">
        <f>IFERROR(Table2[[#This Row],[Blue Min]]/Table2[[#This Row],[ClassLength]],"")</f>
        <v>9.9882835377855889E-2</v>
      </c>
      <c r="X96" s="24">
        <f>IFERROR(Table2[[#This Row],[Green Min]]/Table2[[#This Row],[ClassLength]],"")</f>
        <v>0.50995899239015818</v>
      </c>
      <c r="Y96" s="24">
        <f>IFERROR(Table2[[#This Row],[Orange Min]]/Table2[[#This Row],[ClassLength]],"")</f>
        <v>0.24428822495606328</v>
      </c>
      <c r="Z96" s="24">
        <f>IFERROR(Table2[[#This Row],[Red Min]]/Table2[[#This Row],[ClassLength]],"")</f>
        <v>3.6906854130052728E-2</v>
      </c>
      <c r="AA96" s="25">
        <v>232.14</v>
      </c>
      <c r="AB96" s="25">
        <f t="shared" si="35"/>
        <v>16.581428571428571</v>
      </c>
      <c r="AC96" s="26">
        <f t="shared" si="23"/>
        <v>626.71428571428567</v>
      </c>
      <c r="AD96" s="26">
        <f t="shared" si="24"/>
        <v>15.071428571428571</v>
      </c>
      <c r="AE96">
        <f t="shared" si="25"/>
        <v>2019</v>
      </c>
      <c r="AG96">
        <v>12</v>
      </c>
      <c r="AH96" s="26">
        <f t="shared" si="26"/>
        <v>11.915641476274166</v>
      </c>
      <c r="AI96" t="str">
        <f t="shared" si="27"/>
        <v>PM</v>
      </c>
      <c r="AJ96" t="str">
        <f t="shared" si="28"/>
        <v>12-2019-1</v>
      </c>
      <c r="AK96">
        <f t="shared" si="29"/>
        <v>12</v>
      </c>
      <c r="AL96" s="26">
        <f>IFERROR(Table2[[#This Row],[Calories]]/Table2[[#This Row],[Splat]],"")</f>
        <v>42.375</v>
      </c>
      <c r="AM96">
        <f>COUNTIF(N$2:$N$938,N96)</f>
        <v>3</v>
      </c>
      <c r="AN96" t="str">
        <f>VLOOKUP(N96,'Helpful Tables'!A:D,4,FALSE)</f>
        <v>Washington, DC</v>
      </c>
      <c r="AO96" s="24">
        <f>COUNTIF(AN:AN,Table2[[#This Row],[State]])/COUNTA(AN:AN)</f>
        <v>0.54904051172707891</v>
      </c>
      <c r="AP96">
        <f>VLOOKUP(N96,'Helpful Tables'!A:B,2,FALSE)</f>
        <v>38.904280999999997</v>
      </c>
      <c r="AQ96">
        <f>VLOOKUP(N96,'Helpful Tables'!A:C,3,FALSE)</f>
        <v>-77.031495000000007</v>
      </c>
      <c r="AR96">
        <f>COUNTIF(P$2:$P$938,P96)</f>
        <v>1</v>
      </c>
      <c r="AS96" cm="1">
        <f t="array" ref="AS96">_xlfn.IFS(E96&lt;6,((E96/D96)*60)*0.5,AND(E96&gt;=6,E96&lt;9),((E96/D96)*60)*0.75,AND(E96&gt;=9,E96&lt;=11),((E96/D96)*60)*0.9,AND(E96=12),((E96/D96)*60)*1,AND(E96&gt;=13,E96&lt;=15),((E96/D96)*60)*1.2,AND(E96&gt;=16,E96&lt;=19),((E96/D96)*60)*1.5,E96&gt;=20,((E96/D96)*60)*1.8)</f>
        <v>25.307557117750441</v>
      </c>
      <c r="AT96" cm="1">
        <f t="array" ref="AT96">_xlfn.IFS(F96&lt;550,((F96/D96)*60)*0.5,AND(F96&gt;=550,F96&lt;575),((F96/D96)*60)*0.75,AND(F96&gt;=575,F96&lt;600),((F96/D96)*60)*0.9,AND(F96=600),((F96/D96)*60)*1,AND(F96&gt;=601,F96&lt;=625),((F96/D96)*60)*1.2,AND(F96&gt;=626,F96&lt;=650),((F96/D96)*60)*1.5,F96&gt;=651,((F96/D96)*60)*1.8)</f>
        <v>1286.88927943761</v>
      </c>
      <c r="AU96">
        <f t="shared" si="30"/>
        <v>42.348333334099998</v>
      </c>
      <c r="AV96">
        <f t="shared" si="34"/>
        <v>533.34840128896417</v>
      </c>
      <c r="AW96">
        <f t="shared" si="31"/>
        <v>94.699999999999989</v>
      </c>
      <c r="AX96" t="str">
        <f t="shared" si="32"/>
        <v>Dec-2019</v>
      </c>
      <c r="AY96">
        <f>ROUNDUP(Table2[[#This Row],[Month]]/3,0)</f>
        <v>4</v>
      </c>
    </row>
    <row r="97" spans="1:51" x14ac:dyDescent="0.2">
      <c r="A97">
        <v>96</v>
      </c>
      <c r="B97">
        <f t="shared" si="19"/>
        <v>14</v>
      </c>
      <c r="C97" s="22">
        <v>43806</v>
      </c>
      <c r="D97">
        <f>SUM(Table2[[#This Row],[Gray Min]:[Red Min]])</f>
        <v>55.266666667000003</v>
      </c>
      <c r="E97">
        <v>13</v>
      </c>
      <c r="F97">
        <v>605</v>
      </c>
      <c r="G97">
        <v>127</v>
      </c>
      <c r="H97">
        <v>166</v>
      </c>
      <c r="I97">
        <v>7.9166666670000003</v>
      </c>
      <c r="J97">
        <v>18.850000000000001</v>
      </c>
      <c r="K97">
        <v>15.783333333</v>
      </c>
      <c r="L97">
        <v>10.816666667</v>
      </c>
      <c r="M97">
        <v>1.9</v>
      </c>
      <c r="N97" t="s">
        <v>33</v>
      </c>
      <c r="O97" t="s">
        <v>42</v>
      </c>
      <c r="P97" t="s">
        <v>34</v>
      </c>
      <c r="Q97">
        <f t="shared" si="33"/>
        <v>2</v>
      </c>
      <c r="R97" t="str">
        <f t="shared" si="20"/>
        <v>12-2019</v>
      </c>
      <c r="S97" t="s">
        <v>43</v>
      </c>
      <c r="T97" t="str">
        <f t="shared" si="21"/>
        <v>Saturday</v>
      </c>
      <c r="U97">
        <f t="shared" si="22"/>
        <v>1</v>
      </c>
      <c r="V97" s="24">
        <f>IFERROR(Table2[[#This Row],[Gray Min]]/Table2[[#This Row],[ClassLength]],"")</f>
        <v>0.14324487334654254</v>
      </c>
      <c r="W97" s="24">
        <f>IFERROR(Table2[[#This Row],[Blue Min]]/Table2[[#This Row],[ClassLength]],"")</f>
        <v>0.34107358262761717</v>
      </c>
      <c r="X97" s="24">
        <f>IFERROR(Table2[[#This Row],[Green Min]]/Table2[[#This Row],[ClassLength]],"")</f>
        <v>0.28558504221178777</v>
      </c>
      <c r="Y97" s="24">
        <f>IFERROR(Table2[[#This Row],[Orange Min]]/Table2[[#This Row],[ClassLength]],"")</f>
        <v>0.1957177322123298</v>
      </c>
      <c r="Z97" s="24">
        <f>IFERROR(Table2[[#This Row],[Red Min]]/Table2[[#This Row],[ClassLength]],"")</f>
        <v>3.4378769601722682E-2</v>
      </c>
      <c r="AA97" s="25">
        <v>232.14</v>
      </c>
      <c r="AB97" s="25">
        <f t="shared" si="35"/>
        <v>16.581428571428571</v>
      </c>
      <c r="AC97" s="26">
        <f t="shared" si="23"/>
        <v>626.71428571428567</v>
      </c>
      <c r="AD97" s="26">
        <f t="shared" si="24"/>
        <v>15.071428571428571</v>
      </c>
      <c r="AE97">
        <f t="shared" si="25"/>
        <v>2019</v>
      </c>
      <c r="AG97">
        <v>12</v>
      </c>
      <c r="AH97" s="26">
        <f t="shared" si="26"/>
        <v>10.946924004759065</v>
      </c>
      <c r="AI97" t="str">
        <f t="shared" si="27"/>
        <v>AM</v>
      </c>
      <c r="AJ97" t="str">
        <f t="shared" si="28"/>
        <v>12-2019-1</v>
      </c>
      <c r="AK97">
        <f t="shared" si="29"/>
        <v>12</v>
      </c>
      <c r="AL97" s="26">
        <f>IFERROR(Table2[[#This Row],[Calories]]/Table2[[#This Row],[Splat]],"")</f>
        <v>46.53846153846154</v>
      </c>
      <c r="AM97">
        <f>COUNTIF(N$2:$N$938,N97)</f>
        <v>48</v>
      </c>
      <c r="AN97" t="str">
        <f>VLOOKUP(N97,'Helpful Tables'!A:D,4,FALSE)</f>
        <v>Washington, DC</v>
      </c>
      <c r="AO97" s="24">
        <f>COUNTIF(AN:AN,Table2[[#This Row],[State]])/COUNTA(AN:AN)</f>
        <v>0.54904051172707891</v>
      </c>
      <c r="AP97">
        <f>VLOOKUP(N97,'Helpful Tables'!A:B,2,FALSE)</f>
        <v>38.916486999999996</v>
      </c>
      <c r="AQ97">
        <f>VLOOKUP(N97,'Helpful Tables'!A:C,3,FALSE)</f>
        <v>-77.031514000000001</v>
      </c>
      <c r="AR97">
        <f>COUNTIF(P$2:$P$938,P97)</f>
        <v>30</v>
      </c>
      <c r="AS97" cm="1">
        <f t="array" ref="AS97">_xlfn.IFS(E97&lt;6,((E97/D97)*60)*0.5,AND(E97&gt;=6,E97&lt;9),((E97/D97)*60)*0.75,AND(E97&gt;=9,E97&lt;=11),((E97/D97)*60)*0.9,AND(E97=12),((E97/D97)*60)*1,AND(E97&gt;=13,E97&lt;=15),((E97/D97)*60)*1.2,AND(E97&gt;=16,E97&lt;=19),((E97/D97)*60)*1.5,E97&gt;=20,((E97/D97)*60)*1.8)</f>
        <v>16.936067551164438</v>
      </c>
      <c r="AT97" cm="1">
        <f t="array" ref="AT97">_xlfn.IFS(F97&lt;550,((F97/D97)*60)*0.5,AND(F97&gt;=550,F97&lt;575),((F97/D97)*60)*0.75,AND(F97&gt;=575,F97&lt;600),((F97/D97)*60)*0.9,AND(F97=600),((F97/D97)*60)*1,AND(F97&gt;=601,F97&lt;=625),((F97/D97)*60)*1.2,AND(F97&gt;=626,F97&lt;=650),((F97/D97)*60)*1.5,F97&gt;=651,((F97/D97)*60)*1.8)</f>
        <v>788.17852834265261</v>
      </c>
      <c r="AU97">
        <f t="shared" si="30"/>
        <v>5.6166666662999951</v>
      </c>
      <c r="AV97">
        <f t="shared" si="34"/>
        <v>323.16917169078687</v>
      </c>
      <c r="AW97">
        <f t="shared" si="31"/>
        <v>38.299999999999997</v>
      </c>
      <c r="AX97" t="str">
        <f t="shared" si="32"/>
        <v>Dec-2019</v>
      </c>
      <c r="AY97">
        <f>ROUNDUP(Table2[[#This Row],[Month]]/3,0)</f>
        <v>4</v>
      </c>
    </row>
    <row r="98" spans="1:51" x14ac:dyDescent="0.2">
      <c r="A98">
        <v>97</v>
      </c>
      <c r="B98">
        <f t="shared" si="19"/>
        <v>14</v>
      </c>
      <c r="C98" s="22">
        <v>43808</v>
      </c>
      <c r="D98">
        <f>SUM(Table2[[#This Row],[Gray Min]:[Red Min]])</f>
        <v>59.349999998999991</v>
      </c>
      <c r="E98">
        <v>13</v>
      </c>
      <c r="F98">
        <v>553</v>
      </c>
      <c r="G98">
        <v>116</v>
      </c>
      <c r="H98">
        <v>162</v>
      </c>
      <c r="I98">
        <v>31.083333332999999</v>
      </c>
      <c r="J98">
        <v>3.3833333329999999</v>
      </c>
      <c r="K98">
        <v>11.95</v>
      </c>
      <c r="L98">
        <v>12.883333332999999</v>
      </c>
      <c r="M98">
        <v>0.05</v>
      </c>
      <c r="N98" t="s">
        <v>40</v>
      </c>
      <c r="O98" t="s">
        <v>26</v>
      </c>
      <c r="P98" t="s">
        <v>64</v>
      </c>
      <c r="Q98">
        <f t="shared" si="33"/>
        <v>2</v>
      </c>
      <c r="R98" t="str">
        <f t="shared" si="20"/>
        <v>12-2019</v>
      </c>
      <c r="S98" t="s">
        <v>47</v>
      </c>
      <c r="T98" t="str">
        <f t="shared" si="21"/>
        <v>Monday</v>
      </c>
      <c r="U98">
        <f t="shared" si="22"/>
        <v>1</v>
      </c>
      <c r="V98" s="24">
        <f>IFERROR(Table2[[#This Row],[Gray Min]]/Table2[[#This Row],[ClassLength]],"")</f>
        <v>0.5237292895286223</v>
      </c>
      <c r="W98" s="24">
        <f>IFERROR(Table2[[#This Row],[Blue Min]]/Table2[[#This Row],[ClassLength]],"")</f>
        <v>5.7006458855214943E-2</v>
      </c>
      <c r="X98" s="24">
        <f>IFERROR(Table2[[#This Row],[Green Min]]/Table2[[#This Row],[ClassLength]],"")</f>
        <v>0.20134793597643386</v>
      </c>
      <c r="Y98" s="24">
        <f>IFERROR(Table2[[#This Row],[Orange Min]]/Table2[[#This Row],[ClassLength]],"")</f>
        <v>0.21707385565656404</v>
      </c>
      <c r="Z98" s="24">
        <f>IFERROR(Table2[[#This Row],[Red Min]]/Table2[[#This Row],[ClassLength]],"")</f>
        <v>8.4245998316499532E-4</v>
      </c>
      <c r="AA98" s="25">
        <v>232.14</v>
      </c>
      <c r="AB98" s="25">
        <f t="shared" si="35"/>
        <v>16.581428571428571</v>
      </c>
      <c r="AC98" s="26">
        <f t="shared" si="23"/>
        <v>626.71428571428567</v>
      </c>
      <c r="AD98" s="26">
        <f t="shared" si="24"/>
        <v>15.071428571428571</v>
      </c>
      <c r="AE98">
        <f t="shared" si="25"/>
        <v>2019</v>
      </c>
      <c r="AG98">
        <v>12</v>
      </c>
      <c r="AH98" s="26">
        <f t="shared" si="26"/>
        <v>9.317607413804847</v>
      </c>
      <c r="AI98" t="str">
        <f t="shared" si="27"/>
        <v>PM</v>
      </c>
      <c r="AJ98" t="str">
        <f t="shared" si="28"/>
        <v>12-2019-2</v>
      </c>
      <c r="AK98">
        <f t="shared" si="29"/>
        <v>12</v>
      </c>
      <c r="AL98" s="26">
        <f>IFERROR(Table2[[#This Row],[Calories]]/Table2[[#This Row],[Splat]],"")</f>
        <v>42.53846153846154</v>
      </c>
      <c r="AM98">
        <f>COUNTIF(N$2:$N$938,N98)</f>
        <v>38</v>
      </c>
      <c r="AN98" t="str">
        <f>VLOOKUP(N98,'Helpful Tables'!A:D,4,FALSE)</f>
        <v>Washington, DC</v>
      </c>
      <c r="AO98" s="24">
        <f>COUNTIF(AN:AN,Table2[[#This Row],[State]])/COUNTA(AN:AN)</f>
        <v>0.54904051172707891</v>
      </c>
      <c r="AP98">
        <f>VLOOKUP(N98,'Helpful Tables'!A:B,2,FALSE)</f>
        <v>38.903509999999997</v>
      </c>
      <c r="AQ98">
        <f>VLOOKUP(N98,'Helpful Tables'!A:C,3,FALSE)</f>
        <v>-77.051809000000006</v>
      </c>
      <c r="AR98">
        <f>COUNTIF(P$2:$P$938,P98)</f>
        <v>8</v>
      </c>
      <c r="AS98" cm="1">
        <f t="array" ref="AS98">_xlfn.IFS(E98&lt;6,((E98/D98)*60)*0.5,AND(E98&gt;=6,E98&lt;9),((E98/D98)*60)*0.75,AND(E98&gt;=9,E98&lt;=11),((E98/D98)*60)*0.9,AND(E98=12),((E98/D98)*60)*1,AND(E98&gt;=13,E98&lt;=15),((E98/D98)*60)*1.2,AND(E98&gt;=16,E98&lt;=19),((E98/D98)*60)*1.5,E98&gt;=20,((E98/D98)*60)*1.8)</f>
        <v>15.770850884848709</v>
      </c>
      <c r="AT98" cm="1">
        <f t="array" ref="AT98">_xlfn.IFS(F98&lt;550,((F98/D98)*60)*0.5,AND(F98&gt;=550,F98&lt;575),((F98/D98)*60)*0.75,AND(F98&gt;=575,F98&lt;600),((F98/D98)*60)*0.9,AND(F98=600),((F98/D98)*60)*1,AND(F98&gt;=601,F98&lt;=625),((F98/D98)*60)*1.2,AND(F98&gt;=626,F98&lt;=650),((F98/D98)*60)*1.5,F98&gt;=651,((F98/D98)*60)*1.8)</f>
        <v>419.29233362121818</v>
      </c>
      <c r="AU98">
        <f t="shared" si="30"/>
        <v>-9.8583333330000045</v>
      </c>
      <c r="AV98">
        <f t="shared" si="34"/>
        <v>172.05360713582678</v>
      </c>
      <c r="AW98">
        <f t="shared" si="31"/>
        <v>8.4</v>
      </c>
      <c r="AX98" t="str">
        <f t="shared" si="32"/>
        <v>Dec-2019</v>
      </c>
      <c r="AY98">
        <f>ROUNDUP(Table2[[#This Row],[Month]]/3,0)</f>
        <v>4</v>
      </c>
    </row>
    <row r="99" spans="1:51" x14ac:dyDescent="0.2">
      <c r="A99">
        <v>98</v>
      </c>
      <c r="B99">
        <f t="shared" si="19"/>
        <v>14</v>
      </c>
      <c r="C99" s="22">
        <v>43809</v>
      </c>
      <c r="D99">
        <f>SUM(Table2[[#This Row],[Gray Min]:[Red Min]])</f>
        <v>56.966666666999998</v>
      </c>
      <c r="E99">
        <v>7</v>
      </c>
      <c r="F99">
        <v>606</v>
      </c>
      <c r="G99">
        <v>125</v>
      </c>
      <c r="H99">
        <v>165</v>
      </c>
      <c r="I99">
        <v>10.716666667</v>
      </c>
      <c r="J99">
        <v>18.783333333000002</v>
      </c>
      <c r="K99">
        <v>20.466666666999998</v>
      </c>
      <c r="L99">
        <v>6.5666666669999998</v>
      </c>
      <c r="M99">
        <v>0.43333333299999999</v>
      </c>
      <c r="N99" t="s">
        <v>24</v>
      </c>
      <c r="O99" t="s">
        <v>26</v>
      </c>
      <c r="P99" t="s">
        <v>28</v>
      </c>
      <c r="Q99">
        <f t="shared" si="33"/>
        <v>1</v>
      </c>
      <c r="R99" t="str">
        <f t="shared" si="20"/>
        <v>12-2019</v>
      </c>
      <c r="S99" t="s">
        <v>43</v>
      </c>
      <c r="T99" t="str">
        <f t="shared" si="21"/>
        <v>Tuesday</v>
      </c>
      <c r="U99">
        <f t="shared" si="22"/>
        <v>0</v>
      </c>
      <c r="V99" s="24">
        <f>IFERROR(Table2[[#This Row],[Gray Min]]/Table2[[#This Row],[ClassLength]],"")</f>
        <v>0.18812170860627198</v>
      </c>
      <c r="W99" s="24">
        <f>IFERROR(Table2[[#This Row],[Blue Min]]/Table2[[#This Row],[ClassLength]],"")</f>
        <v>0.32972498536378164</v>
      </c>
      <c r="X99" s="24">
        <f>IFERROR(Table2[[#This Row],[Green Min]]/Table2[[#This Row],[ClassLength]],"")</f>
        <v>0.35927442949467947</v>
      </c>
      <c r="Y99" s="24">
        <f>IFERROR(Table2[[#This Row],[Orange Min]]/Table2[[#This Row],[ClassLength]],"")</f>
        <v>0.11527208894607799</v>
      </c>
      <c r="Z99" s="24">
        <f>IFERROR(Table2[[#This Row],[Red Min]]/Table2[[#This Row],[ClassLength]],"")</f>
        <v>7.60678758918896E-3</v>
      </c>
      <c r="AA99" s="25">
        <v>232.14</v>
      </c>
      <c r="AB99" s="25">
        <f t="shared" si="35"/>
        <v>16.581428571428571</v>
      </c>
      <c r="AC99" s="26">
        <f t="shared" si="23"/>
        <v>626.71428571428567</v>
      </c>
      <c r="AD99" s="26">
        <f t="shared" si="24"/>
        <v>15.071428571428571</v>
      </c>
      <c r="AE99">
        <f t="shared" si="25"/>
        <v>2019</v>
      </c>
      <c r="AG99">
        <v>12</v>
      </c>
      <c r="AH99" s="26">
        <f t="shared" si="26"/>
        <v>10.637799882910253</v>
      </c>
      <c r="AI99" t="str">
        <f t="shared" si="27"/>
        <v>PM</v>
      </c>
      <c r="AJ99" t="str">
        <f t="shared" si="28"/>
        <v>12-2019-2</v>
      </c>
      <c r="AK99">
        <f t="shared" si="29"/>
        <v>12</v>
      </c>
      <c r="AL99" s="26">
        <f>IFERROR(Table2[[#This Row],[Calories]]/Table2[[#This Row],[Splat]],"")</f>
        <v>86.571428571428569</v>
      </c>
      <c r="AM99">
        <f>COUNTIF(N$2:$N$938,N99)</f>
        <v>35</v>
      </c>
      <c r="AN99" t="str">
        <f>VLOOKUP(N99,'Helpful Tables'!A:D,4,FALSE)</f>
        <v>Virginia</v>
      </c>
      <c r="AO99" s="24">
        <f>COUNTIF(AN:AN,Table2[[#This Row],[State]])/COUNTA(AN:AN)</f>
        <v>5.6503198294243072E-2</v>
      </c>
      <c r="AP99">
        <f>VLOOKUP(N99,'Helpful Tables'!A:B,2,FALSE)</f>
        <v>38.881884999999997</v>
      </c>
      <c r="AQ99">
        <f>VLOOKUP(N99,'Helpful Tables'!A:C,3,FALSE)</f>
        <v>-77.229702000000003</v>
      </c>
      <c r="AR99">
        <f>COUNTIF(P$2:$P$938,P99)</f>
        <v>10</v>
      </c>
      <c r="AS99" cm="1">
        <f t="array" ref="AS99">_xlfn.IFS(E99&lt;6,((E99/D99)*60)*0.5,AND(E99&gt;=6,E99&lt;9),((E99/D99)*60)*0.75,AND(E99&gt;=9,E99&lt;=11),((E99/D99)*60)*0.9,AND(E99=12),((E99/D99)*60)*1,AND(E99&gt;=13,E99&lt;=15),((E99/D99)*60)*1.2,AND(E99&gt;=16,E99&lt;=19),((E99/D99)*60)*1.5,E99&gt;=20,((E99/D99)*60)*1.8)</f>
        <v>5.5295494440870137</v>
      </c>
      <c r="AT99" cm="1">
        <f t="array" ref="AT99">_xlfn.IFS(F99&lt;550,((F99/D99)*60)*0.5,AND(F99&gt;=550,F99&lt;575),((F99/D99)*60)*0.75,AND(F99&gt;=575,F99&lt;600),((F99/D99)*60)*0.9,AND(F99=600),((F99/D99)*60)*1,AND(F99&gt;=601,F99&lt;=625),((F99/D99)*60)*1.2,AND(F99&gt;=626,F99&lt;=650),((F99/D99)*60)*1.5,F99&gt;=651,((F99/D99)*60)*1.8)</f>
        <v>765.92159156953812</v>
      </c>
      <c r="AU99">
        <f t="shared" si="30"/>
        <v>0.22500000029999934</v>
      </c>
      <c r="AV99">
        <f t="shared" si="34"/>
        <v>308.62545640551002</v>
      </c>
      <c r="AW99">
        <f t="shared" si="31"/>
        <v>30.8</v>
      </c>
      <c r="AX99" t="str">
        <f t="shared" si="32"/>
        <v>Dec-2019</v>
      </c>
      <c r="AY99">
        <f>ROUNDUP(Table2[[#This Row],[Month]]/3,0)</f>
        <v>4</v>
      </c>
    </row>
    <row r="100" spans="1:51" x14ac:dyDescent="0.2">
      <c r="A100">
        <v>99</v>
      </c>
      <c r="B100">
        <f t="shared" si="19"/>
        <v>14</v>
      </c>
      <c r="C100" s="22">
        <v>43811</v>
      </c>
      <c r="D100">
        <f>SUM(Table2[[#This Row],[Gray Min]:[Red Min]])</f>
        <v>53.616666666000008</v>
      </c>
      <c r="E100">
        <v>12</v>
      </c>
      <c r="F100">
        <v>595</v>
      </c>
      <c r="G100">
        <v>129</v>
      </c>
      <c r="H100">
        <v>167</v>
      </c>
      <c r="I100">
        <v>7.7833333329999999</v>
      </c>
      <c r="J100">
        <v>13.833333333000001</v>
      </c>
      <c r="K100">
        <v>20.033333333000002</v>
      </c>
      <c r="L100">
        <v>10.516666667000001</v>
      </c>
      <c r="M100">
        <v>1.45</v>
      </c>
      <c r="N100" t="s">
        <v>33</v>
      </c>
      <c r="O100" t="s">
        <v>50</v>
      </c>
      <c r="P100" t="s">
        <v>72</v>
      </c>
      <c r="Q100">
        <f t="shared" si="33"/>
        <v>2</v>
      </c>
      <c r="R100" t="str">
        <f t="shared" si="20"/>
        <v>12-2019</v>
      </c>
      <c r="S100" t="s">
        <v>43</v>
      </c>
      <c r="T100" t="str">
        <f t="shared" si="21"/>
        <v>Thursday</v>
      </c>
      <c r="U100">
        <f t="shared" si="22"/>
        <v>1</v>
      </c>
      <c r="V100" s="24">
        <f>IFERROR(Table2[[#This Row],[Gray Min]]/Table2[[#This Row],[ClassLength]],"")</f>
        <v>0.14516630400553515</v>
      </c>
      <c r="W100" s="24">
        <f>IFERROR(Table2[[#This Row],[Blue Min]]/Table2[[#This Row],[ClassLength]],"")</f>
        <v>0.25800435187762516</v>
      </c>
      <c r="X100" s="24">
        <f>IFERROR(Table2[[#This Row],[Green Min]]/Table2[[#This Row],[ClassLength]],"")</f>
        <v>0.37364003730026285</v>
      </c>
      <c r="Y100" s="24">
        <f>IFERROR(Table2[[#This Row],[Orange Min]]/Table2[[#This Row],[ClassLength]],"")</f>
        <v>0.1961454771612825</v>
      </c>
      <c r="Z100" s="24">
        <f>IFERROR(Table2[[#This Row],[Red Min]]/Table2[[#This Row],[ClassLength]],"")</f>
        <v>2.7043829655294293E-2</v>
      </c>
      <c r="AA100" s="25">
        <v>232.14</v>
      </c>
      <c r="AB100" s="25">
        <f t="shared" si="35"/>
        <v>16.581428571428571</v>
      </c>
      <c r="AC100" s="26">
        <f t="shared" si="23"/>
        <v>626.71428571428567</v>
      </c>
      <c r="AD100" s="26">
        <f t="shared" si="24"/>
        <v>15.071428571428571</v>
      </c>
      <c r="AE100">
        <f t="shared" si="25"/>
        <v>2019</v>
      </c>
      <c r="AG100">
        <v>12</v>
      </c>
      <c r="AH100" s="26">
        <f t="shared" si="26"/>
        <v>11.097295617172486</v>
      </c>
      <c r="AI100" t="str">
        <f t="shared" si="27"/>
        <v>PM</v>
      </c>
      <c r="AJ100" t="str">
        <f t="shared" si="28"/>
        <v>12-2019-2</v>
      </c>
      <c r="AK100">
        <f t="shared" si="29"/>
        <v>12</v>
      </c>
      <c r="AL100" s="26">
        <f>IFERROR(Table2[[#This Row],[Calories]]/Table2[[#This Row],[Splat]],"")</f>
        <v>49.583333333333336</v>
      </c>
      <c r="AM100">
        <f>COUNTIF(N$2:$N$938,N100)</f>
        <v>48</v>
      </c>
      <c r="AN100" t="str">
        <f>VLOOKUP(N100,'Helpful Tables'!A:D,4,FALSE)</f>
        <v>Washington, DC</v>
      </c>
      <c r="AO100" s="24">
        <f>COUNTIF(AN:AN,Table2[[#This Row],[State]])/COUNTA(AN:AN)</f>
        <v>0.54904051172707891</v>
      </c>
      <c r="AP100">
        <f>VLOOKUP(N100,'Helpful Tables'!A:B,2,FALSE)</f>
        <v>38.916486999999996</v>
      </c>
      <c r="AQ100">
        <f>VLOOKUP(N100,'Helpful Tables'!A:C,3,FALSE)</f>
        <v>-77.031514000000001</v>
      </c>
      <c r="AR100">
        <f>COUNTIF(P$2:$P$938,P100)</f>
        <v>3</v>
      </c>
      <c r="AS100" cm="1">
        <f t="array" ref="AS100">_xlfn.IFS(E100&lt;6,((E100/D100)*60)*0.5,AND(E100&gt;=6,E100&lt;9),((E100/D100)*60)*0.75,AND(E100&gt;=9,E100&lt;=11),((E100/D100)*60)*0.9,AND(E100=12),((E100/D100)*60)*1,AND(E100&gt;=13,E100&lt;=15),((E100/D100)*60)*1.2,AND(E100&gt;=16,E100&lt;=19),((E100/D100)*60)*1.5,E100&gt;=20,((E100/D100)*60)*1.8)</f>
        <v>13.42866024262889</v>
      </c>
      <c r="AT100" cm="1">
        <f t="array" ref="AT100">_xlfn.IFS(F100&lt;550,((F100/D100)*60)*0.5,AND(F100&gt;=550,F100&lt;575),((F100/D100)*60)*0.75,AND(F100&gt;=575,F100&lt;600),((F100/D100)*60)*0.9,AND(F100=600),((F100/D100)*60)*1,AND(F100&gt;=601,F100&lt;=625),((F100/D100)*60)*1.2,AND(F100&gt;=626,F100&lt;=650),((F100/D100)*60)*1.5,F100&gt;=651,((F100/D100)*60)*1.8)</f>
        <v>599.2539633273143</v>
      </c>
      <c r="AU100">
        <f t="shared" si="30"/>
        <v>15.330000000800002</v>
      </c>
      <c r="AV100">
        <f t="shared" si="34"/>
        <v>248.13904942813727</v>
      </c>
      <c r="AW100">
        <f t="shared" si="31"/>
        <v>22.900000000000002</v>
      </c>
      <c r="AX100" t="str">
        <f t="shared" si="32"/>
        <v>Dec-2019</v>
      </c>
      <c r="AY100">
        <f>ROUNDUP(Table2[[#This Row],[Month]]/3,0)</f>
        <v>4</v>
      </c>
    </row>
    <row r="101" spans="1:51" x14ac:dyDescent="0.2">
      <c r="A101">
        <v>100</v>
      </c>
      <c r="B101">
        <f t="shared" si="19"/>
        <v>14</v>
      </c>
      <c r="C101" s="22">
        <v>43812</v>
      </c>
      <c r="D101">
        <f>SUM(Table2[[#This Row],[Gray Min]:[Red Min]])</f>
        <v>58.20000000000001</v>
      </c>
      <c r="E101">
        <v>21</v>
      </c>
      <c r="F101">
        <v>662</v>
      </c>
      <c r="G101">
        <v>130</v>
      </c>
      <c r="H101">
        <v>163</v>
      </c>
      <c r="I101">
        <v>8.7166666670000001</v>
      </c>
      <c r="J101">
        <v>14.383333332999999</v>
      </c>
      <c r="K101">
        <v>14.3</v>
      </c>
      <c r="L101">
        <v>19.616666667000001</v>
      </c>
      <c r="M101">
        <v>1.183333333</v>
      </c>
      <c r="N101" t="s">
        <v>33</v>
      </c>
      <c r="O101" t="s">
        <v>26</v>
      </c>
      <c r="P101" t="s">
        <v>75</v>
      </c>
      <c r="Q101">
        <f t="shared" si="33"/>
        <v>1</v>
      </c>
      <c r="R101" t="str">
        <f t="shared" si="20"/>
        <v>12-2019</v>
      </c>
      <c r="S101" t="s">
        <v>48</v>
      </c>
      <c r="T101" t="str">
        <f t="shared" si="21"/>
        <v>Friday</v>
      </c>
      <c r="U101">
        <f t="shared" si="22"/>
        <v>1</v>
      </c>
      <c r="V101" s="24">
        <f>IFERROR(Table2[[#This Row],[Gray Min]]/Table2[[#This Row],[ClassLength]],"")</f>
        <v>0.14977090493127146</v>
      </c>
      <c r="W101" s="24">
        <f>IFERROR(Table2[[#This Row],[Blue Min]]/Table2[[#This Row],[ClassLength]],"")</f>
        <v>0.24713631156357382</v>
      </c>
      <c r="X101" s="24">
        <f>IFERROR(Table2[[#This Row],[Green Min]]/Table2[[#This Row],[ClassLength]],"")</f>
        <v>0.24570446735395185</v>
      </c>
      <c r="Y101" s="24">
        <f>IFERROR(Table2[[#This Row],[Orange Min]]/Table2[[#This Row],[ClassLength]],"")</f>
        <v>0.33705612829896903</v>
      </c>
      <c r="Z101" s="24">
        <f>IFERROR(Table2[[#This Row],[Red Min]]/Table2[[#This Row],[ClassLength]],"")</f>
        <v>2.0332187852233674E-2</v>
      </c>
      <c r="AA101" s="25">
        <v>232.14</v>
      </c>
      <c r="AB101" s="25">
        <f t="shared" si="35"/>
        <v>16.581428571428571</v>
      </c>
      <c r="AC101" s="26">
        <f t="shared" si="23"/>
        <v>626.71428571428567</v>
      </c>
      <c r="AD101" s="26">
        <f t="shared" si="24"/>
        <v>15.071428571428571</v>
      </c>
      <c r="AE101">
        <f t="shared" si="25"/>
        <v>2019</v>
      </c>
      <c r="AG101">
        <v>12</v>
      </c>
      <c r="AH101" s="26">
        <f t="shared" si="26"/>
        <v>11.374570446735394</v>
      </c>
      <c r="AI101" t="str">
        <f t="shared" si="27"/>
        <v>PM</v>
      </c>
      <c r="AJ101" t="str">
        <f t="shared" si="28"/>
        <v>12-2019-2</v>
      </c>
      <c r="AK101">
        <f t="shared" si="29"/>
        <v>12</v>
      </c>
      <c r="AL101" s="26">
        <f>IFERROR(Table2[[#This Row],[Calories]]/Table2[[#This Row],[Splat]],"")</f>
        <v>31.523809523809526</v>
      </c>
      <c r="AM101">
        <f>COUNTIF(N$2:$N$938,N101)</f>
        <v>48</v>
      </c>
      <c r="AN101" t="str">
        <f>VLOOKUP(N101,'Helpful Tables'!A:D,4,FALSE)</f>
        <v>Washington, DC</v>
      </c>
      <c r="AO101" s="24">
        <f>COUNTIF(AN:AN,Table2[[#This Row],[State]])/COUNTA(AN:AN)</f>
        <v>0.54904051172707891</v>
      </c>
      <c r="AP101">
        <f>VLOOKUP(N101,'Helpful Tables'!A:B,2,FALSE)</f>
        <v>38.916486999999996</v>
      </c>
      <c r="AQ101">
        <f>VLOOKUP(N101,'Helpful Tables'!A:C,3,FALSE)</f>
        <v>-77.031514000000001</v>
      </c>
      <c r="AR101">
        <f>COUNTIF(P$2:$P$938,P101)</f>
        <v>2</v>
      </c>
      <c r="AS101" cm="1">
        <f t="array" ref="AS101">_xlfn.IFS(E101&lt;6,((E101/D101)*60)*0.5,AND(E101&gt;=6,E101&lt;9),((E101/D101)*60)*0.75,AND(E101&gt;=9,E101&lt;=11),((E101/D101)*60)*0.9,AND(E101=12),((E101/D101)*60)*1,AND(E101&gt;=13,E101&lt;=15),((E101/D101)*60)*1.2,AND(E101&gt;=16,E101&lt;=19),((E101/D101)*60)*1.5,E101&gt;=20,((E101/D101)*60)*1.8)</f>
        <v>38.96907216494845</v>
      </c>
      <c r="AT101" cm="1">
        <f t="array" ref="AT101">_xlfn.IFS(F101&lt;550,((F101/D101)*60)*0.5,AND(F101&gt;=550,F101&lt;575),((F101/D101)*60)*0.75,AND(F101&gt;=575,F101&lt;600),((F101/D101)*60)*0.9,AND(F101=600),((F101/D101)*60)*1,AND(F101&gt;=601,F101&lt;=625),((F101/D101)*60)*1.2,AND(F101&gt;=626,F101&lt;=650),((F101/D101)*60)*1.5,F101&gt;=651,((F101/D101)*60)*1.8)</f>
        <v>1228.4536082474226</v>
      </c>
      <c r="AU101">
        <f t="shared" si="30"/>
        <v>18.154999999900003</v>
      </c>
      <c r="AV101">
        <f t="shared" si="34"/>
        <v>510.60007216492846</v>
      </c>
      <c r="AW101">
        <f t="shared" si="31"/>
        <v>85.9</v>
      </c>
      <c r="AX101" t="str">
        <f t="shared" si="32"/>
        <v>Dec-2019</v>
      </c>
      <c r="AY101">
        <f>ROUNDUP(Table2[[#This Row],[Month]]/3,0)</f>
        <v>4</v>
      </c>
    </row>
    <row r="102" spans="1:51" x14ac:dyDescent="0.2">
      <c r="A102">
        <v>101</v>
      </c>
      <c r="B102">
        <f t="shared" si="19"/>
        <v>14</v>
      </c>
      <c r="C102" s="22">
        <v>43814</v>
      </c>
      <c r="D102">
        <f>SUM(Table2[[#This Row],[Gray Min]:[Red Min]])</f>
        <v>58.633333332999996</v>
      </c>
      <c r="E102">
        <v>18</v>
      </c>
      <c r="F102">
        <v>715</v>
      </c>
      <c r="G102">
        <v>135</v>
      </c>
      <c r="H102">
        <v>164</v>
      </c>
      <c r="I102">
        <v>3.983333333</v>
      </c>
      <c r="J102">
        <v>8.6333333329999995</v>
      </c>
      <c r="K102">
        <v>28.716666666999998</v>
      </c>
      <c r="L102">
        <v>16.633333332999999</v>
      </c>
      <c r="M102">
        <v>0.66666666699999999</v>
      </c>
      <c r="N102" t="s">
        <v>33</v>
      </c>
      <c r="O102" t="s">
        <v>83</v>
      </c>
      <c r="P102" t="s">
        <v>68</v>
      </c>
      <c r="Q102">
        <f t="shared" si="33"/>
        <v>2</v>
      </c>
      <c r="R102" t="str">
        <f t="shared" si="20"/>
        <v>12-2019</v>
      </c>
      <c r="S102" t="s">
        <v>43</v>
      </c>
      <c r="T102" t="str">
        <f t="shared" si="21"/>
        <v>Sunday</v>
      </c>
      <c r="U102">
        <f t="shared" si="22"/>
        <v>1</v>
      </c>
      <c r="V102" s="24">
        <f>IFERROR(Table2[[#This Row],[Gray Min]]/Table2[[#This Row],[ClassLength]],"")</f>
        <v>6.7936327453484574E-2</v>
      </c>
      <c r="W102" s="24">
        <f>IFERROR(Table2[[#This Row],[Blue Min]]/Table2[[#This Row],[ClassLength]],"")</f>
        <v>0.14724275155854033</v>
      </c>
      <c r="X102" s="24">
        <f>IFERROR(Table2[[#This Row],[Green Min]]/Table2[[#This Row],[ClassLength]],"")</f>
        <v>0.48976691302723008</v>
      </c>
      <c r="Y102" s="24">
        <f>IFERROR(Table2[[#This Row],[Orange Min]]/Table2[[#This Row],[ClassLength]],"")</f>
        <v>0.28368391130917386</v>
      </c>
      <c r="Z102" s="24">
        <f>IFERROR(Table2[[#This Row],[Red Min]]/Table2[[#This Row],[ClassLength]],"")</f>
        <v>1.1370096651571179E-2</v>
      </c>
      <c r="AA102" s="25">
        <v>232.14</v>
      </c>
      <c r="AB102" s="25">
        <f t="shared" si="35"/>
        <v>16.581428571428571</v>
      </c>
      <c r="AC102" s="26">
        <f t="shared" si="23"/>
        <v>626.71428571428567</v>
      </c>
      <c r="AD102" s="26">
        <f t="shared" si="24"/>
        <v>15.071428571428571</v>
      </c>
      <c r="AE102">
        <f t="shared" si="25"/>
        <v>2019</v>
      </c>
      <c r="AG102">
        <v>12</v>
      </c>
      <c r="AH102" s="26">
        <f t="shared" si="26"/>
        <v>12.194428652712874</v>
      </c>
      <c r="AI102" t="str">
        <f t="shared" si="27"/>
        <v>PM</v>
      </c>
      <c r="AJ102" t="str">
        <f t="shared" si="28"/>
        <v>12-2019-3</v>
      </c>
      <c r="AK102">
        <f t="shared" si="29"/>
        <v>12</v>
      </c>
      <c r="AL102" s="26">
        <f>IFERROR(Table2[[#This Row],[Calories]]/Table2[[#This Row],[Splat]],"")</f>
        <v>39.722222222222221</v>
      </c>
      <c r="AM102">
        <f>COUNTIF(N$2:$N$938,N102)</f>
        <v>48</v>
      </c>
      <c r="AN102" t="str">
        <f>VLOOKUP(N102,'Helpful Tables'!A:D,4,FALSE)</f>
        <v>Washington, DC</v>
      </c>
      <c r="AO102" s="24">
        <f>COUNTIF(AN:AN,Table2[[#This Row],[State]])/COUNTA(AN:AN)</f>
        <v>0.54904051172707891</v>
      </c>
      <c r="AP102">
        <f>VLOOKUP(N102,'Helpful Tables'!A:B,2,FALSE)</f>
        <v>38.916486999999996</v>
      </c>
      <c r="AQ102">
        <f>VLOOKUP(N102,'Helpful Tables'!A:C,3,FALSE)</f>
        <v>-77.031514000000001</v>
      </c>
      <c r="AR102">
        <f>COUNTIF(P$2:$P$938,P102)</f>
        <v>5</v>
      </c>
      <c r="AS102" cm="1">
        <f t="array" ref="AS102">_xlfn.IFS(E102&lt;6,((E102/D102)*60)*0.5,AND(E102&gt;=6,E102&lt;9),((E102/D102)*60)*0.75,AND(E102&gt;=9,E102&lt;=11),((E102/D102)*60)*0.9,AND(E102=12),((E102/D102)*60)*1,AND(E102&gt;=13,E102&lt;=15),((E102/D102)*60)*1.2,AND(E102&gt;=16,E102&lt;=19),((E102/D102)*60)*1.5,E102&gt;=20,((E102/D102)*60)*1.8)</f>
        <v>27.629334849503294</v>
      </c>
      <c r="AT102" cm="1">
        <f t="array" ref="AT102">_xlfn.IFS(F102&lt;550,((F102/D102)*60)*0.5,AND(F102&gt;=550,F102&lt;575),((F102/D102)*60)*0.75,AND(F102&gt;=575,F102&lt;600),((F102/D102)*60)*0.9,AND(F102=600),((F102/D102)*60)*1,AND(F102&gt;=601,F102&lt;=625),((F102/D102)*60)*1.2,AND(F102&gt;=626,F102&lt;=650),((F102/D102)*60)*1.5,F102&gt;=651,((F102/D102)*60)*1.8)</f>
        <v>1316.9982944929905</v>
      </c>
      <c r="AU102">
        <f t="shared" si="30"/>
        <v>42.806666667899997</v>
      </c>
      <c r="AV102">
        <f t="shared" si="34"/>
        <v>546.41238507057756</v>
      </c>
      <c r="AW102">
        <f t="shared" si="31"/>
        <v>97.399999999999991</v>
      </c>
      <c r="AX102" t="str">
        <f t="shared" si="32"/>
        <v>Dec-2019</v>
      </c>
      <c r="AY102">
        <f>ROUNDUP(Table2[[#This Row],[Month]]/3,0)</f>
        <v>4</v>
      </c>
    </row>
    <row r="103" spans="1:51" x14ac:dyDescent="0.2">
      <c r="A103">
        <v>102</v>
      </c>
      <c r="B103">
        <f t="shared" si="19"/>
        <v>14</v>
      </c>
      <c r="C103" s="22">
        <v>43815</v>
      </c>
      <c r="D103">
        <f>SUM(Table2[[#This Row],[Gray Min]:[Red Min]])</f>
        <v>61.15</v>
      </c>
      <c r="E103">
        <v>19</v>
      </c>
      <c r="F103">
        <v>674</v>
      </c>
      <c r="G103">
        <v>128</v>
      </c>
      <c r="H103">
        <v>165</v>
      </c>
      <c r="I103">
        <v>16.633333332999999</v>
      </c>
      <c r="J103">
        <v>12.333333333000001</v>
      </c>
      <c r="K103">
        <v>13.25</v>
      </c>
      <c r="L103">
        <v>17.716666666999998</v>
      </c>
      <c r="M103">
        <v>1.2166666669999999</v>
      </c>
      <c r="N103" t="s">
        <v>40</v>
      </c>
      <c r="O103" t="s">
        <v>26</v>
      </c>
      <c r="P103" t="s">
        <v>64</v>
      </c>
      <c r="Q103">
        <f t="shared" si="33"/>
        <v>1</v>
      </c>
      <c r="R103" t="str">
        <f t="shared" si="20"/>
        <v>12-2019</v>
      </c>
      <c r="S103" t="s">
        <v>47</v>
      </c>
      <c r="T103" t="str">
        <f t="shared" si="21"/>
        <v>Monday</v>
      </c>
      <c r="U103">
        <f t="shared" si="22"/>
        <v>1</v>
      </c>
      <c r="V103" s="24">
        <f>IFERROR(Table2[[#This Row],[Gray Min]]/Table2[[#This Row],[ClassLength]],"")</f>
        <v>0.27200872171708912</v>
      </c>
      <c r="W103" s="24">
        <f>IFERROR(Table2[[#This Row],[Blue Min]]/Table2[[#This Row],[ClassLength]],"")</f>
        <v>0.20168983373671301</v>
      </c>
      <c r="X103" s="24">
        <f>IFERROR(Table2[[#This Row],[Green Min]]/Table2[[#This Row],[ClassLength]],"")</f>
        <v>0.21668029435813574</v>
      </c>
      <c r="Y103" s="24">
        <f>IFERROR(Table2[[#This Row],[Orange Min]]/Table2[[#This Row],[ClassLength]],"")</f>
        <v>0.28972472063777593</v>
      </c>
      <c r="Z103" s="24">
        <f>IFERROR(Table2[[#This Row],[Red Min]]/Table2[[#This Row],[ClassLength]],"")</f>
        <v>1.9896429550286181E-2</v>
      </c>
      <c r="AA103" s="25">
        <v>232.14</v>
      </c>
      <c r="AB103" s="25">
        <f t="shared" si="35"/>
        <v>16.581428571428571</v>
      </c>
      <c r="AC103" s="26">
        <f t="shared" si="23"/>
        <v>626.71428571428567</v>
      </c>
      <c r="AD103" s="26">
        <f t="shared" si="24"/>
        <v>15.071428571428571</v>
      </c>
      <c r="AE103">
        <f t="shared" si="25"/>
        <v>2019</v>
      </c>
      <c r="AG103">
        <v>12</v>
      </c>
      <c r="AH103" s="26">
        <f t="shared" si="26"/>
        <v>11.022076860179887</v>
      </c>
      <c r="AI103" t="str">
        <f t="shared" si="27"/>
        <v>PM</v>
      </c>
      <c r="AJ103" t="str">
        <f t="shared" si="28"/>
        <v>12-2019-3</v>
      </c>
      <c r="AK103">
        <f t="shared" si="29"/>
        <v>12</v>
      </c>
      <c r="AL103" s="26">
        <f>IFERROR(Table2[[#This Row],[Calories]]/Table2[[#This Row],[Splat]],"")</f>
        <v>35.473684210526315</v>
      </c>
      <c r="AM103">
        <f>COUNTIF(N$2:$N$938,N103)</f>
        <v>38</v>
      </c>
      <c r="AN103" t="str">
        <f>VLOOKUP(N103,'Helpful Tables'!A:D,4,FALSE)</f>
        <v>Washington, DC</v>
      </c>
      <c r="AO103" s="24">
        <f>COUNTIF(AN:AN,Table2[[#This Row],[State]])/COUNTA(AN:AN)</f>
        <v>0.54904051172707891</v>
      </c>
      <c r="AP103">
        <f>VLOOKUP(N103,'Helpful Tables'!A:B,2,FALSE)</f>
        <v>38.903509999999997</v>
      </c>
      <c r="AQ103">
        <f>VLOOKUP(N103,'Helpful Tables'!A:C,3,FALSE)</f>
        <v>-77.051809000000006</v>
      </c>
      <c r="AR103">
        <f>COUNTIF(P$2:$P$938,P103)</f>
        <v>8</v>
      </c>
      <c r="AS103" cm="1">
        <f t="array" ref="AS103">_xlfn.IFS(E103&lt;6,((E103/D103)*60)*0.5,AND(E103&gt;=6,E103&lt;9),((E103/D103)*60)*0.75,AND(E103&gt;=9,E103&lt;=11),((E103/D103)*60)*0.9,AND(E103=12),((E103/D103)*60)*1,AND(E103&gt;=13,E103&lt;=15),((E103/D103)*60)*1.2,AND(E103&gt;=16,E103&lt;=19),((E103/D103)*60)*1.5,E103&gt;=20,((E103/D103)*60)*1.8)</f>
        <v>27.964022894521666</v>
      </c>
      <c r="AT103" cm="1">
        <f t="array" ref="AT103">_xlfn.IFS(F103&lt;550,((F103/D103)*60)*0.5,AND(F103&gt;=550,F103&lt;575),((F103/D103)*60)*0.75,AND(F103&gt;=575,F103&lt;600),((F103/D103)*60)*0.9,AND(F103=600),((F103/D103)*60)*1,AND(F103&gt;=601,F103&lt;=625),((F103/D103)*60)*1.2,AND(F103&gt;=626,F103&lt;=650),((F103/D103)*60)*1.5,F103&gt;=651,((F103/D103)*60)*1.8)</f>
        <v>1190.3843008994279</v>
      </c>
      <c r="AU103">
        <f t="shared" si="30"/>
        <v>7.2300000017000006</v>
      </c>
      <c r="AV103">
        <f t="shared" si="34"/>
        <v>488.78532951791982</v>
      </c>
      <c r="AW103">
        <f t="shared" si="31"/>
        <v>72.899999999999991</v>
      </c>
      <c r="AX103" t="str">
        <f t="shared" si="32"/>
        <v>Dec-2019</v>
      </c>
      <c r="AY103">
        <f>ROUNDUP(Table2[[#This Row],[Month]]/3,0)</f>
        <v>4</v>
      </c>
    </row>
    <row r="104" spans="1:51" x14ac:dyDescent="0.2">
      <c r="A104">
        <v>103</v>
      </c>
      <c r="B104">
        <f t="shared" si="19"/>
        <v>14</v>
      </c>
      <c r="C104" s="22">
        <v>43816</v>
      </c>
      <c r="D104">
        <f>SUM(Table2[[#This Row],[Gray Min]:[Red Min]])</f>
        <v>57.000000000999989</v>
      </c>
      <c r="E104">
        <v>11</v>
      </c>
      <c r="F104">
        <v>594</v>
      </c>
      <c r="G104">
        <v>124</v>
      </c>
      <c r="H104">
        <v>163</v>
      </c>
      <c r="I104">
        <v>13.916666666999999</v>
      </c>
      <c r="J104">
        <v>16.866666667000001</v>
      </c>
      <c r="K104">
        <v>15.2</v>
      </c>
      <c r="L104">
        <v>10.216666667</v>
      </c>
      <c r="M104">
        <v>0.8</v>
      </c>
      <c r="N104" t="s">
        <v>24</v>
      </c>
      <c r="O104" t="s">
        <v>26</v>
      </c>
      <c r="P104" t="s">
        <v>28</v>
      </c>
      <c r="Q104">
        <f t="shared" si="33"/>
        <v>1</v>
      </c>
      <c r="R104" t="str">
        <f t="shared" si="20"/>
        <v>12-2019</v>
      </c>
      <c r="S104" t="s">
        <v>43</v>
      </c>
      <c r="T104" t="str">
        <f t="shared" si="21"/>
        <v>Tuesday</v>
      </c>
      <c r="U104">
        <f t="shared" si="22"/>
        <v>0</v>
      </c>
      <c r="V104" s="24">
        <f>IFERROR(Table2[[#This Row],[Gray Min]]/Table2[[#This Row],[ClassLength]],"")</f>
        <v>0.24415204678519034</v>
      </c>
      <c r="W104" s="24">
        <f>IFERROR(Table2[[#This Row],[Blue Min]]/Table2[[#This Row],[ClassLength]],"")</f>
        <v>0.2959064327491947</v>
      </c>
      <c r="X104" s="24">
        <f>IFERROR(Table2[[#This Row],[Green Min]]/Table2[[#This Row],[ClassLength]],"")</f>
        <v>0.26666666666198835</v>
      </c>
      <c r="Y104" s="24">
        <f>IFERROR(Table2[[#This Row],[Orange Min]]/Table2[[#This Row],[ClassLength]],"")</f>
        <v>0.17923976608457479</v>
      </c>
      <c r="Z104" s="24">
        <f>IFERROR(Table2[[#This Row],[Red Min]]/Table2[[#This Row],[ClassLength]],"")</f>
        <v>1.4035087719052019E-2</v>
      </c>
      <c r="AA104" s="25">
        <v>232.14</v>
      </c>
      <c r="AB104" s="25">
        <f t="shared" si="35"/>
        <v>16.581428571428571</v>
      </c>
      <c r="AC104" s="26">
        <f t="shared" si="23"/>
        <v>626.71428571428567</v>
      </c>
      <c r="AD104" s="26">
        <f t="shared" si="24"/>
        <v>15.071428571428571</v>
      </c>
      <c r="AE104">
        <f t="shared" si="25"/>
        <v>2019</v>
      </c>
      <c r="AG104">
        <v>12</v>
      </c>
      <c r="AH104" s="26">
        <f t="shared" si="26"/>
        <v>10.421052631396124</v>
      </c>
      <c r="AI104" t="str">
        <f t="shared" si="27"/>
        <v>PM</v>
      </c>
      <c r="AJ104" t="str">
        <f t="shared" si="28"/>
        <v>12-2019-3</v>
      </c>
      <c r="AK104">
        <f t="shared" si="29"/>
        <v>12</v>
      </c>
      <c r="AL104" s="26">
        <f>IFERROR(Table2[[#This Row],[Calories]]/Table2[[#This Row],[Splat]],"")</f>
        <v>54</v>
      </c>
      <c r="AM104">
        <f>COUNTIF(N$2:$N$938,N104)</f>
        <v>35</v>
      </c>
      <c r="AN104" t="str">
        <f>VLOOKUP(N104,'Helpful Tables'!A:D,4,FALSE)</f>
        <v>Virginia</v>
      </c>
      <c r="AO104" s="24">
        <f>COUNTIF(AN:AN,Table2[[#This Row],[State]])/COUNTA(AN:AN)</f>
        <v>5.6503198294243072E-2</v>
      </c>
      <c r="AP104">
        <f>VLOOKUP(N104,'Helpful Tables'!A:B,2,FALSE)</f>
        <v>38.881884999999997</v>
      </c>
      <c r="AQ104">
        <f>VLOOKUP(N104,'Helpful Tables'!A:C,3,FALSE)</f>
        <v>-77.229702000000003</v>
      </c>
      <c r="AR104">
        <f>COUNTIF(P$2:$P$938,P104)</f>
        <v>10</v>
      </c>
      <c r="AS104" cm="1">
        <f t="array" ref="AS104">_xlfn.IFS(E104&lt;6,((E104/D104)*60)*0.5,AND(E104&gt;=6,E104&lt;9),((E104/D104)*60)*0.75,AND(E104&gt;=9,E104&lt;=11),((E104/D104)*60)*0.9,AND(E104=12),((E104/D104)*60)*1,AND(E104&gt;=13,E104&lt;=15),((E104/D104)*60)*1.2,AND(E104&gt;=16,E104&lt;=19),((E104/D104)*60)*1.5,E104&gt;=20,((E104/D104)*60)*1.8)</f>
        <v>10.421052631396124</v>
      </c>
      <c r="AT104" cm="1">
        <f t="array" ref="AT104">_xlfn.IFS(F104&lt;550,((F104/D104)*60)*0.5,AND(F104&gt;=550,F104&lt;575),((F104/D104)*60)*0.75,AND(F104&gt;=575,F104&lt;600),((F104/D104)*60)*0.9,AND(F104=600),((F104/D104)*60)*1,AND(F104&gt;=601,F104&lt;=625),((F104/D104)*60)*1.2,AND(F104&gt;=626,F104&lt;=650),((F104/D104)*60)*1.5,F104&gt;=651,((F104/D104)*60)*1.8)</f>
        <v>562.73684209539078</v>
      </c>
      <c r="AU104">
        <f t="shared" si="30"/>
        <v>-2.5316666670000059</v>
      </c>
      <c r="AV104">
        <f t="shared" si="34"/>
        <v>228.75682455731479</v>
      </c>
      <c r="AW104">
        <f t="shared" si="31"/>
        <v>19.5</v>
      </c>
      <c r="AX104" t="str">
        <f t="shared" si="32"/>
        <v>Dec-2019</v>
      </c>
      <c r="AY104">
        <f>ROUNDUP(Table2[[#This Row],[Month]]/3,0)</f>
        <v>4</v>
      </c>
    </row>
    <row r="105" spans="1:51" x14ac:dyDescent="0.2">
      <c r="A105">
        <v>104</v>
      </c>
      <c r="B105">
        <f t="shared" si="19"/>
        <v>14</v>
      </c>
      <c r="C105" s="22">
        <v>43817</v>
      </c>
      <c r="D105">
        <f>SUM(Table2[[#This Row],[Gray Min]:[Red Min]])</f>
        <v>62.866666666</v>
      </c>
      <c r="E105">
        <v>16</v>
      </c>
      <c r="F105">
        <v>621</v>
      </c>
      <c r="G105">
        <v>120</v>
      </c>
      <c r="H105">
        <v>168</v>
      </c>
      <c r="I105">
        <v>23.683333333</v>
      </c>
      <c r="J105">
        <v>14.1</v>
      </c>
      <c r="K105">
        <v>8.5833333330000006</v>
      </c>
      <c r="L105">
        <v>14.1</v>
      </c>
      <c r="M105">
        <v>2.4</v>
      </c>
      <c r="N105" t="s">
        <v>40</v>
      </c>
      <c r="O105" t="s">
        <v>84</v>
      </c>
      <c r="P105" t="s">
        <v>64</v>
      </c>
      <c r="Q105">
        <f t="shared" si="33"/>
        <v>1</v>
      </c>
      <c r="R105" t="str">
        <f t="shared" si="20"/>
        <v>12-2019</v>
      </c>
      <c r="S105" t="s">
        <v>47</v>
      </c>
      <c r="T105" t="str">
        <f t="shared" si="21"/>
        <v>Wednesday</v>
      </c>
      <c r="U105">
        <f t="shared" si="22"/>
        <v>1</v>
      </c>
      <c r="V105" s="24">
        <f>IFERROR(Table2[[#This Row],[Gray Min]]/Table2[[#This Row],[ClassLength]],"")</f>
        <v>0.37672322375266937</v>
      </c>
      <c r="W105" s="24">
        <f>IFERROR(Table2[[#This Row],[Blue Min]]/Table2[[#This Row],[ClassLength]],"")</f>
        <v>0.22428419936611116</v>
      </c>
      <c r="X105" s="24">
        <f>IFERROR(Table2[[#This Row],[Green Min]]/Table2[[#This Row],[ClassLength]],"")</f>
        <v>0.13653234358045105</v>
      </c>
      <c r="Y105" s="24">
        <f>IFERROR(Table2[[#This Row],[Orange Min]]/Table2[[#This Row],[ClassLength]],"")</f>
        <v>0.22428419936611116</v>
      </c>
      <c r="Z105" s="24">
        <f>IFERROR(Table2[[#This Row],[Red Min]]/Table2[[#This Row],[ClassLength]],"")</f>
        <v>3.8176033934657218E-2</v>
      </c>
      <c r="AA105" s="25">
        <v>232.14</v>
      </c>
      <c r="AB105" s="25">
        <f t="shared" si="35"/>
        <v>16.581428571428571</v>
      </c>
      <c r="AC105" s="26">
        <f t="shared" si="23"/>
        <v>626.71428571428567</v>
      </c>
      <c r="AD105" s="26">
        <f t="shared" si="24"/>
        <v>15.071428571428571</v>
      </c>
      <c r="AE105">
        <f t="shared" si="25"/>
        <v>2019</v>
      </c>
      <c r="AG105">
        <v>12</v>
      </c>
      <c r="AH105" s="26">
        <f t="shared" si="26"/>
        <v>9.8780487805925556</v>
      </c>
      <c r="AI105" t="str">
        <f t="shared" si="27"/>
        <v>AM</v>
      </c>
      <c r="AJ105" t="str">
        <f t="shared" si="28"/>
        <v>12-2019-3</v>
      </c>
      <c r="AK105">
        <f t="shared" si="29"/>
        <v>12</v>
      </c>
      <c r="AL105" s="26">
        <f>IFERROR(Table2[[#This Row],[Calories]]/Table2[[#This Row],[Splat]],"")</f>
        <v>38.8125</v>
      </c>
      <c r="AM105">
        <f>COUNTIF(N$2:$N$938,N105)</f>
        <v>38</v>
      </c>
      <c r="AN105" t="str">
        <f>VLOOKUP(N105,'Helpful Tables'!A:D,4,FALSE)</f>
        <v>Washington, DC</v>
      </c>
      <c r="AO105" s="24">
        <f>COUNTIF(AN:AN,Table2[[#This Row],[State]])/COUNTA(AN:AN)</f>
        <v>0.54904051172707891</v>
      </c>
      <c r="AP105">
        <f>VLOOKUP(N105,'Helpful Tables'!A:B,2,FALSE)</f>
        <v>38.903509999999997</v>
      </c>
      <c r="AQ105">
        <f>VLOOKUP(N105,'Helpful Tables'!A:C,3,FALSE)</f>
        <v>-77.051809000000006</v>
      </c>
      <c r="AR105">
        <f>COUNTIF(P$2:$P$938,P105)</f>
        <v>8</v>
      </c>
      <c r="AS105" cm="1">
        <f t="array" ref="AS105">_xlfn.IFS(E105&lt;6,((E105/D105)*60)*0.5,AND(E105&gt;=6,E105&lt;9),((E105/D105)*60)*0.75,AND(E105&gt;=9,E105&lt;=11),((E105/D105)*60)*0.9,AND(E105=12),((E105/D105)*60)*1,AND(E105&gt;=13,E105&lt;=15),((E105/D105)*60)*1.2,AND(E105&gt;=16,E105&lt;=19),((E105/D105)*60)*1.5,E105&gt;=20,((E105/D105)*60)*1.8)</f>
        <v>22.905620360794334</v>
      </c>
      <c r="AT105" cm="1">
        <f t="array" ref="AT105">_xlfn.IFS(F105&lt;550,((F105/D105)*60)*0.5,AND(F105&gt;=550,F105&lt;575),((F105/D105)*60)*0.75,AND(F105&gt;=575,F105&lt;600),((F105/D105)*60)*0.9,AND(F105=600),((F105/D105)*60)*1,AND(F105&gt;=601,F105&lt;=625),((F105/D105)*60)*1.2,AND(F105&gt;=626,F105&lt;=650),((F105/D105)*60)*1.5,F105&gt;=651,((F105/D105)*60)*1.8)</f>
        <v>711.21951220266396</v>
      </c>
      <c r="AU105">
        <f t="shared" si="30"/>
        <v>-11.699999999999994</v>
      </c>
      <c r="AV105">
        <f t="shared" si="34"/>
        <v>291.31005302538335</v>
      </c>
      <c r="AW105">
        <f t="shared" si="31"/>
        <v>24.8</v>
      </c>
      <c r="AX105" t="str">
        <f t="shared" si="32"/>
        <v>Dec-2019</v>
      </c>
      <c r="AY105">
        <f>ROUNDUP(Table2[[#This Row],[Month]]/3,0)</f>
        <v>4</v>
      </c>
    </row>
    <row r="106" spans="1:51" x14ac:dyDescent="0.2">
      <c r="A106">
        <v>105</v>
      </c>
      <c r="B106">
        <f t="shared" si="19"/>
        <v>14</v>
      </c>
      <c r="C106" s="22">
        <v>43819</v>
      </c>
      <c r="D106">
        <f>SUM(Table2[[#This Row],[Gray Min]:[Red Min]])</f>
        <v>56.483333333000004</v>
      </c>
      <c r="E106">
        <v>17</v>
      </c>
      <c r="F106">
        <v>584</v>
      </c>
      <c r="G106">
        <v>123</v>
      </c>
      <c r="H106">
        <v>169</v>
      </c>
      <c r="I106">
        <v>19.95</v>
      </c>
      <c r="J106">
        <v>10.6</v>
      </c>
      <c r="K106">
        <v>8.6999999999999993</v>
      </c>
      <c r="L106">
        <v>14.85</v>
      </c>
      <c r="M106">
        <v>2.3833333329999999</v>
      </c>
      <c r="N106" t="s">
        <v>40</v>
      </c>
      <c r="O106" t="s">
        <v>26</v>
      </c>
      <c r="P106" t="s">
        <v>41</v>
      </c>
      <c r="Q106">
        <f t="shared" si="33"/>
        <v>2</v>
      </c>
      <c r="R106" t="str">
        <f t="shared" si="20"/>
        <v>12-2019</v>
      </c>
      <c r="S106" t="s">
        <v>47</v>
      </c>
      <c r="T106" t="str">
        <f t="shared" si="21"/>
        <v>Friday</v>
      </c>
      <c r="U106">
        <f t="shared" si="22"/>
        <v>1</v>
      </c>
      <c r="V106" s="24">
        <f>IFERROR(Table2[[#This Row],[Gray Min]]/Table2[[#This Row],[ClassLength]],"")</f>
        <v>0.35320153437800644</v>
      </c>
      <c r="W106" s="24">
        <f>IFERROR(Table2[[#This Row],[Blue Min]]/Table2[[#This Row],[ClassLength]],"")</f>
        <v>0.18766597816575781</v>
      </c>
      <c r="X106" s="24">
        <f>IFERROR(Table2[[#This Row],[Green Min]]/Table2[[#This Row],[ClassLength]],"")</f>
        <v>0.15402773679642387</v>
      </c>
      <c r="Y106" s="24">
        <f>IFERROR(Table2[[#This Row],[Orange Min]]/Table2[[#This Row],[ClassLength]],"")</f>
        <v>0.26290941280768904</v>
      </c>
      <c r="Z106" s="24">
        <f>IFERROR(Table2[[#This Row],[Red Min]]/Table2[[#This Row],[ClassLength]],"")</f>
        <v>4.2195337852122719E-2</v>
      </c>
      <c r="AA106" s="25">
        <v>232.14</v>
      </c>
      <c r="AB106" s="25">
        <f t="shared" si="35"/>
        <v>16.581428571428571</v>
      </c>
      <c r="AC106" s="26">
        <f t="shared" si="23"/>
        <v>626.71428571428567</v>
      </c>
      <c r="AD106" s="26">
        <f t="shared" si="24"/>
        <v>15.071428571428571</v>
      </c>
      <c r="AE106">
        <f t="shared" si="25"/>
        <v>2019</v>
      </c>
      <c r="AG106">
        <v>12</v>
      </c>
      <c r="AH106" s="26">
        <f t="shared" si="26"/>
        <v>10.339333136679487</v>
      </c>
      <c r="AI106" t="str">
        <f t="shared" si="27"/>
        <v>PM</v>
      </c>
      <c r="AJ106" t="str">
        <f t="shared" si="28"/>
        <v>12-2019-3</v>
      </c>
      <c r="AK106">
        <f t="shared" si="29"/>
        <v>12</v>
      </c>
      <c r="AL106" s="26">
        <f>IFERROR(Table2[[#This Row],[Calories]]/Table2[[#This Row],[Splat]],"")</f>
        <v>34.352941176470587</v>
      </c>
      <c r="AM106">
        <f>COUNTIF(N$2:$N$938,N106)</f>
        <v>38</v>
      </c>
      <c r="AN106" t="str">
        <f>VLOOKUP(N106,'Helpful Tables'!A:D,4,FALSE)</f>
        <v>Washington, DC</v>
      </c>
      <c r="AO106" s="24">
        <f>COUNTIF(AN:AN,Table2[[#This Row],[State]])/COUNTA(AN:AN)</f>
        <v>0.54904051172707891</v>
      </c>
      <c r="AP106">
        <f>VLOOKUP(N106,'Helpful Tables'!A:B,2,FALSE)</f>
        <v>38.903509999999997</v>
      </c>
      <c r="AQ106">
        <f>VLOOKUP(N106,'Helpful Tables'!A:C,3,FALSE)</f>
        <v>-77.051809000000006</v>
      </c>
      <c r="AR106">
        <f>COUNTIF(P$2:$P$938,P106)</f>
        <v>20</v>
      </c>
      <c r="AS106" cm="1">
        <f t="array" ref="AS106">_xlfn.IFS(E106&lt;6,((E106/D106)*60)*0.5,AND(E106&gt;=6,E106&lt;9),((E106/D106)*60)*0.75,AND(E106&gt;=9,E106&lt;=11),((E106/D106)*60)*0.9,AND(E106=12),((E106/D106)*60)*1,AND(E106&gt;=13,E106&lt;=15),((E106/D106)*60)*1.2,AND(E106&gt;=16,E106&lt;=19),((E106/D106)*60)*1.5,E106&gt;=20,((E106/D106)*60)*1.8)</f>
        <v>27.08763647109523</v>
      </c>
      <c r="AT106" cm="1">
        <f t="array" ref="AT106">_xlfn.IFS(F106&lt;550,((F106/D106)*60)*0.5,AND(F106&gt;=550,F106&lt;575),((F106/D106)*60)*0.75,AND(F106&gt;=575,F106&lt;600),((F106/D106)*60)*0.9,AND(F106=600),((F106/D106)*60)*1,AND(F106&gt;=601,F106&lt;=625),((F106/D106)*60)*1.2,AND(F106&gt;=626,F106&lt;=650),((F106/D106)*60)*1.5,F106&gt;=651,((F106/D106)*60)*1.8)</f>
        <v>558.3239893806923</v>
      </c>
      <c r="AU106">
        <f t="shared" si="30"/>
        <v>-2.2800000004999967</v>
      </c>
      <c r="AV106">
        <f t="shared" si="34"/>
        <v>233.70865034061501</v>
      </c>
      <c r="AW106">
        <f t="shared" si="31"/>
        <v>20.7</v>
      </c>
      <c r="AX106" t="str">
        <f t="shared" si="32"/>
        <v>Dec-2019</v>
      </c>
      <c r="AY106">
        <f>ROUNDUP(Table2[[#This Row],[Month]]/3,0)</f>
        <v>4</v>
      </c>
    </row>
    <row r="107" spans="1:51" x14ac:dyDescent="0.2">
      <c r="A107">
        <v>106</v>
      </c>
      <c r="B107">
        <f t="shared" si="19"/>
        <v>14</v>
      </c>
      <c r="C107" s="22">
        <v>43835</v>
      </c>
      <c r="D107">
        <f>SUM(Table2[[#This Row],[Gray Min]:[Red Min]])</f>
        <v>57.266666665999992</v>
      </c>
      <c r="E107">
        <v>21</v>
      </c>
      <c r="F107">
        <v>699</v>
      </c>
      <c r="G107">
        <v>135</v>
      </c>
      <c r="H107">
        <v>175</v>
      </c>
      <c r="I107">
        <v>4.7833333329999999</v>
      </c>
      <c r="J107">
        <v>16.733333333000001</v>
      </c>
      <c r="K107">
        <v>15.45</v>
      </c>
      <c r="L107">
        <v>12.566666667</v>
      </c>
      <c r="M107">
        <v>7.733333333</v>
      </c>
      <c r="N107" t="s">
        <v>33</v>
      </c>
      <c r="O107" t="s">
        <v>45</v>
      </c>
      <c r="P107" t="s">
        <v>34</v>
      </c>
      <c r="Q107">
        <f t="shared" si="33"/>
        <v>16</v>
      </c>
      <c r="R107" t="str">
        <f t="shared" si="20"/>
        <v>1-2020</v>
      </c>
      <c r="S107" t="s">
        <v>43</v>
      </c>
      <c r="T107" t="str">
        <f t="shared" si="21"/>
        <v>Sunday</v>
      </c>
      <c r="U107">
        <f t="shared" si="22"/>
        <v>1</v>
      </c>
      <c r="V107" s="24">
        <f>IFERROR(Table2[[#This Row],[Gray Min]]/Table2[[#This Row],[ClassLength]],"")</f>
        <v>8.3527357387468318E-2</v>
      </c>
      <c r="W107" s="24">
        <f>IFERROR(Table2[[#This Row],[Blue Min]]/Table2[[#This Row],[ClassLength]],"")</f>
        <v>0.29220023282645174</v>
      </c>
      <c r="X107" s="24">
        <f>IFERROR(Table2[[#This Row],[Green Min]]/Table2[[#This Row],[ClassLength]],"")</f>
        <v>0.2697904540194388</v>
      </c>
      <c r="Y107" s="24">
        <f>IFERROR(Table2[[#This Row],[Orange Min]]/Table2[[#This Row],[ClassLength]],"")</f>
        <v>0.21944121071850342</v>
      </c>
      <c r="Z107" s="24">
        <f>IFERROR(Table2[[#This Row],[Red Min]]/Table2[[#This Row],[ClassLength]],"")</f>
        <v>0.13504074504813787</v>
      </c>
      <c r="AA107" s="25">
        <v>232.14</v>
      </c>
      <c r="AB107" s="25">
        <f t="shared" si="35"/>
        <v>16.581428571428571</v>
      </c>
      <c r="AC107" s="26">
        <f t="shared" si="23"/>
        <v>613</v>
      </c>
      <c r="AD107" s="26">
        <f t="shared" si="24"/>
        <v>14.5</v>
      </c>
      <c r="AE107">
        <f t="shared" si="25"/>
        <v>2020</v>
      </c>
      <c r="AG107">
        <v>12</v>
      </c>
      <c r="AH107" s="26">
        <f t="shared" si="26"/>
        <v>12.206053550782377</v>
      </c>
      <c r="AI107" t="str">
        <f t="shared" si="27"/>
        <v>AM</v>
      </c>
      <c r="AJ107" t="str">
        <f t="shared" si="28"/>
        <v>1-2020-2</v>
      </c>
      <c r="AK107">
        <f t="shared" si="29"/>
        <v>1</v>
      </c>
      <c r="AL107" s="26">
        <f>IFERROR(Table2[[#This Row],[Calories]]/Table2[[#This Row],[Splat]],"")</f>
        <v>33.285714285714285</v>
      </c>
      <c r="AM107">
        <f>COUNTIF(N$2:$N$938,N107)</f>
        <v>48</v>
      </c>
      <c r="AN107" t="str">
        <f>VLOOKUP(N107,'Helpful Tables'!A:D,4,FALSE)</f>
        <v>Washington, DC</v>
      </c>
      <c r="AO107" s="24">
        <f>COUNTIF(AN:AN,Table2[[#This Row],[State]])/COUNTA(AN:AN)</f>
        <v>0.54904051172707891</v>
      </c>
      <c r="AP107">
        <f>VLOOKUP(N107,'Helpful Tables'!A:B,2,FALSE)</f>
        <v>38.916486999999996</v>
      </c>
      <c r="AQ107">
        <f>VLOOKUP(N107,'Helpful Tables'!A:C,3,FALSE)</f>
        <v>-77.031514000000001</v>
      </c>
      <c r="AR107">
        <f>COUNTIF(P$2:$P$938,P107)</f>
        <v>30</v>
      </c>
      <c r="AS107" cm="1">
        <f t="array" ref="AS107">_xlfn.IFS(E107&lt;6,((E107/D107)*60)*0.5,AND(E107&gt;=6,E107&lt;9),((E107/D107)*60)*0.75,AND(E107&gt;=9,E107&lt;=11),((E107/D107)*60)*0.9,AND(E107=12),((E107/D107)*60)*1,AND(E107&gt;=13,E107&lt;=15),((E107/D107)*60)*1.2,AND(E107&gt;=16,E107&lt;=19),((E107/D107)*60)*1.5,E107&gt;=20,((E107/D107)*60)*1.8)</f>
        <v>39.604190920135096</v>
      </c>
      <c r="AT107" cm="1">
        <f t="array" ref="AT107">_xlfn.IFS(F107&lt;550,((F107/D107)*60)*0.5,AND(F107&gt;=550,F107&lt;575),((F107/D107)*60)*0.75,AND(F107&gt;=575,F107&lt;600),((F107/D107)*60)*0.9,AND(F107=600),((F107/D107)*60)*1,AND(F107&gt;=601,F107&lt;=625),((F107/D107)*60)*1.2,AND(F107&gt;=626,F107&lt;=650),((F107/D107)*60)*1.5,F107&gt;=651,((F107/D107)*60)*1.8)</f>
        <v>1318.2537834844968</v>
      </c>
      <c r="AU107">
        <f t="shared" si="30"/>
        <v>22.3300000007</v>
      </c>
      <c r="AV107">
        <f t="shared" si="34"/>
        <v>547.60918976199264</v>
      </c>
      <c r="AW107">
        <f t="shared" si="31"/>
        <v>97.7</v>
      </c>
      <c r="AX107" t="str">
        <f t="shared" si="32"/>
        <v>Jan-2020</v>
      </c>
      <c r="AY107">
        <f>ROUNDUP(Table2[[#This Row],[Month]]/3,0)</f>
        <v>1</v>
      </c>
    </row>
    <row r="108" spans="1:51" x14ac:dyDescent="0.2">
      <c r="A108">
        <v>107</v>
      </c>
      <c r="B108">
        <f t="shared" si="19"/>
        <v>14</v>
      </c>
      <c r="C108" s="22">
        <v>43837</v>
      </c>
      <c r="D108">
        <f>SUM(Table2[[#This Row],[Gray Min]:[Red Min]])</f>
        <v>58.083333331999995</v>
      </c>
      <c r="E108">
        <v>14</v>
      </c>
      <c r="F108">
        <v>708</v>
      </c>
      <c r="G108">
        <v>135</v>
      </c>
      <c r="H108">
        <v>167</v>
      </c>
      <c r="I108">
        <v>4.3333333329999997</v>
      </c>
      <c r="J108">
        <v>6.6833333330000002</v>
      </c>
      <c r="K108">
        <v>32.833333332999999</v>
      </c>
      <c r="L108">
        <v>11.483333332999999</v>
      </c>
      <c r="M108">
        <v>2.75</v>
      </c>
      <c r="N108" t="s">
        <v>24</v>
      </c>
      <c r="O108" t="s">
        <v>26</v>
      </c>
      <c r="P108" t="s">
        <v>28</v>
      </c>
      <c r="Q108">
        <f t="shared" si="33"/>
        <v>2</v>
      </c>
      <c r="R108" t="str">
        <f t="shared" si="20"/>
        <v>1-2020</v>
      </c>
      <c r="S108" t="s">
        <v>47</v>
      </c>
      <c r="T108" t="str">
        <f t="shared" si="21"/>
        <v>Tuesday</v>
      </c>
      <c r="U108">
        <f t="shared" si="22"/>
        <v>1</v>
      </c>
      <c r="V108" s="24">
        <f>IFERROR(Table2[[#This Row],[Gray Min]]/Table2[[#This Row],[ClassLength]],"")</f>
        <v>7.460545193284604E-2</v>
      </c>
      <c r="W108" s="24">
        <f>IFERROR(Table2[[#This Row],[Blue Min]]/Table2[[#This Row],[ClassLength]],"")</f>
        <v>0.11506456240723248</v>
      </c>
      <c r="X108" s="24">
        <f>IFERROR(Table2[[#This Row],[Green Min]]/Table2[[#This Row],[ClassLength]],"")</f>
        <v>0.56527977045200073</v>
      </c>
      <c r="Y108" s="24">
        <f>IFERROR(Table2[[#This Row],[Orange Min]]/Table2[[#This Row],[ClassLength]],"")</f>
        <v>0.19770444763151115</v>
      </c>
      <c r="Z108" s="24">
        <f>IFERROR(Table2[[#This Row],[Red Min]]/Table2[[#This Row],[ClassLength]],"")</f>
        <v>4.734576757640966E-2</v>
      </c>
      <c r="AA108" s="25">
        <v>232.14</v>
      </c>
      <c r="AB108" s="25">
        <f t="shared" si="35"/>
        <v>16.581428571428571</v>
      </c>
      <c r="AC108" s="26">
        <f t="shared" si="23"/>
        <v>613</v>
      </c>
      <c r="AD108" s="26">
        <f t="shared" si="24"/>
        <v>14.5</v>
      </c>
      <c r="AE108">
        <f t="shared" si="25"/>
        <v>2020</v>
      </c>
      <c r="AG108">
        <v>12</v>
      </c>
      <c r="AH108" s="26">
        <f t="shared" si="26"/>
        <v>12.189383070581107</v>
      </c>
      <c r="AI108" t="str">
        <f t="shared" si="27"/>
        <v>PM</v>
      </c>
      <c r="AJ108" t="str">
        <f t="shared" si="28"/>
        <v>1-2020-2</v>
      </c>
      <c r="AK108">
        <f t="shared" si="29"/>
        <v>1</v>
      </c>
      <c r="AL108" s="26">
        <f>IFERROR(Table2[[#This Row],[Calories]]/Table2[[#This Row],[Splat]],"")</f>
        <v>50.571428571428569</v>
      </c>
      <c r="AM108">
        <f>COUNTIF(N$2:$N$938,N108)</f>
        <v>35</v>
      </c>
      <c r="AN108" t="str">
        <f>VLOOKUP(N108,'Helpful Tables'!A:D,4,FALSE)</f>
        <v>Virginia</v>
      </c>
      <c r="AO108" s="24">
        <f>COUNTIF(AN:AN,Table2[[#This Row],[State]])/COUNTA(AN:AN)</f>
        <v>5.6503198294243072E-2</v>
      </c>
      <c r="AP108">
        <f>VLOOKUP(N108,'Helpful Tables'!A:B,2,FALSE)</f>
        <v>38.881884999999997</v>
      </c>
      <c r="AQ108">
        <f>VLOOKUP(N108,'Helpful Tables'!A:C,3,FALSE)</f>
        <v>-77.229702000000003</v>
      </c>
      <c r="AR108">
        <f>COUNTIF(P$2:$P$938,P108)</f>
        <v>10</v>
      </c>
      <c r="AS108" cm="1">
        <f t="array" ref="AS108">_xlfn.IFS(E108&lt;6,((E108/D108)*60)*0.5,AND(E108&gt;=6,E108&lt;9),((E108/D108)*60)*0.75,AND(E108&gt;=9,E108&lt;=11),((E108/D108)*60)*0.9,AND(E108=12),((E108/D108)*60)*1,AND(E108&gt;=13,E108&lt;=15),((E108/D108)*60)*1.2,AND(E108&gt;=16,E108&lt;=19),((E108/D108)*60)*1.5,E108&gt;=20,((E108/D108)*60)*1.8)</f>
        <v>17.354375897098524</v>
      </c>
      <c r="AT108" cm="1">
        <f t="array" ref="AT108">_xlfn.IFS(F108&lt;550,((F108/D108)*60)*0.5,AND(F108&gt;=550,F108&lt;575),((F108/D108)*60)*0.75,AND(F108&gt;=575,F108&lt;600),((F108/D108)*60)*0.9,AND(F108=600),((F108/D108)*60)*1,AND(F108&gt;=601,F108&lt;=625),((F108/D108)*60)*1.2,AND(F108&gt;=626,F108&lt;=650),((F108/D108)*60)*1.5,F108&gt;=651,((F108/D108)*60)*1.8)</f>
        <v>1316.4533716227595</v>
      </c>
      <c r="AU108">
        <f t="shared" si="30"/>
        <v>45.901666666599994</v>
      </c>
      <c r="AV108">
        <f t="shared" si="34"/>
        <v>542.70343234126324</v>
      </c>
      <c r="AW108">
        <f t="shared" si="31"/>
        <v>96.7</v>
      </c>
      <c r="AX108" t="str">
        <f t="shared" si="32"/>
        <v>Jan-2020</v>
      </c>
      <c r="AY108">
        <f>ROUNDUP(Table2[[#This Row],[Month]]/3,0)</f>
        <v>1</v>
      </c>
    </row>
    <row r="109" spans="1:51" x14ac:dyDescent="0.2">
      <c r="A109">
        <v>108</v>
      </c>
      <c r="B109">
        <f t="shared" si="19"/>
        <v>14</v>
      </c>
      <c r="C109" s="22">
        <v>43838</v>
      </c>
      <c r="D109">
        <f>SUM(Table2[[#This Row],[Gray Min]:[Red Min]])</f>
        <v>58.199999999999996</v>
      </c>
      <c r="E109">
        <v>17</v>
      </c>
      <c r="F109">
        <v>648</v>
      </c>
      <c r="G109">
        <v>128</v>
      </c>
      <c r="H109">
        <v>174</v>
      </c>
      <c r="I109">
        <v>13.066666667</v>
      </c>
      <c r="J109">
        <v>12.266666667000001</v>
      </c>
      <c r="K109">
        <v>15.8</v>
      </c>
      <c r="L109">
        <v>13.983333332999999</v>
      </c>
      <c r="M109">
        <v>3.0833333330000001</v>
      </c>
      <c r="N109" t="s">
        <v>40</v>
      </c>
      <c r="O109" t="s">
        <v>26</v>
      </c>
      <c r="P109" t="s">
        <v>41</v>
      </c>
      <c r="Q109">
        <f t="shared" si="33"/>
        <v>1</v>
      </c>
      <c r="R109" t="str">
        <f t="shared" si="20"/>
        <v>1-2020</v>
      </c>
      <c r="S109" t="s">
        <v>47</v>
      </c>
      <c r="T109" t="str">
        <f t="shared" si="21"/>
        <v>Wednesday</v>
      </c>
      <c r="U109">
        <f t="shared" si="22"/>
        <v>1</v>
      </c>
      <c r="V109" s="24">
        <f>IFERROR(Table2[[#This Row],[Gray Min]]/Table2[[#This Row],[ClassLength]],"")</f>
        <v>0.22451317297250861</v>
      </c>
      <c r="W109" s="24">
        <f>IFERROR(Table2[[#This Row],[Blue Min]]/Table2[[#This Row],[ClassLength]],"")</f>
        <v>0.21076746850515468</v>
      </c>
      <c r="X109" s="24">
        <f>IFERROR(Table2[[#This Row],[Green Min]]/Table2[[#This Row],[ClassLength]],"")</f>
        <v>0.27147766323024058</v>
      </c>
      <c r="Y109" s="24">
        <f>IFERROR(Table2[[#This Row],[Orange Min]]/Table2[[#This Row],[ClassLength]],"")</f>
        <v>0.2402634593298969</v>
      </c>
      <c r="Z109" s="24">
        <f>IFERROR(Table2[[#This Row],[Red Min]]/Table2[[#This Row],[ClassLength]],"")</f>
        <v>5.2978235962199319E-2</v>
      </c>
      <c r="AA109" s="25">
        <v>232.14</v>
      </c>
      <c r="AB109" s="25">
        <f t="shared" si="35"/>
        <v>16.581428571428571</v>
      </c>
      <c r="AC109" s="26">
        <f t="shared" si="23"/>
        <v>613</v>
      </c>
      <c r="AD109" s="26">
        <f t="shared" si="24"/>
        <v>14.5</v>
      </c>
      <c r="AE109">
        <f t="shared" si="25"/>
        <v>2020</v>
      </c>
      <c r="AG109">
        <v>12</v>
      </c>
      <c r="AH109" s="26">
        <f t="shared" si="26"/>
        <v>11.134020618556702</v>
      </c>
      <c r="AI109" t="str">
        <f t="shared" si="27"/>
        <v>PM</v>
      </c>
      <c r="AJ109" t="str">
        <f t="shared" si="28"/>
        <v>1-2020-2</v>
      </c>
      <c r="AK109">
        <f t="shared" si="29"/>
        <v>1</v>
      </c>
      <c r="AL109" s="26">
        <f>IFERROR(Table2[[#This Row],[Calories]]/Table2[[#This Row],[Splat]],"")</f>
        <v>38.117647058823529</v>
      </c>
      <c r="AM109">
        <f>COUNTIF(N$2:$N$938,N109)</f>
        <v>38</v>
      </c>
      <c r="AN109" t="str">
        <f>VLOOKUP(N109,'Helpful Tables'!A:D,4,FALSE)</f>
        <v>Washington, DC</v>
      </c>
      <c r="AO109" s="24">
        <f>COUNTIF(AN:AN,Table2[[#This Row],[State]])/COUNTA(AN:AN)</f>
        <v>0.54904051172707891</v>
      </c>
      <c r="AP109">
        <f>VLOOKUP(N109,'Helpful Tables'!A:B,2,FALSE)</f>
        <v>38.903509999999997</v>
      </c>
      <c r="AQ109">
        <f>VLOOKUP(N109,'Helpful Tables'!A:C,3,FALSE)</f>
        <v>-77.051809000000006</v>
      </c>
      <c r="AR109">
        <f>COUNTIF(P$2:$P$938,P109)</f>
        <v>20</v>
      </c>
      <c r="AS109" cm="1">
        <f t="array" ref="AS109">_xlfn.IFS(E109&lt;6,((E109/D109)*60)*0.5,AND(E109&gt;=6,E109&lt;9),((E109/D109)*60)*0.75,AND(E109&gt;=9,E109&lt;=11),((E109/D109)*60)*0.9,AND(E109=12),((E109/D109)*60)*1,AND(E109&gt;=13,E109&lt;=15),((E109/D109)*60)*1.2,AND(E109&gt;=16,E109&lt;=19),((E109/D109)*60)*1.5,E109&gt;=20,((E109/D109)*60)*1.8)</f>
        <v>26.288659793814436</v>
      </c>
      <c r="AT109" cm="1">
        <f t="array" ref="AT109">_xlfn.IFS(F109&lt;550,((F109/D109)*60)*0.5,AND(F109&gt;=550,F109&lt;575),((F109/D109)*60)*0.75,AND(F109&gt;=575,F109&lt;600),((F109/D109)*60)*0.9,AND(F109=600),((F109/D109)*60)*1,AND(F109&gt;=601,F109&lt;=625),((F109/D109)*60)*1.2,AND(F109&gt;=626,F109&lt;=650),((F109/D109)*60)*1.5,F109&gt;=651,((F109/D109)*60)*1.8)</f>
        <v>1002.0618556701033</v>
      </c>
      <c r="AU109">
        <f t="shared" si="30"/>
        <v>12.5899999983</v>
      </c>
      <c r="AV109">
        <f t="shared" si="34"/>
        <v>413.85820618522712</v>
      </c>
      <c r="AW109">
        <f t="shared" si="31"/>
        <v>59.8</v>
      </c>
      <c r="AX109" t="str">
        <f t="shared" si="32"/>
        <v>Jan-2020</v>
      </c>
      <c r="AY109">
        <f>ROUNDUP(Table2[[#This Row],[Month]]/3,0)</f>
        <v>1</v>
      </c>
    </row>
    <row r="110" spans="1:51" x14ac:dyDescent="0.2">
      <c r="A110">
        <v>109</v>
      </c>
      <c r="B110">
        <f t="shared" si="19"/>
        <v>14</v>
      </c>
      <c r="C110" s="22">
        <v>43840</v>
      </c>
      <c r="D110">
        <f>SUM(Table2[[#This Row],[Gray Min]:[Red Min]])</f>
        <v>57.133333332999996</v>
      </c>
      <c r="E110">
        <v>20</v>
      </c>
      <c r="F110">
        <v>619</v>
      </c>
      <c r="G110">
        <v>126</v>
      </c>
      <c r="H110">
        <v>172</v>
      </c>
      <c r="I110">
        <v>19.133333332999999</v>
      </c>
      <c r="J110">
        <v>10.266666667000001</v>
      </c>
      <c r="K110">
        <v>7.6166666669999996</v>
      </c>
      <c r="L110">
        <v>14.033333333</v>
      </c>
      <c r="M110">
        <v>6.0833333329999997</v>
      </c>
      <c r="N110" t="s">
        <v>55</v>
      </c>
      <c r="O110" t="s">
        <v>39</v>
      </c>
      <c r="P110" t="s">
        <v>62</v>
      </c>
      <c r="Q110">
        <f t="shared" si="33"/>
        <v>2</v>
      </c>
      <c r="R110" t="str">
        <f t="shared" si="20"/>
        <v>1-2020</v>
      </c>
      <c r="S110" t="s">
        <v>47</v>
      </c>
      <c r="T110" t="str">
        <f t="shared" si="21"/>
        <v>Friday</v>
      </c>
      <c r="U110">
        <f t="shared" si="22"/>
        <v>1</v>
      </c>
      <c r="V110" s="24">
        <f>IFERROR(Table2[[#This Row],[Gray Min]]/Table2[[#This Row],[ClassLength]],"")</f>
        <v>0.33488914818748478</v>
      </c>
      <c r="W110" s="24">
        <f>IFERROR(Table2[[#This Row],[Blue Min]]/Table2[[#This Row],[ClassLength]],"")</f>
        <v>0.17969661610956653</v>
      </c>
      <c r="X110" s="24">
        <f>IFERROR(Table2[[#This Row],[Green Min]]/Table2[[#This Row],[ClassLength]],"")</f>
        <v>0.13331388565422003</v>
      </c>
      <c r="Y110" s="24">
        <f>IFERROR(Table2[[#This Row],[Orange Min]]/Table2[[#This Row],[ClassLength]],"")</f>
        <v>0.24562427070738405</v>
      </c>
      <c r="Z110" s="24">
        <f>IFERROR(Table2[[#This Row],[Red Min]]/Table2[[#This Row],[ClassLength]],"")</f>
        <v>0.10647607934134468</v>
      </c>
      <c r="AA110" s="25">
        <v>232.14</v>
      </c>
      <c r="AB110" s="25">
        <f t="shared" si="35"/>
        <v>16.581428571428571</v>
      </c>
      <c r="AC110" s="26">
        <f t="shared" si="23"/>
        <v>613</v>
      </c>
      <c r="AD110" s="26">
        <f t="shared" si="24"/>
        <v>14.5</v>
      </c>
      <c r="AE110">
        <f t="shared" si="25"/>
        <v>2020</v>
      </c>
      <c r="AG110">
        <v>12</v>
      </c>
      <c r="AH110" s="26">
        <f t="shared" si="26"/>
        <v>10.834305717682815</v>
      </c>
      <c r="AI110" t="str">
        <f t="shared" si="27"/>
        <v>PM</v>
      </c>
      <c r="AJ110" t="str">
        <f t="shared" si="28"/>
        <v>1-2020-2</v>
      </c>
      <c r="AK110">
        <f t="shared" si="29"/>
        <v>1</v>
      </c>
      <c r="AL110" s="26">
        <f>IFERROR(Table2[[#This Row],[Calories]]/Table2[[#This Row],[Splat]],"")</f>
        <v>30.95</v>
      </c>
      <c r="AM110">
        <f>COUNTIF(N$2:$N$938,N110)</f>
        <v>3</v>
      </c>
      <c r="AN110" t="str">
        <f>VLOOKUP(N110,'Helpful Tables'!A:D,4,FALSE)</f>
        <v>Washington, DC</v>
      </c>
      <c r="AO110" s="24">
        <f>COUNTIF(AN:AN,Table2[[#This Row],[State]])/COUNTA(AN:AN)</f>
        <v>0.54904051172707891</v>
      </c>
      <c r="AP110">
        <f>VLOOKUP(N110,'Helpful Tables'!A:B,2,FALSE)</f>
        <v>38.901815999999997</v>
      </c>
      <c r="AQ110">
        <f>VLOOKUP(N110,'Helpful Tables'!A:C,3,FALSE)</f>
        <v>-77.017055999999997</v>
      </c>
      <c r="AR110">
        <f>COUNTIF(P$2:$P$938,P110)</f>
        <v>2</v>
      </c>
      <c r="AS110" cm="1">
        <f t="array" ref="AS110">_xlfn.IFS(E110&lt;6,((E110/D110)*60)*0.5,AND(E110&gt;=6,E110&lt;9),((E110/D110)*60)*0.75,AND(E110&gt;=9,E110&lt;=11),((E110/D110)*60)*0.9,AND(E110=12),((E110/D110)*60)*1,AND(E110&gt;=13,E110&lt;=15),((E110/D110)*60)*1.2,AND(E110&gt;=16,E110&lt;=19),((E110/D110)*60)*1.5,E110&gt;=20,((E110/D110)*60)*1.8)</f>
        <v>37.806301050395604</v>
      </c>
      <c r="AT110" cm="1">
        <f t="array" ref="AT110">_xlfn.IFS(F110&lt;550,((F110/D110)*60)*0.5,AND(F110&gt;=550,F110&lt;575),((F110/D110)*60)*0.75,AND(F110&gt;=575,F110&lt;600),((F110/D110)*60)*0.9,AND(F110=600),((F110/D110)*60)*1,AND(F110&gt;=601,F110&lt;=625),((F110/D110)*60)*1.2,AND(F110&gt;=626,F110&lt;=650),((F110/D110)*60)*1.5,F110&gt;=651,((F110/D110)*60)*1.8)</f>
        <v>780.07001167316264</v>
      </c>
      <c r="AU110">
        <f t="shared" si="30"/>
        <v>2.2549999995000025</v>
      </c>
      <c r="AV110">
        <f t="shared" si="34"/>
        <v>327.60152508932333</v>
      </c>
      <c r="AW110">
        <f t="shared" si="31"/>
        <v>39.5</v>
      </c>
      <c r="AX110" t="str">
        <f t="shared" si="32"/>
        <v>Jan-2020</v>
      </c>
      <c r="AY110">
        <f>ROUNDUP(Table2[[#This Row],[Month]]/3,0)</f>
        <v>1</v>
      </c>
    </row>
    <row r="111" spans="1:51" x14ac:dyDescent="0.2">
      <c r="A111">
        <v>110</v>
      </c>
      <c r="B111">
        <f t="shared" si="19"/>
        <v>14</v>
      </c>
      <c r="C111" s="22">
        <v>43841</v>
      </c>
      <c r="D111">
        <f>SUM(Table2[[#This Row],[Gray Min]:[Red Min]])</f>
        <v>56.083333332999999</v>
      </c>
      <c r="E111">
        <v>12</v>
      </c>
      <c r="F111">
        <v>636</v>
      </c>
      <c r="G111">
        <v>129</v>
      </c>
      <c r="H111">
        <v>170</v>
      </c>
      <c r="I111">
        <v>7.65</v>
      </c>
      <c r="J111">
        <v>16.5</v>
      </c>
      <c r="K111">
        <v>20.083333332999999</v>
      </c>
      <c r="L111">
        <v>10.133333332999999</v>
      </c>
      <c r="M111">
        <v>1.7166666669999999</v>
      </c>
      <c r="N111" t="s">
        <v>33</v>
      </c>
      <c r="O111" t="s">
        <v>45</v>
      </c>
      <c r="P111" t="s">
        <v>34</v>
      </c>
      <c r="Q111">
        <f t="shared" si="33"/>
        <v>1</v>
      </c>
      <c r="R111" t="str">
        <f t="shared" si="20"/>
        <v>1-2020</v>
      </c>
      <c r="S111" t="s">
        <v>43</v>
      </c>
      <c r="T111" t="str">
        <f t="shared" si="21"/>
        <v>Saturday</v>
      </c>
      <c r="U111">
        <f t="shared" si="22"/>
        <v>1</v>
      </c>
      <c r="V111" s="24">
        <f>IFERROR(Table2[[#This Row],[Gray Min]]/Table2[[#This Row],[ClassLength]],"")</f>
        <v>0.13640416047629364</v>
      </c>
      <c r="W111" s="24">
        <f>IFERROR(Table2[[#This Row],[Blue Min]]/Table2[[#This Row],[ClassLength]],"")</f>
        <v>0.29420505200769215</v>
      </c>
      <c r="X111" s="24">
        <f>IFERROR(Table2[[#This Row],[Green Min]]/Table2[[#This Row],[ClassLength]],"")</f>
        <v>0.35809806834685348</v>
      </c>
      <c r="Y111" s="24">
        <f>IFERROR(Table2[[#This Row],[Orange Min]]/Table2[[#This Row],[ClassLength]],"")</f>
        <v>0.18068350668160882</v>
      </c>
      <c r="Z111" s="24">
        <f>IFERROR(Table2[[#This Row],[Red Min]]/Table2[[#This Row],[ClassLength]],"")</f>
        <v>3.0609212487551912E-2</v>
      </c>
      <c r="AA111" s="25">
        <v>232.14</v>
      </c>
      <c r="AB111" s="25">
        <f t="shared" si="35"/>
        <v>16.581428571428571</v>
      </c>
      <c r="AC111" s="26">
        <f t="shared" si="23"/>
        <v>613</v>
      </c>
      <c r="AD111" s="26">
        <f t="shared" si="24"/>
        <v>14.5</v>
      </c>
      <c r="AE111">
        <f t="shared" si="25"/>
        <v>2020</v>
      </c>
      <c r="AG111">
        <v>12</v>
      </c>
      <c r="AH111" s="26">
        <f t="shared" si="26"/>
        <v>11.340267459205588</v>
      </c>
      <c r="AI111" t="str">
        <f t="shared" si="27"/>
        <v>AM</v>
      </c>
      <c r="AJ111" t="str">
        <f t="shared" si="28"/>
        <v>1-2020-2</v>
      </c>
      <c r="AK111">
        <f t="shared" si="29"/>
        <v>1</v>
      </c>
      <c r="AL111" s="26">
        <f>IFERROR(Table2[[#This Row],[Calories]]/Table2[[#This Row],[Splat]],"")</f>
        <v>53</v>
      </c>
      <c r="AM111">
        <f>COUNTIF(N$2:$N$938,N111)</f>
        <v>48</v>
      </c>
      <c r="AN111" t="str">
        <f>VLOOKUP(N111,'Helpful Tables'!A:D,4,FALSE)</f>
        <v>Washington, DC</v>
      </c>
      <c r="AO111" s="24">
        <f>COUNTIF(AN:AN,Table2[[#This Row],[State]])/COUNTA(AN:AN)</f>
        <v>0.54904051172707891</v>
      </c>
      <c r="AP111">
        <f>VLOOKUP(N111,'Helpful Tables'!A:B,2,FALSE)</f>
        <v>38.916486999999996</v>
      </c>
      <c r="AQ111">
        <f>VLOOKUP(N111,'Helpful Tables'!A:C,3,FALSE)</f>
        <v>-77.031514000000001</v>
      </c>
      <c r="AR111">
        <f>COUNTIF(P$2:$P$938,P111)</f>
        <v>30</v>
      </c>
      <c r="AS111" cm="1">
        <f t="array" ref="AS111">_xlfn.IFS(E111&lt;6,((E111/D111)*60)*0.5,AND(E111&gt;=6,E111&lt;9),((E111/D111)*60)*0.75,AND(E111&gt;=9,E111&lt;=11),((E111/D111)*60)*0.9,AND(E111=12),((E111/D111)*60)*1,AND(E111&gt;=13,E111&lt;=15),((E111/D111)*60)*1.2,AND(E111&gt;=16,E111&lt;=19),((E111/D111)*60)*1.5,E111&gt;=20,((E111/D111)*60)*1.8)</f>
        <v>12.838038633062931</v>
      </c>
      <c r="AT111" cm="1">
        <f t="array" ref="AT111">_xlfn.IFS(F111&lt;550,((F111/D111)*60)*0.5,AND(F111&gt;=550,F111&lt;575),((F111/D111)*60)*0.75,AND(F111&gt;=575,F111&lt;600),((F111/D111)*60)*0.9,AND(F111=600),((F111/D111)*60)*1,AND(F111&gt;=601,F111&lt;=625),((F111/D111)*60)*1.2,AND(F111&gt;=626,F111&lt;=650),((F111/D111)*60)*1.5,F111&gt;=651,((F111/D111)*60)*1.8)</f>
        <v>1020.6240713285029</v>
      </c>
      <c r="AU111">
        <f t="shared" si="30"/>
        <v>12.518333332999996</v>
      </c>
      <c r="AV111">
        <f t="shared" si="34"/>
        <v>415.88851065122634</v>
      </c>
      <c r="AW111">
        <f t="shared" si="31"/>
        <v>60.3</v>
      </c>
      <c r="AX111" t="str">
        <f t="shared" si="32"/>
        <v>Jan-2020</v>
      </c>
      <c r="AY111">
        <f>ROUNDUP(Table2[[#This Row],[Month]]/3,0)</f>
        <v>1</v>
      </c>
    </row>
    <row r="112" spans="1:51" x14ac:dyDescent="0.2">
      <c r="A112">
        <v>111</v>
      </c>
      <c r="B112">
        <f t="shared" si="19"/>
        <v>14</v>
      </c>
      <c r="C112" s="22">
        <v>43843</v>
      </c>
      <c r="D112">
        <f>SUM(Table2[[#This Row],[Gray Min]:[Red Min]])</f>
        <v>61.916666667000001</v>
      </c>
      <c r="E112">
        <v>22</v>
      </c>
      <c r="F112">
        <v>669</v>
      </c>
      <c r="G112">
        <v>126</v>
      </c>
      <c r="H112">
        <v>171</v>
      </c>
      <c r="I112">
        <v>19.600000000000001</v>
      </c>
      <c r="J112">
        <v>14.216666667</v>
      </c>
      <c r="K112">
        <v>6.6</v>
      </c>
      <c r="L112">
        <v>13.983333332999999</v>
      </c>
      <c r="M112">
        <v>7.516666667</v>
      </c>
      <c r="N112" t="s">
        <v>40</v>
      </c>
      <c r="O112" t="s">
        <v>26</v>
      </c>
      <c r="P112" t="s">
        <v>64</v>
      </c>
      <c r="Q112">
        <f t="shared" si="33"/>
        <v>2</v>
      </c>
      <c r="R112" t="str">
        <f t="shared" si="20"/>
        <v>1-2020</v>
      </c>
      <c r="S112" t="s">
        <v>47</v>
      </c>
      <c r="T112" t="str">
        <f t="shared" si="21"/>
        <v>Monday</v>
      </c>
      <c r="U112">
        <f t="shared" si="22"/>
        <v>1</v>
      </c>
      <c r="V112" s="24">
        <f>IFERROR(Table2[[#This Row],[Gray Min]]/Table2[[#This Row],[ClassLength]],"")</f>
        <v>0.31655450874661345</v>
      </c>
      <c r="W112" s="24">
        <f>IFERROR(Table2[[#This Row],[Blue Min]]/Table2[[#This Row],[ClassLength]],"")</f>
        <v>0.22960969044829282</v>
      </c>
      <c r="X112" s="24">
        <f>IFERROR(Table2[[#This Row],[Green Min]]/Table2[[#This Row],[ClassLength]],"")</f>
        <v>0.10659488559834941</v>
      </c>
      <c r="Y112" s="24">
        <f>IFERROR(Table2[[#This Row],[Orange Min]]/Table2[[#This Row],[ClassLength]],"")</f>
        <v>0.22584118438101833</v>
      </c>
      <c r="Z112" s="24">
        <f>IFERROR(Table2[[#This Row],[Red Min]]/Table2[[#This Row],[ClassLength]],"")</f>
        <v>0.12139973082572597</v>
      </c>
      <c r="AA112" s="25">
        <v>232.14</v>
      </c>
      <c r="AB112" s="25">
        <f t="shared" si="35"/>
        <v>16.581428571428571</v>
      </c>
      <c r="AC112" s="26">
        <f t="shared" si="23"/>
        <v>613</v>
      </c>
      <c r="AD112" s="26">
        <f t="shared" si="24"/>
        <v>14.5</v>
      </c>
      <c r="AE112">
        <f t="shared" si="25"/>
        <v>2020</v>
      </c>
      <c r="AG112">
        <v>12</v>
      </c>
      <c r="AH112" s="26">
        <f t="shared" si="26"/>
        <v>10.80484522201451</v>
      </c>
      <c r="AI112" t="str">
        <f t="shared" si="27"/>
        <v>PM</v>
      </c>
      <c r="AJ112" t="str">
        <f t="shared" si="28"/>
        <v>1-2020-3</v>
      </c>
      <c r="AK112">
        <f t="shared" si="29"/>
        <v>1</v>
      </c>
      <c r="AL112" s="26">
        <f>IFERROR(Table2[[#This Row],[Calories]]/Table2[[#This Row],[Splat]],"")</f>
        <v>30.40909090909091</v>
      </c>
      <c r="AM112">
        <f>COUNTIF(N$2:$N$938,N112)</f>
        <v>38</v>
      </c>
      <c r="AN112" t="str">
        <f>VLOOKUP(N112,'Helpful Tables'!A:D,4,FALSE)</f>
        <v>Washington, DC</v>
      </c>
      <c r="AO112" s="24">
        <f>COUNTIF(AN:AN,Table2[[#This Row],[State]])/COUNTA(AN:AN)</f>
        <v>0.54904051172707891</v>
      </c>
      <c r="AP112">
        <f>VLOOKUP(N112,'Helpful Tables'!A:B,2,FALSE)</f>
        <v>38.903509999999997</v>
      </c>
      <c r="AQ112">
        <f>VLOOKUP(N112,'Helpful Tables'!A:C,3,FALSE)</f>
        <v>-77.051809000000006</v>
      </c>
      <c r="AR112">
        <f>COUNTIF(P$2:$P$938,P112)</f>
        <v>8</v>
      </c>
      <c r="AS112" cm="1">
        <f t="array" ref="AS112">_xlfn.IFS(E112&lt;6,((E112/D112)*60)*0.5,AND(E112&gt;=6,E112&lt;9),((E112/D112)*60)*0.75,AND(E112&gt;=9,E112&lt;=11),((E112/D112)*60)*0.9,AND(E112=12),((E112/D112)*60)*1,AND(E112&gt;=13,E112&lt;=15),((E112/D112)*60)*1.2,AND(E112&gt;=16,E112&lt;=19),((E112/D112)*60)*1.5,E112&gt;=20,((E112/D112)*60)*1.8)</f>
        <v>38.374158815405785</v>
      </c>
      <c r="AT112" cm="1">
        <f t="array" ref="AT112">_xlfn.IFS(F112&lt;550,((F112/D112)*60)*0.5,AND(F112&gt;=550,F112&lt;575),((F112/D112)*60)*0.75,AND(F112&gt;=575,F112&lt;600),((F112/D112)*60)*0.9,AND(F112=600),((F112/D112)*60)*1,AND(F112&gt;=601,F112&lt;=625),((F112/D112)*60)*1.2,AND(F112&gt;=626,F112&lt;=650),((F112/D112)*60)*1.5,F112&gt;=651,((F112/D112)*60)*1.8)</f>
        <v>1166.9232839775671</v>
      </c>
      <c r="AU112">
        <f t="shared" si="30"/>
        <v>-1.7850000003000019</v>
      </c>
      <c r="AV112">
        <f t="shared" si="34"/>
        <v>481.76197711712916</v>
      </c>
      <c r="AW112">
        <f t="shared" si="31"/>
        <v>70.3</v>
      </c>
      <c r="AX112" t="str">
        <f t="shared" si="32"/>
        <v>Jan-2020</v>
      </c>
      <c r="AY112">
        <f>ROUNDUP(Table2[[#This Row],[Month]]/3,0)</f>
        <v>1</v>
      </c>
    </row>
    <row r="113" spans="1:51" x14ac:dyDescent="0.2">
      <c r="A113">
        <v>112</v>
      </c>
      <c r="B113">
        <f t="shared" si="19"/>
        <v>14</v>
      </c>
      <c r="C113" s="22">
        <v>43845</v>
      </c>
      <c r="D113">
        <f>SUM(Table2[[#This Row],[Gray Min]:[Red Min]])</f>
        <v>57.116666668000001</v>
      </c>
      <c r="E113">
        <v>17</v>
      </c>
      <c r="F113">
        <v>619</v>
      </c>
      <c r="G113">
        <v>126</v>
      </c>
      <c r="H113">
        <v>166</v>
      </c>
      <c r="I113">
        <v>16.2</v>
      </c>
      <c r="J113">
        <v>9.1166666670000005</v>
      </c>
      <c r="K113">
        <v>14.966666667</v>
      </c>
      <c r="L113">
        <v>15.816666667</v>
      </c>
      <c r="M113">
        <v>1.016666667</v>
      </c>
      <c r="N113" t="s">
        <v>40</v>
      </c>
      <c r="O113" t="s">
        <v>26</v>
      </c>
      <c r="P113" t="s">
        <v>41</v>
      </c>
      <c r="Q113">
        <f t="shared" si="33"/>
        <v>2</v>
      </c>
      <c r="R113" t="str">
        <f t="shared" si="20"/>
        <v>1-2020</v>
      </c>
      <c r="S113" t="s">
        <v>47</v>
      </c>
      <c r="T113" t="str">
        <f t="shared" si="21"/>
        <v>Wednesday</v>
      </c>
      <c r="U113">
        <f t="shared" si="22"/>
        <v>1</v>
      </c>
      <c r="V113" s="24">
        <f>IFERROR(Table2[[#This Row],[Gray Min]]/Table2[[#This Row],[ClassLength]],"")</f>
        <v>0.28362999707537484</v>
      </c>
      <c r="W113" s="24">
        <f>IFERROR(Table2[[#This Row],[Blue Min]]/Table2[[#This Row],[ClassLength]],"")</f>
        <v>0.15961482346286282</v>
      </c>
      <c r="X113" s="24">
        <f>IFERROR(Table2[[#This Row],[Green Min]]/Table2[[#This Row],[ClassLength]],"")</f>
        <v>0.26203676685119259</v>
      </c>
      <c r="Y113" s="24">
        <f>IFERROR(Table2[[#This Row],[Orange Min]]/Table2[[#This Row],[ClassLength]],"")</f>
        <v>0.27691858768539435</v>
      </c>
      <c r="Z113" s="24">
        <f>IFERROR(Table2[[#This Row],[Red Min]]/Table2[[#This Row],[ClassLength]],"")</f>
        <v>1.7799824925175376E-2</v>
      </c>
      <c r="AA113" s="25">
        <v>232.14</v>
      </c>
      <c r="AB113" s="25">
        <f t="shared" si="35"/>
        <v>16.581428571428571</v>
      </c>
      <c r="AC113" s="26">
        <f t="shared" si="23"/>
        <v>613</v>
      </c>
      <c r="AD113" s="26">
        <f t="shared" si="24"/>
        <v>14.5</v>
      </c>
      <c r="AE113">
        <f t="shared" si="25"/>
        <v>2020</v>
      </c>
      <c r="AG113">
        <v>12</v>
      </c>
      <c r="AH113" s="26">
        <f t="shared" si="26"/>
        <v>10.837467172201052</v>
      </c>
      <c r="AI113" t="str">
        <f t="shared" si="27"/>
        <v>PM</v>
      </c>
      <c r="AJ113" t="str">
        <f t="shared" si="28"/>
        <v>1-2020-3</v>
      </c>
      <c r="AK113">
        <f t="shared" si="29"/>
        <v>1</v>
      </c>
      <c r="AL113" s="26">
        <f>IFERROR(Table2[[#This Row],[Calories]]/Table2[[#This Row],[Splat]],"")</f>
        <v>36.411764705882355</v>
      </c>
      <c r="AM113">
        <f>COUNTIF(N$2:$N$938,N113)</f>
        <v>38</v>
      </c>
      <c r="AN113" t="str">
        <f>VLOOKUP(N113,'Helpful Tables'!A:D,4,FALSE)</f>
        <v>Washington, DC</v>
      </c>
      <c r="AO113" s="24">
        <f>COUNTIF(AN:AN,Table2[[#This Row],[State]])/COUNTA(AN:AN)</f>
        <v>0.54904051172707891</v>
      </c>
      <c r="AP113">
        <f>VLOOKUP(N113,'Helpful Tables'!A:B,2,FALSE)</f>
        <v>38.903509999999997</v>
      </c>
      <c r="AQ113">
        <f>VLOOKUP(N113,'Helpful Tables'!A:C,3,FALSE)</f>
        <v>-77.051809000000006</v>
      </c>
      <c r="AR113">
        <f>COUNTIF(P$2:$P$938,P113)</f>
        <v>20</v>
      </c>
      <c r="AS113" cm="1">
        <f t="array" ref="AS113">_xlfn.IFS(E113&lt;6,((E113/D113)*60)*0.5,AND(E113&gt;=6,E113&lt;9),((E113/D113)*60)*0.75,AND(E113&gt;=9,E113&lt;=11),((E113/D113)*60)*0.9,AND(E113=12),((E113/D113)*60)*1,AND(E113&gt;=13,E113&lt;=15),((E113/D113)*60)*1.2,AND(E113&gt;=16,E113&lt;=19),((E113/D113)*60)*1.5,E113&gt;=20,((E113/D113)*60)*1.8)</f>
        <v>26.787277501563182</v>
      </c>
      <c r="AT113" cm="1">
        <f t="array" ref="AT113">_xlfn.IFS(F113&lt;550,((F113/D113)*60)*0.5,AND(F113&gt;=550,F113&lt;575),((F113/D113)*60)*0.75,AND(F113&gt;=575,F113&lt;600),((F113/D113)*60)*0.9,AND(F113=600),((F113/D113)*60)*1,AND(F113&gt;=601,F113&lt;=625),((F113/D113)*60)*1.2,AND(F113&gt;=626,F113&lt;=650),((F113/D113)*60)*1.5,F113&gt;=651,((F113/D113)*60)*1.8)</f>
        <v>780.29763639847567</v>
      </c>
      <c r="AU113">
        <f t="shared" si="30"/>
        <v>10.578333334300002</v>
      </c>
      <c r="AV113">
        <f t="shared" si="34"/>
        <v>324.94963222687556</v>
      </c>
      <c r="AW113">
        <f t="shared" si="31"/>
        <v>38.6</v>
      </c>
      <c r="AX113" t="str">
        <f t="shared" si="32"/>
        <v>Jan-2020</v>
      </c>
      <c r="AY113">
        <f>ROUNDUP(Table2[[#This Row],[Month]]/3,0)</f>
        <v>1</v>
      </c>
    </row>
    <row r="114" spans="1:51" x14ac:dyDescent="0.2">
      <c r="A114">
        <v>113</v>
      </c>
      <c r="B114">
        <f t="shared" si="19"/>
        <v>14</v>
      </c>
      <c r="C114" s="22">
        <v>43847</v>
      </c>
      <c r="D114">
        <f>SUM(Table2[[#This Row],[Gray Min]:[Red Min]])</f>
        <v>53.933333333999997</v>
      </c>
      <c r="E114">
        <v>11</v>
      </c>
      <c r="F114">
        <v>564</v>
      </c>
      <c r="G114">
        <v>123</v>
      </c>
      <c r="H114">
        <v>173</v>
      </c>
      <c r="I114">
        <v>16.233333333000001</v>
      </c>
      <c r="J114">
        <v>12</v>
      </c>
      <c r="K114">
        <v>14.316666667</v>
      </c>
      <c r="L114">
        <v>5.2166666670000001</v>
      </c>
      <c r="M114">
        <v>6.1666666670000003</v>
      </c>
      <c r="N114" t="s">
        <v>60</v>
      </c>
      <c r="O114" t="s">
        <v>39</v>
      </c>
      <c r="P114" t="s">
        <v>61</v>
      </c>
      <c r="Q114">
        <f t="shared" si="33"/>
        <v>2</v>
      </c>
      <c r="R114" t="str">
        <f t="shared" si="20"/>
        <v>1-2020</v>
      </c>
      <c r="S114" t="s">
        <v>47</v>
      </c>
      <c r="T114" t="str">
        <f t="shared" si="21"/>
        <v>Friday</v>
      </c>
      <c r="U114">
        <f t="shared" si="22"/>
        <v>0</v>
      </c>
      <c r="V114" s="24">
        <f>IFERROR(Table2[[#This Row],[Gray Min]]/Table2[[#This Row],[ClassLength]],"")</f>
        <v>0.30098887514461081</v>
      </c>
      <c r="W114" s="24">
        <f>IFERROR(Table2[[#This Row],[Blue Min]]/Table2[[#This Row],[ClassLength]],"")</f>
        <v>0.22249690976239189</v>
      </c>
      <c r="X114" s="24">
        <f>IFERROR(Table2[[#This Row],[Green Min]]/Table2[[#This Row],[ClassLength]],"")</f>
        <v>0.26545117429214526</v>
      </c>
      <c r="Y114" s="24">
        <f>IFERROR(Table2[[#This Row],[Orange Min]]/Table2[[#This Row],[ClassLength]],"")</f>
        <v>9.6724351055664723E-2</v>
      </c>
      <c r="Z114" s="24">
        <f>IFERROR(Table2[[#This Row],[Red Min]]/Table2[[#This Row],[ClassLength]],"")</f>
        <v>0.11433868974518742</v>
      </c>
      <c r="AA114" s="25">
        <v>232.14</v>
      </c>
      <c r="AB114" s="25">
        <f t="shared" si="35"/>
        <v>16.581428571428571</v>
      </c>
      <c r="AC114" s="26">
        <f t="shared" si="23"/>
        <v>613</v>
      </c>
      <c r="AD114" s="26">
        <f t="shared" si="24"/>
        <v>14.5</v>
      </c>
      <c r="AE114">
        <f t="shared" si="25"/>
        <v>2020</v>
      </c>
      <c r="AG114">
        <v>12</v>
      </c>
      <c r="AH114" s="26">
        <f t="shared" si="26"/>
        <v>10.45735475883242</v>
      </c>
      <c r="AI114" t="str">
        <f t="shared" si="27"/>
        <v>PM</v>
      </c>
      <c r="AJ114" t="str">
        <f t="shared" si="28"/>
        <v>1-2020-3</v>
      </c>
      <c r="AK114">
        <f t="shared" si="29"/>
        <v>1</v>
      </c>
      <c r="AL114" s="26">
        <f>IFERROR(Table2[[#This Row],[Calories]]/Table2[[#This Row],[Splat]],"")</f>
        <v>51.272727272727273</v>
      </c>
      <c r="AM114">
        <f>COUNTIF(N$2:$N$938,N114)</f>
        <v>10</v>
      </c>
      <c r="AN114" t="str">
        <f>VLOOKUP(N114,'Helpful Tables'!A:D,4,FALSE)</f>
        <v>Washington, DC</v>
      </c>
      <c r="AO114" s="24">
        <f>COUNTIF(AN:AN,Table2[[#This Row],[State]])/COUNTA(AN:AN)</f>
        <v>0.54904051172707891</v>
      </c>
      <c r="AP114">
        <f>VLOOKUP(N114,'Helpful Tables'!A:B,2,FALSE)</f>
        <v>38.879828000000003</v>
      </c>
      <c r="AQ114">
        <f>VLOOKUP(N114,'Helpful Tables'!A:C,3,FALSE)</f>
        <v>-77.005566000000002</v>
      </c>
      <c r="AR114">
        <f>COUNTIF(P$2:$P$938,P114)</f>
        <v>9</v>
      </c>
      <c r="AS114" cm="1">
        <f t="array" ref="AS114">_xlfn.IFS(E114&lt;6,((E114/D114)*60)*0.5,AND(E114&gt;=6,E114&lt;9),((E114/D114)*60)*0.75,AND(E114&gt;=9,E114&lt;=11),((E114/D114)*60)*0.9,AND(E114=12),((E114/D114)*60)*1,AND(E114&gt;=13,E114&lt;=15),((E114/D114)*60)*1.2,AND(E114&gt;=16,E114&lt;=19),((E114/D114)*60)*1.5,E114&gt;=20,((E114/D114)*60)*1.8)</f>
        <v>11.013597033238398</v>
      </c>
      <c r="AT114" cm="1">
        <f t="array" ref="AT114">_xlfn.IFS(F114&lt;550,((F114/D114)*60)*0.5,AND(F114&gt;=550,F114&lt;575),((F114/D114)*60)*0.75,AND(F114&gt;=575,F114&lt;600),((F114/D114)*60)*0.9,AND(F114=600),((F114/D114)*60)*1,AND(F114&gt;=601,F114&lt;=625),((F114/D114)*60)*1.2,AND(F114&gt;=626,F114&lt;=650),((F114/D114)*60)*1.5,F114&gt;=651,((F114/D114)*60)*1.8)</f>
        <v>470.58096414745887</v>
      </c>
      <c r="AU114">
        <f t="shared" si="30"/>
        <v>0.53166666840000154</v>
      </c>
      <c r="AV114">
        <f t="shared" si="34"/>
        <v>192.74415780595891</v>
      </c>
      <c r="AW114">
        <f t="shared" si="31"/>
        <v>12.5</v>
      </c>
      <c r="AX114" t="str">
        <f t="shared" si="32"/>
        <v>Jan-2020</v>
      </c>
      <c r="AY114">
        <f>ROUNDUP(Table2[[#This Row],[Month]]/3,0)</f>
        <v>1</v>
      </c>
    </row>
    <row r="115" spans="1:51" x14ac:dyDescent="0.2">
      <c r="A115">
        <v>114</v>
      </c>
      <c r="B115">
        <f t="shared" si="19"/>
        <v>14</v>
      </c>
      <c r="C115" s="22">
        <v>43851</v>
      </c>
      <c r="D115">
        <f>SUM(Table2[[#This Row],[Gray Min]:[Red Min]])</f>
        <v>60.1</v>
      </c>
      <c r="E115">
        <v>13</v>
      </c>
      <c r="F115">
        <v>598</v>
      </c>
      <c r="G115">
        <v>120</v>
      </c>
      <c r="H115">
        <v>171</v>
      </c>
      <c r="I115">
        <v>23.433333333</v>
      </c>
      <c r="J115">
        <v>10.916666666999999</v>
      </c>
      <c r="K115">
        <v>12.733333332999999</v>
      </c>
      <c r="L115">
        <v>5.6</v>
      </c>
      <c r="M115">
        <v>7.4166666670000003</v>
      </c>
      <c r="N115" t="s">
        <v>24</v>
      </c>
      <c r="O115" t="s">
        <v>26</v>
      </c>
      <c r="P115" t="s">
        <v>28</v>
      </c>
      <c r="Q115">
        <f t="shared" si="33"/>
        <v>4</v>
      </c>
      <c r="R115" t="str">
        <f t="shared" si="20"/>
        <v>1-2020</v>
      </c>
      <c r="S115" t="s">
        <v>43</v>
      </c>
      <c r="T115" t="str">
        <f t="shared" si="21"/>
        <v>Tuesday</v>
      </c>
      <c r="U115">
        <f t="shared" si="22"/>
        <v>1</v>
      </c>
      <c r="V115" s="24">
        <f>IFERROR(Table2[[#This Row],[Gray Min]]/Table2[[#This Row],[ClassLength]],"")</f>
        <v>0.3899057126955075</v>
      </c>
      <c r="W115" s="24">
        <f>IFERROR(Table2[[#This Row],[Blue Min]]/Table2[[#This Row],[ClassLength]],"")</f>
        <v>0.18164170826955073</v>
      </c>
      <c r="X115" s="24">
        <f>IFERROR(Table2[[#This Row],[Green Min]]/Table2[[#This Row],[ClassLength]],"")</f>
        <v>0.21186910703826953</v>
      </c>
      <c r="Y115" s="24">
        <f>IFERROR(Table2[[#This Row],[Orange Min]]/Table2[[#This Row],[ClassLength]],"")</f>
        <v>9.3178036605657225E-2</v>
      </c>
      <c r="Z115" s="24">
        <f>IFERROR(Table2[[#This Row],[Red Min]]/Table2[[#This Row],[ClassLength]],"")</f>
        <v>0.12340543539101498</v>
      </c>
      <c r="AA115" s="25">
        <v>232.14</v>
      </c>
      <c r="AB115" s="25">
        <f t="shared" si="35"/>
        <v>16.581428571428571</v>
      </c>
      <c r="AC115" s="26">
        <f t="shared" si="23"/>
        <v>613</v>
      </c>
      <c r="AD115" s="26">
        <f t="shared" si="24"/>
        <v>14.5</v>
      </c>
      <c r="AE115">
        <f t="shared" si="25"/>
        <v>2020</v>
      </c>
      <c r="AG115">
        <v>12</v>
      </c>
      <c r="AH115" s="26">
        <f t="shared" si="26"/>
        <v>9.9500831946755408</v>
      </c>
      <c r="AI115" t="str">
        <f t="shared" si="27"/>
        <v>PM</v>
      </c>
      <c r="AJ115" t="str">
        <f t="shared" si="28"/>
        <v>1-2020-4</v>
      </c>
      <c r="AK115">
        <f t="shared" si="29"/>
        <v>1</v>
      </c>
      <c r="AL115" s="26">
        <f>IFERROR(Table2[[#This Row],[Calories]]/Table2[[#This Row],[Splat]],"")</f>
        <v>46</v>
      </c>
      <c r="AM115">
        <f>COUNTIF(N$2:$N$938,N115)</f>
        <v>35</v>
      </c>
      <c r="AN115" t="str">
        <f>VLOOKUP(N115,'Helpful Tables'!A:D,4,FALSE)</f>
        <v>Virginia</v>
      </c>
      <c r="AO115" s="24">
        <f>COUNTIF(AN:AN,Table2[[#This Row],[State]])/COUNTA(AN:AN)</f>
        <v>5.6503198294243072E-2</v>
      </c>
      <c r="AP115">
        <f>VLOOKUP(N115,'Helpful Tables'!A:B,2,FALSE)</f>
        <v>38.881884999999997</v>
      </c>
      <c r="AQ115">
        <f>VLOOKUP(N115,'Helpful Tables'!A:C,3,FALSE)</f>
        <v>-77.229702000000003</v>
      </c>
      <c r="AR115">
        <f>COUNTIF(P$2:$P$938,P115)</f>
        <v>10</v>
      </c>
      <c r="AS115" cm="1">
        <f t="array" ref="AS115">_xlfn.IFS(E115&lt;6,((E115/D115)*60)*0.5,AND(E115&gt;=6,E115&lt;9),((E115/D115)*60)*0.75,AND(E115&gt;=9,E115&lt;=11),((E115/D115)*60)*0.9,AND(E115=12),((E115/D115)*60)*1,AND(E115&gt;=13,E115&lt;=15),((E115/D115)*60)*1.2,AND(E115&gt;=16,E115&lt;=19),((E115/D115)*60)*1.5,E115&gt;=20,((E115/D115)*60)*1.8)</f>
        <v>15.574043261231282</v>
      </c>
      <c r="AT115" cm="1">
        <f t="array" ref="AT115">_xlfn.IFS(F115&lt;550,((F115/D115)*60)*0.5,AND(F115&gt;=550,F115&lt;575),((F115/D115)*60)*0.75,AND(F115&gt;=575,F115&lt;600),((F115/D115)*60)*0.9,AND(F115=600),((F115/D115)*60)*1,AND(F115&gt;=601,F115&lt;=625),((F115/D115)*60)*1.2,AND(F115&gt;=626,F115&lt;=650),((F115/D115)*60)*1.5,F115&gt;=651,((F115/D115)*60)*1.8)</f>
        <v>537.30449251247921</v>
      </c>
      <c r="AU115">
        <f t="shared" si="30"/>
        <v>-6.4433333332000036</v>
      </c>
      <c r="AV115">
        <f t="shared" si="34"/>
        <v>219.8627476428442</v>
      </c>
      <c r="AW115">
        <f t="shared" si="31"/>
        <v>16.7</v>
      </c>
      <c r="AX115" t="str">
        <f t="shared" si="32"/>
        <v>Jan-2020</v>
      </c>
      <c r="AY115">
        <f>ROUNDUP(Table2[[#This Row],[Month]]/3,0)</f>
        <v>1</v>
      </c>
    </row>
    <row r="116" spans="1:51" x14ac:dyDescent="0.2">
      <c r="A116">
        <v>115</v>
      </c>
      <c r="B116">
        <f t="shared" si="19"/>
        <v>14</v>
      </c>
      <c r="C116" s="22">
        <v>43852</v>
      </c>
      <c r="D116">
        <f>SUM(Table2[[#This Row],[Gray Min]:[Red Min]])</f>
        <v>56.133333334</v>
      </c>
      <c r="E116">
        <v>9</v>
      </c>
      <c r="F116">
        <v>503</v>
      </c>
      <c r="G116">
        <v>114</v>
      </c>
      <c r="H116">
        <v>168</v>
      </c>
      <c r="I116">
        <v>27.166666667000001</v>
      </c>
      <c r="J116">
        <v>6.4666666670000001</v>
      </c>
      <c r="K116">
        <v>13.716666667</v>
      </c>
      <c r="L116">
        <v>7.25</v>
      </c>
      <c r="M116">
        <v>1.5333333330000001</v>
      </c>
      <c r="N116" t="s">
        <v>40</v>
      </c>
      <c r="O116" t="s">
        <v>26</v>
      </c>
      <c r="P116" t="s">
        <v>41</v>
      </c>
      <c r="Q116">
        <f t="shared" si="33"/>
        <v>1</v>
      </c>
      <c r="R116" t="str">
        <f t="shared" si="20"/>
        <v>1-2020</v>
      </c>
      <c r="S116" t="s">
        <v>47</v>
      </c>
      <c r="T116" t="str">
        <f t="shared" si="21"/>
        <v>Wednesday</v>
      </c>
      <c r="U116">
        <f t="shared" si="22"/>
        <v>0</v>
      </c>
      <c r="V116" s="24">
        <f>IFERROR(Table2[[#This Row],[Gray Min]]/Table2[[#This Row],[ClassLength]],"")</f>
        <v>0.48396674584342086</v>
      </c>
      <c r="W116" s="24">
        <f>IFERROR(Table2[[#This Row],[Blue Min]]/Table2[[#This Row],[ClassLength]],"")</f>
        <v>0.11520190024209974</v>
      </c>
      <c r="X116" s="24">
        <f>IFERROR(Table2[[#This Row],[Green Min]]/Table2[[#This Row],[ClassLength]],"")</f>
        <v>0.24435866983676535</v>
      </c>
      <c r="Y116" s="24">
        <f>IFERROR(Table2[[#This Row],[Orange Min]]/Table2[[#This Row],[ClassLength]],"")</f>
        <v>0.1291567695946656</v>
      </c>
      <c r="Z116" s="24">
        <f>IFERROR(Table2[[#This Row],[Red Min]]/Table2[[#This Row],[ClassLength]],"")</f>
        <v>2.7315914483048508E-2</v>
      </c>
      <c r="AA116" s="25">
        <v>232.14</v>
      </c>
      <c r="AB116" s="25">
        <f t="shared" si="35"/>
        <v>16.581428571428571</v>
      </c>
      <c r="AC116" s="26">
        <f t="shared" si="23"/>
        <v>613</v>
      </c>
      <c r="AD116" s="26">
        <f t="shared" si="24"/>
        <v>14.5</v>
      </c>
      <c r="AE116">
        <f t="shared" si="25"/>
        <v>2020</v>
      </c>
      <c r="AG116">
        <v>12</v>
      </c>
      <c r="AH116" s="26">
        <f t="shared" si="26"/>
        <v>8.9608076008436957</v>
      </c>
      <c r="AI116" t="str">
        <f t="shared" si="27"/>
        <v>PM</v>
      </c>
      <c r="AJ116" t="str">
        <f t="shared" si="28"/>
        <v>1-2020-4</v>
      </c>
      <c r="AK116">
        <f t="shared" si="29"/>
        <v>1</v>
      </c>
      <c r="AL116" s="26">
        <f>IFERROR(Table2[[#This Row],[Calories]]/Table2[[#This Row],[Splat]],"")</f>
        <v>55.888888888888886</v>
      </c>
      <c r="AM116">
        <f>COUNTIF(N$2:$N$938,N116)</f>
        <v>38</v>
      </c>
      <c r="AN116" t="str">
        <f>VLOOKUP(N116,'Helpful Tables'!A:D,4,FALSE)</f>
        <v>Washington, DC</v>
      </c>
      <c r="AO116" s="24">
        <f>COUNTIF(AN:AN,Table2[[#This Row],[State]])/COUNTA(AN:AN)</f>
        <v>0.54904051172707891</v>
      </c>
      <c r="AP116">
        <f>VLOOKUP(N116,'Helpful Tables'!A:B,2,FALSE)</f>
        <v>38.903509999999997</v>
      </c>
      <c r="AQ116">
        <f>VLOOKUP(N116,'Helpful Tables'!A:C,3,FALSE)</f>
        <v>-77.051809000000006</v>
      </c>
      <c r="AR116">
        <f>COUNTIF(P$2:$P$938,P116)</f>
        <v>20</v>
      </c>
      <c r="AS116" cm="1">
        <f t="array" ref="AS116">_xlfn.IFS(E116&lt;6,((E116/D116)*60)*0.5,AND(E116&gt;=6,E116&lt;9),((E116/D116)*60)*0.75,AND(E116&gt;=9,E116&lt;=11),((E116/D116)*60)*0.9,AND(E116=12),((E116/D116)*60)*1,AND(E116&gt;=13,E116&lt;=15),((E116/D116)*60)*1.2,AND(E116&gt;=16,E116&lt;=19),((E116/D116)*60)*1.5,E116&gt;=20,((E116/D116)*60)*1.8)</f>
        <v>8.6579572445527564</v>
      </c>
      <c r="AT116" cm="1">
        <f t="array" ref="AT116">_xlfn.IFS(F116&lt;550,((F116/D116)*60)*0.5,AND(F116&gt;=550,F116&lt;575),((F116/D116)*60)*0.75,AND(F116&gt;=575,F116&lt;600),((F116/D116)*60)*0.9,AND(F116=600),((F116/D116)*60)*1,AND(F116&gt;=601,F116&lt;=625),((F116/D116)*60)*1.2,AND(F116&gt;=626,F116&lt;=650),((F116/D116)*60)*1.5,F116&gt;=651,((F116/D116)*60)*1.8)</f>
        <v>268.82422802531084</v>
      </c>
      <c r="AU116">
        <f t="shared" si="30"/>
        <v>-11.528333334199997</v>
      </c>
      <c r="AV116">
        <f t="shared" si="34"/>
        <v>108.68720744110544</v>
      </c>
      <c r="AW116">
        <f t="shared" si="31"/>
        <v>3.5000000000000004</v>
      </c>
      <c r="AX116" t="str">
        <f t="shared" si="32"/>
        <v>Jan-2020</v>
      </c>
      <c r="AY116">
        <f>ROUNDUP(Table2[[#This Row],[Month]]/3,0)</f>
        <v>1</v>
      </c>
    </row>
    <row r="117" spans="1:51" x14ac:dyDescent="0.2">
      <c r="A117">
        <v>116</v>
      </c>
      <c r="B117">
        <f t="shared" si="19"/>
        <v>14</v>
      </c>
      <c r="C117" s="22">
        <v>43854</v>
      </c>
      <c r="D117">
        <f>SUM(Table2[[#This Row],[Gray Min]:[Red Min]])</f>
        <v>53.750000000999997</v>
      </c>
      <c r="E117">
        <v>13</v>
      </c>
      <c r="F117">
        <v>613</v>
      </c>
      <c r="G117">
        <v>130</v>
      </c>
      <c r="H117">
        <v>172</v>
      </c>
      <c r="I117">
        <v>7.5</v>
      </c>
      <c r="J117">
        <v>6.766666667</v>
      </c>
      <c r="K117">
        <v>26.166666667000001</v>
      </c>
      <c r="L117">
        <v>10.85</v>
      </c>
      <c r="M117">
        <v>2.4666666670000001</v>
      </c>
      <c r="N117" t="s">
        <v>60</v>
      </c>
      <c r="O117" t="s">
        <v>39</v>
      </c>
      <c r="P117" t="s">
        <v>61</v>
      </c>
      <c r="Q117">
        <f t="shared" si="33"/>
        <v>2</v>
      </c>
      <c r="R117" t="str">
        <f t="shared" si="20"/>
        <v>1-2020</v>
      </c>
      <c r="S117" t="s">
        <v>43</v>
      </c>
      <c r="T117" t="str">
        <f t="shared" si="21"/>
        <v>Friday</v>
      </c>
      <c r="U117">
        <f t="shared" si="22"/>
        <v>1</v>
      </c>
      <c r="V117" s="24">
        <f>IFERROR(Table2[[#This Row],[Gray Min]]/Table2[[#This Row],[ClassLength]],"")</f>
        <v>0.13953488371833425</v>
      </c>
      <c r="W117" s="24">
        <f>IFERROR(Table2[[#This Row],[Blue Min]]/Table2[[#This Row],[ClassLength]],"")</f>
        <v>0.12589147287207644</v>
      </c>
      <c r="X117" s="24">
        <f>IFERROR(Table2[[#This Row],[Green Min]]/Table2[[#This Row],[ClassLength]],"")</f>
        <v>0.48682170542350106</v>
      </c>
      <c r="Y117" s="24">
        <f>IFERROR(Table2[[#This Row],[Orange Min]]/Table2[[#This Row],[ClassLength]],"")</f>
        <v>0.20186046511252353</v>
      </c>
      <c r="Z117" s="24">
        <f>IFERROR(Table2[[#This Row],[Red Min]]/Table2[[#This Row],[ClassLength]],"")</f>
        <v>4.5891472873564813E-2</v>
      </c>
      <c r="AA117" s="25">
        <v>232.14</v>
      </c>
      <c r="AB117" s="25">
        <f t="shared" si="35"/>
        <v>16.581428571428571</v>
      </c>
      <c r="AC117" s="26">
        <f t="shared" si="23"/>
        <v>613</v>
      </c>
      <c r="AD117" s="26">
        <f t="shared" si="24"/>
        <v>14.5</v>
      </c>
      <c r="AE117">
        <f t="shared" si="25"/>
        <v>2020</v>
      </c>
      <c r="AG117">
        <v>12</v>
      </c>
      <c r="AH117" s="26">
        <f t="shared" si="26"/>
        <v>11.404651162578519</v>
      </c>
      <c r="AI117" t="str">
        <f t="shared" si="27"/>
        <v>PM</v>
      </c>
      <c r="AJ117" t="str">
        <f t="shared" si="28"/>
        <v>1-2020-4</v>
      </c>
      <c r="AK117">
        <f t="shared" si="29"/>
        <v>1</v>
      </c>
      <c r="AL117" s="26">
        <f>IFERROR(Table2[[#This Row],[Calories]]/Table2[[#This Row],[Splat]],"")</f>
        <v>47.153846153846153</v>
      </c>
      <c r="AM117">
        <f>COUNTIF(N$2:$N$938,N117)</f>
        <v>10</v>
      </c>
      <c r="AN117" t="str">
        <f>VLOOKUP(N117,'Helpful Tables'!A:D,4,FALSE)</f>
        <v>Washington, DC</v>
      </c>
      <c r="AO117" s="24">
        <f>COUNTIF(AN:AN,Table2[[#This Row],[State]])/COUNTA(AN:AN)</f>
        <v>0.54904051172707891</v>
      </c>
      <c r="AP117">
        <f>VLOOKUP(N117,'Helpful Tables'!A:B,2,FALSE)</f>
        <v>38.879828000000003</v>
      </c>
      <c r="AQ117">
        <f>VLOOKUP(N117,'Helpful Tables'!A:C,3,FALSE)</f>
        <v>-77.005566000000002</v>
      </c>
      <c r="AR117">
        <f>COUNTIF(P$2:$P$938,P117)</f>
        <v>9</v>
      </c>
      <c r="AS117" cm="1">
        <f t="array" ref="AS117">_xlfn.IFS(E117&lt;6,((E117/D117)*60)*0.5,AND(E117&gt;=6,E117&lt;9),((E117/D117)*60)*0.75,AND(E117&gt;=9,E117&lt;=11),((E117/D117)*60)*0.9,AND(E117=12),((E117/D117)*60)*1,AND(E117&gt;=13,E117&lt;=15),((E117/D117)*60)*1.2,AND(E117&gt;=16,E117&lt;=19),((E117/D117)*60)*1.5,E117&gt;=20,((E117/D117)*60)*1.8)</f>
        <v>17.413953488048115</v>
      </c>
      <c r="AT117" cm="1">
        <f t="array" ref="AT117">_xlfn.IFS(F117&lt;550,((F117/D117)*60)*0.5,AND(F117&gt;=550,F117&lt;575),((F117/D117)*60)*0.75,AND(F117&gt;=575,F117&lt;600),((F117/D117)*60)*0.9,AND(F117=600),((F117/D117)*60)*1,AND(F117&gt;=601,F117&lt;=625),((F117/D117)*60)*1.2,AND(F117&gt;=626,F117&lt;=650),((F117/D117)*60)*1.5,F117&gt;=651,((F117/D117)*60)*1.8)</f>
        <v>821.13488370565335</v>
      </c>
      <c r="AU117">
        <f t="shared" si="30"/>
        <v>32.761666667199997</v>
      </c>
      <c r="AV117">
        <f t="shared" si="34"/>
        <v>341.9718682109206</v>
      </c>
      <c r="AW117">
        <f t="shared" si="31"/>
        <v>42.199999999999996</v>
      </c>
      <c r="AX117" t="str">
        <f t="shared" si="32"/>
        <v>Jan-2020</v>
      </c>
      <c r="AY117">
        <f>ROUNDUP(Table2[[#This Row],[Month]]/3,0)</f>
        <v>1</v>
      </c>
    </row>
    <row r="118" spans="1:51" x14ac:dyDescent="0.2">
      <c r="A118">
        <v>117</v>
      </c>
      <c r="B118">
        <f t="shared" si="19"/>
        <v>14</v>
      </c>
      <c r="C118" s="22">
        <v>43858</v>
      </c>
      <c r="D118">
        <f>SUM(Table2[[#This Row],[Gray Min]:[Red Min]])</f>
        <v>57.399999998999995</v>
      </c>
      <c r="E118">
        <v>8</v>
      </c>
      <c r="F118">
        <v>502</v>
      </c>
      <c r="G118">
        <v>112</v>
      </c>
      <c r="H118">
        <v>168</v>
      </c>
      <c r="I118">
        <v>25.75</v>
      </c>
      <c r="J118">
        <v>14.733333332999999</v>
      </c>
      <c r="K118">
        <v>8.5833333330000006</v>
      </c>
      <c r="L118">
        <v>6.0833333329999997</v>
      </c>
      <c r="M118">
        <v>2.25</v>
      </c>
      <c r="N118" t="s">
        <v>24</v>
      </c>
      <c r="O118" t="s">
        <v>26</v>
      </c>
      <c r="P118" t="s">
        <v>28</v>
      </c>
      <c r="Q118">
        <f t="shared" si="33"/>
        <v>4</v>
      </c>
      <c r="R118" t="str">
        <f t="shared" si="20"/>
        <v>1-2020</v>
      </c>
      <c r="S118" t="s">
        <v>43</v>
      </c>
      <c r="T118" t="str">
        <f t="shared" si="21"/>
        <v>Tuesday</v>
      </c>
      <c r="U118">
        <f t="shared" si="22"/>
        <v>0</v>
      </c>
      <c r="V118" s="24">
        <f>IFERROR(Table2[[#This Row],[Gray Min]]/Table2[[#This Row],[ClassLength]],"")</f>
        <v>0.44860627178481899</v>
      </c>
      <c r="W118" s="24">
        <f>IFERROR(Table2[[#This Row],[Blue Min]]/Table2[[#This Row],[ClassLength]],"")</f>
        <v>0.25667828106718954</v>
      </c>
      <c r="X118" s="24">
        <f>IFERROR(Table2[[#This Row],[Green Min]]/Table2[[#This Row],[ClassLength]],"")</f>
        <v>0.1495354239224658</v>
      </c>
      <c r="Y118" s="24">
        <f>IFERROR(Table2[[#This Row],[Orange Min]]/Table2[[#This Row],[ClassLength]],"")</f>
        <v>0.10598141695306589</v>
      </c>
      <c r="Z118" s="24">
        <f>IFERROR(Table2[[#This Row],[Red Min]]/Table2[[#This Row],[ClassLength]],"")</f>
        <v>3.9198606272459913E-2</v>
      </c>
      <c r="AA118" s="25">
        <v>232.14</v>
      </c>
      <c r="AB118" s="25">
        <f t="shared" si="35"/>
        <v>16.581428571428571</v>
      </c>
      <c r="AC118" s="26">
        <f t="shared" si="23"/>
        <v>613</v>
      </c>
      <c r="AD118" s="26">
        <f t="shared" si="24"/>
        <v>14.5</v>
      </c>
      <c r="AE118">
        <f t="shared" si="25"/>
        <v>2020</v>
      </c>
      <c r="AG118">
        <v>12</v>
      </c>
      <c r="AH118" s="26">
        <f t="shared" si="26"/>
        <v>8.745644599455499</v>
      </c>
      <c r="AI118" t="str">
        <f t="shared" si="27"/>
        <v>PM</v>
      </c>
      <c r="AJ118" t="str">
        <f t="shared" si="28"/>
        <v>1-2020-5</v>
      </c>
      <c r="AK118">
        <f t="shared" si="29"/>
        <v>1</v>
      </c>
      <c r="AL118" s="26">
        <f>IFERROR(Table2[[#This Row],[Calories]]/Table2[[#This Row],[Splat]],"")</f>
        <v>62.75</v>
      </c>
      <c r="AM118">
        <f>COUNTIF(N$2:$N$938,N118)</f>
        <v>35</v>
      </c>
      <c r="AN118" t="str">
        <f>VLOOKUP(N118,'Helpful Tables'!A:D,4,FALSE)</f>
        <v>Virginia</v>
      </c>
      <c r="AO118" s="24">
        <f>COUNTIF(AN:AN,Table2[[#This Row],[State]])/COUNTA(AN:AN)</f>
        <v>5.6503198294243072E-2</v>
      </c>
      <c r="AP118">
        <f>VLOOKUP(N118,'Helpful Tables'!A:B,2,FALSE)</f>
        <v>38.881884999999997</v>
      </c>
      <c r="AQ118">
        <f>VLOOKUP(N118,'Helpful Tables'!A:C,3,FALSE)</f>
        <v>-77.229702000000003</v>
      </c>
      <c r="AR118">
        <f>COUNTIF(P$2:$P$938,P118)</f>
        <v>10</v>
      </c>
      <c r="AS118" cm="1">
        <f t="array" ref="AS118">_xlfn.IFS(E118&lt;6,((E118/D118)*60)*0.5,AND(E118&gt;=6,E118&lt;9),((E118/D118)*60)*0.75,AND(E118&gt;=9,E118&lt;=11),((E118/D118)*60)*0.9,AND(E118=12),((E118/D118)*60)*1,AND(E118&gt;=13,E118&lt;=15),((E118/D118)*60)*1.2,AND(E118&gt;=16,E118&lt;=19),((E118/D118)*60)*1.5,E118&gt;=20,((E118/D118)*60)*1.8)</f>
        <v>6.271777003593586</v>
      </c>
      <c r="AT118" cm="1">
        <f t="array" ref="AT118">_xlfn.IFS(F118&lt;550,((F118/D118)*60)*0.5,AND(F118&gt;=550,F118&lt;575),((F118/D118)*60)*0.75,AND(F118&gt;=575,F118&lt;600),((F118/D118)*60)*0.9,AND(F118=600),((F118/D118)*60)*1,AND(F118&gt;=601,F118&lt;=625),((F118/D118)*60)*1.2,AND(F118&gt;=626,F118&lt;=650),((F118/D118)*60)*1.5,F118&gt;=651,((F118/D118)*60)*1.8)</f>
        <v>262.36933798366499</v>
      </c>
      <c r="AU118">
        <f t="shared" si="30"/>
        <v>-25.523333333799997</v>
      </c>
      <c r="AV118">
        <f t="shared" si="34"/>
        <v>102.35177932814344</v>
      </c>
      <c r="AW118">
        <f t="shared" si="31"/>
        <v>1.6</v>
      </c>
      <c r="AX118" t="str">
        <f t="shared" si="32"/>
        <v>Jan-2020</v>
      </c>
      <c r="AY118">
        <f>ROUNDUP(Table2[[#This Row],[Month]]/3,0)</f>
        <v>1</v>
      </c>
    </row>
    <row r="119" spans="1:51" x14ac:dyDescent="0.2">
      <c r="A119">
        <v>118</v>
      </c>
      <c r="B119">
        <f t="shared" si="19"/>
        <v>14</v>
      </c>
      <c r="C119" s="22">
        <v>43859</v>
      </c>
      <c r="D119">
        <f>SUM(Table2[[#This Row],[Gray Min]:[Red Min]])</f>
        <v>59.150000000999995</v>
      </c>
      <c r="E119">
        <v>20</v>
      </c>
      <c r="F119">
        <v>667</v>
      </c>
      <c r="G119">
        <v>129</v>
      </c>
      <c r="H119">
        <v>173</v>
      </c>
      <c r="I119">
        <v>13.816666667</v>
      </c>
      <c r="J119">
        <v>14.216666667</v>
      </c>
      <c r="K119">
        <v>10.6</v>
      </c>
      <c r="L119">
        <v>10.050000000000001</v>
      </c>
      <c r="M119">
        <v>10.466666667</v>
      </c>
      <c r="N119" t="s">
        <v>40</v>
      </c>
      <c r="O119" t="s">
        <v>26</v>
      </c>
      <c r="P119" t="s">
        <v>41</v>
      </c>
      <c r="Q119">
        <f t="shared" si="33"/>
        <v>1</v>
      </c>
      <c r="R119" t="str">
        <f t="shared" si="20"/>
        <v>1-2020</v>
      </c>
      <c r="S119" t="s">
        <v>47</v>
      </c>
      <c r="T119" t="str">
        <f t="shared" si="21"/>
        <v>Wednesday</v>
      </c>
      <c r="U119">
        <f t="shared" si="22"/>
        <v>1</v>
      </c>
      <c r="V119" s="24">
        <f>IFERROR(Table2[[#This Row],[Gray Min]]/Table2[[#This Row],[ClassLength]],"")</f>
        <v>0.23358692589630456</v>
      </c>
      <c r="W119" s="24">
        <f>IFERROR(Table2[[#This Row],[Blue Min]]/Table2[[#This Row],[ClassLength]],"")</f>
        <v>0.24034939419712006</v>
      </c>
      <c r="X119" s="24">
        <f>IFERROR(Table2[[#This Row],[Green Min]]/Table2[[#This Row],[ClassLength]],"")</f>
        <v>0.17920540997161108</v>
      </c>
      <c r="Y119" s="24">
        <f>IFERROR(Table2[[#This Row],[Orange Min]]/Table2[[#This Row],[ClassLength]],"")</f>
        <v>0.16990701605798977</v>
      </c>
      <c r="Z119" s="24">
        <f>IFERROR(Table2[[#This Row],[Red Min]]/Table2[[#This Row],[ClassLength]],"")</f>
        <v>0.17695125387697463</v>
      </c>
      <c r="AA119" s="25">
        <v>232.14</v>
      </c>
      <c r="AB119" s="25">
        <f t="shared" si="35"/>
        <v>16.581428571428571</v>
      </c>
      <c r="AC119" s="26">
        <f t="shared" si="23"/>
        <v>613</v>
      </c>
      <c r="AD119" s="26">
        <f t="shared" si="24"/>
        <v>14.5</v>
      </c>
      <c r="AE119">
        <f t="shared" si="25"/>
        <v>2020</v>
      </c>
      <c r="AG119">
        <v>12</v>
      </c>
      <c r="AH119" s="26">
        <f t="shared" si="26"/>
        <v>11.276415891609867</v>
      </c>
      <c r="AI119" t="str">
        <f t="shared" si="27"/>
        <v>PM</v>
      </c>
      <c r="AJ119" t="str">
        <f t="shared" si="28"/>
        <v>1-2020-5</v>
      </c>
      <c r="AK119">
        <f t="shared" si="29"/>
        <v>1</v>
      </c>
      <c r="AL119" s="26">
        <f>IFERROR(Table2[[#This Row],[Calories]]/Table2[[#This Row],[Splat]],"")</f>
        <v>33.35</v>
      </c>
      <c r="AM119">
        <f>COUNTIF(N$2:$N$938,N119)</f>
        <v>38</v>
      </c>
      <c r="AN119" t="str">
        <f>VLOOKUP(N119,'Helpful Tables'!A:D,4,FALSE)</f>
        <v>Washington, DC</v>
      </c>
      <c r="AO119" s="24">
        <f>COUNTIF(AN:AN,Table2[[#This Row],[State]])/COUNTA(AN:AN)</f>
        <v>0.54904051172707891</v>
      </c>
      <c r="AP119">
        <f>VLOOKUP(N119,'Helpful Tables'!A:B,2,FALSE)</f>
        <v>38.903509999999997</v>
      </c>
      <c r="AQ119">
        <f>VLOOKUP(N119,'Helpful Tables'!A:C,3,FALSE)</f>
        <v>-77.051809000000006</v>
      </c>
      <c r="AR119">
        <f>COUNTIF(P$2:$P$938,P119)</f>
        <v>20</v>
      </c>
      <c r="AS119" cm="1">
        <f t="array" ref="AS119">_xlfn.IFS(E119&lt;6,((E119/D119)*60)*0.5,AND(E119&gt;=6,E119&lt;9),((E119/D119)*60)*0.75,AND(E119&gt;=9,E119&lt;=11),((E119/D119)*60)*0.9,AND(E119=12),((E119/D119)*60)*1,AND(E119&gt;=13,E119&lt;=15),((E119/D119)*60)*1.2,AND(E119&gt;=16,E119&lt;=19),((E119/D119)*60)*1.5,E119&gt;=20,((E119/D119)*60)*1.8)</f>
        <v>36.517328824403769</v>
      </c>
      <c r="AT119" cm="1">
        <f t="array" ref="AT119">_xlfn.IFS(F119&lt;550,((F119/D119)*60)*0.5,AND(F119&gt;=550,F119&lt;575),((F119/D119)*60)*0.75,AND(F119&gt;=575,F119&lt;600),((F119/D119)*60)*0.9,AND(F119=600),((F119/D119)*60)*1,AND(F119&gt;=601,F119&lt;=625),((F119/D119)*60)*1.2,AND(F119&gt;=626,F119&lt;=650),((F119/D119)*60)*1.5,F119&gt;=651,((F119/D119)*60)*1.8)</f>
        <v>1217.8529162938655</v>
      </c>
      <c r="AU119">
        <f t="shared" si="30"/>
        <v>9.266666666399999</v>
      </c>
      <c r="AV119">
        <f t="shared" si="34"/>
        <v>503.60143138058771</v>
      </c>
      <c r="AW119">
        <f t="shared" si="31"/>
        <v>81.3</v>
      </c>
      <c r="AX119" t="str">
        <f t="shared" si="32"/>
        <v>Jan-2020</v>
      </c>
      <c r="AY119">
        <f>ROUNDUP(Table2[[#This Row],[Month]]/3,0)</f>
        <v>1</v>
      </c>
    </row>
    <row r="120" spans="1:51" x14ac:dyDescent="0.2">
      <c r="A120">
        <v>119</v>
      </c>
      <c r="B120">
        <f t="shared" si="19"/>
        <v>14</v>
      </c>
      <c r="C120" s="22">
        <v>43860</v>
      </c>
      <c r="D120">
        <f>SUM(Table2[[#This Row],[Gray Min]:[Red Min]])</f>
        <v>57.5</v>
      </c>
      <c r="E120">
        <v>6</v>
      </c>
      <c r="F120">
        <v>537</v>
      </c>
      <c r="G120">
        <v>116</v>
      </c>
      <c r="H120">
        <v>163</v>
      </c>
      <c r="I120">
        <v>22.883333332999999</v>
      </c>
      <c r="J120">
        <v>13.783333333</v>
      </c>
      <c r="K120">
        <v>14.716666667</v>
      </c>
      <c r="L120">
        <v>6.016666667</v>
      </c>
      <c r="M120">
        <v>0.1</v>
      </c>
      <c r="N120" t="s">
        <v>33</v>
      </c>
      <c r="O120" t="s">
        <v>39</v>
      </c>
      <c r="P120" t="s">
        <v>72</v>
      </c>
      <c r="Q120">
        <f t="shared" si="33"/>
        <v>1</v>
      </c>
      <c r="R120" t="str">
        <f t="shared" si="20"/>
        <v>1-2020</v>
      </c>
      <c r="S120" t="s">
        <v>43</v>
      </c>
      <c r="T120" t="str">
        <f t="shared" si="21"/>
        <v>Thursday</v>
      </c>
      <c r="U120">
        <f t="shared" si="22"/>
        <v>0</v>
      </c>
      <c r="V120" s="24">
        <f>IFERROR(Table2[[#This Row],[Gray Min]]/Table2[[#This Row],[ClassLength]],"")</f>
        <v>0.39797101448695649</v>
      </c>
      <c r="W120" s="24">
        <f>IFERROR(Table2[[#This Row],[Blue Min]]/Table2[[#This Row],[ClassLength]],"")</f>
        <v>0.23971014492173912</v>
      </c>
      <c r="X120" s="24">
        <f>IFERROR(Table2[[#This Row],[Green Min]]/Table2[[#This Row],[ClassLength]],"")</f>
        <v>0.25594202899130436</v>
      </c>
      <c r="Y120" s="24">
        <f>IFERROR(Table2[[#This Row],[Orange Min]]/Table2[[#This Row],[ClassLength]],"")</f>
        <v>0.10463768116521739</v>
      </c>
      <c r="Z120" s="24">
        <f>IFERROR(Table2[[#This Row],[Red Min]]/Table2[[#This Row],[ClassLength]],"")</f>
        <v>1.7391304347826088E-3</v>
      </c>
      <c r="AA120" s="25">
        <v>232.14</v>
      </c>
      <c r="AB120" s="25">
        <f t="shared" si="35"/>
        <v>16.581428571428571</v>
      </c>
      <c r="AC120" s="26">
        <f t="shared" si="23"/>
        <v>613</v>
      </c>
      <c r="AD120" s="26">
        <f t="shared" si="24"/>
        <v>14.5</v>
      </c>
      <c r="AE120">
        <f t="shared" si="25"/>
        <v>2020</v>
      </c>
      <c r="AG120">
        <v>12</v>
      </c>
      <c r="AH120" s="26">
        <f t="shared" si="26"/>
        <v>9.339130434782609</v>
      </c>
      <c r="AI120" t="str">
        <f t="shared" si="27"/>
        <v>PM</v>
      </c>
      <c r="AJ120" t="str">
        <f t="shared" si="28"/>
        <v>1-2020-5</v>
      </c>
      <c r="AK120">
        <f t="shared" si="29"/>
        <v>1</v>
      </c>
      <c r="AL120" s="26">
        <f>IFERROR(Table2[[#This Row],[Calories]]/Table2[[#This Row],[Splat]],"")</f>
        <v>89.5</v>
      </c>
      <c r="AM120">
        <f>COUNTIF(N$2:$N$938,N120)</f>
        <v>48</v>
      </c>
      <c r="AN120" t="str">
        <f>VLOOKUP(N120,'Helpful Tables'!A:D,4,FALSE)</f>
        <v>Washington, DC</v>
      </c>
      <c r="AO120" s="24">
        <f>COUNTIF(AN:AN,Table2[[#This Row],[State]])/COUNTA(AN:AN)</f>
        <v>0.54904051172707891</v>
      </c>
      <c r="AP120">
        <f>VLOOKUP(N120,'Helpful Tables'!A:B,2,FALSE)</f>
        <v>38.916486999999996</v>
      </c>
      <c r="AQ120">
        <f>VLOOKUP(N120,'Helpful Tables'!A:C,3,FALSE)</f>
        <v>-77.031514000000001</v>
      </c>
      <c r="AR120">
        <f>COUNTIF(P$2:$P$938,P120)</f>
        <v>3</v>
      </c>
      <c r="AS120" cm="1">
        <f t="array" ref="AS120">_xlfn.IFS(E120&lt;6,((E120/D120)*60)*0.5,AND(E120&gt;=6,E120&lt;9),((E120/D120)*60)*0.75,AND(E120&gt;=9,E120&lt;=11),((E120/D120)*60)*0.9,AND(E120=12),((E120/D120)*60)*1,AND(E120&gt;=13,E120&lt;=15),((E120/D120)*60)*1.2,AND(E120&gt;=16,E120&lt;=19),((E120/D120)*60)*1.5,E120&gt;=20,((E120/D120)*60)*1.8)</f>
        <v>4.695652173913043</v>
      </c>
      <c r="AT120" cm="1">
        <f t="array" ref="AT120">_xlfn.IFS(F120&lt;550,((F120/D120)*60)*0.5,AND(F120&gt;=550,F120&lt;575),((F120/D120)*60)*0.75,AND(F120&gt;=575,F120&lt;600),((F120/D120)*60)*0.9,AND(F120=600),((F120/D120)*60)*1,AND(F120&gt;=601,F120&lt;=625),((F120/D120)*60)*1.2,AND(F120&gt;=626,F120&lt;=650),((F120/D120)*60)*1.5,F120&gt;=651,((F120/D120)*60)*1.8)</f>
        <v>280.17391304347825</v>
      </c>
      <c r="AU120">
        <f t="shared" si="30"/>
        <v>-16.989999998399995</v>
      </c>
      <c r="AV120">
        <f t="shared" si="34"/>
        <v>110.54982608727653</v>
      </c>
      <c r="AW120">
        <f t="shared" si="31"/>
        <v>3.8</v>
      </c>
      <c r="AX120" t="str">
        <f t="shared" si="32"/>
        <v>Jan-2020</v>
      </c>
      <c r="AY120">
        <f>ROUNDUP(Table2[[#This Row],[Month]]/3,0)</f>
        <v>1</v>
      </c>
    </row>
    <row r="121" spans="1:51" x14ac:dyDescent="0.2">
      <c r="A121">
        <v>120</v>
      </c>
      <c r="B121">
        <f t="shared" si="19"/>
        <v>16</v>
      </c>
      <c r="C121" s="22">
        <v>43862</v>
      </c>
      <c r="D121">
        <f>SUM(Table2[[#This Row],[Gray Min]:[Red Min]])</f>
        <v>55.599999998999998</v>
      </c>
      <c r="E121">
        <v>14</v>
      </c>
      <c r="F121">
        <v>635</v>
      </c>
      <c r="G121">
        <v>130</v>
      </c>
      <c r="H121">
        <v>164</v>
      </c>
      <c r="I121">
        <v>8</v>
      </c>
      <c r="J121">
        <v>13.733333332999999</v>
      </c>
      <c r="K121">
        <v>20.100000000000001</v>
      </c>
      <c r="L121">
        <v>12.633333332999999</v>
      </c>
      <c r="M121">
        <v>1.1333333329999999</v>
      </c>
      <c r="N121" t="s">
        <v>33</v>
      </c>
      <c r="O121" t="s">
        <v>32</v>
      </c>
      <c r="P121" t="s">
        <v>34</v>
      </c>
      <c r="Q121">
        <f t="shared" si="33"/>
        <v>2</v>
      </c>
      <c r="R121" t="str">
        <f t="shared" si="20"/>
        <v>2-2020</v>
      </c>
      <c r="S121" t="s">
        <v>43</v>
      </c>
      <c r="T121" t="str">
        <f t="shared" si="21"/>
        <v>Saturday</v>
      </c>
      <c r="U121">
        <f t="shared" si="22"/>
        <v>1</v>
      </c>
      <c r="V121" s="24">
        <f>IFERROR(Table2[[#This Row],[Gray Min]]/Table2[[#This Row],[ClassLength]],"")</f>
        <v>0.1438848920889188</v>
      </c>
      <c r="W121" s="24">
        <f>IFERROR(Table2[[#This Row],[Blue Min]]/Table2[[#This Row],[ClassLength]],"")</f>
        <v>0.24700239807998206</v>
      </c>
      <c r="X121" s="24">
        <f>IFERROR(Table2[[#This Row],[Green Min]]/Table2[[#This Row],[ClassLength]],"")</f>
        <v>0.36151079137340852</v>
      </c>
      <c r="Y121" s="24">
        <f>IFERROR(Table2[[#This Row],[Orange Min]]/Table2[[#This Row],[ClassLength]],"")</f>
        <v>0.22721822541775571</v>
      </c>
      <c r="Z121" s="24">
        <f>IFERROR(Table2[[#This Row],[Red Min]]/Table2[[#This Row],[ClassLength]],"")</f>
        <v>2.0383693039934959E-2</v>
      </c>
      <c r="AA121" s="25">
        <v>232.14</v>
      </c>
      <c r="AB121" s="25">
        <f t="shared" si="35"/>
        <v>14.508749999999999</v>
      </c>
      <c r="AC121" s="26">
        <f t="shared" si="23"/>
        <v>598.6875</v>
      </c>
      <c r="AD121" s="26">
        <f t="shared" si="24"/>
        <v>13.5625</v>
      </c>
      <c r="AE121">
        <f t="shared" si="25"/>
        <v>2020</v>
      </c>
      <c r="AG121">
        <v>12</v>
      </c>
      <c r="AH121" s="26">
        <f t="shared" si="26"/>
        <v>11.42086330955793</v>
      </c>
      <c r="AI121" t="str">
        <f t="shared" si="27"/>
        <v>AM</v>
      </c>
      <c r="AJ121" t="str">
        <f t="shared" si="28"/>
        <v>2-2020-1</v>
      </c>
      <c r="AK121">
        <f t="shared" si="29"/>
        <v>2</v>
      </c>
      <c r="AL121" s="26">
        <f>IFERROR(Table2[[#This Row],[Calories]]/Table2[[#This Row],[Splat]],"")</f>
        <v>45.357142857142854</v>
      </c>
      <c r="AM121">
        <f>COUNTIF(N$2:$N$938,N121)</f>
        <v>48</v>
      </c>
      <c r="AN121" t="str">
        <f>VLOOKUP(N121,'Helpful Tables'!A:D,4,FALSE)</f>
        <v>Washington, DC</v>
      </c>
      <c r="AO121" s="24">
        <f>COUNTIF(AN:AN,Table2[[#This Row],[State]])/COUNTA(AN:AN)</f>
        <v>0.54904051172707891</v>
      </c>
      <c r="AP121">
        <f>VLOOKUP(N121,'Helpful Tables'!A:B,2,FALSE)</f>
        <v>38.916486999999996</v>
      </c>
      <c r="AQ121">
        <f>VLOOKUP(N121,'Helpful Tables'!A:C,3,FALSE)</f>
        <v>-77.031514000000001</v>
      </c>
      <c r="AR121">
        <f>COUNTIF(P$2:$P$938,P121)</f>
        <v>30</v>
      </c>
      <c r="AS121" cm="1">
        <f t="array" ref="AS121">_xlfn.IFS(E121&lt;6,((E121/D121)*60)*0.5,AND(E121&gt;=6,E121&lt;9),((E121/D121)*60)*0.75,AND(E121&gt;=9,E121&lt;=11),((E121/D121)*60)*0.9,AND(E121=12),((E121/D121)*60)*1,AND(E121&gt;=13,E121&lt;=15),((E121/D121)*60)*1.2,AND(E121&gt;=16,E121&lt;=19),((E121/D121)*60)*1.5,E121&gt;=20,((E121/D121)*60)*1.8)</f>
        <v>18.129496403203767</v>
      </c>
      <c r="AT121" cm="1">
        <f t="array" ref="AT121">_xlfn.IFS(F121&lt;550,((F121/D121)*60)*0.5,AND(F121&gt;=550,F121&lt;575),((F121/D121)*60)*0.75,AND(F121&gt;=575,F121&lt;600),((F121/D121)*60)*0.9,AND(F121=600),((F121/D121)*60)*1,AND(F121&gt;=601,F121&lt;=625),((F121/D121)*60)*1.2,AND(F121&gt;=626,F121&lt;=650),((F121/D121)*60)*1.5,F121&gt;=651,((F121/D121)*60)*1.8)</f>
        <v>1027.8776978602136</v>
      </c>
      <c r="AU121">
        <f t="shared" si="30"/>
        <v>17.5366666661</v>
      </c>
      <c r="AV121">
        <f t="shared" si="34"/>
        <v>421.91021103858702</v>
      </c>
      <c r="AW121">
        <f t="shared" si="31"/>
        <v>62.4</v>
      </c>
      <c r="AX121" t="str">
        <f t="shared" si="32"/>
        <v>Feb-2020</v>
      </c>
      <c r="AY121">
        <f>ROUNDUP(Table2[[#This Row],[Month]]/3,0)</f>
        <v>1</v>
      </c>
    </row>
    <row r="122" spans="1:51" x14ac:dyDescent="0.2">
      <c r="A122">
        <v>121</v>
      </c>
      <c r="B122">
        <f t="shared" si="19"/>
        <v>16</v>
      </c>
      <c r="C122" s="22">
        <v>43866</v>
      </c>
      <c r="D122">
        <f>SUM(Table2[[#This Row],[Gray Min]:[Red Min]])</f>
        <v>61.783333332999995</v>
      </c>
      <c r="E122">
        <v>16</v>
      </c>
      <c r="F122">
        <v>584</v>
      </c>
      <c r="G122">
        <v>117</v>
      </c>
      <c r="H122">
        <v>167</v>
      </c>
      <c r="I122">
        <v>27.733333333000001</v>
      </c>
      <c r="J122">
        <v>12.283333333</v>
      </c>
      <c r="K122">
        <v>5.5666666669999998</v>
      </c>
      <c r="L122">
        <v>8.7333333329999991</v>
      </c>
      <c r="M122">
        <v>7.4666666670000001</v>
      </c>
      <c r="N122" t="s">
        <v>40</v>
      </c>
      <c r="O122" t="s">
        <v>26</v>
      </c>
      <c r="P122" t="s">
        <v>41</v>
      </c>
      <c r="Q122">
        <f t="shared" si="33"/>
        <v>4</v>
      </c>
      <c r="R122" t="str">
        <f t="shared" si="20"/>
        <v>2-2020</v>
      </c>
      <c r="S122" t="s">
        <v>47</v>
      </c>
      <c r="T122" t="str">
        <f t="shared" si="21"/>
        <v>Wednesday</v>
      </c>
      <c r="U122">
        <f t="shared" si="22"/>
        <v>1</v>
      </c>
      <c r="V122" s="24">
        <f>IFERROR(Table2[[#This Row],[Gray Min]]/Table2[[#This Row],[ClassLength]],"")</f>
        <v>0.44888049635526783</v>
      </c>
      <c r="W122" s="24">
        <f>IFERROR(Table2[[#This Row],[Blue Min]]/Table2[[#This Row],[ClassLength]],"")</f>
        <v>0.19881305637549943</v>
      </c>
      <c r="X122" s="24">
        <f>IFERROR(Table2[[#This Row],[Green Min]]/Table2[[#This Row],[ClassLength]],"")</f>
        <v>9.0099811173941738E-2</v>
      </c>
      <c r="Y122" s="24">
        <f>IFERROR(Table2[[#This Row],[Orange Min]]/Table2[[#This Row],[ClassLength]],"")</f>
        <v>0.1413541947620251</v>
      </c>
      <c r="Z122" s="24">
        <f>IFERROR(Table2[[#This Row],[Red Min]]/Table2[[#This Row],[ClassLength]],"")</f>
        <v>0.120852441333266</v>
      </c>
      <c r="AA122" s="25">
        <v>232.14</v>
      </c>
      <c r="AB122" s="25">
        <f t="shared" si="35"/>
        <v>14.508749999999999</v>
      </c>
      <c r="AC122" s="26">
        <f t="shared" si="23"/>
        <v>598.6875</v>
      </c>
      <c r="AD122" s="26">
        <f t="shared" si="24"/>
        <v>13.5625</v>
      </c>
      <c r="AE122">
        <f t="shared" si="25"/>
        <v>2020</v>
      </c>
      <c r="AG122">
        <v>12</v>
      </c>
      <c r="AH122" s="26">
        <f t="shared" si="26"/>
        <v>9.4523873752870387</v>
      </c>
      <c r="AI122" t="str">
        <f t="shared" si="27"/>
        <v>PM</v>
      </c>
      <c r="AJ122" t="str">
        <f t="shared" si="28"/>
        <v>2-2020-2</v>
      </c>
      <c r="AK122">
        <f t="shared" si="29"/>
        <v>2</v>
      </c>
      <c r="AL122" s="26">
        <f>IFERROR(Table2[[#This Row],[Calories]]/Table2[[#This Row],[Splat]],"")</f>
        <v>36.5</v>
      </c>
      <c r="AM122">
        <f>COUNTIF(N$2:$N$938,N122)</f>
        <v>38</v>
      </c>
      <c r="AN122" t="str">
        <f>VLOOKUP(N122,'Helpful Tables'!A:D,4,FALSE)</f>
        <v>Washington, DC</v>
      </c>
      <c r="AO122" s="24">
        <f>COUNTIF(AN:AN,Table2[[#This Row],[State]])/COUNTA(AN:AN)</f>
        <v>0.54904051172707891</v>
      </c>
      <c r="AP122">
        <f>VLOOKUP(N122,'Helpful Tables'!A:B,2,FALSE)</f>
        <v>38.903509999999997</v>
      </c>
      <c r="AQ122">
        <f>VLOOKUP(N122,'Helpful Tables'!A:C,3,FALSE)</f>
        <v>-77.051809000000006</v>
      </c>
      <c r="AR122">
        <f>COUNTIF(P$2:$P$938,P122)</f>
        <v>20</v>
      </c>
      <c r="AS122" cm="1">
        <f t="array" ref="AS122">_xlfn.IFS(E122&lt;6,((E122/D122)*60)*0.5,AND(E122&gt;=6,E122&lt;9),((E122/D122)*60)*0.75,AND(E122&gt;=9,E122&lt;=11),((E122/D122)*60)*0.9,AND(E122=12),((E122/D122)*60)*1,AND(E122&gt;=13,E122&lt;=15),((E122/D122)*60)*1.2,AND(E122&gt;=16,E122&lt;=19),((E122/D122)*60)*1.5,E122&gt;=20,((E122/D122)*60)*1.8)</f>
        <v>23.307256541803657</v>
      </c>
      <c r="AT122" cm="1">
        <f t="array" ref="AT122">_xlfn.IFS(F122&lt;550,((F122/D122)*60)*0.5,AND(F122&gt;=550,F122&lt;575),((F122/D122)*60)*0.75,AND(F122&gt;=575,F122&lt;600),((F122/D122)*60)*0.9,AND(F122=600),((F122/D122)*60)*1,AND(F122&gt;=601,F122&lt;=625),((F122/D122)*60)*1.2,AND(F122&gt;=626,F122&lt;=650),((F122/D122)*60)*1.5,F122&gt;=651,((F122/D122)*60)*1.8)</f>
        <v>510.4289182655001</v>
      </c>
      <c r="AU122">
        <f t="shared" si="30"/>
        <v>-17.558333332100002</v>
      </c>
      <c r="AV122">
        <f t="shared" si="34"/>
        <v>209.98280325650148</v>
      </c>
      <c r="AW122">
        <f t="shared" si="31"/>
        <v>13.900000000000002</v>
      </c>
      <c r="AX122" t="str">
        <f t="shared" si="32"/>
        <v>Feb-2020</v>
      </c>
      <c r="AY122">
        <f>ROUNDUP(Table2[[#This Row],[Month]]/3,0)</f>
        <v>1</v>
      </c>
    </row>
    <row r="123" spans="1:51" x14ac:dyDescent="0.2">
      <c r="A123">
        <v>122</v>
      </c>
      <c r="B123">
        <f t="shared" si="19"/>
        <v>16</v>
      </c>
      <c r="C123" s="22">
        <v>43867</v>
      </c>
      <c r="D123">
        <f>SUM(Table2[[#This Row],[Gray Min]:[Red Min]])</f>
        <v>59</v>
      </c>
      <c r="E123">
        <v>15</v>
      </c>
      <c r="F123">
        <v>590</v>
      </c>
      <c r="G123">
        <v>120</v>
      </c>
      <c r="H123">
        <v>167</v>
      </c>
      <c r="I123">
        <v>23.433333333</v>
      </c>
      <c r="J123">
        <v>8.9499999999999993</v>
      </c>
      <c r="K123">
        <v>11.95</v>
      </c>
      <c r="L123">
        <v>11.85</v>
      </c>
      <c r="M123">
        <v>2.8166666669999998</v>
      </c>
      <c r="N123" t="s">
        <v>85</v>
      </c>
      <c r="O123" t="s">
        <v>57</v>
      </c>
      <c r="P123" t="s">
        <v>86</v>
      </c>
      <c r="Q123">
        <f t="shared" si="33"/>
        <v>1</v>
      </c>
      <c r="R123" t="str">
        <f t="shared" si="20"/>
        <v>2-2020</v>
      </c>
      <c r="S123" t="s">
        <v>48</v>
      </c>
      <c r="T123" t="str">
        <f t="shared" si="21"/>
        <v>Thursday</v>
      </c>
      <c r="U123">
        <f t="shared" si="22"/>
        <v>1</v>
      </c>
      <c r="V123" s="24">
        <f>IFERROR(Table2[[#This Row],[Gray Min]]/Table2[[#This Row],[ClassLength]],"")</f>
        <v>0.39717514123728814</v>
      </c>
      <c r="W123" s="24">
        <f>IFERROR(Table2[[#This Row],[Blue Min]]/Table2[[#This Row],[ClassLength]],"")</f>
        <v>0.15169491525423728</v>
      </c>
      <c r="X123" s="24">
        <f>IFERROR(Table2[[#This Row],[Green Min]]/Table2[[#This Row],[ClassLength]],"")</f>
        <v>0.20254237288135593</v>
      </c>
      <c r="Y123" s="24">
        <f>IFERROR(Table2[[#This Row],[Orange Min]]/Table2[[#This Row],[ClassLength]],"")</f>
        <v>0.20084745762711864</v>
      </c>
      <c r="Z123" s="24">
        <f>IFERROR(Table2[[#This Row],[Red Min]]/Table2[[#This Row],[ClassLength]],"")</f>
        <v>4.7740112999999994E-2</v>
      </c>
      <c r="AA123" s="25">
        <v>232.14</v>
      </c>
      <c r="AB123" s="25">
        <f t="shared" si="35"/>
        <v>14.508749999999999</v>
      </c>
      <c r="AC123" s="26">
        <f t="shared" si="23"/>
        <v>598.6875</v>
      </c>
      <c r="AD123" s="26">
        <f t="shared" si="24"/>
        <v>13.5625</v>
      </c>
      <c r="AE123">
        <f t="shared" si="25"/>
        <v>2020</v>
      </c>
      <c r="AG123">
        <v>12</v>
      </c>
      <c r="AH123" s="26">
        <f t="shared" si="26"/>
        <v>10</v>
      </c>
      <c r="AI123" t="str">
        <f t="shared" si="27"/>
        <v>PM</v>
      </c>
      <c r="AJ123" t="str">
        <f t="shared" si="28"/>
        <v>2-2020-2</v>
      </c>
      <c r="AK123">
        <f t="shared" si="29"/>
        <v>2</v>
      </c>
      <c r="AL123" s="26">
        <f>IFERROR(Table2[[#This Row],[Calories]]/Table2[[#This Row],[Splat]],"")</f>
        <v>39.333333333333336</v>
      </c>
      <c r="AM123">
        <f>COUNTIF(N$2:$N$938,N123)</f>
        <v>4</v>
      </c>
      <c r="AN123" t="str">
        <f>VLOOKUP(N123,'Helpful Tables'!A:D,4,FALSE)</f>
        <v>Washington, DC</v>
      </c>
      <c r="AO123" s="24">
        <f>COUNTIF(AN:AN,Table2[[#This Row],[State]])/COUNTA(AN:AN)</f>
        <v>0.54904051172707891</v>
      </c>
      <c r="AP123">
        <f>VLOOKUP(N123,'Helpful Tables'!A:B,2,FALSE)</f>
        <v>38.915415000000003</v>
      </c>
      <c r="AQ123">
        <f>VLOOKUP(N123,'Helpful Tables'!A:C,3,FALSE)</f>
        <v>-77.067172999999997</v>
      </c>
      <c r="AR123">
        <f>COUNTIF(P$2:$P$938,P123)</f>
        <v>3</v>
      </c>
      <c r="AS123" cm="1">
        <f t="array" ref="AS123">_xlfn.IFS(E123&lt;6,((E123/D123)*60)*0.5,AND(E123&gt;=6,E123&lt;9),((E123/D123)*60)*0.75,AND(E123&gt;=9,E123&lt;=11),((E123/D123)*60)*0.9,AND(E123=12),((E123/D123)*60)*1,AND(E123&gt;=13,E123&lt;=15),((E123/D123)*60)*1.2,AND(E123&gt;=16,E123&lt;=19),((E123/D123)*60)*1.5,E123&gt;=20,((E123/D123)*60)*1.8)</f>
        <v>18.305084745762709</v>
      </c>
      <c r="AT123" cm="1">
        <f t="array" ref="AT123">_xlfn.IFS(F123&lt;550,((F123/D123)*60)*0.5,AND(F123&gt;=550,F123&lt;575),((F123/D123)*60)*0.75,AND(F123&gt;=575,F123&lt;600),((F123/D123)*60)*0.9,AND(F123=600),((F123/D123)*60)*1,AND(F123&gt;=601,F123&lt;=625),((F123/D123)*60)*1.2,AND(F123&gt;=626,F123&lt;=650),((F123/D123)*60)*1.5,F123&gt;=651,((F123/D123)*60)*1.8)</f>
        <v>540</v>
      </c>
      <c r="AU123">
        <f t="shared" si="30"/>
        <v>-3.994999999100008</v>
      </c>
      <c r="AV123">
        <f t="shared" si="34"/>
        <v>222.52303389848507</v>
      </c>
      <c r="AW123">
        <f t="shared" si="31"/>
        <v>17.5</v>
      </c>
      <c r="AX123" t="str">
        <f t="shared" si="32"/>
        <v>Feb-2020</v>
      </c>
      <c r="AY123">
        <f>ROUNDUP(Table2[[#This Row],[Month]]/3,0)</f>
        <v>1</v>
      </c>
    </row>
    <row r="124" spans="1:51" x14ac:dyDescent="0.2">
      <c r="A124">
        <v>123</v>
      </c>
      <c r="B124">
        <f t="shared" si="19"/>
        <v>16</v>
      </c>
      <c r="C124" s="22">
        <v>43869</v>
      </c>
      <c r="D124">
        <f>SUM(Table2[[#This Row],[Gray Min]:[Red Min]])</f>
        <v>53.299999998999994</v>
      </c>
      <c r="E124">
        <v>12</v>
      </c>
      <c r="F124">
        <v>568</v>
      </c>
      <c r="G124">
        <v>125</v>
      </c>
      <c r="H124">
        <v>167</v>
      </c>
      <c r="I124">
        <v>8.7333333329999991</v>
      </c>
      <c r="J124">
        <v>21.216666666999998</v>
      </c>
      <c r="K124">
        <v>11.333333333000001</v>
      </c>
      <c r="L124">
        <v>9.7333333329999991</v>
      </c>
      <c r="M124">
        <v>2.2833333329999999</v>
      </c>
      <c r="N124" t="s">
        <v>33</v>
      </c>
      <c r="O124" t="s">
        <v>45</v>
      </c>
      <c r="P124" t="s">
        <v>34</v>
      </c>
      <c r="Q124">
        <f t="shared" si="33"/>
        <v>2</v>
      </c>
      <c r="R124" t="str">
        <f t="shared" si="20"/>
        <v>2-2020</v>
      </c>
      <c r="S124" t="s">
        <v>43</v>
      </c>
      <c r="T124" t="str">
        <f t="shared" si="21"/>
        <v>Saturday</v>
      </c>
      <c r="U124">
        <f t="shared" si="22"/>
        <v>1</v>
      </c>
      <c r="V124" s="24">
        <f>IFERROR(Table2[[#This Row],[Gray Min]]/Table2[[#This Row],[ClassLength]],"")</f>
        <v>0.16385240775166704</v>
      </c>
      <c r="W124" s="24">
        <f>IFERROR(Table2[[#This Row],[Blue Min]]/Table2[[#This Row],[ClassLength]],"")</f>
        <v>0.39806128831891296</v>
      </c>
      <c r="X124" s="24">
        <f>IFERROR(Table2[[#This Row],[Green Min]]/Table2[[#This Row],[ClassLength]],"")</f>
        <v>0.21263289555746032</v>
      </c>
      <c r="Y124" s="24">
        <f>IFERROR(Table2[[#This Row],[Orange Min]]/Table2[[#This Row],[ClassLength]],"")</f>
        <v>0.18261413383081829</v>
      </c>
      <c r="Z124" s="24">
        <f>IFERROR(Table2[[#This Row],[Red Min]]/Table2[[#This Row],[ClassLength]],"")</f>
        <v>4.2839274541141455E-2</v>
      </c>
      <c r="AA124" s="25">
        <v>232.14</v>
      </c>
      <c r="AB124" s="25">
        <f t="shared" si="35"/>
        <v>14.508749999999999</v>
      </c>
      <c r="AC124" s="26">
        <f t="shared" si="23"/>
        <v>598.6875</v>
      </c>
      <c r="AD124" s="26">
        <f t="shared" si="24"/>
        <v>13.5625</v>
      </c>
      <c r="AE124">
        <f t="shared" si="25"/>
        <v>2020</v>
      </c>
      <c r="AG124">
        <v>12</v>
      </c>
      <c r="AH124" s="26">
        <f t="shared" si="26"/>
        <v>10.656660412957912</v>
      </c>
      <c r="AI124" t="str">
        <f t="shared" si="27"/>
        <v>AM</v>
      </c>
      <c r="AJ124" t="str">
        <f t="shared" si="28"/>
        <v>2-2020-2</v>
      </c>
      <c r="AK124">
        <f t="shared" si="29"/>
        <v>2</v>
      </c>
      <c r="AL124" s="26">
        <f>IFERROR(Table2[[#This Row],[Calories]]/Table2[[#This Row],[Splat]],"")</f>
        <v>47.333333333333336</v>
      </c>
      <c r="AM124">
        <f>COUNTIF(N$2:$N$938,N124)</f>
        <v>48</v>
      </c>
      <c r="AN124" t="str">
        <f>VLOOKUP(N124,'Helpful Tables'!A:D,4,FALSE)</f>
        <v>Washington, DC</v>
      </c>
      <c r="AO124" s="24">
        <f>COUNTIF(AN:AN,Table2[[#This Row],[State]])/COUNTA(AN:AN)</f>
        <v>0.54904051172707891</v>
      </c>
      <c r="AP124">
        <f>VLOOKUP(N124,'Helpful Tables'!A:B,2,FALSE)</f>
        <v>38.916486999999996</v>
      </c>
      <c r="AQ124">
        <f>VLOOKUP(N124,'Helpful Tables'!A:C,3,FALSE)</f>
        <v>-77.031514000000001</v>
      </c>
      <c r="AR124">
        <f>COUNTIF(P$2:$P$938,P124)</f>
        <v>30</v>
      </c>
      <c r="AS124" cm="1">
        <f t="array" ref="AS124">_xlfn.IFS(E124&lt;6,((E124/D124)*60)*0.5,AND(E124&gt;=6,E124&lt;9),((E124/D124)*60)*0.75,AND(E124&gt;=9,E124&lt;=11),((E124/D124)*60)*0.9,AND(E124=12),((E124/D124)*60)*1,AND(E124&gt;=13,E124&lt;=15),((E124/D124)*60)*1.2,AND(E124&gt;=16,E124&lt;=19),((E124/D124)*60)*1.5,E124&gt;=20,((E124/D124)*60)*1.8)</f>
        <v>13.508442776988904</v>
      </c>
      <c r="AT124" cm="1">
        <f t="array" ref="AT124">_xlfn.IFS(F124&lt;550,((F124/D124)*60)*0.5,AND(F124&gt;=550,F124&lt;575),((F124/D124)*60)*0.75,AND(F124&gt;=575,F124&lt;600),((F124/D124)*60)*0.9,AND(F124=600),((F124/D124)*60)*1,AND(F124&gt;=601,F124&lt;=625),((F124/D124)*60)*1.2,AND(F124&gt;=626,F124&lt;=650),((F124/D124)*60)*1.5,F124&gt;=651,((F124/D124)*60)*1.8)</f>
        <v>479.54971858310603</v>
      </c>
      <c r="AU124">
        <f t="shared" si="30"/>
        <v>-4.1400000012999962</v>
      </c>
      <c r="AV124">
        <f t="shared" si="34"/>
        <v>196.39526454377798</v>
      </c>
      <c r="AW124">
        <f t="shared" si="31"/>
        <v>12.8</v>
      </c>
      <c r="AX124" t="str">
        <f t="shared" si="32"/>
        <v>Feb-2020</v>
      </c>
      <c r="AY124">
        <f>ROUNDUP(Table2[[#This Row],[Month]]/3,0)</f>
        <v>1</v>
      </c>
    </row>
    <row r="125" spans="1:51" x14ac:dyDescent="0.2">
      <c r="A125">
        <v>124</v>
      </c>
      <c r="B125">
        <f t="shared" si="19"/>
        <v>16</v>
      </c>
      <c r="C125" s="22">
        <v>43872</v>
      </c>
      <c r="D125">
        <f>SUM(Table2[[#This Row],[Gray Min]:[Red Min]])</f>
        <v>59.716666666999998</v>
      </c>
      <c r="E125">
        <v>15</v>
      </c>
      <c r="F125">
        <v>645</v>
      </c>
      <c r="G125">
        <v>126</v>
      </c>
      <c r="H125">
        <v>168</v>
      </c>
      <c r="I125">
        <v>16.066666667</v>
      </c>
      <c r="J125">
        <v>12.883333332999999</v>
      </c>
      <c r="K125">
        <v>15.9</v>
      </c>
      <c r="L125">
        <v>11.75</v>
      </c>
      <c r="M125">
        <v>3.1166666670000001</v>
      </c>
      <c r="N125" t="s">
        <v>24</v>
      </c>
      <c r="O125" t="s">
        <v>26</v>
      </c>
      <c r="P125" t="s">
        <v>87</v>
      </c>
      <c r="Q125">
        <f t="shared" si="33"/>
        <v>3</v>
      </c>
      <c r="R125" t="str">
        <f t="shared" si="20"/>
        <v>2-2020</v>
      </c>
      <c r="S125" t="s">
        <v>43</v>
      </c>
      <c r="T125" t="str">
        <f t="shared" si="21"/>
        <v>Tuesday</v>
      </c>
      <c r="U125">
        <f t="shared" si="22"/>
        <v>1</v>
      </c>
      <c r="V125" s="24">
        <f>IFERROR(Table2[[#This Row],[Gray Min]]/Table2[[#This Row],[ClassLength]],"")</f>
        <v>0.26904828356534161</v>
      </c>
      <c r="W125" s="24">
        <f>IFERROR(Table2[[#This Row],[Blue Min]]/Table2[[#This Row],[ClassLength]],"")</f>
        <v>0.21574099915592665</v>
      </c>
      <c r="X125" s="24">
        <f>IFERROR(Table2[[#This Row],[Green Min]]/Table2[[#This Row],[ClassLength]],"")</f>
        <v>0.26625732626142196</v>
      </c>
      <c r="Y125" s="24">
        <f>IFERROR(Table2[[#This Row],[Orange Min]]/Table2[[#This Row],[ClassLength]],"")</f>
        <v>0.19676248953281184</v>
      </c>
      <c r="Z125" s="24">
        <f>IFERROR(Table2[[#This Row],[Red Min]]/Table2[[#This Row],[ClassLength]],"")</f>
        <v>5.219090148449796E-2</v>
      </c>
      <c r="AA125" s="25">
        <v>232.14</v>
      </c>
      <c r="AB125" s="25">
        <f t="shared" si="35"/>
        <v>14.508749999999999</v>
      </c>
      <c r="AC125" s="26">
        <f t="shared" si="23"/>
        <v>598.6875</v>
      </c>
      <c r="AD125" s="26">
        <f t="shared" si="24"/>
        <v>13.5625</v>
      </c>
      <c r="AE125">
        <f t="shared" si="25"/>
        <v>2020</v>
      </c>
      <c r="AG125">
        <v>12</v>
      </c>
      <c r="AH125" s="26">
        <f t="shared" si="26"/>
        <v>10.801004744567118</v>
      </c>
      <c r="AI125" t="str">
        <f t="shared" si="27"/>
        <v>PM</v>
      </c>
      <c r="AJ125" t="str">
        <f t="shared" si="28"/>
        <v>2-2020-3</v>
      </c>
      <c r="AK125">
        <f t="shared" si="29"/>
        <v>2</v>
      </c>
      <c r="AL125" s="26">
        <f>IFERROR(Table2[[#This Row],[Calories]]/Table2[[#This Row],[Splat]],"")</f>
        <v>43</v>
      </c>
      <c r="AM125">
        <f>COUNTIF(N$2:$N$938,N125)</f>
        <v>35</v>
      </c>
      <c r="AN125" t="str">
        <f>VLOOKUP(N125,'Helpful Tables'!A:D,4,FALSE)</f>
        <v>Virginia</v>
      </c>
      <c r="AO125" s="24">
        <f>COUNTIF(AN:AN,Table2[[#This Row],[State]])/COUNTA(AN:AN)</f>
        <v>5.6503198294243072E-2</v>
      </c>
      <c r="AP125">
        <f>VLOOKUP(N125,'Helpful Tables'!A:B,2,FALSE)</f>
        <v>38.881884999999997</v>
      </c>
      <c r="AQ125">
        <f>VLOOKUP(N125,'Helpful Tables'!A:C,3,FALSE)</f>
        <v>-77.229702000000003</v>
      </c>
      <c r="AR125">
        <f>COUNTIF(P$2:$P$938,P125)</f>
        <v>1</v>
      </c>
      <c r="AS125" cm="1">
        <f t="array" ref="AS125">_xlfn.IFS(E125&lt;6,((E125/D125)*60)*0.5,AND(E125&gt;=6,E125&lt;9),((E125/D125)*60)*0.75,AND(E125&gt;=9,E125&lt;=11),((E125/D125)*60)*0.9,AND(E125=12),((E125/D125)*60)*1,AND(E125&gt;=13,E125&lt;=15),((E125/D125)*60)*1.2,AND(E125&gt;=16,E125&lt;=19),((E125/D125)*60)*1.5,E125&gt;=20,((E125/D125)*60)*1.8)</f>
        <v>18.085403293228662</v>
      </c>
      <c r="AT125" cm="1">
        <f t="array" ref="AT125">_xlfn.IFS(F125&lt;550,((F125/D125)*60)*0.5,AND(F125&gt;=550,F125&lt;575),((F125/D125)*60)*0.75,AND(F125&gt;=575,F125&lt;600),((F125/D125)*60)*0.9,AND(F125=600),((F125/D125)*60)*1,AND(F125&gt;=601,F125&lt;=625),((F125/D125)*60)*1.2,AND(F125&gt;=626,F125&lt;=650),((F125/D125)*60)*1.5,F125&gt;=651,((F125/D125)*60)*1.8)</f>
        <v>972.09042701104067</v>
      </c>
      <c r="AU125">
        <f t="shared" si="30"/>
        <v>5.578333333799999</v>
      </c>
      <c r="AV125">
        <f t="shared" si="34"/>
        <v>397.18599878846771</v>
      </c>
      <c r="AW125">
        <f t="shared" si="31"/>
        <v>51.6</v>
      </c>
      <c r="AX125" t="str">
        <f t="shared" si="32"/>
        <v>Feb-2020</v>
      </c>
      <c r="AY125">
        <f>ROUNDUP(Table2[[#This Row],[Month]]/3,0)</f>
        <v>1</v>
      </c>
    </row>
    <row r="126" spans="1:51" x14ac:dyDescent="0.2">
      <c r="A126">
        <v>125</v>
      </c>
      <c r="B126">
        <f t="shared" si="19"/>
        <v>16</v>
      </c>
      <c r="C126" s="22">
        <v>43873</v>
      </c>
      <c r="D126">
        <f>SUM(Table2[[#This Row],[Gray Min]:[Red Min]])</f>
        <v>55.566666667</v>
      </c>
      <c r="E126">
        <v>16</v>
      </c>
      <c r="F126">
        <v>616</v>
      </c>
      <c r="G126">
        <v>128</v>
      </c>
      <c r="H126">
        <v>171</v>
      </c>
      <c r="I126">
        <v>12.966666667</v>
      </c>
      <c r="J126">
        <v>10.7</v>
      </c>
      <c r="K126">
        <v>15.633333332999999</v>
      </c>
      <c r="L126">
        <v>11.266666667000001</v>
      </c>
      <c r="M126">
        <v>5</v>
      </c>
      <c r="N126" t="s">
        <v>40</v>
      </c>
      <c r="O126" t="s">
        <v>26</v>
      </c>
      <c r="P126" t="s">
        <v>41</v>
      </c>
      <c r="Q126">
        <f t="shared" si="33"/>
        <v>1</v>
      </c>
      <c r="R126" t="str">
        <f t="shared" si="20"/>
        <v>2-2020</v>
      </c>
      <c r="S126" t="s">
        <v>47</v>
      </c>
      <c r="T126" t="str">
        <f t="shared" si="21"/>
        <v>Wednesday</v>
      </c>
      <c r="U126">
        <f t="shared" si="22"/>
        <v>1</v>
      </c>
      <c r="V126" s="24">
        <f>IFERROR(Table2[[#This Row],[Gray Min]]/Table2[[#This Row],[ClassLength]],"")</f>
        <v>0.23335332933873212</v>
      </c>
      <c r="W126" s="24">
        <f>IFERROR(Table2[[#This Row],[Blue Min]]/Table2[[#This Row],[ClassLength]],"")</f>
        <v>0.19256148770130435</v>
      </c>
      <c r="X126" s="24">
        <f>IFERROR(Table2[[#This Row],[Green Min]]/Table2[[#This Row],[ClassLength]],"")</f>
        <v>0.28134373124606271</v>
      </c>
      <c r="Y126" s="24">
        <f>IFERROR(Table2[[#This Row],[Orange Min]]/Table2[[#This Row],[ClassLength]],"")</f>
        <v>0.20275944811516042</v>
      </c>
      <c r="Z126" s="24">
        <f>IFERROR(Table2[[#This Row],[Red Min]]/Table2[[#This Row],[ClassLength]],"")</f>
        <v>8.9982003598740354E-2</v>
      </c>
      <c r="AA126" s="25">
        <v>232.14</v>
      </c>
      <c r="AB126" s="25">
        <f t="shared" si="35"/>
        <v>14.508749999999999</v>
      </c>
      <c r="AC126" s="26">
        <f t="shared" si="23"/>
        <v>598.6875</v>
      </c>
      <c r="AD126" s="26">
        <f t="shared" si="24"/>
        <v>13.5625</v>
      </c>
      <c r="AE126">
        <f t="shared" si="25"/>
        <v>2020</v>
      </c>
      <c r="AG126">
        <v>12</v>
      </c>
      <c r="AH126" s="26">
        <f t="shared" si="26"/>
        <v>11.085782843364813</v>
      </c>
      <c r="AI126" t="str">
        <f t="shared" si="27"/>
        <v>PM</v>
      </c>
      <c r="AJ126" t="str">
        <f t="shared" si="28"/>
        <v>2-2020-3</v>
      </c>
      <c r="AK126">
        <f t="shared" si="29"/>
        <v>2</v>
      </c>
      <c r="AL126" s="26">
        <f>IFERROR(Table2[[#This Row],[Calories]]/Table2[[#This Row],[Splat]],"")</f>
        <v>38.5</v>
      </c>
      <c r="AM126">
        <f>COUNTIF(N$2:$N$938,N126)</f>
        <v>38</v>
      </c>
      <c r="AN126" t="str">
        <f>VLOOKUP(N126,'Helpful Tables'!A:D,4,FALSE)</f>
        <v>Washington, DC</v>
      </c>
      <c r="AO126" s="24">
        <f>COUNTIF(AN:AN,Table2[[#This Row],[State]])/COUNTA(AN:AN)</f>
        <v>0.54904051172707891</v>
      </c>
      <c r="AP126">
        <f>VLOOKUP(N126,'Helpful Tables'!A:B,2,FALSE)</f>
        <v>38.903509999999997</v>
      </c>
      <c r="AQ126">
        <f>VLOOKUP(N126,'Helpful Tables'!A:C,3,FALSE)</f>
        <v>-77.051809000000006</v>
      </c>
      <c r="AR126">
        <f>COUNTIF(P$2:$P$938,P126)</f>
        <v>20</v>
      </c>
      <c r="AS126" cm="1">
        <f t="array" ref="AS126">_xlfn.IFS(E126&lt;6,((E126/D126)*60)*0.5,AND(E126&gt;=6,E126&lt;9),((E126/D126)*60)*0.75,AND(E126&gt;=9,E126&lt;=11),((E126/D126)*60)*0.9,AND(E126=12),((E126/D126)*60)*1,AND(E126&gt;=13,E126&lt;=15),((E126/D126)*60)*1.2,AND(E126&gt;=16,E126&lt;=19),((E126/D126)*60)*1.5,E126&gt;=20,((E126/D126)*60)*1.8)</f>
        <v>25.914817036437228</v>
      </c>
      <c r="AT126" cm="1">
        <f t="array" ref="AT126">_xlfn.IFS(F126&lt;550,((F126/D126)*60)*0.5,AND(F126&gt;=550,F126&lt;575),((F126/D126)*60)*0.75,AND(F126&gt;=575,F126&lt;600),((F126/D126)*60)*0.9,AND(F126=600),((F126/D126)*60)*1,AND(F126&gt;=601,F126&lt;=625),((F126/D126)*60)*1.2,AND(F126&gt;=626,F126&lt;=650),((F126/D126)*60)*1.5,F126&gt;=651,((F126/D126)*60)*1.8)</f>
        <v>798.17636472226638</v>
      </c>
      <c r="AU126">
        <f t="shared" si="30"/>
        <v>13.576666666300001</v>
      </c>
      <c r="AV126">
        <f t="shared" si="34"/>
        <v>332.35180603674144</v>
      </c>
      <c r="AW126">
        <f t="shared" si="31"/>
        <v>40.9</v>
      </c>
      <c r="AX126" t="str">
        <f t="shared" si="32"/>
        <v>Feb-2020</v>
      </c>
      <c r="AY126">
        <f>ROUNDUP(Table2[[#This Row],[Month]]/3,0)</f>
        <v>1</v>
      </c>
    </row>
    <row r="127" spans="1:51" x14ac:dyDescent="0.2">
      <c r="A127">
        <v>126</v>
      </c>
      <c r="B127">
        <f t="shared" si="19"/>
        <v>16</v>
      </c>
      <c r="C127" s="22">
        <v>43875</v>
      </c>
      <c r="D127">
        <f>SUM(Table2[[#This Row],[Gray Min]:[Red Min]])</f>
        <v>53.416666667000001</v>
      </c>
      <c r="E127">
        <v>12</v>
      </c>
      <c r="F127">
        <v>591</v>
      </c>
      <c r="G127">
        <v>128</v>
      </c>
      <c r="H127">
        <v>169</v>
      </c>
      <c r="I127">
        <v>12.316666667</v>
      </c>
      <c r="J127">
        <v>12.2</v>
      </c>
      <c r="K127">
        <v>16.766666666999999</v>
      </c>
      <c r="L127">
        <v>8.0333333329999999</v>
      </c>
      <c r="M127">
        <v>4.0999999999999996</v>
      </c>
      <c r="N127" t="s">
        <v>60</v>
      </c>
      <c r="O127" t="s">
        <v>39</v>
      </c>
      <c r="P127" t="s">
        <v>61</v>
      </c>
      <c r="Q127">
        <f t="shared" si="33"/>
        <v>2</v>
      </c>
      <c r="R127" t="str">
        <f t="shared" si="20"/>
        <v>2-2020</v>
      </c>
      <c r="S127" t="s">
        <v>43</v>
      </c>
      <c r="T127" t="str">
        <f t="shared" si="21"/>
        <v>Friday</v>
      </c>
      <c r="U127">
        <f t="shared" si="22"/>
        <v>1</v>
      </c>
      <c r="V127" s="24">
        <f>IFERROR(Table2[[#This Row],[Gray Min]]/Table2[[#This Row],[ClassLength]],"")</f>
        <v>0.23057722309372494</v>
      </c>
      <c r="W127" s="24">
        <f>IFERROR(Table2[[#This Row],[Blue Min]]/Table2[[#This Row],[ClassLength]],"")</f>
        <v>0.22839313572400377</v>
      </c>
      <c r="X127" s="24">
        <f>IFERROR(Table2[[#This Row],[Green Min]]/Table2[[#This Row],[ClassLength]],"")</f>
        <v>0.31388455538649679</v>
      </c>
      <c r="Y127" s="24">
        <f>IFERROR(Table2[[#This Row],[Orange Min]]/Table2[[#This Row],[ClassLength]],"")</f>
        <v>0.15039001559344531</v>
      </c>
      <c r="Z127" s="24">
        <f>IFERROR(Table2[[#This Row],[Red Min]]/Table2[[#This Row],[ClassLength]],"")</f>
        <v>7.6755070202329134E-2</v>
      </c>
      <c r="AA127" s="25">
        <v>232.14</v>
      </c>
      <c r="AB127" s="25">
        <f t="shared" si="35"/>
        <v>14.508749999999999</v>
      </c>
      <c r="AC127" s="26">
        <f t="shared" si="23"/>
        <v>598.6875</v>
      </c>
      <c r="AD127" s="26">
        <f t="shared" si="24"/>
        <v>13.5625</v>
      </c>
      <c r="AE127">
        <f t="shared" si="25"/>
        <v>2020</v>
      </c>
      <c r="AG127">
        <v>12</v>
      </c>
      <c r="AH127" s="26">
        <f t="shared" si="26"/>
        <v>11.063962558433298</v>
      </c>
      <c r="AI127" t="str">
        <f t="shared" si="27"/>
        <v>PM</v>
      </c>
      <c r="AJ127" t="str">
        <f t="shared" si="28"/>
        <v>2-2020-3</v>
      </c>
      <c r="AK127">
        <f t="shared" si="29"/>
        <v>2</v>
      </c>
      <c r="AL127" s="26">
        <f>IFERROR(Table2[[#This Row],[Calories]]/Table2[[#This Row],[Splat]],"")</f>
        <v>49.25</v>
      </c>
      <c r="AM127">
        <f>COUNTIF(N$2:$N$938,N127)</f>
        <v>10</v>
      </c>
      <c r="AN127" t="str">
        <f>VLOOKUP(N127,'Helpful Tables'!A:D,4,FALSE)</f>
        <v>Washington, DC</v>
      </c>
      <c r="AO127" s="24">
        <f>COUNTIF(AN:AN,Table2[[#This Row],[State]])/COUNTA(AN:AN)</f>
        <v>0.54904051172707891</v>
      </c>
      <c r="AP127">
        <f>VLOOKUP(N127,'Helpful Tables'!A:B,2,FALSE)</f>
        <v>38.879828000000003</v>
      </c>
      <c r="AQ127">
        <f>VLOOKUP(N127,'Helpful Tables'!A:C,3,FALSE)</f>
        <v>-77.005566000000002</v>
      </c>
      <c r="AR127">
        <f>COUNTIF(P$2:$P$938,P127)</f>
        <v>9</v>
      </c>
      <c r="AS127" cm="1">
        <f t="array" ref="AS127">_xlfn.IFS(E127&lt;6,((E127/D127)*60)*0.5,AND(E127&gt;=6,E127&lt;9),((E127/D127)*60)*0.75,AND(E127&gt;=9,E127&lt;=11),((E127/D127)*60)*0.9,AND(E127=12),((E127/D127)*60)*1,AND(E127&gt;=13,E127&lt;=15),((E127/D127)*60)*1.2,AND(E127&gt;=16,E127&lt;=19),((E127/D127)*60)*1.5,E127&gt;=20,((E127/D127)*60)*1.8)</f>
        <v>13.478939157482191</v>
      </c>
      <c r="AT127" cm="1">
        <f t="array" ref="AT127">_xlfn.IFS(F127&lt;550,((F127/D127)*60)*0.5,AND(F127&gt;=550,F127&lt;575),((F127/D127)*60)*0.75,AND(F127&gt;=575,F127&lt;600),((F127/D127)*60)*0.9,AND(F127=600),((F127/D127)*60)*1,AND(F127&gt;=601,F127&lt;=625),((F127/D127)*60)*1.2,AND(F127&gt;=626,F127&lt;=650),((F127/D127)*60)*1.5,F127&gt;=651,((F127/D127)*60)*1.8)</f>
        <v>597.45397815539809</v>
      </c>
      <c r="AU127">
        <f t="shared" si="30"/>
        <v>8.5133333328999967</v>
      </c>
      <c r="AV127">
        <f t="shared" si="34"/>
        <v>246.07583359173211</v>
      </c>
      <c r="AW127">
        <f t="shared" si="31"/>
        <v>22.8</v>
      </c>
      <c r="AX127" t="str">
        <f t="shared" si="32"/>
        <v>Feb-2020</v>
      </c>
      <c r="AY127">
        <f>ROUNDUP(Table2[[#This Row],[Month]]/3,0)</f>
        <v>1</v>
      </c>
    </row>
    <row r="128" spans="1:51" x14ac:dyDescent="0.2">
      <c r="A128">
        <v>127</v>
      </c>
      <c r="B128">
        <f t="shared" si="19"/>
        <v>16</v>
      </c>
      <c r="C128" s="22">
        <v>43876</v>
      </c>
      <c r="D128">
        <f>SUM(Table2[[#This Row],[Gray Min]:[Red Min]])</f>
        <v>55.349999999999994</v>
      </c>
      <c r="E128">
        <v>14</v>
      </c>
      <c r="F128">
        <v>647</v>
      </c>
      <c r="G128">
        <v>132</v>
      </c>
      <c r="H128">
        <v>170</v>
      </c>
      <c r="I128">
        <v>6.5833333329999997</v>
      </c>
      <c r="J128">
        <v>11.9</v>
      </c>
      <c r="K128">
        <v>22.65</v>
      </c>
      <c r="L128">
        <v>10.466666667</v>
      </c>
      <c r="M128">
        <v>3.75</v>
      </c>
      <c r="N128" t="s">
        <v>33</v>
      </c>
      <c r="O128" t="s">
        <v>45</v>
      </c>
      <c r="P128" t="s">
        <v>34</v>
      </c>
      <c r="Q128">
        <f t="shared" si="33"/>
        <v>1</v>
      </c>
      <c r="R128" t="str">
        <f t="shared" si="20"/>
        <v>2-2020</v>
      </c>
      <c r="S128" t="s">
        <v>43</v>
      </c>
      <c r="T128" t="str">
        <f t="shared" si="21"/>
        <v>Saturday</v>
      </c>
      <c r="U128">
        <f t="shared" si="22"/>
        <v>1</v>
      </c>
      <c r="V128" s="24">
        <f>IFERROR(Table2[[#This Row],[Gray Min]]/Table2[[#This Row],[ClassLength]],"")</f>
        <v>0.11894007828364951</v>
      </c>
      <c r="W128" s="24">
        <f>IFERROR(Table2[[#This Row],[Blue Min]]/Table2[[#This Row],[ClassLength]],"")</f>
        <v>0.21499548328816626</v>
      </c>
      <c r="X128" s="24">
        <f>IFERROR(Table2[[#This Row],[Green Min]]/Table2[[#This Row],[ClassLength]],"")</f>
        <v>0.40921409214092141</v>
      </c>
      <c r="Y128" s="24">
        <f>IFERROR(Table2[[#This Row],[Orange Min]]/Table2[[#This Row],[ClassLength]],"")</f>
        <v>0.18909966878048784</v>
      </c>
      <c r="Z128" s="24">
        <f>IFERROR(Table2[[#This Row],[Red Min]]/Table2[[#This Row],[ClassLength]],"")</f>
        <v>6.7750677506775075E-2</v>
      </c>
      <c r="AA128" s="25">
        <v>232.14</v>
      </c>
      <c r="AB128" s="25">
        <f t="shared" si="35"/>
        <v>14.508749999999999</v>
      </c>
      <c r="AC128" s="26">
        <f t="shared" si="23"/>
        <v>598.6875</v>
      </c>
      <c r="AD128" s="26">
        <f t="shared" si="24"/>
        <v>13.5625</v>
      </c>
      <c r="AE128">
        <f t="shared" si="25"/>
        <v>2020</v>
      </c>
      <c r="AG128">
        <v>12</v>
      </c>
      <c r="AH128" s="26">
        <f t="shared" si="26"/>
        <v>11.689250225835593</v>
      </c>
      <c r="AI128" t="str">
        <f t="shared" si="27"/>
        <v>AM</v>
      </c>
      <c r="AJ128" t="str">
        <f t="shared" si="28"/>
        <v>2-2020-3</v>
      </c>
      <c r="AK128">
        <f t="shared" si="29"/>
        <v>2</v>
      </c>
      <c r="AL128" s="26">
        <f>IFERROR(Table2[[#This Row],[Calories]]/Table2[[#This Row],[Splat]],"")</f>
        <v>46.214285714285715</v>
      </c>
      <c r="AM128">
        <f>COUNTIF(N$2:$N$938,N128)</f>
        <v>48</v>
      </c>
      <c r="AN128" t="str">
        <f>VLOOKUP(N128,'Helpful Tables'!A:D,4,FALSE)</f>
        <v>Washington, DC</v>
      </c>
      <c r="AO128" s="24">
        <f>COUNTIF(AN:AN,Table2[[#This Row],[State]])/COUNTA(AN:AN)</f>
        <v>0.54904051172707891</v>
      </c>
      <c r="AP128">
        <f>VLOOKUP(N128,'Helpful Tables'!A:B,2,FALSE)</f>
        <v>38.916486999999996</v>
      </c>
      <c r="AQ128">
        <f>VLOOKUP(N128,'Helpful Tables'!A:C,3,FALSE)</f>
        <v>-77.031514000000001</v>
      </c>
      <c r="AR128">
        <f>COUNTIF(P$2:$P$938,P128)</f>
        <v>30</v>
      </c>
      <c r="AS128" cm="1">
        <f t="array" ref="AS128">_xlfn.IFS(E128&lt;6,((E128/D128)*60)*0.5,AND(E128&gt;=6,E128&lt;9),((E128/D128)*60)*0.75,AND(E128&gt;=9,E128&lt;=11),((E128/D128)*60)*0.9,AND(E128=12),((E128/D128)*60)*1,AND(E128&gt;=13,E128&lt;=15),((E128/D128)*60)*1.2,AND(E128&gt;=16,E128&lt;=19),((E128/D128)*60)*1.5,E128&gt;=20,((E128/D128)*60)*1.8)</f>
        <v>18.211382113821138</v>
      </c>
      <c r="AT128" cm="1">
        <f t="array" ref="AT128">_xlfn.IFS(F128&lt;550,((F128/D128)*60)*0.5,AND(F128&gt;=550,F128&lt;575),((F128/D128)*60)*0.75,AND(F128&gt;=575,F128&lt;600),((F128/D128)*60)*0.9,AND(F128=600),((F128/D128)*60)*1,AND(F128&gt;=601,F128&lt;=625),((F128/D128)*60)*1.2,AND(F128&gt;=626,F128&lt;=650),((F128/D128)*60)*1.5,F128&gt;=651,((F128/D128)*60)*1.8)</f>
        <v>1052.0325203252034</v>
      </c>
      <c r="AU128">
        <f t="shared" si="30"/>
        <v>25.421666667499995</v>
      </c>
      <c r="AV128">
        <f t="shared" si="34"/>
        <v>433.18189430910991</v>
      </c>
      <c r="AW128">
        <f t="shared" si="31"/>
        <v>65.100000000000009</v>
      </c>
      <c r="AX128" t="str">
        <f t="shared" si="32"/>
        <v>Feb-2020</v>
      </c>
      <c r="AY128">
        <f>ROUNDUP(Table2[[#This Row],[Month]]/3,0)</f>
        <v>1</v>
      </c>
    </row>
    <row r="129" spans="1:51" x14ac:dyDescent="0.2">
      <c r="A129">
        <v>128</v>
      </c>
      <c r="B129">
        <f t="shared" si="19"/>
        <v>16</v>
      </c>
      <c r="C129" s="22">
        <v>43878</v>
      </c>
      <c r="D129">
        <f>SUM(Table2[[#This Row],[Gray Min]:[Red Min]])</f>
        <v>58.033333333000002</v>
      </c>
      <c r="E129">
        <v>16</v>
      </c>
      <c r="F129">
        <v>639</v>
      </c>
      <c r="G129">
        <v>127</v>
      </c>
      <c r="H129">
        <v>168</v>
      </c>
      <c r="I129">
        <v>14</v>
      </c>
      <c r="J129">
        <v>13.45</v>
      </c>
      <c r="K129">
        <v>15.233333332999999</v>
      </c>
      <c r="L129">
        <v>12.6</v>
      </c>
      <c r="M129">
        <v>2.75</v>
      </c>
      <c r="N129" t="s">
        <v>40</v>
      </c>
      <c r="O129" t="s">
        <v>88</v>
      </c>
      <c r="P129" t="s">
        <v>74</v>
      </c>
      <c r="Q129">
        <f t="shared" si="33"/>
        <v>2</v>
      </c>
      <c r="R129" t="str">
        <f t="shared" si="20"/>
        <v>2-2020</v>
      </c>
      <c r="S129" t="s">
        <v>47</v>
      </c>
      <c r="T129" t="str">
        <f t="shared" si="21"/>
        <v>Monday</v>
      </c>
      <c r="U129">
        <f t="shared" si="22"/>
        <v>1</v>
      </c>
      <c r="V129" s="24">
        <f>IFERROR(Table2[[#This Row],[Gray Min]]/Table2[[#This Row],[ClassLength]],"")</f>
        <v>0.24124066628513061</v>
      </c>
      <c r="W129" s="24">
        <f>IFERROR(Table2[[#This Row],[Blue Min]]/Table2[[#This Row],[ClassLength]],"")</f>
        <v>0.23176335439535761</v>
      </c>
      <c r="X129" s="24">
        <f>IFERROR(Table2[[#This Row],[Green Min]]/Table2[[#This Row],[ClassLength]],"")</f>
        <v>0.26249282021402925</v>
      </c>
      <c r="Y129" s="24">
        <f>IFERROR(Table2[[#This Row],[Orange Min]]/Table2[[#This Row],[ClassLength]],"")</f>
        <v>0.21711659965661753</v>
      </c>
      <c r="Z129" s="24">
        <f>IFERROR(Table2[[#This Row],[Red Min]]/Table2[[#This Row],[ClassLength]],"")</f>
        <v>4.738655944886494E-2</v>
      </c>
      <c r="AA129" s="25">
        <v>232.14</v>
      </c>
      <c r="AB129" s="25">
        <f t="shared" si="35"/>
        <v>14.508749999999999</v>
      </c>
      <c r="AC129" s="26">
        <f t="shared" si="23"/>
        <v>598.6875</v>
      </c>
      <c r="AD129" s="26">
        <f t="shared" si="24"/>
        <v>13.5625</v>
      </c>
      <c r="AE129">
        <f t="shared" si="25"/>
        <v>2020</v>
      </c>
      <c r="AG129">
        <v>12</v>
      </c>
      <c r="AH129" s="26">
        <f t="shared" si="26"/>
        <v>11.010913268299889</v>
      </c>
      <c r="AI129" t="str">
        <f t="shared" si="27"/>
        <v>AM</v>
      </c>
      <c r="AJ129" t="str">
        <f t="shared" si="28"/>
        <v>2-2020-4</v>
      </c>
      <c r="AK129">
        <f t="shared" si="29"/>
        <v>2</v>
      </c>
      <c r="AL129" s="26">
        <f>IFERROR(Table2[[#This Row],[Calories]]/Table2[[#This Row],[Splat]],"")</f>
        <v>39.9375</v>
      </c>
      <c r="AM129">
        <f>COUNTIF(N$2:$N$938,N129)</f>
        <v>38</v>
      </c>
      <c r="AN129" t="str">
        <f>VLOOKUP(N129,'Helpful Tables'!A:D,4,FALSE)</f>
        <v>Washington, DC</v>
      </c>
      <c r="AO129" s="24">
        <f>COUNTIF(AN:AN,Table2[[#This Row],[State]])/COUNTA(AN:AN)</f>
        <v>0.54904051172707891</v>
      </c>
      <c r="AP129">
        <f>VLOOKUP(N129,'Helpful Tables'!A:B,2,FALSE)</f>
        <v>38.903509999999997</v>
      </c>
      <c r="AQ129">
        <f>VLOOKUP(N129,'Helpful Tables'!A:C,3,FALSE)</f>
        <v>-77.051809000000006</v>
      </c>
      <c r="AR129">
        <f>COUNTIF(P$2:$P$938,P129)</f>
        <v>2</v>
      </c>
      <c r="AS129" cm="1">
        <f t="array" ref="AS129">_xlfn.IFS(E129&lt;6,((E129/D129)*60)*0.5,AND(E129&gt;=6,E129&lt;9),((E129/D129)*60)*0.75,AND(E129&gt;=9,E129&lt;=11),((E129/D129)*60)*0.9,AND(E129=12),((E129/D129)*60)*1,AND(E129&gt;=13,E129&lt;=15),((E129/D129)*60)*1.2,AND(E129&gt;=16,E129&lt;=19),((E129/D129)*60)*1.5,E129&gt;=20,((E129/D129)*60)*1.8)</f>
        <v>24.813325675042002</v>
      </c>
      <c r="AT129" cm="1">
        <f t="array" ref="AT129">_xlfn.IFS(F129&lt;550,((F129/D129)*60)*0.5,AND(F129&gt;=550,F129&lt;575),((F129/D129)*60)*0.75,AND(F129&gt;=575,F129&lt;600),((F129/D129)*60)*0.9,AND(F129=600),((F129/D129)*60)*1,AND(F129&gt;=601,F129&lt;=625),((F129/D129)*60)*1.2,AND(F129&gt;=626,F129&lt;=650),((F129/D129)*60)*1.5,F129&gt;=651,((F129/D129)*60)*1.8)</f>
        <v>990.98219414698997</v>
      </c>
      <c r="AU129">
        <f t="shared" si="30"/>
        <v>7.1899999995999977</v>
      </c>
      <c r="AV129">
        <f t="shared" si="34"/>
        <v>407.75620792873281</v>
      </c>
      <c r="AW129">
        <f t="shared" si="31"/>
        <v>57.499999999999993</v>
      </c>
      <c r="AX129" t="str">
        <f t="shared" si="32"/>
        <v>Feb-2020</v>
      </c>
      <c r="AY129">
        <f>ROUNDUP(Table2[[#This Row],[Month]]/3,0)</f>
        <v>1</v>
      </c>
    </row>
    <row r="130" spans="1:51" x14ac:dyDescent="0.2">
      <c r="A130">
        <v>129</v>
      </c>
      <c r="B130">
        <f t="shared" ref="B130:B193" si="36">COUNTIF(R:R,R130)</f>
        <v>16</v>
      </c>
      <c r="C130" s="22">
        <v>43879</v>
      </c>
      <c r="D130">
        <f>SUM(Table2[[#This Row],[Gray Min]:[Red Min]])</f>
        <v>58.000000000000007</v>
      </c>
      <c r="E130">
        <v>7</v>
      </c>
      <c r="F130">
        <v>525</v>
      </c>
      <c r="G130">
        <v>114</v>
      </c>
      <c r="H130">
        <v>165</v>
      </c>
      <c r="I130">
        <v>23.45</v>
      </c>
      <c r="J130">
        <v>16.083333332999999</v>
      </c>
      <c r="K130">
        <v>10.7</v>
      </c>
      <c r="L130">
        <v>7.35</v>
      </c>
      <c r="M130">
        <v>0.41666666699999999</v>
      </c>
      <c r="N130" t="s">
        <v>24</v>
      </c>
      <c r="O130" t="s">
        <v>57</v>
      </c>
      <c r="P130" t="s">
        <v>71</v>
      </c>
      <c r="Q130">
        <f t="shared" si="33"/>
        <v>1</v>
      </c>
      <c r="R130" t="str">
        <f t="shared" ref="R130:R193" si="37">MONTH(C130)&amp;"-"&amp;YEAR(C130)</f>
        <v>2-2020</v>
      </c>
      <c r="S130" t="s">
        <v>43</v>
      </c>
      <c r="T130" t="str">
        <f t="shared" ref="T130:T193" si="38">IF(WEEKDAY(C130)=1,"Sunday",IF(WEEKDAY(C130)=2,"Monday",IF(WEEKDAY(C130)=3,"Tuesday",IF(WEEKDAY(C130)=4,"Wednesday",IF(WEEKDAY(C130)=5,"Thursday",IF(WEEKDAY(C130)=6,"Friday","Saturday"))))))</f>
        <v>Tuesday</v>
      </c>
      <c r="U130">
        <f t="shared" ref="U130:U193" si="39">IF(E130&gt;=12,1,0)</f>
        <v>0</v>
      </c>
      <c r="V130" s="24">
        <f>IFERROR(Table2[[#This Row],[Gray Min]]/Table2[[#This Row],[ClassLength]],"")</f>
        <v>0.40431034482758615</v>
      </c>
      <c r="W130" s="24">
        <f>IFERROR(Table2[[#This Row],[Blue Min]]/Table2[[#This Row],[ClassLength]],"")</f>
        <v>0.27729885056896547</v>
      </c>
      <c r="X130" s="24">
        <f>IFERROR(Table2[[#This Row],[Green Min]]/Table2[[#This Row],[ClassLength]],"")</f>
        <v>0.18448275862068961</v>
      </c>
      <c r="Y130" s="24">
        <f>IFERROR(Table2[[#This Row],[Orange Min]]/Table2[[#This Row],[ClassLength]],"")</f>
        <v>0.12672413793103446</v>
      </c>
      <c r="Z130" s="24">
        <f>IFERROR(Table2[[#This Row],[Red Min]]/Table2[[#This Row],[ClassLength]],"")</f>
        <v>7.1839080517241373E-3</v>
      </c>
      <c r="AA130" s="25">
        <v>232.14</v>
      </c>
      <c r="AB130" s="25">
        <f t="shared" si="35"/>
        <v>14.508749999999999</v>
      </c>
      <c r="AC130" s="26">
        <f t="shared" ref="AC130:AC193" si="40">AVERAGEIF(R:R,R130,F:F)</f>
        <v>598.6875</v>
      </c>
      <c r="AD130" s="26">
        <f t="shared" ref="AD130:AD193" si="41">AVERAGEIF(R:R,R130,E:E)</f>
        <v>13.5625</v>
      </c>
      <c r="AE130">
        <f t="shared" ref="AE130:AE193" si="42">YEAR(C130)</f>
        <v>2020</v>
      </c>
      <c r="AG130">
        <v>12</v>
      </c>
      <c r="AH130" s="26">
        <f t="shared" ref="AH130:AH193" si="43">F130/D130</f>
        <v>9.0517241379310338</v>
      </c>
      <c r="AI130" t="str">
        <f t="shared" ref="AI130:AI193" si="44">RIGHT(O130,2)</f>
        <v>PM</v>
      </c>
      <c r="AJ130" t="str">
        <f t="shared" ref="AJ130:AJ193" si="45">R130&amp;"-"&amp;WEEKNUM(C130,1)-WEEKNUM(DATE(YEAR(C130),MONTH(C130),1),1)+1</f>
        <v>2-2020-4</v>
      </c>
      <c r="AK130">
        <f t="shared" ref="AK130:AK193" si="46">MONTH(C130)</f>
        <v>2</v>
      </c>
      <c r="AL130" s="26">
        <f>IFERROR(Table2[[#This Row],[Calories]]/Table2[[#This Row],[Splat]],"")</f>
        <v>75</v>
      </c>
      <c r="AM130">
        <f>COUNTIF(N$2:$N$938,N130)</f>
        <v>35</v>
      </c>
      <c r="AN130" t="str">
        <f>VLOOKUP(N130,'Helpful Tables'!A:D,4,FALSE)</f>
        <v>Virginia</v>
      </c>
      <c r="AO130" s="24">
        <f>COUNTIF(AN:AN,Table2[[#This Row],[State]])/COUNTA(AN:AN)</f>
        <v>5.6503198294243072E-2</v>
      </c>
      <c r="AP130">
        <f>VLOOKUP(N130,'Helpful Tables'!A:B,2,FALSE)</f>
        <v>38.881884999999997</v>
      </c>
      <c r="AQ130">
        <f>VLOOKUP(N130,'Helpful Tables'!A:C,3,FALSE)</f>
        <v>-77.229702000000003</v>
      </c>
      <c r="AR130">
        <f>COUNTIF(P$2:$P$938,P130)</f>
        <v>4</v>
      </c>
      <c r="AS130" cm="1">
        <f t="array" ref="AS130">_xlfn.IFS(E130&lt;6,((E130/D130)*60)*0.5,AND(E130&gt;=6,E130&lt;9),((E130/D130)*60)*0.75,AND(E130&gt;=9,E130&lt;=11),((E130/D130)*60)*0.9,AND(E130=12),((E130/D130)*60)*1,AND(E130&gt;=13,E130&lt;=15),((E130/D130)*60)*1.2,AND(E130&gt;=16,E130&lt;=19),((E130/D130)*60)*1.5,E130&gt;=20,((E130/D130)*60)*1.8)</f>
        <v>5.431034482758621</v>
      </c>
      <c r="AT130" cm="1">
        <f t="array" ref="AT130">_xlfn.IFS(F130&lt;550,((F130/D130)*60)*0.5,AND(F130&gt;=550,F130&lt;575),((F130/D130)*60)*0.75,AND(F130&gt;=575,F130&lt;600),((F130/D130)*60)*0.9,AND(F130=600),((F130/D130)*60)*1,AND(F130&gt;=601,F130&lt;=625),((F130/D130)*60)*1.2,AND(F130&gt;=626,F130&lt;=650),((F130/D130)*60)*1.5,F130&gt;=651,((F130/D130)*60)*1.8)</f>
        <v>271.55172413793099</v>
      </c>
      <c r="AU130">
        <f t="shared" ref="AU130:AU193" si="47">(I130*-1.2)+(J130*-1.1)+(K130*1.2)+(L130*1.3)+(M130*1.5)</f>
        <v>-22.811666665799997</v>
      </c>
      <c r="AV130">
        <f t="shared" si="34"/>
        <v>106.23077011511585</v>
      </c>
      <c r="AW130">
        <f t="shared" ref="AW130:AW193" si="48">PERCENTRANK(AV:AV,AV130)*100</f>
        <v>2.6</v>
      </c>
      <c r="AX130" t="str">
        <f t="shared" ref="AX130:AX193" si="49">_xlfn.CONCAT(TEXT(C130,"mmm"),"-",AE130)</f>
        <v>Feb-2020</v>
      </c>
      <c r="AY130">
        <f>ROUNDUP(Table2[[#This Row],[Month]]/3,0)</f>
        <v>1</v>
      </c>
    </row>
    <row r="131" spans="1:51" x14ac:dyDescent="0.2">
      <c r="A131">
        <v>130</v>
      </c>
      <c r="B131">
        <f t="shared" si="36"/>
        <v>16</v>
      </c>
      <c r="C131" s="22">
        <v>43880</v>
      </c>
      <c r="D131">
        <f>SUM(Table2[[#This Row],[Gray Min]:[Red Min]])</f>
        <v>58.916666665000001</v>
      </c>
      <c r="E131">
        <v>15</v>
      </c>
      <c r="F131">
        <v>559</v>
      </c>
      <c r="G131">
        <v>117</v>
      </c>
      <c r="H131">
        <v>165</v>
      </c>
      <c r="I131">
        <v>26.883333332999999</v>
      </c>
      <c r="J131">
        <v>7.8833333330000004</v>
      </c>
      <c r="K131">
        <v>9.7833333329999999</v>
      </c>
      <c r="L131">
        <v>13.733333332999999</v>
      </c>
      <c r="M131">
        <v>0.63333333300000005</v>
      </c>
      <c r="N131" t="s">
        <v>40</v>
      </c>
      <c r="O131" t="s">
        <v>26</v>
      </c>
      <c r="P131" t="s">
        <v>41</v>
      </c>
      <c r="Q131">
        <f t="shared" ref="Q131:Q194" si="50">C131-C130</f>
        <v>1</v>
      </c>
      <c r="R131" t="str">
        <f t="shared" si="37"/>
        <v>2-2020</v>
      </c>
      <c r="S131" t="s">
        <v>47</v>
      </c>
      <c r="T131" t="str">
        <f t="shared" si="38"/>
        <v>Wednesday</v>
      </c>
      <c r="U131">
        <f t="shared" si="39"/>
        <v>1</v>
      </c>
      <c r="V131" s="24">
        <f>IFERROR(Table2[[#This Row],[Gray Min]]/Table2[[#This Row],[ClassLength]],"")</f>
        <v>0.45629420085590644</v>
      </c>
      <c r="W131" s="24">
        <f>IFERROR(Table2[[#This Row],[Blue Min]]/Table2[[#This Row],[ClassLength]],"")</f>
        <v>0.13380480905046124</v>
      </c>
      <c r="X131" s="24">
        <f>IFERROR(Table2[[#This Row],[Green Min]]/Table2[[#This Row],[ClassLength]],"")</f>
        <v>0.16605374823100577</v>
      </c>
      <c r="Y131" s="24">
        <f>IFERROR(Table2[[#This Row],[Orange Min]]/Table2[[#This Row],[ClassLength]],"")</f>
        <v>0.23309759547476935</v>
      </c>
      <c r="Z131" s="24">
        <f>IFERROR(Table2[[#This Row],[Red Min]]/Table2[[#This Row],[ClassLength]],"")</f>
        <v>1.0749646387857133E-2</v>
      </c>
      <c r="AA131" s="25">
        <v>232.14</v>
      </c>
      <c r="AB131" s="25">
        <f t="shared" si="35"/>
        <v>14.508749999999999</v>
      </c>
      <c r="AC131" s="26">
        <f t="shared" si="40"/>
        <v>598.6875</v>
      </c>
      <c r="AD131" s="26">
        <f t="shared" si="41"/>
        <v>13.5625</v>
      </c>
      <c r="AE131">
        <f t="shared" si="42"/>
        <v>2020</v>
      </c>
      <c r="AG131">
        <v>12</v>
      </c>
      <c r="AH131" s="26">
        <f t="shared" si="43"/>
        <v>9.4879773694338887</v>
      </c>
      <c r="AI131" t="str">
        <f t="shared" si="44"/>
        <v>PM</v>
      </c>
      <c r="AJ131" t="str">
        <f t="shared" si="45"/>
        <v>2-2020-4</v>
      </c>
      <c r="AK131">
        <f t="shared" si="46"/>
        <v>2</v>
      </c>
      <c r="AL131" s="26">
        <f>IFERROR(Table2[[#This Row],[Calories]]/Table2[[#This Row],[Splat]],"")</f>
        <v>37.266666666666666</v>
      </c>
      <c r="AM131">
        <f>COUNTIF(N$2:$N$938,N131)</f>
        <v>38</v>
      </c>
      <c r="AN131" t="str">
        <f>VLOOKUP(N131,'Helpful Tables'!A:D,4,FALSE)</f>
        <v>Washington, DC</v>
      </c>
      <c r="AO131" s="24">
        <f>COUNTIF(AN:AN,Table2[[#This Row],[State]])/COUNTA(AN:AN)</f>
        <v>0.54904051172707891</v>
      </c>
      <c r="AP131">
        <f>VLOOKUP(N131,'Helpful Tables'!A:B,2,FALSE)</f>
        <v>38.903509999999997</v>
      </c>
      <c r="AQ131">
        <f>VLOOKUP(N131,'Helpful Tables'!A:C,3,FALSE)</f>
        <v>-77.051809000000006</v>
      </c>
      <c r="AR131">
        <f>COUNTIF(P$2:$P$938,P131)</f>
        <v>20</v>
      </c>
      <c r="AS131" cm="1">
        <f t="array" ref="AS131">_xlfn.IFS(E131&lt;6,((E131/D131)*60)*0.5,AND(E131&gt;=6,E131&lt;9),((E131/D131)*60)*0.75,AND(E131&gt;=9,E131&lt;=11),((E131/D131)*60)*0.9,AND(E131=12),((E131/D131)*60)*1,AND(E131&gt;=13,E131&lt;=15),((E131/D131)*60)*1.2,AND(E131&gt;=16,E131&lt;=19),((E131/D131)*60)*1.5,E131&gt;=20,((E131/D131)*60)*1.8)</f>
        <v>18.330975955256886</v>
      </c>
      <c r="AT131" cm="1">
        <f t="array" ref="AT131">_xlfn.IFS(F131&lt;550,((F131/D131)*60)*0.5,AND(F131&gt;=550,F131&lt;575),((F131/D131)*60)*0.75,AND(F131&gt;=575,F131&lt;600),((F131/D131)*60)*0.9,AND(F131=600),((F131/D131)*60)*1,AND(F131&gt;=601,F131&lt;=625),((F131/D131)*60)*1.2,AND(F131&gt;=626,F131&lt;=650),((F131/D131)*60)*1.5,F131&gt;=651,((F131/D131)*60)*1.8)</f>
        <v>426.95898162452499</v>
      </c>
      <c r="AU131">
        <f t="shared" si="47"/>
        <v>-10.388333333899993</v>
      </c>
      <c r="AV131">
        <f t="shared" ref="AV131:AV194" si="51">(AS131*0.4)+(AT131*0.4)+(AU131*0.2)</f>
        <v>176.03831636513274</v>
      </c>
      <c r="AW131">
        <f t="shared" si="48"/>
        <v>9.7000000000000011</v>
      </c>
      <c r="AX131" t="str">
        <f t="shared" si="49"/>
        <v>Feb-2020</v>
      </c>
      <c r="AY131">
        <f>ROUNDUP(Table2[[#This Row],[Month]]/3,0)</f>
        <v>1</v>
      </c>
    </row>
    <row r="132" spans="1:51" x14ac:dyDescent="0.2">
      <c r="A132">
        <v>131</v>
      </c>
      <c r="B132">
        <f t="shared" si="36"/>
        <v>16</v>
      </c>
      <c r="C132" s="22">
        <v>43882</v>
      </c>
      <c r="D132">
        <f>SUM(Table2[[#This Row],[Gray Min]:[Red Min]])</f>
        <v>52.25</v>
      </c>
      <c r="E132">
        <v>12</v>
      </c>
      <c r="F132">
        <v>595</v>
      </c>
      <c r="G132">
        <v>130</v>
      </c>
      <c r="H132">
        <v>171</v>
      </c>
      <c r="I132">
        <v>9.0833333330000006</v>
      </c>
      <c r="J132">
        <v>12.9</v>
      </c>
      <c r="K132">
        <v>18.216666666999998</v>
      </c>
      <c r="L132">
        <v>8</v>
      </c>
      <c r="M132">
        <v>4.05</v>
      </c>
      <c r="N132" t="s">
        <v>60</v>
      </c>
      <c r="O132" t="s">
        <v>39</v>
      </c>
      <c r="P132" t="s">
        <v>61</v>
      </c>
      <c r="Q132">
        <f t="shared" si="50"/>
        <v>2</v>
      </c>
      <c r="R132" t="str">
        <f t="shared" si="37"/>
        <v>2-2020</v>
      </c>
      <c r="S132" t="s">
        <v>43</v>
      </c>
      <c r="T132" t="str">
        <f t="shared" si="38"/>
        <v>Friday</v>
      </c>
      <c r="U132">
        <f t="shared" si="39"/>
        <v>1</v>
      </c>
      <c r="V132" s="24">
        <f>IFERROR(Table2[[#This Row],[Gray Min]]/Table2[[#This Row],[ClassLength]],"")</f>
        <v>0.17384370015311007</v>
      </c>
      <c r="W132" s="24">
        <f>IFERROR(Table2[[#This Row],[Blue Min]]/Table2[[#This Row],[ClassLength]],"")</f>
        <v>0.24688995215311005</v>
      </c>
      <c r="X132" s="24">
        <f>IFERROR(Table2[[#This Row],[Green Min]]/Table2[[#This Row],[ClassLength]],"")</f>
        <v>0.34864433812440188</v>
      </c>
      <c r="Y132" s="24">
        <f>IFERROR(Table2[[#This Row],[Orange Min]]/Table2[[#This Row],[ClassLength]],"")</f>
        <v>0.15311004784688995</v>
      </c>
      <c r="Z132" s="24">
        <f>IFERROR(Table2[[#This Row],[Red Min]]/Table2[[#This Row],[ClassLength]],"")</f>
        <v>7.7511961722488032E-2</v>
      </c>
      <c r="AA132" s="25">
        <v>232.14</v>
      </c>
      <c r="AB132" s="25">
        <f t="shared" si="35"/>
        <v>14.508749999999999</v>
      </c>
      <c r="AC132" s="26">
        <f t="shared" si="40"/>
        <v>598.6875</v>
      </c>
      <c r="AD132" s="26">
        <f t="shared" si="41"/>
        <v>13.5625</v>
      </c>
      <c r="AE132">
        <f t="shared" si="42"/>
        <v>2020</v>
      </c>
      <c r="AG132">
        <v>12</v>
      </c>
      <c r="AH132" s="26">
        <f t="shared" si="43"/>
        <v>11.387559808612441</v>
      </c>
      <c r="AI132" t="str">
        <f t="shared" si="44"/>
        <v>PM</v>
      </c>
      <c r="AJ132" t="str">
        <f t="shared" si="45"/>
        <v>2-2020-4</v>
      </c>
      <c r="AK132">
        <f t="shared" si="46"/>
        <v>2</v>
      </c>
      <c r="AL132" s="26">
        <f>IFERROR(Table2[[#This Row],[Calories]]/Table2[[#This Row],[Splat]],"")</f>
        <v>49.583333333333336</v>
      </c>
      <c r="AM132">
        <f>COUNTIF(N$2:$N$938,N132)</f>
        <v>10</v>
      </c>
      <c r="AN132" t="str">
        <f>VLOOKUP(N132,'Helpful Tables'!A:D,4,FALSE)</f>
        <v>Washington, DC</v>
      </c>
      <c r="AO132" s="24">
        <f>COUNTIF(AN:AN,Table2[[#This Row],[State]])/COUNTA(AN:AN)</f>
        <v>0.54904051172707891</v>
      </c>
      <c r="AP132">
        <f>VLOOKUP(N132,'Helpful Tables'!A:B,2,FALSE)</f>
        <v>38.879828000000003</v>
      </c>
      <c r="AQ132">
        <f>VLOOKUP(N132,'Helpful Tables'!A:C,3,FALSE)</f>
        <v>-77.005566000000002</v>
      </c>
      <c r="AR132">
        <f>COUNTIF(P$2:$P$938,P132)</f>
        <v>9</v>
      </c>
      <c r="AS132" cm="1">
        <f t="array" ref="AS132">_xlfn.IFS(E132&lt;6,((E132/D132)*60)*0.5,AND(E132&gt;=6,E132&lt;9),((E132/D132)*60)*0.75,AND(E132&gt;=9,E132&lt;=11),((E132/D132)*60)*0.9,AND(E132=12),((E132/D132)*60)*1,AND(E132&gt;=13,E132&lt;=15),((E132/D132)*60)*1.2,AND(E132&gt;=16,E132&lt;=19),((E132/D132)*60)*1.5,E132&gt;=20,((E132/D132)*60)*1.8)</f>
        <v>13.779904306220097</v>
      </c>
      <c r="AT132" cm="1">
        <f t="array" ref="AT132">_xlfn.IFS(F132&lt;550,((F132/D132)*60)*0.5,AND(F132&gt;=550,F132&lt;575),((F132/D132)*60)*0.75,AND(F132&gt;=575,F132&lt;600),((F132/D132)*60)*0.9,AND(F132=600),((F132/D132)*60)*1,AND(F132&gt;=601,F132&lt;=625),((F132/D132)*60)*1.2,AND(F132&gt;=626,F132&lt;=650),((F132/D132)*60)*1.5,F132&gt;=651,((F132/D132)*60)*1.8)</f>
        <v>614.92822966507174</v>
      </c>
      <c r="AU132">
        <f t="shared" si="47"/>
        <v>13.245000000799992</v>
      </c>
      <c r="AV132">
        <f t="shared" si="51"/>
        <v>254.13225358867672</v>
      </c>
      <c r="AW132">
        <f t="shared" si="48"/>
        <v>23</v>
      </c>
      <c r="AX132" t="str">
        <f t="shared" si="49"/>
        <v>Feb-2020</v>
      </c>
      <c r="AY132">
        <f>ROUNDUP(Table2[[#This Row],[Month]]/3,0)</f>
        <v>1</v>
      </c>
    </row>
    <row r="133" spans="1:51" x14ac:dyDescent="0.2">
      <c r="A133">
        <v>132</v>
      </c>
      <c r="B133">
        <f t="shared" si="36"/>
        <v>16</v>
      </c>
      <c r="C133" s="22">
        <v>43883</v>
      </c>
      <c r="D133">
        <f>SUM(Table2[[#This Row],[Gray Min]:[Red Min]])</f>
        <v>50.949999999999996</v>
      </c>
      <c r="E133">
        <v>15</v>
      </c>
      <c r="F133">
        <v>582</v>
      </c>
      <c r="G133">
        <v>130</v>
      </c>
      <c r="H133">
        <v>168</v>
      </c>
      <c r="I133">
        <v>7.1166666669999996</v>
      </c>
      <c r="J133">
        <v>13.7</v>
      </c>
      <c r="K133">
        <v>14.733333332999999</v>
      </c>
      <c r="L133">
        <v>11.283333333</v>
      </c>
      <c r="M133">
        <v>4.1166666669999996</v>
      </c>
      <c r="N133" t="s">
        <v>33</v>
      </c>
      <c r="O133" t="s">
        <v>45</v>
      </c>
      <c r="P133" t="s">
        <v>34</v>
      </c>
      <c r="Q133">
        <f t="shared" si="50"/>
        <v>1</v>
      </c>
      <c r="R133" t="str">
        <f t="shared" si="37"/>
        <v>2-2020</v>
      </c>
      <c r="S133" t="s">
        <v>43</v>
      </c>
      <c r="T133" t="str">
        <f t="shared" si="38"/>
        <v>Saturday</v>
      </c>
      <c r="U133">
        <f t="shared" si="39"/>
        <v>1</v>
      </c>
      <c r="V133" s="24">
        <f>IFERROR(Table2[[#This Row],[Gray Min]]/Table2[[#This Row],[ClassLength]],"")</f>
        <v>0.13967942427870461</v>
      </c>
      <c r="W133" s="24">
        <f>IFERROR(Table2[[#This Row],[Blue Min]]/Table2[[#This Row],[ClassLength]],"")</f>
        <v>0.26889106967615312</v>
      </c>
      <c r="X133" s="24">
        <f>IFERROR(Table2[[#This Row],[Green Min]]/Table2[[#This Row],[ClassLength]],"")</f>
        <v>0.28917239122669286</v>
      </c>
      <c r="Y133" s="24">
        <f>IFERROR(Table2[[#This Row],[Orange Min]]/Table2[[#This Row],[ClassLength]],"")</f>
        <v>0.22145894667320903</v>
      </c>
      <c r="Z133" s="24">
        <f>IFERROR(Table2[[#This Row],[Red Min]]/Table2[[#This Row],[ClassLength]],"")</f>
        <v>8.0798168145240434E-2</v>
      </c>
      <c r="AA133" s="25">
        <v>232.14</v>
      </c>
      <c r="AB133" s="25">
        <f t="shared" si="35"/>
        <v>14.508749999999999</v>
      </c>
      <c r="AC133" s="26">
        <f t="shared" si="40"/>
        <v>598.6875</v>
      </c>
      <c r="AD133" s="26">
        <f t="shared" si="41"/>
        <v>13.5625</v>
      </c>
      <c r="AE133">
        <f t="shared" si="42"/>
        <v>2020</v>
      </c>
      <c r="AG133">
        <v>12</v>
      </c>
      <c r="AH133" s="26">
        <f t="shared" si="43"/>
        <v>11.422963689892052</v>
      </c>
      <c r="AI133" t="str">
        <f t="shared" si="44"/>
        <v>AM</v>
      </c>
      <c r="AJ133" t="str">
        <f t="shared" si="45"/>
        <v>2-2020-4</v>
      </c>
      <c r="AK133">
        <f t="shared" si="46"/>
        <v>2</v>
      </c>
      <c r="AL133" s="26">
        <f>IFERROR(Table2[[#This Row],[Calories]]/Table2[[#This Row],[Splat]],"")</f>
        <v>38.799999999999997</v>
      </c>
      <c r="AM133">
        <f>COUNTIF(N$2:$N$938,N133)</f>
        <v>48</v>
      </c>
      <c r="AN133" t="str">
        <f>VLOOKUP(N133,'Helpful Tables'!A:D,4,FALSE)</f>
        <v>Washington, DC</v>
      </c>
      <c r="AO133" s="24">
        <f>COUNTIF(AN:AN,Table2[[#This Row],[State]])/COUNTA(AN:AN)</f>
        <v>0.54904051172707891</v>
      </c>
      <c r="AP133">
        <f>VLOOKUP(N133,'Helpful Tables'!A:B,2,FALSE)</f>
        <v>38.916486999999996</v>
      </c>
      <c r="AQ133">
        <f>VLOOKUP(N133,'Helpful Tables'!A:C,3,FALSE)</f>
        <v>-77.031514000000001</v>
      </c>
      <c r="AR133">
        <f>COUNTIF(P$2:$P$938,P133)</f>
        <v>30</v>
      </c>
      <c r="AS133" cm="1">
        <f t="array" ref="AS133">_xlfn.IFS(E133&lt;6,((E133/D133)*60)*0.5,AND(E133&gt;=6,E133&lt;9),((E133/D133)*60)*0.75,AND(E133&gt;=9,E133&lt;=11),((E133/D133)*60)*0.9,AND(E133=12),((E133/D133)*60)*1,AND(E133&gt;=13,E133&lt;=15),((E133/D133)*60)*1.2,AND(E133&gt;=16,E133&lt;=19),((E133/D133)*60)*1.5,E133&gt;=20,((E133/D133)*60)*1.8)</f>
        <v>21.197252208047107</v>
      </c>
      <c r="AT133" cm="1">
        <f t="array" ref="AT133">_xlfn.IFS(F133&lt;550,((F133/D133)*60)*0.5,AND(F133&gt;=550,F133&lt;575),((F133/D133)*60)*0.75,AND(F133&gt;=575,F133&lt;600),((F133/D133)*60)*0.9,AND(F133=600),((F133/D133)*60)*1,AND(F133&gt;=601,F133&lt;=625),((F133/D133)*60)*1.2,AND(F133&gt;=626,F133&lt;=650),((F133/D133)*60)*1.5,F133&gt;=651,((F133/D133)*60)*1.8)</f>
        <v>616.84003925417085</v>
      </c>
      <c r="AU133">
        <f t="shared" si="47"/>
        <v>14.913333332599999</v>
      </c>
      <c r="AV133">
        <f t="shared" si="51"/>
        <v>258.1975832514072</v>
      </c>
      <c r="AW133">
        <f t="shared" si="48"/>
        <v>23.5</v>
      </c>
      <c r="AX133" t="str">
        <f t="shared" si="49"/>
        <v>Feb-2020</v>
      </c>
      <c r="AY133">
        <f>ROUNDUP(Table2[[#This Row],[Month]]/3,0)</f>
        <v>1</v>
      </c>
    </row>
    <row r="134" spans="1:51" x14ac:dyDescent="0.2">
      <c r="A134">
        <v>133</v>
      </c>
      <c r="B134">
        <f t="shared" si="36"/>
        <v>16</v>
      </c>
      <c r="C134" s="22">
        <v>43886</v>
      </c>
      <c r="D134">
        <f>SUM(Table2[[#This Row],[Gray Min]:[Red Min]])</f>
        <v>58.866666666</v>
      </c>
      <c r="E134">
        <v>15</v>
      </c>
      <c r="F134">
        <v>663</v>
      </c>
      <c r="G134">
        <v>129</v>
      </c>
      <c r="H134">
        <v>168</v>
      </c>
      <c r="I134">
        <v>9.9666666670000001</v>
      </c>
      <c r="J134">
        <v>13.2</v>
      </c>
      <c r="K134">
        <v>20.333333332999999</v>
      </c>
      <c r="L134">
        <v>12.333333333000001</v>
      </c>
      <c r="M134">
        <v>3.0333333329999999</v>
      </c>
      <c r="N134" t="s">
        <v>24</v>
      </c>
      <c r="O134" t="s">
        <v>57</v>
      </c>
      <c r="P134" t="s">
        <v>71</v>
      </c>
      <c r="Q134">
        <f t="shared" si="50"/>
        <v>3</v>
      </c>
      <c r="R134" t="str">
        <f t="shared" si="37"/>
        <v>2-2020</v>
      </c>
      <c r="S134" t="s">
        <v>43</v>
      </c>
      <c r="T134" t="str">
        <f t="shared" si="38"/>
        <v>Tuesday</v>
      </c>
      <c r="U134">
        <f t="shared" si="39"/>
        <v>1</v>
      </c>
      <c r="V134" s="24">
        <f>IFERROR(Table2[[#This Row],[Gray Min]]/Table2[[#This Row],[ClassLength]],"")</f>
        <v>0.16930917328051312</v>
      </c>
      <c r="W134" s="24">
        <f>IFERROR(Table2[[#This Row],[Blue Min]]/Table2[[#This Row],[ClassLength]],"")</f>
        <v>0.22423556059144092</v>
      </c>
      <c r="X134" s="24">
        <f>IFERROR(Table2[[#This Row],[Green Min]]/Table2[[#This Row],[ClassLength]],"")</f>
        <v>0.34541336353165814</v>
      </c>
      <c r="Y134" s="24">
        <f>IFERROR(Table2[[#This Row],[Orange Min]]/Table2[[#This Row],[ClassLength]],"")</f>
        <v>0.2095130237792697</v>
      </c>
      <c r="Z134" s="24">
        <f>IFERROR(Table2[[#This Row],[Red Min]]/Table2[[#This Row],[ClassLength]],"")</f>
        <v>5.1528878817118103E-2</v>
      </c>
      <c r="AA134" s="25">
        <v>232.14</v>
      </c>
      <c r="AB134" s="25">
        <f t="shared" si="35"/>
        <v>14.508749999999999</v>
      </c>
      <c r="AC134" s="26">
        <f t="shared" si="40"/>
        <v>598.6875</v>
      </c>
      <c r="AD134" s="26">
        <f t="shared" si="41"/>
        <v>13.5625</v>
      </c>
      <c r="AE134">
        <f t="shared" si="42"/>
        <v>2020</v>
      </c>
      <c r="AG134">
        <v>12</v>
      </c>
      <c r="AH134" s="26">
        <f t="shared" si="43"/>
        <v>11.262740656979194</v>
      </c>
      <c r="AI134" t="str">
        <f t="shared" si="44"/>
        <v>PM</v>
      </c>
      <c r="AJ134" t="str">
        <f t="shared" si="45"/>
        <v>2-2020-5</v>
      </c>
      <c r="AK134">
        <f t="shared" si="46"/>
        <v>2</v>
      </c>
      <c r="AL134" s="26">
        <f>IFERROR(Table2[[#This Row],[Calories]]/Table2[[#This Row],[Splat]],"")</f>
        <v>44.2</v>
      </c>
      <c r="AM134">
        <f>COUNTIF(N$2:$N$938,N134)</f>
        <v>35</v>
      </c>
      <c r="AN134" t="str">
        <f>VLOOKUP(N134,'Helpful Tables'!A:D,4,FALSE)</f>
        <v>Virginia</v>
      </c>
      <c r="AO134" s="24">
        <f>COUNTIF(AN:AN,Table2[[#This Row],[State]])/COUNTA(AN:AN)</f>
        <v>5.6503198294243072E-2</v>
      </c>
      <c r="AP134">
        <f>VLOOKUP(N134,'Helpful Tables'!A:B,2,FALSE)</f>
        <v>38.881884999999997</v>
      </c>
      <c r="AQ134">
        <f>VLOOKUP(N134,'Helpful Tables'!A:C,3,FALSE)</f>
        <v>-77.229702000000003</v>
      </c>
      <c r="AR134">
        <f>COUNTIF(P$2:$P$938,P134)</f>
        <v>4</v>
      </c>
      <c r="AS134" cm="1">
        <f t="array" ref="AS134">_xlfn.IFS(E134&lt;6,((E134/D134)*60)*0.5,AND(E134&gt;=6,E134&lt;9),((E134/D134)*60)*0.75,AND(E134&gt;=9,E134&lt;=11),((E134/D134)*60)*0.9,AND(E134=12),((E134/D134)*60)*1,AND(E134&gt;=13,E134&lt;=15),((E134/D134)*60)*1.2,AND(E134&gt;=16,E134&lt;=19),((E134/D134)*60)*1.5,E134&gt;=20,((E134/D134)*60)*1.8)</f>
        <v>18.346545866572438</v>
      </c>
      <c r="AT134" cm="1">
        <f t="array" ref="AT134">_xlfn.IFS(F134&lt;550,((F134/D134)*60)*0.5,AND(F134&gt;=550,F134&lt;575),((F134/D134)*60)*0.75,AND(F134&gt;=575,F134&lt;600),((F134/D134)*60)*0.9,AND(F134=600),((F134/D134)*60)*1,AND(F134&gt;=601,F134&lt;=625),((F134/D134)*60)*1.2,AND(F134&gt;=626,F134&lt;=650),((F134/D134)*60)*1.5,F134&gt;=651,((F134/D134)*60)*1.8)</f>
        <v>1216.375990953753</v>
      </c>
      <c r="AU134">
        <f t="shared" si="47"/>
        <v>18.5033333316</v>
      </c>
      <c r="AV134">
        <f t="shared" si="51"/>
        <v>497.58968139445017</v>
      </c>
      <c r="AW134">
        <f t="shared" si="48"/>
        <v>77.7</v>
      </c>
      <c r="AX134" t="str">
        <f t="shared" si="49"/>
        <v>Feb-2020</v>
      </c>
      <c r="AY134">
        <f>ROUNDUP(Table2[[#This Row],[Month]]/3,0)</f>
        <v>1</v>
      </c>
    </row>
    <row r="135" spans="1:51" x14ac:dyDescent="0.2">
      <c r="A135">
        <v>134</v>
      </c>
      <c r="B135">
        <f t="shared" si="36"/>
        <v>16</v>
      </c>
      <c r="C135" s="22">
        <v>43887</v>
      </c>
      <c r="D135">
        <f>SUM(Table2[[#This Row],[Gray Min]:[Red Min]])</f>
        <v>56.7</v>
      </c>
      <c r="E135">
        <v>13</v>
      </c>
      <c r="F135">
        <v>560</v>
      </c>
      <c r="G135">
        <v>120</v>
      </c>
      <c r="H135">
        <v>165</v>
      </c>
      <c r="I135">
        <v>22.866666667000001</v>
      </c>
      <c r="J135">
        <v>11.866666667000001</v>
      </c>
      <c r="K135">
        <v>9.1333333329999995</v>
      </c>
      <c r="L135">
        <v>9.8333333330000006</v>
      </c>
      <c r="M135">
        <v>3</v>
      </c>
      <c r="N135" t="s">
        <v>40</v>
      </c>
      <c r="O135" t="s">
        <v>26</v>
      </c>
      <c r="P135" t="s">
        <v>41</v>
      </c>
      <c r="Q135">
        <f t="shared" si="50"/>
        <v>1</v>
      </c>
      <c r="R135" t="str">
        <f t="shared" si="37"/>
        <v>2-2020</v>
      </c>
      <c r="S135" t="s">
        <v>47</v>
      </c>
      <c r="T135" t="str">
        <f t="shared" si="38"/>
        <v>Wednesday</v>
      </c>
      <c r="U135">
        <f t="shared" si="39"/>
        <v>1</v>
      </c>
      <c r="V135" s="24">
        <f>IFERROR(Table2[[#This Row],[Gray Min]]/Table2[[#This Row],[ClassLength]],"")</f>
        <v>0.40329218107583775</v>
      </c>
      <c r="W135" s="24">
        <f>IFERROR(Table2[[#This Row],[Blue Min]]/Table2[[#This Row],[ClassLength]],"")</f>
        <v>0.20928865373897707</v>
      </c>
      <c r="X135" s="24">
        <f>IFERROR(Table2[[#This Row],[Green Min]]/Table2[[#This Row],[ClassLength]],"")</f>
        <v>0.16108171663139328</v>
      </c>
      <c r="Y135" s="24">
        <f>IFERROR(Table2[[#This Row],[Orange Min]]/Table2[[#This Row],[ClassLength]],"")</f>
        <v>0.17342739564373899</v>
      </c>
      <c r="Z135" s="24">
        <f>IFERROR(Table2[[#This Row],[Red Min]]/Table2[[#This Row],[ClassLength]],"")</f>
        <v>5.2910052910052907E-2</v>
      </c>
      <c r="AA135" s="25">
        <v>232.14</v>
      </c>
      <c r="AB135" s="25">
        <f t="shared" si="35"/>
        <v>14.508749999999999</v>
      </c>
      <c r="AC135" s="26">
        <f t="shared" si="40"/>
        <v>598.6875</v>
      </c>
      <c r="AD135" s="26">
        <f t="shared" si="41"/>
        <v>13.5625</v>
      </c>
      <c r="AE135">
        <f t="shared" si="42"/>
        <v>2020</v>
      </c>
      <c r="AG135">
        <v>12</v>
      </c>
      <c r="AH135" s="26">
        <f t="shared" si="43"/>
        <v>9.8765432098765427</v>
      </c>
      <c r="AI135" t="str">
        <f t="shared" si="44"/>
        <v>PM</v>
      </c>
      <c r="AJ135" t="str">
        <f t="shared" si="45"/>
        <v>2-2020-5</v>
      </c>
      <c r="AK135">
        <f t="shared" si="46"/>
        <v>2</v>
      </c>
      <c r="AL135" s="26">
        <f>IFERROR(Table2[[#This Row],[Calories]]/Table2[[#This Row],[Splat]],"")</f>
        <v>43.07692307692308</v>
      </c>
      <c r="AM135">
        <f>COUNTIF(N$2:$N$938,N135)</f>
        <v>38</v>
      </c>
      <c r="AN135" t="str">
        <f>VLOOKUP(N135,'Helpful Tables'!A:D,4,FALSE)</f>
        <v>Washington, DC</v>
      </c>
      <c r="AO135" s="24">
        <f>COUNTIF(AN:AN,Table2[[#This Row],[State]])/COUNTA(AN:AN)</f>
        <v>0.54904051172707891</v>
      </c>
      <c r="AP135">
        <f>VLOOKUP(N135,'Helpful Tables'!A:B,2,FALSE)</f>
        <v>38.903509999999997</v>
      </c>
      <c r="AQ135">
        <f>VLOOKUP(N135,'Helpful Tables'!A:C,3,FALSE)</f>
        <v>-77.051809000000006</v>
      </c>
      <c r="AR135">
        <f>COUNTIF(P$2:$P$938,P135)</f>
        <v>20</v>
      </c>
      <c r="AS135" cm="1">
        <f t="array" ref="AS135">_xlfn.IFS(E135&lt;6,((E135/D135)*60)*0.5,AND(E135&gt;=6,E135&lt;9),((E135/D135)*60)*0.75,AND(E135&gt;=9,E135&lt;=11),((E135/D135)*60)*0.9,AND(E135=12),((E135/D135)*60)*1,AND(E135&gt;=13,E135&lt;=15),((E135/D135)*60)*1.2,AND(E135&gt;=16,E135&lt;=19),((E135/D135)*60)*1.5,E135&gt;=20,((E135/D135)*60)*1.8)</f>
        <v>16.507936507936506</v>
      </c>
      <c r="AT135" cm="1">
        <f t="array" ref="AT135">_xlfn.IFS(F135&lt;550,((F135/D135)*60)*0.5,AND(F135&gt;=550,F135&lt;575),((F135/D135)*60)*0.75,AND(F135&gt;=575,F135&lt;600),((F135/D135)*60)*0.9,AND(F135=600),((F135/D135)*60)*1,AND(F135&gt;=601,F135&lt;=625),((F135/D135)*60)*1.2,AND(F135&gt;=626,F135&lt;=650),((F135/D135)*60)*1.5,F135&gt;=651,((F135/D135)*60)*1.8)</f>
        <v>444.44444444444446</v>
      </c>
      <c r="AU135">
        <f t="shared" si="47"/>
        <v>-12.2500000016</v>
      </c>
      <c r="AV135">
        <f t="shared" si="51"/>
        <v>181.93095238063242</v>
      </c>
      <c r="AW135">
        <f t="shared" si="48"/>
        <v>11</v>
      </c>
      <c r="AX135" t="str">
        <f t="shared" si="49"/>
        <v>Feb-2020</v>
      </c>
      <c r="AY135">
        <f>ROUNDUP(Table2[[#This Row],[Month]]/3,0)</f>
        <v>1</v>
      </c>
    </row>
    <row r="136" spans="1:51" x14ac:dyDescent="0.2">
      <c r="A136">
        <v>135</v>
      </c>
      <c r="B136">
        <f t="shared" si="36"/>
        <v>16</v>
      </c>
      <c r="C136" s="22">
        <v>43890</v>
      </c>
      <c r="D136">
        <f>SUM(Table2[[#This Row],[Gray Min]:[Red Min]])</f>
        <v>53.849999999999994</v>
      </c>
      <c r="E136">
        <v>10</v>
      </c>
      <c r="F136">
        <v>580</v>
      </c>
      <c r="G136">
        <v>126</v>
      </c>
      <c r="H136">
        <v>166</v>
      </c>
      <c r="I136">
        <v>11.016666667000001</v>
      </c>
      <c r="J136">
        <v>12.7</v>
      </c>
      <c r="K136">
        <v>20.333333332999999</v>
      </c>
      <c r="L136">
        <v>7.5666666669999998</v>
      </c>
      <c r="M136">
        <v>2.233333333</v>
      </c>
      <c r="N136" t="s">
        <v>33</v>
      </c>
      <c r="O136" t="s">
        <v>89</v>
      </c>
      <c r="P136" t="s">
        <v>34</v>
      </c>
      <c r="Q136">
        <f t="shared" si="50"/>
        <v>3</v>
      </c>
      <c r="R136" t="str">
        <f t="shared" si="37"/>
        <v>2-2020</v>
      </c>
      <c r="S136" t="s">
        <v>48</v>
      </c>
      <c r="T136" t="str">
        <f t="shared" si="38"/>
        <v>Saturday</v>
      </c>
      <c r="U136">
        <f t="shared" si="39"/>
        <v>0</v>
      </c>
      <c r="V136" s="24">
        <f>IFERROR(Table2[[#This Row],[Gray Min]]/Table2[[#This Row],[ClassLength]],"")</f>
        <v>0.20458062519962864</v>
      </c>
      <c r="W136" s="24">
        <f>IFERROR(Table2[[#This Row],[Blue Min]]/Table2[[#This Row],[ClassLength]],"")</f>
        <v>0.23584029712163418</v>
      </c>
      <c r="X136" s="24">
        <f>IFERROR(Table2[[#This Row],[Green Min]]/Table2[[#This Row],[ClassLength]],"")</f>
        <v>0.37759207675023215</v>
      </c>
      <c r="Y136" s="24">
        <f>IFERROR(Table2[[#This Row],[Orange Min]]/Table2[[#This Row],[ClassLength]],"")</f>
        <v>0.14051377283194058</v>
      </c>
      <c r="Z136" s="24">
        <f>IFERROR(Table2[[#This Row],[Red Min]]/Table2[[#This Row],[ClassLength]],"")</f>
        <v>4.1473228096564535E-2</v>
      </c>
      <c r="AA136" s="25">
        <v>232.14</v>
      </c>
      <c r="AB136" s="25">
        <f t="shared" si="35"/>
        <v>14.508749999999999</v>
      </c>
      <c r="AC136" s="26">
        <f t="shared" si="40"/>
        <v>598.6875</v>
      </c>
      <c r="AD136" s="26">
        <f t="shared" si="41"/>
        <v>13.5625</v>
      </c>
      <c r="AE136">
        <f t="shared" si="42"/>
        <v>2020</v>
      </c>
      <c r="AG136">
        <v>12</v>
      </c>
      <c r="AH136" s="26">
        <f t="shared" si="43"/>
        <v>10.770659238625814</v>
      </c>
      <c r="AI136" t="str">
        <f t="shared" si="44"/>
        <v>AM</v>
      </c>
      <c r="AJ136" t="str">
        <f t="shared" si="45"/>
        <v>2-2020-5</v>
      </c>
      <c r="AK136">
        <f t="shared" si="46"/>
        <v>2</v>
      </c>
      <c r="AL136" s="26">
        <f>IFERROR(Table2[[#This Row],[Calories]]/Table2[[#This Row],[Splat]],"")</f>
        <v>58</v>
      </c>
      <c r="AM136">
        <f>COUNTIF(N$2:$N$938,N136)</f>
        <v>48</v>
      </c>
      <c r="AN136" t="str">
        <f>VLOOKUP(N136,'Helpful Tables'!A:D,4,FALSE)</f>
        <v>Washington, DC</v>
      </c>
      <c r="AO136" s="24">
        <f>COUNTIF(AN:AN,Table2[[#This Row],[State]])/COUNTA(AN:AN)</f>
        <v>0.54904051172707891</v>
      </c>
      <c r="AP136">
        <f>VLOOKUP(N136,'Helpful Tables'!A:B,2,FALSE)</f>
        <v>38.916486999999996</v>
      </c>
      <c r="AQ136">
        <f>VLOOKUP(N136,'Helpful Tables'!A:C,3,FALSE)</f>
        <v>-77.031514000000001</v>
      </c>
      <c r="AR136">
        <f>COUNTIF(P$2:$P$938,P136)</f>
        <v>30</v>
      </c>
      <c r="AS136" cm="1">
        <f t="array" ref="AS136">_xlfn.IFS(E136&lt;6,((E136/D136)*60)*0.5,AND(E136&gt;=6,E136&lt;9),((E136/D136)*60)*0.75,AND(E136&gt;=9,E136&lt;=11),((E136/D136)*60)*0.9,AND(E136=12),((E136/D136)*60)*1,AND(E136&gt;=13,E136&lt;=15),((E136/D136)*60)*1.2,AND(E136&gt;=16,E136&lt;=19),((E136/D136)*60)*1.5,E136&gt;=20,((E136/D136)*60)*1.8)</f>
        <v>10.027855153203344</v>
      </c>
      <c r="AT136" cm="1">
        <f t="array" ref="AT136">_xlfn.IFS(F136&lt;550,((F136/D136)*60)*0.5,AND(F136&gt;=550,F136&lt;575),((F136/D136)*60)*0.75,AND(F136&gt;=575,F136&lt;600),((F136/D136)*60)*0.9,AND(F136=600),((F136/D136)*60)*1,AND(F136&gt;=601,F136&lt;=625),((F136/D136)*60)*1.2,AND(F136&gt;=626,F136&lt;=650),((F136/D136)*60)*1.5,F136&gt;=651,((F136/D136)*60)*1.8)</f>
        <v>581.61559888579393</v>
      </c>
      <c r="AU136">
        <f t="shared" si="47"/>
        <v>10.396666665799996</v>
      </c>
      <c r="AV136">
        <f t="shared" si="51"/>
        <v>238.73671494875893</v>
      </c>
      <c r="AW136">
        <f t="shared" si="48"/>
        <v>21.5</v>
      </c>
      <c r="AX136" t="str">
        <f t="shared" si="49"/>
        <v>Feb-2020</v>
      </c>
      <c r="AY136">
        <f>ROUNDUP(Table2[[#This Row],[Month]]/3,0)</f>
        <v>1</v>
      </c>
    </row>
    <row r="137" spans="1:51" x14ac:dyDescent="0.2">
      <c r="A137">
        <v>136</v>
      </c>
      <c r="B137">
        <f t="shared" si="36"/>
        <v>8</v>
      </c>
      <c r="C137" s="22">
        <v>43893</v>
      </c>
      <c r="D137">
        <f>SUM(Table2[[#This Row],[Gray Min]:[Red Min]])</f>
        <v>59.150000001000002</v>
      </c>
      <c r="E137">
        <v>12</v>
      </c>
      <c r="F137">
        <v>575</v>
      </c>
      <c r="G137">
        <v>119</v>
      </c>
      <c r="H137">
        <v>167</v>
      </c>
      <c r="I137">
        <v>22.466666666999998</v>
      </c>
      <c r="J137">
        <v>14.266666667000001</v>
      </c>
      <c r="K137">
        <v>10.55</v>
      </c>
      <c r="L137">
        <v>10.716666667</v>
      </c>
      <c r="M137">
        <v>1.1499999999999999</v>
      </c>
      <c r="N137" t="s">
        <v>24</v>
      </c>
      <c r="O137" t="s">
        <v>57</v>
      </c>
      <c r="P137" t="s">
        <v>71</v>
      </c>
      <c r="Q137">
        <f t="shared" si="50"/>
        <v>3</v>
      </c>
      <c r="R137" t="str">
        <f t="shared" si="37"/>
        <v>3-2020</v>
      </c>
      <c r="S137" t="s">
        <v>43</v>
      </c>
      <c r="T137" t="str">
        <f t="shared" si="38"/>
        <v>Tuesday</v>
      </c>
      <c r="U137">
        <f t="shared" si="39"/>
        <v>1</v>
      </c>
      <c r="V137" s="24">
        <f>IFERROR(Table2[[#This Row],[Gray Min]]/Table2[[#This Row],[ClassLength]],"")</f>
        <v>0.37982530290143995</v>
      </c>
      <c r="W137" s="24">
        <f>IFERROR(Table2[[#This Row],[Blue Min]]/Table2[[#This Row],[ClassLength]],"")</f>
        <v>0.24119470273472199</v>
      </c>
      <c r="X137" s="24">
        <f>IFERROR(Table2[[#This Row],[Green Min]]/Table2[[#This Row],[ClassLength]],"")</f>
        <v>0.17836010143400913</v>
      </c>
      <c r="Y137" s="24">
        <f>IFERROR(Table2[[#This Row],[Orange Min]]/Table2[[#This Row],[ClassLength]],"")</f>
        <v>0.18117779656498431</v>
      </c>
      <c r="Z137" s="24">
        <f>IFERROR(Table2[[#This Row],[Red Min]]/Table2[[#This Row],[ClassLength]],"")</f>
        <v>1.9442096364844594E-2</v>
      </c>
      <c r="AA137" s="25">
        <v>232.14</v>
      </c>
      <c r="AB137" s="25">
        <f t="shared" si="35"/>
        <v>29.017499999999998</v>
      </c>
      <c r="AC137" s="26">
        <f t="shared" si="40"/>
        <v>589</v>
      </c>
      <c r="AD137" s="26">
        <f t="shared" si="41"/>
        <v>13</v>
      </c>
      <c r="AE137">
        <f t="shared" si="42"/>
        <v>2020</v>
      </c>
      <c r="AG137">
        <v>12</v>
      </c>
      <c r="AH137" s="26">
        <f t="shared" si="43"/>
        <v>9.7210481824222974</v>
      </c>
      <c r="AI137" t="str">
        <f t="shared" si="44"/>
        <v>PM</v>
      </c>
      <c r="AJ137" t="str">
        <f t="shared" si="45"/>
        <v>3-2020-1</v>
      </c>
      <c r="AK137">
        <f t="shared" si="46"/>
        <v>3</v>
      </c>
      <c r="AL137" s="26">
        <f>IFERROR(Table2[[#This Row],[Calories]]/Table2[[#This Row],[Splat]],"")</f>
        <v>47.916666666666664</v>
      </c>
      <c r="AM137">
        <f>COUNTIF(N$2:$N$938,N137)</f>
        <v>35</v>
      </c>
      <c r="AN137" t="str">
        <f>VLOOKUP(N137,'Helpful Tables'!A:D,4,FALSE)</f>
        <v>Virginia</v>
      </c>
      <c r="AO137" s="24">
        <f>COUNTIF(AN:AN,Table2[[#This Row],[State]])/COUNTA(AN:AN)</f>
        <v>5.6503198294243072E-2</v>
      </c>
      <c r="AP137">
        <f>VLOOKUP(N137,'Helpful Tables'!A:B,2,FALSE)</f>
        <v>38.881884999999997</v>
      </c>
      <c r="AQ137">
        <f>VLOOKUP(N137,'Helpful Tables'!A:C,3,FALSE)</f>
        <v>-77.229702000000003</v>
      </c>
      <c r="AR137">
        <f>COUNTIF(P$2:$P$938,P137)</f>
        <v>4</v>
      </c>
      <c r="AS137" cm="1">
        <f t="array" ref="AS137">_xlfn.IFS(E137&lt;6,((E137/D137)*60)*0.5,AND(E137&gt;=6,E137&lt;9),((E137/D137)*60)*0.75,AND(E137&gt;=9,E137&lt;=11),((E137/D137)*60)*0.9,AND(E137=12),((E137/D137)*60)*1,AND(E137&gt;=13,E137&lt;=15),((E137/D137)*60)*1.2,AND(E137&gt;=16,E137&lt;=19),((E137/D137)*60)*1.5,E137&gt;=20,((E137/D137)*60)*1.8)</f>
        <v>12.172442941467921</v>
      </c>
      <c r="AT137" cm="1">
        <f t="array" ref="AT137">_xlfn.IFS(F137&lt;550,((F137/D137)*60)*0.5,AND(F137&gt;=550,F137&lt;575),((F137/D137)*60)*0.75,AND(F137&gt;=575,F137&lt;600),((F137/D137)*60)*0.9,AND(F137=600),((F137/D137)*60)*1,AND(F137&gt;=601,F137&lt;=625),((F137/D137)*60)*1.2,AND(F137&gt;=626,F137&lt;=650),((F137/D137)*60)*1.5,F137&gt;=651,((F137/D137)*60)*1.8)</f>
        <v>524.9366018508041</v>
      </c>
      <c r="AU137">
        <f t="shared" si="47"/>
        <v>-14.336666666999998</v>
      </c>
      <c r="AV137">
        <f t="shared" si="51"/>
        <v>211.97628458350883</v>
      </c>
      <c r="AW137">
        <f t="shared" si="48"/>
        <v>14.299999999999999</v>
      </c>
      <c r="AX137" t="str">
        <f t="shared" si="49"/>
        <v>Mar-2020</v>
      </c>
      <c r="AY137">
        <f>ROUNDUP(Table2[[#This Row],[Month]]/3,0)</f>
        <v>1</v>
      </c>
    </row>
    <row r="138" spans="1:51" x14ac:dyDescent="0.2">
      <c r="A138">
        <v>137</v>
      </c>
      <c r="B138">
        <f t="shared" si="36"/>
        <v>8</v>
      </c>
      <c r="C138" s="22">
        <v>43894</v>
      </c>
      <c r="D138">
        <f>SUM(Table2[[#This Row],[Gray Min]:[Red Min]])</f>
        <v>57.033333331999998</v>
      </c>
      <c r="E138">
        <v>18</v>
      </c>
      <c r="F138">
        <v>596</v>
      </c>
      <c r="G138">
        <v>123</v>
      </c>
      <c r="H138">
        <v>170</v>
      </c>
      <c r="I138">
        <v>20.433333333</v>
      </c>
      <c r="J138">
        <v>10.333333333000001</v>
      </c>
      <c r="K138">
        <v>8.5833333330000006</v>
      </c>
      <c r="L138">
        <v>14.633333332999999</v>
      </c>
      <c r="M138">
        <v>3.05</v>
      </c>
      <c r="N138" t="s">
        <v>40</v>
      </c>
      <c r="O138" t="s">
        <v>26</v>
      </c>
      <c r="P138" t="s">
        <v>41</v>
      </c>
      <c r="Q138">
        <f t="shared" si="50"/>
        <v>1</v>
      </c>
      <c r="R138" t="str">
        <f t="shared" si="37"/>
        <v>3-2020</v>
      </c>
      <c r="T138" t="str">
        <f t="shared" si="38"/>
        <v>Wednesday</v>
      </c>
      <c r="U138">
        <f t="shared" si="39"/>
        <v>1</v>
      </c>
      <c r="V138" s="24">
        <f>IFERROR(Table2[[#This Row],[Gray Min]]/Table2[[#This Row],[ClassLength]],"")</f>
        <v>0.35827001753613724</v>
      </c>
      <c r="W138" s="24">
        <f>IFERROR(Table2[[#This Row],[Blue Min]]/Table2[[#This Row],[ClassLength]],"")</f>
        <v>0.1811805961409978</v>
      </c>
      <c r="X138" s="24">
        <f>IFERROR(Table2[[#This Row],[Green Min]]/Table2[[#This Row],[ClassLength]],"")</f>
        <v>0.15049678550322612</v>
      </c>
      <c r="Y138" s="24">
        <f>IFERROR(Table2[[#This Row],[Orange Min]]/Table2[[#This Row],[ClassLength]],"")</f>
        <v>0.25657510227952252</v>
      </c>
      <c r="Z138" s="24">
        <f>IFERROR(Table2[[#This Row],[Red Min]]/Table2[[#This Row],[ClassLength]],"")</f>
        <v>5.3477498540116367E-2</v>
      </c>
      <c r="AA138" s="25">
        <v>232.14</v>
      </c>
      <c r="AB138" s="25">
        <f t="shared" si="35"/>
        <v>29.017499999999998</v>
      </c>
      <c r="AC138" s="26">
        <f t="shared" si="40"/>
        <v>589</v>
      </c>
      <c r="AD138" s="26">
        <f t="shared" si="41"/>
        <v>13</v>
      </c>
      <c r="AE138">
        <f t="shared" si="42"/>
        <v>2020</v>
      </c>
      <c r="AG138">
        <v>12</v>
      </c>
      <c r="AH138" s="26">
        <f t="shared" si="43"/>
        <v>10.450029222921099</v>
      </c>
      <c r="AI138" t="str">
        <f t="shared" si="44"/>
        <v>PM</v>
      </c>
      <c r="AJ138" t="str">
        <f t="shared" si="45"/>
        <v>3-2020-1</v>
      </c>
      <c r="AK138">
        <f t="shared" si="46"/>
        <v>3</v>
      </c>
      <c r="AL138" s="26">
        <f>IFERROR(Table2[[#This Row],[Calories]]/Table2[[#This Row],[Splat]],"")</f>
        <v>33.111111111111114</v>
      </c>
      <c r="AM138">
        <f>COUNTIF(N$2:$N$938,N138)</f>
        <v>38</v>
      </c>
      <c r="AN138" t="str">
        <f>VLOOKUP(N138,'Helpful Tables'!A:D,4,FALSE)</f>
        <v>Washington, DC</v>
      </c>
      <c r="AO138" s="24">
        <f>COUNTIF(AN:AN,Table2[[#This Row],[State]])/COUNTA(AN:AN)</f>
        <v>0.54904051172707891</v>
      </c>
      <c r="AP138">
        <f>VLOOKUP(N138,'Helpful Tables'!A:B,2,FALSE)</f>
        <v>38.903509999999997</v>
      </c>
      <c r="AQ138">
        <f>VLOOKUP(N138,'Helpful Tables'!A:C,3,FALSE)</f>
        <v>-77.051809000000006</v>
      </c>
      <c r="AR138">
        <f>COUNTIF(P$2:$P$938,P138)</f>
        <v>20</v>
      </c>
      <c r="AS138" cm="1">
        <f t="array" ref="AS138">_xlfn.IFS(E138&lt;6,((E138/D138)*60)*0.5,AND(E138&gt;=6,E138&lt;9),((E138/D138)*60)*0.75,AND(E138&gt;=9,E138&lt;=11),((E138/D138)*60)*0.9,AND(E138=12),((E138/D138)*60)*1,AND(E138&gt;=13,E138&lt;=15),((E138/D138)*60)*1.2,AND(E138&gt;=16,E138&lt;=19),((E138/D138)*60)*1.5,E138&gt;=20,((E138/D138)*60)*1.8)</f>
        <v>28.404441847537221</v>
      </c>
      <c r="AT138" cm="1">
        <f t="array" ref="AT138">_xlfn.IFS(F138&lt;550,((F138/D138)*60)*0.5,AND(F138&gt;=550,F138&lt;575),((F138/D138)*60)*0.75,AND(F138&gt;=575,F138&lt;600),((F138/D138)*60)*0.9,AND(F138=600),((F138/D138)*60)*1,AND(F138&gt;=601,F138&lt;=625),((F138/D138)*60)*1.2,AND(F138&gt;=626,F138&lt;=650),((F138/D138)*60)*1.5,F138&gt;=651,((F138/D138)*60)*1.8)</f>
        <v>564.30157803773932</v>
      </c>
      <c r="AU138">
        <f t="shared" si="47"/>
        <v>-1.9883333334000035</v>
      </c>
      <c r="AV138">
        <f t="shared" si="51"/>
        <v>236.68474128743063</v>
      </c>
      <c r="AW138">
        <f t="shared" si="48"/>
        <v>21</v>
      </c>
      <c r="AX138" t="str">
        <f t="shared" si="49"/>
        <v>Mar-2020</v>
      </c>
      <c r="AY138">
        <f>ROUNDUP(Table2[[#This Row],[Month]]/3,0)</f>
        <v>1</v>
      </c>
    </row>
    <row r="139" spans="1:51" x14ac:dyDescent="0.2">
      <c r="A139">
        <v>138</v>
      </c>
      <c r="B139">
        <f t="shared" si="36"/>
        <v>8</v>
      </c>
      <c r="C139" s="22">
        <v>43895</v>
      </c>
      <c r="D139">
        <f>SUM(Table2[[#This Row],[Gray Min]:[Red Min]])</f>
        <v>55.883333333000003</v>
      </c>
      <c r="E139">
        <v>21</v>
      </c>
      <c r="F139">
        <v>663</v>
      </c>
      <c r="G139">
        <v>133</v>
      </c>
      <c r="H139">
        <v>165</v>
      </c>
      <c r="I139">
        <v>8.7666666670000009</v>
      </c>
      <c r="J139">
        <v>11.183333333</v>
      </c>
      <c r="K139">
        <v>15.033333333</v>
      </c>
      <c r="L139">
        <v>18.883333332999999</v>
      </c>
      <c r="M139">
        <v>2.016666667</v>
      </c>
      <c r="N139" t="s">
        <v>85</v>
      </c>
      <c r="O139" t="s">
        <v>57</v>
      </c>
      <c r="P139" t="s">
        <v>86</v>
      </c>
      <c r="Q139">
        <f t="shared" si="50"/>
        <v>1</v>
      </c>
      <c r="R139" t="str">
        <f t="shared" si="37"/>
        <v>3-2020</v>
      </c>
      <c r="S139" t="s">
        <v>48</v>
      </c>
      <c r="T139" t="str">
        <f t="shared" si="38"/>
        <v>Thursday</v>
      </c>
      <c r="U139">
        <f t="shared" si="39"/>
        <v>1</v>
      </c>
      <c r="V139" s="24">
        <f>IFERROR(Table2[[#This Row],[Gray Min]]/Table2[[#This Row],[ClassLength]],"")</f>
        <v>0.15687444080618476</v>
      </c>
      <c r="W139" s="24">
        <f>IFERROR(Table2[[#This Row],[Blue Min]]/Table2[[#This Row],[ClassLength]],"")</f>
        <v>0.20011929614792792</v>
      </c>
      <c r="X139" s="24">
        <f>IFERROR(Table2[[#This Row],[Green Min]]/Table2[[#This Row],[ClassLength]],"")</f>
        <v>0.26901282433205492</v>
      </c>
      <c r="Y139" s="24">
        <f>IFERROR(Table2[[#This Row],[Orange Min]]/Table2[[#This Row],[ClassLength]],"")</f>
        <v>0.33790635251618195</v>
      </c>
      <c r="Z139" s="24">
        <f>IFERROR(Table2[[#This Row],[Red Min]]/Table2[[#This Row],[ClassLength]],"")</f>
        <v>3.608708619765038E-2</v>
      </c>
      <c r="AA139" s="25">
        <v>232.14</v>
      </c>
      <c r="AB139" s="25">
        <f t="shared" si="35"/>
        <v>29.017499999999998</v>
      </c>
      <c r="AC139" s="26">
        <f t="shared" si="40"/>
        <v>589</v>
      </c>
      <c r="AD139" s="26">
        <f t="shared" si="41"/>
        <v>13</v>
      </c>
      <c r="AE139">
        <f t="shared" si="42"/>
        <v>2020</v>
      </c>
      <c r="AG139">
        <v>12</v>
      </c>
      <c r="AH139" s="26">
        <f t="shared" si="43"/>
        <v>11.864002385993819</v>
      </c>
      <c r="AI139" t="str">
        <f t="shared" si="44"/>
        <v>PM</v>
      </c>
      <c r="AJ139" t="str">
        <f t="shared" si="45"/>
        <v>3-2020-1</v>
      </c>
      <c r="AK139">
        <f t="shared" si="46"/>
        <v>3</v>
      </c>
      <c r="AL139" s="26">
        <f>IFERROR(Table2[[#This Row],[Calories]]/Table2[[#This Row],[Splat]],"")</f>
        <v>31.571428571428573</v>
      </c>
      <c r="AM139">
        <f>COUNTIF(N$2:$N$938,N139)</f>
        <v>4</v>
      </c>
      <c r="AN139" t="str">
        <f>VLOOKUP(N139,'Helpful Tables'!A:D,4,FALSE)</f>
        <v>Washington, DC</v>
      </c>
      <c r="AO139" s="24">
        <f>COUNTIF(AN:AN,Table2[[#This Row],[State]])/COUNTA(AN:AN)</f>
        <v>0.54904051172707891</v>
      </c>
      <c r="AP139">
        <f>VLOOKUP(N139,'Helpful Tables'!A:B,2,FALSE)</f>
        <v>38.915415000000003</v>
      </c>
      <c r="AQ139">
        <f>VLOOKUP(N139,'Helpful Tables'!A:C,3,FALSE)</f>
        <v>-77.067172999999997</v>
      </c>
      <c r="AR139">
        <f>COUNTIF(P$2:$P$938,P139)</f>
        <v>3</v>
      </c>
      <c r="AS139" cm="1">
        <f t="array" ref="AS139">_xlfn.IFS(E139&lt;6,((E139/D139)*60)*0.5,AND(E139&gt;=6,E139&lt;9),((E139/D139)*60)*0.75,AND(E139&gt;=9,E139&lt;=11),((E139/D139)*60)*0.9,AND(E139=12),((E139/D139)*60)*1,AND(E139&gt;=13,E139&lt;=15),((E139/D139)*60)*1.2,AND(E139&gt;=16,E139&lt;=19),((E139/D139)*60)*1.5,E139&gt;=20,((E139/D139)*60)*1.8)</f>
        <v>40.584551148467554</v>
      </c>
      <c r="AT139" cm="1">
        <f t="array" ref="AT139">_xlfn.IFS(F139&lt;550,((F139/D139)*60)*0.5,AND(F139&gt;=550,F139&lt;575),((F139/D139)*60)*0.75,AND(F139&gt;=575,F139&lt;600),((F139/D139)*60)*0.9,AND(F139=600),((F139/D139)*60)*1,AND(F139&gt;=601,F139&lt;=625),((F139/D139)*60)*1.2,AND(F139&gt;=626,F139&lt;=650),((F139/D139)*60)*1.5,F139&gt;=651,((F139/D139)*60)*1.8)</f>
        <v>1281.3122576873325</v>
      </c>
      <c r="AU139">
        <f t="shared" si="47"/>
        <v>22.791666666299996</v>
      </c>
      <c r="AV139">
        <f t="shared" si="51"/>
        <v>533.31705686758005</v>
      </c>
      <c r="AW139">
        <f t="shared" si="48"/>
        <v>94.6</v>
      </c>
      <c r="AX139" t="str">
        <f t="shared" si="49"/>
        <v>Mar-2020</v>
      </c>
      <c r="AY139">
        <f>ROUNDUP(Table2[[#This Row],[Month]]/3,0)</f>
        <v>1</v>
      </c>
    </row>
    <row r="140" spans="1:51" x14ac:dyDescent="0.2">
      <c r="A140">
        <v>139</v>
      </c>
      <c r="B140">
        <f t="shared" si="36"/>
        <v>8</v>
      </c>
      <c r="C140" s="22">
        <v>43897</v>
      </c>
      <c r="D140">
        <f>SUM(Table2[[#This Row],[Gray Min]:[Red Min]])</f>
        <v>55.300000000000004</v>
      </c>
      <c r="E140">
        <v>14</v>
      </c>
      <c r="F140">
        <v>623</v>
      </c>
      <c r="G140">
        <v>129</v>
      </c>
      <c r="H140">
        <v>166</v>
      </c>
      <c r="I140">
        <v>8.8000000000000007</v>
      </c>
      <c r="J140">
        <v>15.55</v>
      </c>
      <c r="K140">
        <v>17.649999999999999</v>
      </c>
      <c r="L140">
        <v>12.6</v>
      </c>
      <c r="M140">
        <v>0.7</v>
      </c>
      <c r="N140" t="s">
        <v>33</v>
      </c>
      <c r="O140" t="s">
        <v>45</v>
      </c>
      <c r="P140" t="s">
        <v>34</v>
      </c>
      <c r="Q140">
        <f t="shared" si="50"/>
        <v>2</v>
      </c>
      <c r="R140" t="str">
        <f t="shared" si="37"/>
        <v>3-2020</v>
      </c>
      <c r="S140" t="s">
        <v>43</v>
      </c>
      <c r="T140" t="str">
        <f t="shared" si="38"/>
        <v>Saturday</v>
      </c>
      <c r="U140">
        <f t="shared" si="39"/>
        <v>1</v>
      </c>
      <c r="V140" s="24">
        <f>IFERROR(Table2[[#This Row],[Gray Min]]/Table2[[#This Row],[ClassLength]],"")</f>
        <v>0.15913200723327306</v>
      </c>
      <c r="W140" s="24">
        <f>IFERROR(Table2[[#This Row],[Blue Min]]/Table2[[#This Row],[ClassLength]],"")</f>
        <v>0.28119349005424954</v>
      </c>
      <c r="X140" s="24">
        <f>IFERROR(Table2[[#This Row],[Green Min]]/Table2[[#This Row],[ClassLength]],"")</f>
        <v>0.31916817359855332</v>
      </c>
      <c r="Y140" s="24">
        <f>IFERROR(Table2[[#This Row],[Orange Min]]/Table2[[#This Row],[ClassLength]],"")</f>
        <v>0.22784810126582275</v>
      </c>
      <c r="Z140" s="24">
        <f>IFERROR(Table2[[#This Row],[Red Min]]/Table2[[#This Row],[ClassLength]],"")</f>
        <v>1.2658227848101264E-2</v>
      </c>
      <c r="AA140" s="25">
        <v>232.14</v>
      </c>
      <c r="AB140" s="25">
        <f t="shared" si="35"/>
        <v>29.017499999999998</v>
      </c>
      <c r="AC140" s="26">
        <f t="shared" si="40"/>
        <v>589</v>
      </c>
      <c r="AD140" s="26">
        <f t="shared" si="41"/>
        <v>13</v>
      </c>
      <c r="AE140">
        <f t="shared" si="42"/>
        <v>2020</v>
      </c>
      <c r="AG140">
        <v>12</v>
      </c>
      <c r="AH140" s="26">
        <f t="shared" si="43"/>
        <v>11.265822784810126</v>
      </c>
      <c r="AI140" t="str">
        <f t="shared" si="44"/>
        <v>AM</v>
      </c>
      <c r="AJ140" t="str">
        <f t="shared" si="45"/>
        <v>3-2020-1</v>
      </c>
      <c r="AK140">
        <f t="shared" si="46"/>
        <v>3</v>
      </c>
      <c r="AL140" s="26">
        <f>IFERROR(Table2[[#This Row],[Calories]]/Table2[[#This Row],[Splat]],"")</f>
        <v>44.5</v>
      </c>
      <c r="AM140">
        <f>COUNTIF(N$2:$N$938,N140)</f>
        <v>48</v>
      </c>
      <c r="AN140" t="str">
        <f>VLOOKUP(N140,'Helpful Tables'!A:D,4,FALSE)</f>
        <v>Washington, DC</v>
      </c>
      <c r="AO140" s="24">
        <f>COUNTIF(AN:AN,Table2[[#This Row],[State]])/COUNTA(AN:AN)</f>
        <v>0.54904051172707891</v>
      </c>
      <c r="AP140">
        <f>VLOOKUP(N140,'Helpful Tables'!A:B,2,FALSE)</f>
        <v>38.916486999999996</v>
      </c>
      <c r="AQ140">
        <f>VLOOKUP(N140,'Helpful Tables'!A:C,3,FALSE)</f>
        <v>-77.031514000000001</v>
      </c>
      <c r="AR140">
        <f>COUNTIF(P$2:$P$938,P140)</f>
        <v>30</v>
      </c>
      <c r="AS140" cm="1">
        <f t="array" ref="AS140">_xlfn.IFS(E140&lt;6,((E140/D140)*60)*0.5,AND(E140&gt;=6,E140&lt;9),((E140/D140)*60)*0.75,AND(E140&gt;=9,E140&lt;=11),((E140/D140)*60)*0.9,AND(E140=12),((E140/D140)*60)*1,AND(E140&gt;=13,E140&lt;=15),((E140/D140)*60)*1.2,AND(E140&gt;=16,E140&lt;=19),((E140/D140)*60)*1.5,E140&gt;=20,((E140/D140)*60)*1.8)</f>
        <v>18.22784810126582</v>
      </c>
      <c r="AT140" cm="1">
        <f t="array" ref="AT140">_xlfn.IFS(F140&lt;550,((F140/D140)*60)*0.5,AND(F140&gt;=550,F140&lt;575),((F140/D140)*60)*0.75,AND(F140&gt;=575,F140&lt;600),((F140/D140)*60)*0.9,AND(F140=600),((F140/D140)*60)*1,AND(F140&gt;=601,F140&lt;=625),((F140/D140)*60)*1.2,AND(F140&gt;=626,F140&lt;=650),((F140/D140)*60)*1.5,F140&gt;=651,((F140/D140)*60)*1.8)</f>
        <v>811.13924050632909</v>
      </c>
      <c r="AU140">
        <f t="shared" si="47"/>
        <v>10.944999999999997</v>
      </c>
      <c r="AV140">
        <f t="shared" si="51"/>
        <v>333.935835443038</v>
      </c>
      <c r="AW140">
        <f t="shared" si="48"/>
        <v>41.5</v>
      </c>
      <c r="AX140" t="str">
        <f t="shared" si="49"/>
        <v>Mar-2020</v>
      </c>
      <c r="AY140">
        <f>ROUNDUP(Table2[[#This Row],[Month]]/3,0)</f>
        <v>1</v>
      </c>
    </row>
    <row r="141" spans="1:51" x14ac:dyDescent="0.2">
      <c r="A141">
        <v>140</v>
      </c>
      <c r="B141">
        <f t="shared" si="36"/>
        <v>8</v>
      </c>
      <c r="C141" s="22">
        <v>43899</v>
      </c>
      <c r="D141">
        <f>SUM(Table2[[#This Row],[Gray Min]:[Red Min]])</f>
        <v>58.4</v>
      </c>
      <c r="E141">
        <v>18</v>
      </c>
      <c r="F141">
        <v>584</v>
      </c>
      <c r="G141">
        <v>120</v>
      </c>
      <c r="H141">
        <v>168</v>
      </c>
      <c r="I141">
        <v>24.233333333000001</v>
      </c>
      <c r="J141">
        <v>5.95</v>
      </c>
      <c r="K141">
        <v>10.316666667</v>
      </c>
      <c r="L141">
        <v>15.15</v>
      </c>
      <c r="M141">
        <v>2.75</v>
      </c>
      <c r="N141" t="s">
        <v>40</v>
      </c>
      <c r="O141" t="s">
        <v>26</v>
      </c>
      <c r="P141" t="s">
        <v>64</v>
      </c>
      <c r="Q141">
        <f t="shared" si="50"/>
        <v>2</v>
      </c>
      <c r="R141" t="str">
        <f t="shared" si="37"/>
        <v>3-2020</v>
      </c>
      <c r="S141" t="s">
        <v>47</v>
      </c>
      <c r="T141" t="str">
        <f t="shared" si="38"/>
        <v>Monday</v>
      </c>
      <c r="U141">
        <f t="shared" si="39"/>
        <v>1</v>
      </c>
      <c r="V141" s="24">
        <f>IFERROR(Table2[[#This Row],[Gray Min]]/Table2[[#This Row],[ClassLength]],"")</f>
        <v>0.41495433789383562</v>
      </c>
      <c r="W141" s="24">
        <f>IFERROR(Table2[[#This Row],[Blue Min]]/Table2[[#This Row],[ClassLength]],"")</f>
        <v>0.10188356164383562</v>
      </c>
      <c r="X141" s="24">
        <f>IFERROR(Table2[[#This Row],[Green Min]]/Table2[[#This Row],[ClassLength]],"")</f>
        <v>0.17665525114726027</v>
      </c>
      <c r="Y141" s="24">
        <f>IFERROR(Table2[[#This Row],[Orange Min]]/Table2[[#This Row],[ClassLength]],"")</f>
        <v>0.25941780821917809</v>
      </c>
      <c r="Z141" s="24">
        <f>IFERROR(Table2[[#This Row],[Red Min]]/Table2[[#This Row],[ClassLength]],"")</f>
        <v>4.7089041095890412E-2</v>
      </c>
      <c r="AA141" s="25">
        <v>232.14</v>
      </c>
      <c r="AB141" s="25">
        <f t="shared" si="35"/>
        <v>29.017499999999998</v>
      </c>
      <c r="AC141" s="26">
        <f t="shared" si="40"/>
        <v>589</v>
      </c>
      <c r="AD141" s="26">
        <f t="shared" si="41"/>
        <v>13</v>
      </c>
      <c r="AE141">
        <f t="shared" si="42"/>
        <v>2020</v>
      </c>
      <c r="AG141">
        <v>12</v>
      </c>
      <c r="AH141" s="26">
        <f t="shared" si="43"/>
        <v>10</v>
      </c>
      <c r="AI141" t="str">
        <f t="shared" si="44"/>
        <v>PM</v>
      </c>
      <c r="AJ141" t="str">
        <f t="shared" si="45"/>
        <v>3-2020-2</v>
      </c>
      <c r="AK141">
        <f t="shared" si="46"/>
        <v>3</v>
      </c>
      <c r="AL141" s="26">
        <f>IFERROR(Table2[[#This Row],[Calories]]/Table2[[#This Row],[Splat]],"")</f>
        <v>32.444444444444443</v>
      </c>
      <c r="AM141">
        <f>COUNTIF(N$2:$N$938,N141)</f>
        <v>38</v>
      </c>
      <c r="AN141" t="str">
        <f>VLOOKUP(N141,'Helpful Tables'!A:D,4,FALSE)</f>
        <v>Washington, DC</v>
      </c>
      <c r="AO141" s="24">
        <f>COUNTIF(AN:AN,Table2[[#This Row],[State]])/COUNTA(AN:AN)</f>
        <v>0.54904051172707891</v>
      </c>
      <c r="AP141">
        <f>VLOOKUP(N141,'Helpful Tables'!A:B,2,FALSE)</f>
        <v>38.903509999999997</v>
      </c>
      <c r="AQ141">
        <f>VLOOKUP(N141,'Helpful Tables'!A:C,3,FALSE)</f>
        <v>-77.051809000000006</v>
      </c>
      <c r="AR141">
        <f>COUNTIF(P$2:$P$938,P141)</f>
        <v>8</v>
      </c>
      <c r="AS141" cm="1">
        <f t="array" ref="AS141">_xlfn.IFS(E141&lt;6,((E141/D141)*60)*0.5,AND(E141&gt;=6,E141&lt;9),((E141/D141)*60)*0.75,AND(E141&gt;=9,E141&lt;=11),((E141/D141)*60)*0.9,AND(E141=12),((E141/D141)*60)*1,AND(E141&gt;=13,E141&lt;=15),((E141/D141)*60)*1.2,AND(E141&gt;=16,E141&lt;=19),((E141/D141)*60)*1.5,E141&gt;=20,((E141/D141)*60)*1.8)</f>
        <v>27.739726027397261</v>
      </c>
      <c r="AT141" cm="1">
        <f t="array" ref="AT141">_xlfn.IFS(F141&lt;550,((F141/D141)*60)*0.5,AND(F141&gt;=550,F141&lt;575),((F141/D141)*60)*0.75,AND(F141&gt;=575,F141&lt;600),((F141/D141)*60)*0.9,AND(F141=600),((F141/D141)*60)*1,AND(F141&gt;=601,F141&lt;=625),((F141/D141)*60)*1.2,AND(F141&gt;=626,F141&lt;=650),((F141/D141)*60)*1.5,F141&gt;=651,((F141/D141)*60)*1.8)</f>
        <v>540</v>
      </c>
      <c r="AU141">
        <f t="shared" si="47"/>
        <v>0.57500000079999936</v>
      </c>
      <c r="AV141">
        <f t="shared" si="51"/>
        <v>227.2108904111189</v>
      </c>
      <c r="AW141">
        <f t="shared" si="48"/>
        <v>18.899999999999999</v>
      </c>
      <c r="AX141" t="str">
        <f t="shared" si="49"/>
        <v>Mar-2020</v>
      </c>
      <c r="AY141">
        <f>ROUNDUP(Table2[[#This Row],[Month]]/3,0)</f>
        <v>1</v>
      </c>
    </row>
    <row r="142" spans="1:51" x14ac:dyDescent="0.2">
      <c r="A142">
        <v>141</v>
      </c>
      <c r="B142">
        <f t="shared" si="36"/>
        <v>8</v>
      </c>
      <c r="C142" s="22">
        <v>43900</v>
      </c>
      <c r="D142">
        <f>SUM(Table2[[#This Row],[Gray Min]:[Red Min]])</f>
        <v>58.933333333</v>
      </c>
      <c r="E142">
        <v>7</v>
      </c>
      <c r="F142">
        <v>570</v>
      </c>
      <c r="G142">
        <v>118</v>
      </c>
      <c r="H142">
        <v>162</v>
      </c>
      <c r="I142">
        <v>20.149999999999999</v>
      </c>
      <c r="J142">
        <v>12.3</v>
      </c>
      <c r="K142">
        <v>19.416666667000001</v>
      </c>
      <c r="L142">
        <v>6.983333333</v>
      </c>
      <c r="M142">
        <v>8.3333332999999996E-2</v>
      </c>
      <c r="N142" t="s">
        <v>40</v>
      </c>
      <c r="O142" t="s">
        <v>57</v>
      </c>
      <c r="P142" t="s">
        <v>90</v>
      </c>
      <c r="Q142">
        <f t="shared" si="50"/>
        <v>1</v>
      </c>
      <c r="R142" t="str">
        <f t="shared" si="37"/>
        <v>3-2020</v>
      </c>
      <c r="S142" t="s">
        <v>43</v>
      </c>
      <c r="T142" t="str">
        <f t="shared" si="38"/>
        <v>Tuesday</v>
      </c>
      <c r="U142">
        <f t="shared" si="39"/>
        <v>0</v>
      </c>
      <c r="V142" s="24">
        <f>IFERROR(Table2[[#This Row],[Gray Min]]/Table2[[#This Row],[ClassLength]],"")</f>
        <v>0.3419117647078162</v>
      </c>
      <c r="W142" s="24">
        <f>IFERROR(Table2[[#This Row],[Blue Min]]/Table2[[#This Row],[ClassLength]],"")</f>
        <v>0.20871040724099951</v>
      </c>
      <c r="X142" s="24">
        <f>IFERROR(Table2[[#This Row],[Green Min]]/Table2[[#This Row],[ClassLength]],"")</f>
        <v>0.32946832579937485</v>
      </c>
      <c r="Y142" s="24">
        <f>IFERROR(Table2[[#This Row],[Orange Min]]/Table2[[#This Row],[ClassLength]],"")</f>
        <v>0.11849547510813628</v>
      </c>
      <c r="Z142" s="24">
        <f>IFERROR(Table2[[#This Row],[Red Min]]/Table2[[#This Row],[ClassLength]],"")</f>
        <v>1.4140271436731563E-3</v>
      </c>
      <c r="AA142" s="25">
        <v>232.14</v>
      </c>
      <c r="AB142" s="25">
        <f t="shared" si="35"/>
        <v>29.017499999999998</v>
      </c>
      <c r="AC142" s="26">
        <f t="shared" si="40"/>
        <v>589</v>
      </c>
      <c r="AD142" s="26">
        <f t="shared" si="41"/>
        <v>13</v>
      </c>
      <c r="AE142">
        <f t="shared" si="42"/>
        <v>2020</v>
      </c>
      <c r="AG142">
        <v>12</v>
      </c>
      <c r="AH142" s="26">
        <f t="shared" si="43"/>
        <v>9.6719457014121719</v>
      </c>
      <c r="AI142" t="str">
        <f t="shared" si="44"/>
        <v>PM</v>
      </c>
      <c r="AJ142" t="str">
        <f t="shared" si="45"/>
        <v>3-2020-2</v>
      </c>
      <c r="AK142">
        <f t="shared" si="46"/>
        <v>3</v>
      </c>
      <c r="AL142" s="26">
        <f>IFERROR(Table2[[#This Row],[Calories]]/Table2[[#This Row],[Splat]],"")</f>
        <v>81.428571428571431</v>
      </c>
      <c r="AM142">
        <f>COUNTIF(N$2:$N$938,N142)</f>
        <v>38</v>
      </c>
      <c r="AN142" t="str">
        <f>VLOOKUP(N142,'Helpful Tables'!A:D,4,FALSE)</f>
        <v>Washington, DC</v>
      </c>
      <c r="AO142" s="24">
        <f>COUNTIF(AN:AN,Table2[[#This Row],[State]])/COUNTA(AN:AN)</f>
        <v>0.54904051172707891</v>
      </c>
      <c r="AP142">
        <f>VLOOKUP(N142,'Helpful Tables'!A:B,2,FALSE)</f>
        <v>38.903509999999997</v>
      </c>
      <c r="AQ142">
        <f>VLOOKUP(N142,'Helpful Tables'!A:C,3,FALSE)</f>
        <v>-77.051809000000006</v>
      </c>
      <c r="AR142">
        <f>COUNTIF(P$2:$P$938,P142)</f>
        <v>1</v>
      </c>
      <c r="AS142" cm="1">
        <f t="array" ref="AS142">_xlfn.IFS(E142&lt;6,((E142/D142)*60)*0.5,AND(E142&gt;=6,E142&lt;9),((E142/D142)*60)*0.75,AND(E142&gt;=9,E142&lt;=11),((E142/D142)*60)*0.9,AND(E142=12),((E142/D142)*60)*1,AND(E142&gt;=13,E142&lt;=15),((E142/D142)*60)*1.2,AND(E142&gt;=16,E142&lt;=19),((E142/D142)*60)*1.5,E142&gt;=20,((E142/D142)*60)*1.8)</f>
        <v>5.3450226244646206</v>
      </c>
      <c r="AT142" cm="1">
        <f t="array" ref="AT142">_xlfn.IFS(F142&lt;550,((F142/D142)*60)*0.5,AND(F142&gt;=550,F142&lt;575),((F142/D142)*60)*0.75,AND(F142&gt;=575,F142&lt;600),((F142/D142)*60)*0.9,AND(F142=600),((F142/D142)*60)*1,AND(F142&gt;=601,F142&lt;=625),((F142/D142)*60)*1.2,AND(F142&gt;=626,F142&lt;=650),((F142/D142)*60)*1.5,F142&gt;=651,((F142/D142)*60)*1.8)</f>
        <v>435.23755656354774</v>
      </c>
      <c r="AU142">
        <f t="shared" si="47"/>
        <v>-5.2066666671999933</v>
      </c>
      <c r="AV142">
        <f t="shared" si="51"/>
        <v>175.19169834176495</v>
      </c>
      <c r="AW142">
        <f t="shared" si="48"/>
        <v>9.3000000000000007</v>
      </c>
      <c r="AX142" t="str">
        <f t="shared" si="49"/>
        <v>Mar-2020</v>
      </c>
      <c r="AY142">
        <f>ROUNDUP(Table2[[#This Row],[Month]]/3,0)</f>
        <v>1</v>
      </c>
    </row>
    <row r="143" spans="1:51" x14ac:dyDescent="0.2">
      <c r="A143">
        <v>142</v>
      </c>
      <c r="B143">
        <f t="shared" si="36"/>
        <v>8</v>
      </c>
      <c r="C143" s="22">
        <v>43902</v>
      </c>
      <c r="D143">
        <f>SUM(Table2[[#This Row],[Gray Min]:[Red Min]])</f>
        <v>59.483333334000001</v>
      </c>
      <c r="E143">
        <v>14</v>
      </c>
      <c r="F143">
        <v>576</v>
      </c>
      <c r="G143">
        <v>118</v>
      </c>
      <c r="H143">
        <v>169</v>
      </c>
      <c r="I143">
        <v>25.166666667000001</v>
      </c>
      <c r="J143">
        <v>7.5666666669999998</v>
      </c>
      <c r="K143">
        <v>12.366666667000001</v>
      </c>
      <c r="L143">
        <v>13</v>
      </c>
      <c r="M143">
        <v>1.3833333329999999</v>
      </c>
      <c r="N143" t="s">
        <v>85</v>
      </c>
      <c r="O143" t="s">
        <v>57</v>
      </c>
      <c r="P143" t="s">
        <v>86</v>
      </c>
      <c r="Q143">
        <f t="shared" si="50"/>
        <v>2</v>
      </c>
      <c r="R143" t="str">
        <f t="shared" si="37"/>
        <v>3-2020</v>
      </c>
      <c r="S143" t="s">
        <v>48</v>
      </c>
      <c r="T143" t="str">
        <f t="shared" si="38"/>
        <v>Thursday</v>
      </c>
      <c r="U143">
        <f t="shared" si="39"/>
        <v>1</v>
      </c>
      <c r="V143" s="24">
        <f>IFERROR(Table2[[#This Row],[Gray Min]]/Table2[[#This Row],[ClassLength]],"")</f>
        <v>0.42308769963661436</v>
      </c>
      <c r="W143" s="24">
        <f>IFERROR(Table2[[#This Row],[Blue Min]]/Table2[[#This Row],[ClassLength]],"")</f>
        <v>0.12720650042446391</v>
      </c>
      <c r="X143" s="24">
        <f>IFERROR(Table2[[#This Row],[Green Min]]/Table2[[#This Row],[ClassLength]],"")</f>
        <v>0.20790137293686858</v>
      </c>
      <c r="Y143" s="24">
        <f>IFERROR(Table2[[#This Row],[Orange Min]]/Table2[[#This Row],[ClassLength]],"")</f>
        <v>0.21854861305442927</v>
      </c>
      <c r="Z143" s="24">
        <f>IFERROR(Table2[[#This Row],[Red Min]]/Table2[[#This Row],[ClassLength]],"")</f>
        <v>2.3255813947623917E-2</v>
      </c>
      <c r="AA143" s="25">
        <v>232.14</v>
      </c>
      <c r="AB143" s="25">
        <f t="shared" si="35"/>
        <v>29.017499999999998</v>
      </c>
      <c r="AC143" s="26">
        <f t="shared" si="40"/>
        <v>589</v>
      </c>
      <c r="AD143" s="26">
        <f t="shared" si="41"/>
        <v>13</v>
      </c>
      <c r="AE143">
        <f t="shared" si="42"/>
        <v>2020</v>
      </c>
      <c r="AG143">
        <v>12</v>
      </c>
      <c r="AH143" s="26">
        <f t="shared" si="43"/>
        <v>9.6833847014885581</v>
      </c>
      <c r="AI143" t="str">
        <f t="shared" si="44"/>
        <v>PM</v>
      </c>
      <c r="AJ143" t="str">
        <f t="shared" si="45"/>
        <v>3-2020-2</v>
      </c>
      <c r="AK143">
        <f t="shared" si="46"/>
        <v>3</v>
      </c>
      <c r="AL143" s="26">
        <f>IFERROR(Table2[[#This Row],[Calories]]/Table2[[#This Row],[Splat]],"")</f>
        <v>41.142857142857146</v>
      </c>
      <c r="AM143">
        <f>COUNTIF(N$2:$N$938,N143)</f>
        <v>4</v>
      </c>
      <c r="AN143" t="str">
        <f>VLOOKUP(N143,'Helpful Tables'!A:D,4,FALSE)</f>
        <v>Washington, DC</v>
      </c>
      <c r="AO143" s="24">
        <f>COUNTIF(AN:AN,Table2[[#This Row],[State]])/COUNTA(AN:AN)</f>
        <v>0.54904051172707891</v>
      </c>
      <c r="AP143">
        <f>VLOOKUP(N143,'Helpful Tables'!A:B,2,FALSE)</f>
        <v>38.915415000000003</v>
      </c>
      <c r="AQ143">
        <f>VLOOKUP(N143,'Helpful Tables'!A:C,3,FALSE)</f>
        <v>-77.067172999999997</v>
      </c>
      <c r="AR143">
        <f>COUNTIF(P$2:$P$938,P143)</f>
        <v>3</v>
      </c>
      <c r="AS143" cm="1">
        <f t="array" ref="AS143">_xlfn.IFS(E143&lt;6,((E143/D143)*60)*0.5,AND(E143&gt;=6,E143&lt;9),((E143/D143)*60)*0.75,AND(E143&gt;=9,E143&lt;=11),((E143/D143)*60)*0.9,AND(E143=12),((E143/D143)*60)*1,AND(E143&gt;=13,E143&lt;=15),((E143/D143)*60)*1.2,AND(E143&gt;=16,E143&lt;=19),((E143/D143)*60)*1.5,E143&gt;=20,((E143/D143)*60)*1.8)</f>
        <v>16.945923227604975</v>
      </c>
      <c r="AT143" cm="1">
        <f t="array" ref="AT143">_xlfn.IFS(F143&lt;550,((F143/D143)*60)*0.5,AND(F143&gt;=550,F143&lt;575),((F143/D143)*60)*0.75,AND(F143&gt;=575,F143&lt;600),((F143/D143)*60)*0.9,AND(F143=600),((F143/D143)*60)*1,AND(F143&gt;=601,F143&lt;=625),((F143/D143)*60)*1.2,AND(F143&gt;=626,F143&lt;=650),((F143/D143)*60)*1.5,F143&gt;=651,((F143/D143)*60)*1.8)</f>
        <v>522.90277388038214</v>
      </c>
      <c r="AU143">
        <f t="shared" si="47"/>
        <v>-4.7083333341999998</v>
      </c>
      <c r="AV143">
        <f t="shared" si="51"/>
        <v>214.99781217635487</v>
      </c>
      <c r="AW143">
        <f t="shared" si="48"/>
        <v>15.299999999999999</v>
      </c>
      <c r="AX143" t="str">
        <f t="shared" si="49"/>
        <v>Mar-2020</v>
      </c>
      <c r="AY143">
        <f>ROUNDUP(Table2[[#This Row],[Month]]/3,0)</f>
        <v>1</v>
      </c>
    </row>
    <row r="144" spans="1:51" x14ac:dyDescent="0.2">
      <c r="A144">
        <v>143</v>
      </c>
      <c r="B144">
        <f t="shared" si="36"/>
        <v>8</v>
      </c>
      <c r="C144" s="22">
        <v>43904</v>
      </c>
      <c r="D144">
        <f>SUM(Table2[[#This Row],[Gray Min]:[Red Min]])</f>
        <v>56.233333332999997</v>
      </c>
      <c r="E144">
        <v>0</v>
      </c>
      <c r="F144">
        <v>525</v>
      </c>
      <c r="G144">
        <v>116</v>
      </c>
      <c r="H144">
        <v>146</v>
      </c>
      <c r="I144">
        <v>16.633333332999999</v>
      </c>
      <c r="J144">
        <v>20.266666666999999</v>
      </c>
      <c r="K144">
        <v>19.333333332999999</v>
      </c>
      <c r="L144">
        <v>0</v>
      </c>
      <c r="M144">
        <v>0</v>
      </c>
      <c r="N144" t="s">
        <v>91</v>
      </c>
      <c r="O144" t="s">
        <v>93</v>
      </c>
      <c r="P144" t="s">
        <v>92</v>
      </c>
      <c r="Q144">
        <f t="shared" si="50"/>
        <v>2</v>
      </c>
      <c r="R144" t="str">
        <f t="shared" si="37"/>
        <v>3-2020</v>
      </c>
      <c r="S144" t="s">
        <v>43</v>
      </c>
      <c r="T144" t="str">
        <f t="shared" si="38"/>
        <v>Saturday</v>
      </c>
      <c r="U144">
        <f t="shared" si="39"/>
        <v>0</v>
      </c>
      <c r="V144" s="24">
        <f>IFERROR(Table2[[#This Row],[Gray Min]]/Table2[[#This Row],[ClassLength]],"")</f>
        <v>0.29579134557970238</v>
      </c>
      <c r="W144" s="24">
        <f>IFERROR(Table2[[#This Row],[Blue Min]]/Table2[[#This Row],[ClassLength]],"")</f>
        <v>0.36040308240284769</v>
      </c>
      <c r="X144" s="24">
        <f>IFERROR(Table2[[#This Row],[Green Min]]/Table2[[#This Row],[ClassLength]],"")</f>
        <v>0.34380557201744993</v>
      </c>
      <c r="Y144" s="24">
        <f>IFERROR(Table2[[#This Row],[Orange Min]]/Table2[[#This Row],[ClassLength]],"")</f>
        <v>0</v>
      </c>
      <c r="Z144" s="24">
        <f>IFERROR(Table2[[#This Row],[Red Min]]/Table2[[#This Row],[ClassLength]],"")</f>
        <v>0</v>
      </c>
      <c r="AA144" s="25">
        <v>232.14</v>
      </c>
      <c r="AB144" s="25">
        <f t="shared" ref="AB144:AB207" si="52">AA144/B144</f>
        <v>29.017499999999998</v>
      </c>
      <c r="AC144" s="26">
        <f t="shared" si="40"/>
        <v>589</v>
      </c>
      <c r="AD144" s="26">
        <f t="shared" si="41"/>
        <v>13</v>
      </c>
      <c r="AE144">
        <f t="shared" si="42"/>
        <v>2020</v>
      </c>
      <c r="AG144">
        <v>12</v>
      </c>
      <c r="AH144" s="26">
        <f t="shared" si="43"/>
        <v>9.3360995851175819</v>
      </c>
      <c r="AI144" t="str">
        <f t="shared" si="44"/>
        <v>AM</v>
      </c>
      <c r="AJ144" t="str">
        <f t="shared" si="45"/>
        <v>3-2020-2</v>
      </c>
      <c r="AK144">
        <f t="shared" si="46"/>
        <v>3</v>
      </c>
      <c r="AL144" s="26" t="str">
        <f>IFERROR(Table2[[#This Row],[Calories]]/Table2[[#This Row],[Splat]],"")</f>
        <v/>
      </c>
      <c r="AM144">
        <f>COUNTIF(N$2:$N$938,N144)</f>
        <v>218</v>
      </c>
      <c r="AN144" t="str">
        <f>VLOOKUP(N144,'Helpful Tables'!A:D,4,FALSE)</f>
        <v>Washington, DC</v>
      </c>
      <c r="AO144" s="24">
        <f>COUNTIF(AN:AN,Table2[[#This Row],[State]])/COUNTA(AN:AN)</f>
        <v>0.54904051172707891</v>
      </c>
      <c r="AP144">
        <f>VLOOKUP(N144,'Helpful Tables'!A:B,2,FALSE)</f>
        <v>38.934710000000003</v>
      </c>
      <c r="AQ144">
        <f>VLOOKUP(N144,'Helpful Tables'!A:C,3,FALSE)</f>
        <v>-77.058222999999998</v>
      </c>
      <c r="AR144">
        <f>COUNTIF(P$2:$P$938,P144)</f>
        <v>1</v>
      </c>
      <c r="AS144" cm="1">
        <f t="array" ref="AS144">_xlfn.IFS(E144&lt;6,((E144/D144)*60)*0.5,AND(E144&gt;=6,E144&lt;9),((E144/D144)*60)*0.75,AND(E144&gt;=9,E144&lt;=11),((E144/D144)*60)*0.9,AND(E144=12),((E144/D144)*60)*1,AND(E144&gt;=13,E144&lt;=15),((E144/D144)*60)*1.2,AND(E144&gt;=16,E144&lt;=19),((E144/D144)*60)*1.5,E144&gt;=20,((E144/D144)*60)*1.8)</f>
        <v>0</v>
      </c>
      <c r="AT144" cm="1">
        <f t="array" ref="AT144">_xlfn.IFS(F144&lt;550,((F144/D144)*60)*0.5,AND(F144&gt;=550,F144&lt;575),((F144/D144)*60)*0.75,AND(F144&gt;=575,F144&lt;600),((F144/D144)*60)*0.9,AND(F144=600),((F144/D144)*60)*1,AND(F144&gt;=601,F144&lt;=625),((F144/D144)*60)*1.2,AND(F144&gt;=626,F144&lt;=650),((F144/D144)*60)*1.5,F144&gt;=651,((F144/D144)*60)*1.8)</f>
        <v>280.08298755352746</v>
      </c>
      <c r="AU144">
        <f t="shared" si="47"/>
        <v>-19.053333333699999</v>
      </c>
      <c r="AV144">
        <f t="shared" si="51"/>
        <v>108.22252835467098</v>
      </c>
      <c r="AW144">
        <f t="shared" si="48"/>
        <v>3.4000000000000004</v>
      </c>
      <c r="AX144" t="str">
        <f t="shared" si="49"/>
        <v>Mar-2020</v>
      </c>
      <c r="AY144">
        <f>ROUNDUP(Table2[[#This Row],[Month]]/3,0)</f>
        <v>1</v>
      </c>
    </row>
    <row r="145" spans="1:51" x14ac:dyDescent="0.2">
      <c r="A145">
        <v>144</v>
      </c>
      <c r="B145">
        <f t="shared" si="36"/>
        <v>5</v>
      </c>
      <c r="C145" s="22">
        <v>44341</v>
      </c>
      <c r="D145">
        <f>SUM(Table2[[#This Row],[Gray Min]:[Red Min]])</f>
        <v>56</v>
      </c>
      <c r="E145">
        <v>15</v>
      </c>
      <c r="F145">
        <v>645</v>
      </c>
      <c r="G145">
        <v>130</v>
      </c>
      <c r="H145">
        <v>170</v>
      </c>
      <c r="I145">
        <v>10</v>
      </c>
      <c r="J145">
        <v>14</v>
      </c>
      <c r="K145">
        <v>17</v>
      </c>
      <c r="L145">
        <v>11</v>
      </c>
      <c r="M145">
        <v>4</v>
      </c>
      <c r="N145" t="s">
        <v>91</v>
      </c>
      <c r="O145" t="s">
        <v>39</v>
      </c>
      <c r="P145" t="s">
        <v>94</v>
      </c>
      <c r="Q145">
        <f t="shared" si="50"/>
        <v>437</v>
      </c>
      <c r="R145" t="str">
        <f t="shared" si="37"/>
        <v>5-2021</v>
      </c>
      <c r="S145" t="s">
        <v>95</v>
      </c>
      <c r="T145" t="str">
        <f t="shared" si="38"/>
        <v>Tuesday</v>
      </c>
      <c r="U145">
        <f t="shared" si="39"/>
        <v>1</v>
      </c>
      <c r="V145" s="24">
        <f>IFERROR(Table2[[#This Row],[Gray Min]]/Table2[[#This Row],[ClassLength]],"")</f>
        <v>0.17857142857142858</v>
      </c>
      <c r="W145" s="24">
        <f>IFERROR(Table2[[#This Row],[Blue Min]]/Table2[[#This Row],[ClassLength]],"")</f>
        <v>0.25</v>
      </c>
      <c r="X145" s="24">
        <f>IFERROR(Table2[[#This Row],[Green Min]]/Table2[[#This Row],[ClassLength]],"")</f>
        <v>0.30357142857142855</v>
      </c>
      <c r="Y145" s="24">
        <f>IFERROR(Table2[[#This Row],[Orange Min]]/Table2[[#This Row],[ClassLength]],"")</f>
        <v>0.19642857142857142</v>
      </c>
      <c r="Z145" s="24">
        <f>IFERROR(Table2[[#This Row],[Red Min]]/Table2[[#This Row],[ClassLength]],"")</f>
        <v>7.1428571428571425E-2</v>
      </c>
      <c r="AA145" s="25">
        <v>71.327741935000006</v>
      </c>
      <c r="AB145" s="25">
        <f t="shared" si="52"/>
        <v>14.265548387000001</v>
      </c>
      <c r="AC145" s="26">
        <f t="shared" si="40"/>
        <v>657.6</v>
      </c>
      <c r="AD145" s="26">
        <f t="shared" si="41"/>
        <v>14.4</v>
      </c>
      <c r="AE145">
        <f t="shared" si="42"/>
        <v>2021</v>
      </c>
      <c r="AF145" s="25">
        <v>83.74</v>
      </c>
      <c r="AG145">
        <v>3</v>
      </c>
      <c r="AH145" s="26">
        <f t="shared" si="43"/>
        <v>11.517857142857142</v>
      </c>
      <c r="AI145" t="str">
        <f t="shared" si="44"/>
        <v>PM</v>
      </c>
      <c r="AJ145" t="str">
        <f t="shared" si="45"/>
        <v>5-2021-5</v>
      </c>
      <c r="AK145">
        <f t="shared" si="46"/>
        <v>5</v>
      </c>
      <c r="AL145" s="26">
        <f>IFERROR(Table2[[#This Row],[Calories]]/Table2[[#This Row],[Splat]],"")</f>
        <v>43</v>
      </c>
      <c r="AM145">
        <f>COUNTIF(N$2:$N$938,N145)</f>
        <v>218</v>
      </c>
      <c r="AN145" t="str">
        <f>VLOOKUP(N145,'Helpful Tables'!A:D,4,FALSE)</f>
        <v>Washington, DC</v>
      </c>
      <c r="AO145" s="24">
        <f>COUNTIF(AN:AN,Table2[[#This Row],[State]])/COUNTA(AN:AN)</f>
        <v>0.54904051172707891</v>
      </c>
      <c r="AP145">
        <f>VLOOKUP(N145,'Helpful Tables'!A:B,2,FALSE)</f>
        <v>38.934710000000003</v>
      </c>
      <c r="AQ145">
        <f>VLOOKUP(N145,'Helpful Tables'!A:C,3,FALSE)</f>
        <v>-77.058222999999998</v>
      </c>
      <c r="AR145">
        <f>COUNTIF(P$2:$P$938,P145)</f>
        <v>15</v>
      </c>
      <c r="AS145" cm="1">
        <f t="array" ref="AS145">_xlfn.IFS(E145&lt;6,((E145/D145)*60)*0.5,AND(E145&gt;=6,E145&lt;9),((E145/D145)*60)*0.75,AND(E145&gt;=9,E145&lt;=11),((E145/D145)*60)*0.9,AND(E145=12),((E145/D145)*60)*1,AND(E145&gt;=13,E145&lt;=15),((E145/D145)*60)*1.2,AND(E145&gt;=16,E145&lt;=19),((E145/D145)*60)*1.5,E145&gt;=20,((E145/D145)*60)*1.8)</f>
        <v>19.285714285714281</v>
      </c>
      <c r="AT145" cm="1">
        <f t="array" ref="AT145">_xlfn.IFS(F145&lt;550,((F145/D145)*60)*0.5,AND(F145&gt;=550,F145&lt;575),((F145/D145)*60)*0.75,AND(F145&gt;=575,F145&lt;600),((F145/D145)*60)*0.9,AND(F145=600),((F145/D145)*60)*1,AND(F145&gt;=601,F145&lt;=625),((F145/D145)*60)*1.2,AND(F145&gt;=626,F145&lt;=650),((F145/D145)*60)*1.5,F145&gt;=651,((F145/D145)*60)*1.8)</f>
        <v>1036.6071428571429</v>
      </c>
      <c r="AU145">
        <f t="shared" si="47"/>
        <v>13.299999999999997</v>
      </c>
      <c r="AV145">
        <f t="shared" si="51"/>
        <v>425.01714285714291</v>
      </c>
      <c r="AW145">
        <f t="shared" si="48"/>
        <v>63.4</v>
      </c>
      <c r="AX145" t="str">
        <f t="shared" si="49"/>
        <v>May-2021</v>
      </c>
      <c r="AY145">
        <f>ROUNDUP(Table2[[#This Row],[Month]]/3,0)</f>
        <v>2</v>
      </c>
    </row>
    <row r="146" spans="1:51" x14ac:dyDescent="0.2">
      <c r="A146">
        <v>145</v>
      </c>
      <c r="B146">
        <f t="shared" si="36"/>
        <v>5</v>
      </c>
      <c r="C146" s="22">
        <v>44342</v>
      </c>
      <c r="D146">
        <f>SUM(Table2[[#This Row],[Gray Min]:[Red Min]])</f>
        <v>57</v>
      </c>
      <c r="E146">
        <v>15</v>
      </c>
      <c r="F146">
        <v>656</v>
      </c>
      <c r="G146">
        <v>132</v>
      </c>
      <c r="H146">
        <v>168</v>
      </c>
      <c r="I146">
        <v>6</v>
      </c>
      <c r="J146">
        <v>11</v>
      </c>
      <c r="K146">
        <v>25</v>
      </c>
      <c r="L146">
        <v>11</v>
      </c>
      <c r="M146">
        <v>4</v>
      </c>
      <c r="N146" t="s">
        <v>91</v>
      </c>
      <c r="O146" t="s">
        <v>39</v>
      </c>
      <c r="P146" t="s">
        <v>96</v>
      </c>
      <c r="Q146">
        <f t="shared" si="50"/>
        <v>1</v>
      </c>
      <c r="R146" t="str">
        <f t="shared" si="37"/>
        <v>5-2021</v>
      </c>
      <c r="S146" t="s">
        <v>95</v>
      </c>
      <c r="T146" t="str">
        <f t="shared" si="38"/>
        <v>Wednesday</v>
      </c>
      <c r="U146">
        <f t="shared" si="39"/>
        <v>1</v>
      </c>
      <c r="V146" s="24">
        <f>IFERROR(Table2[[#This Row],[Gray Min]]/Table2[[#This Row],[ClassLength]],"")</f>
        <v>0.10526315789473684</v>
      </c>
      <c r="W146" s="24">
        <f>IFERROR(Table2[[#This Row],[Blue Min]]/Table2[[#This Row],[ClassLength]],"")</f>
        <v>0.19298245614035087</v>
      </c>
      <c r="X146" s="24">
        <f>IFERROR(Table2[[#This Row],[Green Min]]/Table2[[#This Row],[ClassLength]],"")</f>
        <v>0.43859649122807015</v>
      </c>
      <c r="Y146" s="24">
        <f>IFERROR(Table2[[#This Row],[Orange Min]]/Table2[[#This Row],[ClassLength]],"")</f>
        <v>0.19298245614035087</v>
      </c>
      <c r="Z146" s="24">
        <f>IFERROR(Table2[[#This Row],[Red Min]]/Table2[[#This Row],[ClassLength]],"")</f>
        <v>7.0175438596491224E-2</v>
      </c>
      <c r="AA146" s="25">
        <v>71.327741935000006</v>
      </c>
      <c r="AB146" s="25">
        <f t="shared" si="52"/>
        <v>14.265548387000001</v>
      </c>
      <c r="AC146" s="26">
        <f t="shared" si="40"/>
        <v>657.6</v>
      </c>
      <c r="AD146" s="26">
        <f t="shared" si="41"/>
        <v>14.4</v>
      </c>
      <c r="AE146">
        <f t="shared" si="42"/>
        <v>2021</v>
      </c>
      <c r="AG146">
        <v>3</v>
      </c>
      <c r="AH146" s="26">
        <f t="shared" si="43"/>
        <v>11.508771929824562</v>
      </c>
      <c r="AI146" t="str">
        <f t="shared" si="44"/>
        <v>PM</v>
      </c>
      <c r="AJ146" t="str">
        <f t="shared" si="45"/>
        <v>5-2021-5</v>
      </c>
      <c r="AK146">
        <f t="shared" si="46"/>
        <v>5</v>
      </c>
      <c r="AL146" s="26">
        <f>IFERROR(Table2[[#This Row],[Calories]]/Table2[[#This Row],[Splat]],"")</f>
        <v>43.733333333333334</v>
      </c>
      <c r="AM146">
        <f>COUNTIF(N$2:$N$938,N146)</f>
        <v>218</v>
      </c>
      <c r="AN146" t="str">
        <f>VLOOKUP(N146,'Helpful Tables'!A:D,4,FALSE)</f>
        <v>Washington, DC</v>
      </c>
      <c r="AO146" s="24">
        <f>COUNTIF(AN:AN,Table2[[#This Row],[State]])/COUNTA(AN:AN)</f>
        <v>0.54904051172707891</v>
      </c>
      <c r="AP146">
        <f>VLOOKUP(N146,'Helpful Tables'!A:B,2,FALSE)</f>
        <v>38.934710000000003</v>
      </c>
      <c r="AQ146">
        <f>VLOOKUP(N146,'Helpful Tables'!A:C,3,FALSE)</f>
        <v>-77.058222999999998</v>
      </c>
      <c r="AR146">
        <f>COUNTIF(P$2:$P$938,P146)</f>
        <v>71</v>
      </c>
      <c r="AS146" cm="1">
        <f t="array" ref="AS146">_xlfn.IFS(E146&lt;6,((E146/D146)*60)*0.5,AND(E146&gt;=6,E146&lt;9),((E146/D146)*60)*0.75,AND(E146&gt;=9,E146&lt;=11),((E146/D146)*60)*0.9,AND(E146=12),((E146/D146)*60)*1,AND(E146&gt;=13,E146&lt;=15),((E146/D146)*60)*1.2,AND(E146&gt;=16,E146&lt;=19),((E146/D146)*60)*1.5,E146&gt;=20,((E146/D146)*60)*1.8)</f>
        <v>18.94736842105263</v>
      </c>
      <c r="AT146" cm="1">
        <f t="array" ref="AT146">_xlfn.IFS(F146&lt;550,((F146/D146)*60)*0.5,AND(F146&gt;=550,F146&lt;575),((F146/D146)*60)*0.75,AND(F146&gt;=575,F146&lt;600),((F146/D146)*60)*0.9,AND(F146=600),((F146/D146)*60)*1,AND(F146&gt;=601,F146&lt;=625),((F146/D146)*60)*1.2,AND(F146&gt;=626,F146&lt;=650),((F146/D146)*60)*1.5,F146&gt;=651,((F146/D146)*60)*1.8)</f>
        <v>1242.9473684210527</v>
      </c>
      <c r="AU146">
        <f t="shared" si="47"/>
        <v>31</v>
      </c>
      <c r="AV146">
        <f t="shared" si="51"/>
        <v>510.95789473684215</v>
      </c>
      <c r="AW146">
        <f t="shared" si="48"/>
        <v>86.1</v>
      </c>
      <c r="AX146" t="str">
        <f t="shared" si="49"/>
        <v>May-2021</v>
      </c>
      <c r="AY146">
        <f>ROUNDUP(Table2[[#This Row],[Month]]/3,0)</f>
        <v>2</v>
      </c>
    </row>
    <row r="147" spans="1:51" x14ac:dyDescent="0.2">
      <c r="A147">
        <v>146</v>
      </c>
      <c r="B147">
        <f t="shared" si="36"/>
        <v>5</v>
      </c>
      <c r="C147" s="22">
        <v>44344</v>
      </c>
      <c r="D147">
        <f>SUM(Table2[[#This Row],[Gray Min]:[Red Min]])</f>
        <v>55</v>
      </c>
      <c r="E147">
        <v>14</v>
      </c>
      <c r="F147">
        <v>609</v>
      </c>
      <c r="G147">
        <v>127</v>
      </c>
      <c r="H147">
        <v>167</v>
      </c>
      <c r="I147">
        <v>10</v>
      </c>
      <c r="J147">
        <v>16</v>
      </c>
      <c r="K147">
        <v>15</v>
      </c>
      <c r="L147">
        <v>12</v>
      </c>
      <c r="M147">
        <v>2</v>
      </c>
      <c r="N147" t="s">
        <v>91</v>
      </c>
      <c r="O147" t="s">
        <v>39</v>
      </c>
      <c r="P147" t="s">
        <v>97</v>
      </c>
      <c r="Q147">
        <f t="shared" si="50"/>
        <v>2</v>
      </c>
      <c r="R147" t="str">
        <f t="shared" si="37"/>
        <v>5-2021</v>
      </c>
      <c r="S147" t="s">
        <v>95</v>
      </c>
      <c r="T147" t="str">
        <f t="shared" si="38"/>
        <v>Friday</v>
      </c>
      <c r="U147">
        <f t="shared" si="39"/>
        <v>1</v>
      </c>
      <c r="V147" s="24">
        <f>IFERROR(Table2[[#This Row],[Gray Min]]/Table2[[#This Row],[ClassLength]],"")</f>
        <v>0.18181818181818182</v>
      </c>
      <c r="W147" s="24">
        <f>IFERROR(Table2[[#This Row],[Blue Min]]/Table2[[#This Row],[ClassLength]],"")</f>
        <v>0.29090909090909089</v>
      </c>
      <c r="X147" s="24">
        <f>IFERROR(Table2[[#This Row],[Green Min]]/Table2[[#This Row],[ClassLength]],"")</f>
        <v>0.27272727272727271</v>
      </c>
      <c r="Y147" s="24">
        <f>IFERROR(Table2[[#This Row],[Orange Min]]/Table2[[#This Row],[ClassLength]],"")</f>
        <v>0.21818181818181817</v>
      </c>
      <c r="Z147" s="24">
        <f>IFERROR(Table2[[#This Row],[Red Min]]/Table2[[#This Row],[ClassLength]],"")</f>
        <v>3.6363636363636362E-2</v>
      </c>
      <c r="AA147" s="25">
        <v>71.327741935000006</v>
      </c>
      <c r="AB147" s="25">
        <f t="shared" si="52"/>
        <v>14.265548387000001</v>
      </c>
      <c r="AC147" s="26">
        <f t="shared" si="40"/>
        <v>657.6</v>
      </c>
      <c r="AD147" s="26">
        <f t="shared" si="41"/>
        <v>14.4</v>
      </c>
      <c r="AE147">
        <f t="shared" si="42"/>
        <v>2021</v>
      </c>
      <c r="AG147">
        <v>3</v>
      </c>
      <c r="AH147" s="26">
        <f t="shared" si="43"/>
        <v>11.072727272727272</v>
      </c>
      <c r="AI147" t="str">
        <f t="shared" si="44"/>
        <v>PM</v>
      </c>
      <c r="AJ147" t="str">
        <f t="shared" si="45"/>
        <v>5-2021-5</v>
      </c>
      <c r="AK147">
        <f t="shared" si="46"/>
        <v>5</v>
      </c>
      <c r="AL147" s="26">
        <f>IFERROR(Table2[[#This Row],[Calories]]/Table2[[#This Row],[Splat]],"")</f>
        <v>43.5</v>
      </c>
      <c r="AM147">
        <f>COUNTIF(N$2:$N$938,N147)</f>
        <v>218</v>
      </c>
      <c r="AN147" t="str">
        <f>VLOOKUP(N147,'Helpful Tables'!A:D,4,FALSE)</f>
        <v>Washington, DC</v>
      </c>
      <c r="AO147" s="24">
        <f>COUNTIF(AN:AN,Table2[[#This Row],[State]])/COUNTA(AN:AN)</f>
        <v>0.54904051172707891</v>
      </c>
      <c r="AP147">
        <f>VLOOKUP(N147,'Helpful Tables'!A:B,2,FALSE)</f>
        <v>38.934710000000003</v>
      </c>
      <c r="AQ147">
        <f>VLOOKUP(N147,'Helpful Tables'!A:C,3,FALSE)</f>
        <v>-77.058222999999998</v>
      </c>
      <c r="AR147">
        <f>COUNTIF(P$2:$P$938,P147)</f>
        <v>14</v>
      </c>
      <c r="AS147" cm="1">
        <f t="array" ref="AS147">_xlfn.IFS(E147&lt;6,((E147/D147)*60)*0.5,AND(E147&gt;=6,E147&lt;9),((E147/D147)*60)*0.75,AND(E147&gt;=9,E147&lt;=11),((E147/D147)*60)*0.9,AND(E147=12),((E147/D147)*60)*1,AND(E147&gt;=13,E147&lt;=15),((E147/D147)*60)*1.2,AND(E147&gt;=16,E147&lt;=19),((E147/D147)*60)*1.5,E147&gt;=20,((E147/D147)*60)*1.8)</f>
        <v>18.327272727272724</v>
      </c>
      <c r="AT147" cm="1">
        <f t="array" ref="AT147">_xlfn.IFS(F147&lt;550,((F147/D147)*60)*0.5,AND(F147&gt;=550,F147&lt;575),((F147/D147)*60)*0.75,AND(F147&gt;=575,F147&lt;600),((F147/D147)*60)*0.9,AND(F147=600),((F147/D147)*60)*1,AND(F147&gt;=601,F147&lt;=625),((F147/D147)*60)*1.2,AND(F147&gt;=626,F147&lt;=650),((F147/D147)*60)*1.5,F147&gt;=651,((F147/D147)*60)*1.8)</f>
        <v>797.23636363636365</v>
      </c>
      <c r="AU147">
        <f t="shared" si="47"/>
        <v>7</v>
      </c>
      <c r="AV147">
        <f t="shared" si="51"/>
        <v>327.62545454545455</v>
      </c>
      <c r="AW147">
        <f t="shared" si="48"/>
        <v>39.700000000000003</v>
      </c>
      <c r="AX147" t="str">
        <f t="shared" si="49"/>
        <v>May-2021</v>
      </c>
      <c r="AY147">
        <f>ROUNDUP(Table2[[#This Row],[Month]]/3,0)</f>
        <v>2</v>
      </c>
    </row>
    <row r="148" spans="1:51" x14ac:dyDescent="0.2">
      <c r="A148">
        <v>147</v>
      </c>
      <c r="B148">
        <f t="shared" si="36"/>
        <v>5</v>
      </c>
      <c r="C148" s="22">
        <v>44346</v>
      </c>
      <c r="D148">
        <f>SUM(Table2[[#This Row],[Gray Min]:[Red Min]])</f>
        <v>59</v>
      </c>
      <c r="E148">
        <v>9</v>
      </c>
      <c r="F148">
        <v>696</v>
      </c>
      <c r="G148">
        <v>131</v>
      </c>
      <c r="H148">
        <v>170</v>
      </c>
      <c r="I148">
        <v>5</v>
      </c>
      <c r="J148">
        <v>11</v>
      </c>
      <c r="K148">
        <v>34</v>
      </c>
      <c r="L148">
        <v>8</v>
      </c>
      <c r="M148">
        <v>1</v>
      </c>
      <c r="N148" t="s">
        <v>91</v>
      </c>
      <c r="O148" t="s">
        <v>45</v>
      </c>
      <c r="P148" t="s">
        <v>98</v>
      </c>
      <c r="Q148">
        <f t="shared" si="50"/>
        <v>2</v>
      </c>
      <c r="R148" t="str">
        <f t="shared" si="37"/>
        <v>5-2021</v>
      </c>
      <c r="S148" t="s">
        <v>95</v>
      </c>
      <c r="T148" t="str">
        <f t="shared" si="38"/>
        <v>Sunday</v>
      </c>
      <c r="U148">
        <f t="shared" si="39"/>
        <v>0</v>
      </c>
      <c r="V148" s="24">
        <f>IFERROR(Table2[[#This Row],[Gray Min]]/Table2[[#This Row],[ClassLength]],"")</f>
        <v>8.4745762711864403E-2</v>
      </c>
      <c r="W148" s="24">
        <f>IFERROR(Table2[[#This Row],[Blue Min]]/Table2[[#This Row],[ClassLength]],"")</f>
        <v>0.1864406779661017</v>
      </c>
      <c r="X148" s="24">
        <f>IFERROR(Table2[[#This Row],[Green Min]]/Table2[[#This Row],[ClassLength]],"")</f>
        <v>0.57627118644067798</v>
      </c>
      <c r="Y148" s="24">
        <f>IFERROR(Table2[[#This Row],[Orange Min]]/Table2[[#This Row],[ClassLength]],"")</f>
        <v>0.13559322033898305</v>
      </c>
      <c r="Z148" s="24">
        <f>IFERROR(Table2[[#This Row],[Red Min]]/Table2[[#This Row],[ClassLength]],"")</f>
        <v>1.6949152542372881E-2</v>
      </c>
      <c r="AA148" s="25">
        <v>71.327741935000006</v>
      </c>
      <c r="AB148" s="25">
        <f t="shared" si="52"/>
        <v>14.265548387000001</v>
      </c>
      <c r="AC148" s="26">
        <f t="shared" si="40"/>
        <v>657.6</v>
      </c>
      <c r="AD148" s="26">
        <f t="shared" si="41"/>
        <v>14.4</v>
      </c>
      <c r="AE148">
        <f t="shared" si="42"/>
        <v>2021</v>
      </c>
      <c r="AG148">
        <v>3</v>
      </c>
      <c r="AH148" s="26">
        <f t="shared" si="43"/>
        <v>11.796610169491526</v>
      </c>
      <c r="AI148" t="str">
        <f t="shared" si="44"/>
        <v>AM</v>
      </c>
      <c r="AJ148" t="str">
        <f t="shared" si="45"/>
        <v>5-2021-6</v>
      </c>
      <c r="AK148">
        <f t="shared" si="46"/>
        <v>5</v>
      </c>
      <c r="AL148" s="26">
        <f>IFERROR(Table2[[#This Row],[Calories]]/Table2[[#This Row],[Splat]],"")</f>
        <v>77.333333333333329</v>
      </c>
      <c r="AM148">
        <f>COUNTIF(N$2:$N$938,N148)</f>
        <v>218</v>
      </c>
      <c r="AN148" t="str">
        <f>VLOOKUP(N148,'Helpful Tables'!A:D,4,FALSE)</f>
        <v>Washington, DC</v>
      </c>
      <c r="AO148" s="24">
        <f>COUNTIF(AN:AN,Table2[[#This Row],[State]])/COUNTA(AN:AN)</f>
        <v>0.54904051172707891</v>
      </c>
      <c r="AP148">
        <f>VLOOKUP(N148,'Helpful Tables'!A:B,2,FALSE)</f>
        <v>38.934710000000003</v>
      </c>
      <c r="AQ148">
        <f>VLOOKUP(N148,'Helpful Tables'!A:C,3,FALSE)</f>
        <v>-77.058222999999998</v>
      </c>
      <c r="AR148">
        <f>COUNTIF(P$2:$P$938,P148)</f>
        <v>28</v>
      </c>
      <c r="AS148" cm="1">
        <f t="array" ref="AS148">_xlfn.IFS(E148&lt;6,((E148/D148)*60)*0.5,AND(E148&gt;=6,E148&lt;9),((E148/D148)*60)*0.75,AND(E148&gt;=9,E148&lt;=11),((E148/D148)*60)*0.9,AND(E148=12),((E148/D148)*60)*1,AND(E148&gt;=13,E148&lt;=15),((E148/D148)*60)*1.2,AND(E148&gt;=16,E148&lt;=19),((E148/D148)*60)*1.5,E148&gt;=20,((E148/D148)*60)*1.8)</f>
        <v>8.2372881355932215</v>
      </c>
      <c r="AT148" cm="1">
        <f t="array" ref="AT148">_xlfn.IFS(F148&lt;550,((F148/D148)*60)*0.5,AND(F148&gt;=550,F148&lt;575),((F148/D148)*60)*0.75,AND(F148&gt;=575,F148&lt;600),((F148/D148)*60)*0.9,AND(F148=600),((F148/D148)*60)*1,AND(F148&gt;=601,F148&lt;=625),((F148/D148)*60)*1.2,AND(F148&gt;=626,F148&lt;=650),((F148/D148)*60)*1.5,F148&gt;=651,((F148/D148)*60)*1.8)</f>
        <v>1274.0338983050849</v>
      </c>
      <c r="AU148">
        <f t="shared" si="47"/>
        <v>34.599999999999994</v>
      </c>
      <c r="AV148">
        <f t="shared" si="51"/>
        <v>519.82847457627122</v>
      </c>
      <c r="AW148">
        <f t="shared" si="48"/>
        <v>89.7</v>
      </c>
      <c r="AX148" t="str">
        <f t="shared" si="49"/>
        <v>May-2021</v>
      </c>
      <c r="AY148">
        <f>ROUNDUP(Table2[[#This Row],[Month]]/3,0)</f>
        <v>2</v>
      </c>
    </row>
    <row r="149" spans="1:51" x14ac:dyDescent="0.2">
      <c r="A149">
        <v>148</v>
      </c>
      <c r="B149">
        <f t="shared" si="36"/>
        <v>5</v>
      </c>
      <c r="C149" s="22">
        <v>44347</v>
      </c>
      <c r="D149">
        <f>SUM(Table2[[#This Row],[Gray Min]:[Red Min]])</f>
        <v>56</v>
      </c>
      <c r="E149">
        <v>19</v>
      </c>
      <c r="F149">
        <v>682</v>
      </c>
      <c r="G149">
        <v>136</v>
      </c>
      <c r="H149">
        <v>167</v>
      </c>
      <c r="I149">
        <v>4</v>
      </c>
      <c r="J149">
        <v>10</v>
      </c>
      <c r="K149">
        <v>23</v>
      </c>
      <c r="L149">
        <v>16</v>
      </c>
      <c r="M149">
        <v>3</v>
      </c>
      <c r="N149" t="s">
        <v>91</v>
      </c>
      <c r="O149" t="s">
        <v>83</v>
      </c>
      <c r="P149" t="s">
        <v>96</v>
      </c>
      <c r="Q149">
        <f t="shared" si="50"/>
        <v>1</v>
      </c>
      <c r="R149" t="str">
        <f t="shared" si="37"/>
        <v>5-2021</v>
      </c>
      <c r="S149" t="s">
        <v>95</v>
      </c>
      <c r="T149" t="str">
        <f t="shared" si="38"/>
        <v>Monday</v>
      </c>
      <c r="U149">
        <f t="shared" si="39"/>
        <v>1</v>
      </c>
      <c r="V149" s="24">
        <f>IFERROR(Table2[[#This Row],[Gray Min]]/Table2[[#This Row],[ClassLength]],"")</f>
        <v>7.1428571428571425E-2</v>
      </c>
      <c r="W149" s="24">
        <f>IFERROR(Table2[[#This Row],[Blue Min]]/Table2[[#This Row],[ClassLength]],"")</f>
        <v>0.17857142857142858</v>
      </c>
      <c r="X149" s="24">
        <f>IFERROR(Table2[[#This Row],[Green Min]]/Table2[[#This Row],[ClassLength]],"")</f>
        <v>0.4107142857142857</v>
      </c>
      <c r="Y149" s="24">
        <f>IFERROR(Table2[[#This Row],[Orange Min]]/Table2[[#This Row],[ClassLength]],"")</f>
        <v>0.2857142857142857</v>
      </c>
      <c r="Z149" s="24">
        <f>IFERROR(Table2[[#This Row],[Red Min]]/Table2[[#This Row],[ClassLength]],"")</f>
        <v>5.3571428571428568E-2</v>
      </c>
      <c r="AA149" s="25">
        <v>71.327741935000006</v>
      </c>
      <c r="AB149" s="25">
        <f t="shared" si="52"/>
        <v>14.265548387000001</v>
      </c>
      <c r="AC149" s="26">
        <f t="shared" si="40"/>
        <v>657.6</v>
      </c>
      <c r="AD149" s="26">
        <f t="shared" si="41"/>
        <v>14.4</v>
      </c>
      <c r="AE149">
        <f t="shared" si="42"/>
        <v>2021</v>
      </c>
      <c r="AG149">
        <v>3</v>
      </c>
      <c r="AH149" s="26">
        <f t="shared" si="43"/>
        <v>12.178571428571429</v>
      </c>
      <c r="AI149" t="str">
        <f t="shared" si="44"/>
        <v>PM</v>
      </c>
      <c r="AJ149" t="str">
        <f t="shared" si="45"/>
        <v>5-2021-6</v>
      </c>
      <c r="AK149">
        <f t="shared" si="46"/>
        <v>5</v>
      </c>
      <c r="AL149" s="26">
        <f>IFERROR(Table2[[#This Row],[Calories]]/Table2[[#This Row],[Splat]],"")</f>
        <v>35.89473684210526</v>
      </c>
      <c r="AM149">
        <f>COUNTIF(N$2:$N$938,N149)</f>
        <v>218</v>
      </c>
      <c r="AN149" t="str">
        <f>VLOOKUP(N149,'Helpful Tables'!A:D,4,FALSE)</f>
        <v>Washington, DC</v>
      </c>
      <c r="AO149" s="24">
        <f>COUNTIF(AN:AN,Table2[[#This Row],[State]])/COUNTA(AN:AN)</f>
        <v>0.54904051172707891</v>
      </c>
      <c r="AP149">
        <f>VLOOKUP(N149,'Helpful Tables'!A:B,2,FALSE)</f>
        <v>38.934710000000003</v>
      </c>
      <c r="AQ149">
        <f>VLOOKUP(N149,'Helpful Tables'!A:C,3,FALSE)</f>
        <v>-77.058222999999998</v>
      </c>
      <c r="AR149">
        <f>COUNTIF(P$2:$P$938,P149)</f>
        <v>71</v>
      </c>
      <c r="AS149" cm="1">
        <f t="array" ref="AS149">_xlfn.IFS(E149&lt;6,((E149/D149)*60)*0.5,AND(E149&gt;=6,E149&lt;9),((E149/D149)*60)*0.75,AND(E149&gt;=9,E149&lt;=11),((E149/D149)*60)*0.9,AND(E149=12),((E149/D149)*60)*1,AND(E149&gt;=13,E149&lt;=15),((E149/D149)*60)*1.2,AND(E149&gt;=16,E149&lt;=19),((E149/D149)*60)*1.5,E149&gt;=20,((E149/D149)*60)*1.8)</f>
        <v>30.535714285714285</v>
      </c>
      <c r="AT149" cm="1">
        <f t="array" ref="AT149">_xlfn.IFS(F149&lt;550,((F149/D149)*60)*0.5,AND(F149&gt;=550,F149&lt;575),((F149/D149)*60)*0.75,AND(F149&gt;=575,F149&lt;600),((F149/D149)*60)*0.9,AND(F149=600),((F149/D149)*60)*1,AND(F149&gt;=601,F149&lt;=625),((F149/D149)*60)*1.2,AND(F149&gt;=626,F149&lt;=650),((F149/D149)*60)*1.5,F149&gt;=651,((F149/D149)*60)*1.8)</f>
        <v>1315.2857142857144</v>
      </c>
      <c r="AU149">
        <f t="shared" si="47"/>
        <v>37.099999999999994</v>
      </c>
      <c r="AV149">
        <f t="shared" si="51"/>
        <v>545.74857142857138</v>
      </c>
      <c r="AW149">
        <f t="shared" si="48"/>
        <v>97.3</v>
      </c>
      <c r="AX149" t="str">
        <f t="shared" si="49"/>
        <v>May-2021</v>
      </c>
      <c r="AY149">
        <f>ROUNDUP(Table2[[#This Row],[Month]]/3,0)</f>
        <v>2</v>
      </c>
    </row>
    <row r="150" spans="1:51" x14ac:dyDescent="0.2">
      <c r="A150">
        <v>149</v>
      </c>
      <c r="B150">
        <f t="shared" si="36"/>
        <v>16</v>
      </c>
      <c r="C150" s="22">
        <v>44349</v>
      </c>
      <c r="D150">
        <f>SUM(Table2[[#This Row],[Gray Min]:[Red Min]])</f>
        <v>58</v>
      </c>
      <c r="E150">
        <v>16</v>
      </c>
      <c r="F150">
        <v>659</v>
      </c>
      <c r="G150">
        <v>126</v>
      </c>
      <c r="H150">
        <v>166</v>
      </c>
      <c r="I150">
        <v>10</v>
      </c>
      <c r="J150">
        <v>18</v>
      </c>
      <c r="K150">
        <v>14</v>
      </c>
      <c r="L150">
        <v>13</v>
      </c>
      <c r="M150">
        <v>3</v>
      </c>
      <c r="N150" t="s">
        <v>91</v>
      </c>
      <c r="O150" t="s">
        <v>39</v>
      </c>
      <c r="P150" t="s">
        <v>96</v>
      </c>
      <c r="Q150">
        <f t="shared" si="50"/>
        <v>2</v>
      </c>
      <c r="R150" t="str">
        <f t="shared" si="37"/>
        <v>6-2021</v>
      </c>
      <c r="S150" t="s">
        <v>99</v>
      </c>
      <c r="T150" t="str">
        <f t="shared" si="38"/>
        <v>Wednesday</v>
      </c>
      <c r="U150">
        <f t="shared" si="39"/>
        <v>1</v>
      </c>
      <c r="V150" s="24">
        <f>IFERROR(Table2[[#This Row],[Gray Min]]/Table2[[#This Row],[ClassLength]],"")</f>
        <v>0.17241379310344829</v>
      </c>
      <c r="W150" s="24">
        <f>IFERROR(Table2[[#This Row],[Blue Min]]/Table2[[#This Row],[ClassLength]],"")</f>
        <v>0.31034482758620691</v>
      </c>
      <c r="X150" s="24">
        <f>IFERROR(Table2[[#This Row],[Green Min]]/Table2[[#This Row],[ClassLength]],"")</f>
        <v>0.2413793103448276</v>
      </c>
      <c r="Y150" s="24">
        <f>IFERROR(Table2[[#This Row],[Orange Min]]/Table2[[#This Row],[ClassLength]],"")</f>
        <v>0.22413793103448276</v>
      </c>
      <c r="Z150" s="24">
        <f>IFERROR(Table2[[#This Row],[Red Min]]/Table2[[#This Row],[ClassLength]],"")</f>
        <v>5.1724137931034482E-2</v>
      </c>
      <c r="AA150" s="25">
        <v>232.14</v>
      </c>
      <c r="AB150" s="25">
        <f t="shared" si="52"/>
        <v>14.508749999999999</v>
      </c>
      <c r="AC150" s="26">
        <f t="shared" si="40"/>
        <v>612.625</v>
      </c>
      <c r="AD150" s="26">
        <f t="shared" si="41"/>
        <v>13.3125</v>
      </c>
      <c r="AE150">
        <f t="shared" si="42"/>
        <v>2021</v>
      </c>
      <c r="AG150">
        <v>12</v>
      </c>
      <c r="AH150" s="26">
        <f t="shared" si="43"/>
        <v>11.362068965517242</v>
      </c>
      <c r="AI150" t="str">
        <f t="shared" si="44"/>
        <v>PM</v>
      </c>
      <c r="AJ150" t="str">
        <f t="shared" si="45"/>
        <v>6-2021-1</v>
      </c>
      <c r="AK150">
        <f t="shared" si="46"/>
        <v>6</v>
      </c>
      <c r="AL150" s="26">
        <f>IFERROR(Table2[[#This Row],[Calories]]/Table2[[#This Row],[Splat]],"")</f>
        <v>41.1875</v>
      </c>
      <c r="AM150">
        <f>COUNTIF(N$2:$N$938,N150)</f>
        <v>218</v>
      </c>
      <c r="AN150" t="str">
        <f>VLOOKUP(N150,'Helpful Tables'!A:D,4,FALSE)</f>
        <v>Washington, DC</v>
      </c>
      <c r="AO150" s="24">
        <f>COUNTIF(AN:AN,Table2[[#This Row],[State]])/COUNTA(AN:AN)</f>
        <v>0.54904051172707891</v>
      </c>
      <c r="AP150">
        <f>VLOOKUP(N150,'Helpful Tables'!A:B,2,FALSE)</f>
        <v>38.934710000000003</v>
      </c>
      <c r="AQ150">
        <f>VLOOKUP(N150,'Helpful Tables'!A:C,3,FALSE)</f>
        <v>-77.058222999999998</v>
      </c>
      <c r="AR150">
        <f>COUNTIF(P$2:$P$938,P150)</f>
        <v>71</v>
      </c>
      <c r="AS150" cm="1">
        <f t="array" ref="AS150">_xlfn.IFS(E150&lt;6,((E150/D150)*60)*0.5,AND(E150&gt;=6,E150&lt;9),((E150/D150)*60)*0.75,AND(E150&gt;=9,E150&lt;=11),((E150/D150)*60)*0.9,AND(E150=12),((E150/D150)*60)*1,AND(E150&gt;=13,E150&lt;=15),((E150/D150)*60)*1.2,AND(E150&gt;=16,E150&lt;=19),((E150/D150)*60)*1.5,E150&gt;=20,((E150/D150)*60)*1.8)</f>
        <v>24.827586206896555</v>
      </c>
      <c r="AT150" cm="1">
        <f t="array" ref="AT150">_xlfn.IFS(F150&lt;550,((F150/D150)*60)*0.5,AND(F150&gt;=550,F150&lt;575),((F150/D150)*60)*0.75,AND(F150&gt;=575,F150&lt;600),((F150/D150)*60)*0.9,AND(F150=600),((F150/D150)*60)*1,AND(F150&gt;=601,F150&lt;=625),((F150/D150)*60)*1.2,AND(F150&gt;=626,F150&lt;=650),((F150/D150)*60)*1.5,F150&gt;=651,((F150/D150)*60)*1.8)</f>
        <v>1227.1034482758621</v>
      </c>
      <c r="AU150">
        <f t="shared" si="47"/>
        <v>6.4000000000000021</v>
      </c>
      <c r="AV150">
        <f t="shared" si="51"/>
        <v>502.05241379310343</v>
      </c>
      <c r="AW150">
        <f t="shared" si="48"/>
        <v>80.300000000000011</v>
      </c>
      <c r="AX150" t="str">
        <f t="shared" si="49"/>
        <v>Jun-2021</v>
      </c>
      <c r="AY150">
        <f>ROUNDUP(Table2[[#This Row],[Month]]/3,0)</f>
        <v>2</v>
      </c>
    </row>
    <row r="151" spans="1:51" x14ac:dyDescent="0.2">
      <c r="A151">
        <v>150</v>
      </c>
      <c r="B151">
        <f t="shared" si="36"/>
        <v>16</v>
      </c>
      <c r="C151" s="22">
        <v>44350</v>
      </c>
      <c r="D151">
        <f>SUM(Table2[[#This Row],[Gray Min]:[Red Min]])</f>
        <v>54</v>
      </c>
      <c r="E151">
        <v>6</v>
      </c>
      <c r="F151">
        <v>531</v>
      </c>
      <c r="G151">
        <v>119</v>
      </c>
      <c r="H151">
        <v>164</v>
      </c>
      <c r="I151">
        <v>17</v>
      </c>
      <c r="J151">
        <v>15</v>
      </c>
      <c r="K151">
        <v>16</v>
      </c>
      <c r="L151">
        <v>6</v>
      </c>
      <c r="M151">
        <v>0</v>
      </c>
      <c r="N151" t="s">
        <v>91</v>
      </c>
      <c r="O151" t="s">
        <v>39</v>
      </c>
      <c r="P151" t="s">
        <v>94</v>
      </c>
      <c r="Q151">
        <f t="shared" si="50"/>
        <v>1</v>
      </c>
      <c r="R151" t="str">
        <f t="shared" si="37"/>
        <v>6-2021</v>
      </c>
      <c r="S151" t="s">
        <v>99</v>
      </c>
      <c r="T151" t="str">
        <f t="shared" si="38"/>
        <v>Thursday</v>
      </c>
      <c r="U151">
        <f t="shared" si="39"/>
        <v>0</v>
      </c>
      <c r="V151" s="24">
        <f>IFERROR(Table2[[#This Row],[Gray Min]]/Table2[[#This Row],[ClassLength]],"")</f>
        <v>0.31481481481481483</v>
      </c>
      <c r="W151" s="24">
        <f>IFERROR(Table2[[#This Row],[Blue Min]]/Table2[[#This Row],[ClassLength]],"")</f>
        <v>0.27777777777777779</v>
      </c>
      <c r="X151" s="24">
        <f>IFERROR(Table2[[#This Row],[Green Min]]/Table2[[#This Row],[ClassLength]],"")</f>
        <v>0.29629629629629628</v>
      </c>
      <c r="Y151" s="24">
        <f>IFERROR(Table2[[#This Row],[Orange Min]]/Table2[[#This Row],[ClassLength]],"")</f>
        <v>0.1111111111111111</v>
      </c>
      <c r="Z151" s="24">
        <f>IFERROR(Table2[[#This Row],[Red Min]]/Table2[[#This Row],[ClassLength]],"")</f>
        <v>0</v>
      </c>
      <c r="AA151" s="25">
        <v>232.14</v>
      </c>
      <c r="AB151" s="25">
        <f t="shared" si="52"/>
        <v>14.508749999999999</v>
      </c>
      <c r="AC151" s="26">
        <f t="shared" si="40"/>
        <v>612.625</v>
      </c>
      <c r="AD151" s="26">
        <f t="shared" si="41"/>
        <v>13.3125</v>
      </c>
      <c r="AE151">
        <f t="shared" si="42"/>
        <v>2021</v>
      </c>
      <c r="AG151">
        <v>12</v>
      </c>
      <c r="AH151" s="26">
        <f t="shared" si="43"/>
        <v>9.8333333333333339</v>
      </c>
      <c r="AI151" t="str">
        <f t="shared" si="44"/>
        <v>PM</v>
      </c>
      <c r="AJ151" t="str">
        <f t="shared" si="45"/>
        <v>6-2021-1</v>
      </c>
      <c r="AK151">
        <f t="shared" si="46"/>
        <v>6</v>
      </c>
      <c r="AL151" s="26">
        <f>IFERROR(Table2[[#This Row],[Calories]]/Table2[[#This Row],[Splat]],"")</f>
        <v>88.5</v>
      </c>
      <c r="AM151">
        <f>COUNTIF(N$2:$N$938,N151)</f>
        <v>218</v>
      </c>
      <c r="AN151" t="str">
        <f>VLOOKUP(N151,'Helpful Tables'!A:D,4,FALSE)</f>
        <v>Washington, DC</v>
      </c>
      <c r="AO151" s="24">
        <f>COUNTIF(AN:AN,Table2[[#This Row],[State]])/COUNTA(AN:AN)</f>
        <v>0.54904051172707891</v>
      </c>
      <c r="AP151">
        <f>VLOOKUP(N151,'Helpful Tables'!A:B,2,FALSE)</f>
        <v>38.934710000000003</v>
      </c>
      <c r="AQ151">
        <f>VLOOKUP(N151,'Helpful Tables'!A:C,3,FALSE)</f>
        <v>-77.058222999999998</v>
      </c>
      <c r="AR151">
        <f>COUNTIF(P$2:$P$938,P151)</f>
        <v>15</v>
      </c>
      <c r="AS151" cm="1">
        <f t="array" ref="AS151">_xlfn.IFS(E151&lt;6,((E151/D151)*60)*0.5,AND(E151&gt;=6,E151&lt;9),((E151/D151)*60)*0.75,AND(E151&gt;=9,E151&lt;=11),((E151/D151)*60)*0.9,AND(E151=12),((E151/D151)*60)*1,AND(E151&gt;=13,E151&lt;=15),((E151/D151)*60)*1.2,AND(E151&gt;=16,E151&lt;=19),((E151/D151)*60)*1.5,E151&gt;=20,((E151/D151)*60)*1.8)</f>
        <v>5</v>
      </c>
      <c r="AT151" cm="1">
        <f t="array" ref="AT151">_xlfn.IFS(F151&lt;550,((F151/D151)*60)*0.5,AND(F151&gt;=550,F151&lt;575),((F151/D151)*60)*0.75,AND(F151&gt;=575,F151&lt;600),((F151/D151)*60)*0.9,AND(F151=600),((F151/D151)*60)*1,AND(F151&gt;=601,F151&lt;=625),((F151/D151)*60)*1.2,AND(F151&gt;=626,F151&lt;=650),((F151/D151)*60)*1.5,F151&gt;=651,((F151/D151)*60)*1.8)</f>
        <v>295</v>
      </c>
      <c r="AU151">
        <f t="shared" si="47"/>
        <v>-9.8999999999999986</v>
      </c>
      <c r="AV151">
        <f t="shared" si="51"/>
        <v>118.02</v>
      </c>
      <c r="AW151">
        <f t="shared" si="48"/>
        <v>6.4</v>
      </c>
      <c r="AX151" t="str">
        <f t="shared" si="49"/>
        <v>Jun-2021</v>
      </c>
      <c r="AY151">
        <f>ROUNDUP(Table2[[#This Row],[Month]]/3,0)</f>
        <v>2</v>
      </c>
    </row>
    <row r="152" spans="1:51" x14ac:dyDescent="0.2">
      <c r="A152">
        <v>151</v>
      </c>
      <c r="B152">
        <f t="shared" si="36"/>
        <v>16</v>
      </c>
      <c r="C152" s="22">
        <v>44353</v>
      </c>
      <c r="D152">
        <f>SUM(Table2[[#This Row],[Gray Min]:[Red Min]])</f>
        <v>60</v>
      </c>
      <c r="E152">
        <v>12</v>
      </c>
      <c r="F152">
        <v>675</v>
      </c>
      <c r="G152">
        <v>129</v>
      </c>
      <c r="H152">
        <v>168</v>
      </c>
      <c r="I152">
        <v>9</v>
      </c>
      <c r="J152">
        <v>18</v>
      </c>
      <c r="K152">
        <v>21</v>
      </c>
      <c r="L152">
        <v>7</v>
      </c>
      <c r="M152">
        <v>5</v>
      </c>
      <c r="N152" t="s">
        <v>91</v>
      </c>
      <c r="O152" t="s">
        <v>45</v>
      </c>
      <c r="P152" t="s">
        <v>100</v>
      </c>
      <c r="Q152">
        <f t="shared" si="50"/>
        <v>3</v>
      </c>
      <c r="R152" t="str">
        <f t="shared" si="37"/>
        <v>6-2021</v>
      </c>
      <c r="S152" t="s">
        <v>95</v>
      </c>
      <c r="T152" t="str">
        <f t="shared" si="38"/>
        <v>Sunday</v>
      </c>
      <c r="U152">
        <f t="shared" si="39"/>
        <v>1</v>
      </c>
      <c r="V152" s="24">
        <f>IFERROR(Table2[[#This Row],[Gray Min]]/Table2[[#This Row],[ClassLength]],"")</f>
        <v>0.15</v>
      </c>
      <c r="W152" s="24">
        <f>IFERROR(Table2[[#This Row],[Blue Min]]/Table2[[#This Row],[ClassLength]],"")</f>
        <v>0.3</v>
      </c>
      <c r="X152" s="24">
        <f>IFERROR(Table2[[#This Row],[Green Min]]/Table2[[#This Row],[ClassLength]],"")</f>
        <v>0.35</v>
      </c>
      <c r="Y152" s="24">
        <f>IFERROR(Table2[[#This Row],[Orange Min]]/Table2[[#This Row],[ClassLength]],"")</f>
        <v>0.11666666666666667</v>
      </c>
      <c r="Z152" s="24">
        <f>IFERROR(Table2[[#This Row],[Red Min]]/Table2[[#This Row],[ClassLength]],"")</f>
        <v>8.3333333333333329E-2</v>
      </c>
      <c r="AA152" s="25">
        <v>232.14</v>
      </c>
      <c r="AB152" s="25">
        <f t="shared" si="52"/>
        <v>14.508749999999999</v>
      </c>
      <c r="AC152" s="26">
        <f t="shared" si="40"/>
        <v>612.625</v>
      </c>
      <c r="AD152" s="26">
        <f t="shared" si="41"/>
        <v>13.3125</v>
      </c>
      <c r="AE152">
        <f t="shared" si="42"/>
        <v>2021</v>
      </c>
      <c r="AG152">
        <v>12</v>
      </c>
      <c r="AH152" s="26">
        <f t="shared" si="43"/>
        <v>11.25</v>
      </c>
      <c r="AI152" t="str">
        <f t="shared" si="44"/>
        <v>AM</v>
      </c>
      <c r="AJ152" t="str">
        <f t="shared" si="45"/>
        <v>6-2021-2</v>
      </c>
      <c r="AK152">
        <f t="shared" si="46"/>
        <v>6</v>
      </c>
      <c r="AL152" s="26">
        <f>IFERROR(Table2[[#This Row],[Calories]]/Table2[[#This Row],[Splat]],"")</f>
        <v>56.25</v>
      </c>
      <c r="AM152">
        <f>COUNTIF(N$2:$N$938,N152)</f>
        <v>218</v>
      </c>
      <c r="AN152" t="str">
        <f>VLOOKUP(N152,'Helpful Tables'!A:D,4,FALSE)</f>
        <v>Washington, DC</v>
      </c>
      <c r="AO152" s="24">
        <f>COUNTIF(AN:AN,Table2[[#This Row],[State]])/COUNTA(AN:AN)</f>
        <v>0.54904051172707891</v>
      </c>
      <c r="AP152">
        <f>VLOOKUP(N152,'Helpful Tables'!A:B,2,FALSE)</f>
        <v>38.934710000000003</v>
      </c>
      <c r="AQ152">
        <f>VLOOKUP(N152,'Helpful Tables'!A:C,3,FALSE)</f>
        <v>-77.058222999999998</v>
      </c>
      <c r="AR152">
        <f>COUNTIF(P$2:$P$938,P152)</f>
        <v>35</v>
      </c>
      <c r="AS152" cm="1">
        <f t="array" ref="AS152">_xlfn.IFS(E152&lt;6,((E152/D152)*60)*0.5,AND(E152&gt;=6,E152&lt;9),((E152/D152)*60)*0.75,AND(E152&gt;=9,E152&lt;=11),((E152/D152)*60)*0.9,AND(E152=12),((E152/D152)*60)*1,AND(E152&gt;=13,E152&lt;=15),((E152/D152)*60)*1.2,AND(E152&gt;=16,E152&lt;=19),((E152/D152)*60)*1.5,E152&gt;=20,((E152/D152)*60)*1.8)</f>
        <v>12</v>
      </c>
      <c r="AT152" cm="1">
        <f t="array" ref="AT152">_xlfn.IFS(F152&lt;550,((F152/D152)*60)*0.5,AND(F152&gt;=550,F152&lt;575),((F152/D152)*60)*0.75,AND(F152&gt;=575,F152&lt;600),((F152/D152)*60)*0.9,AND(F152=600),((F152/D152)*60)*1,AND(F152&gt;=601,F152&lt;=625),((F152/D152)*60)*1.2,AND(F152&gt;=626,F152&lt;=650),((F152/D152)*60)*1.5,F152&gt;=651,((F152/D152)*60)*1.8)</f>
        <v>1215</v>
      </c>
      <c r="AU152">
        <f t="shared" si="47"/>
        <v>11.199999999999998</v>
      </c>
      <c r="AV152">
        <f t="shared" si="51"/>
        <v>493.04</v>
      </c>
      <c r="AW152">
        <f t="shared" si="48"/>
        <v>75</v>
      </c>
      <c r="AX152" t="str">
        <f t="shared" si="49"/>
        <v>Jun-2021</v>
      </c>
      <c r="AY152">
        <f>ROUNDUP(Table2[[#This Row],[Month]]/3,0)</f>
        <v>2</v>
      </c>
    </row>
    <row r="153" spans="1:51" x14ac:dyDescent="0.2">
      <c r="A153">
        <v>152</v>
      </c>
      <c r="B153">
        <f t="shared" si="36"/>
        <v>16</v>
      </c>
      <c r="C153" s="22">
        <v>44355</v>
      </c>
      <c r="D153">
        <f>SUM(Table2[[#This Row],[Gray Min]:[Red Min]])</f>
        <v>61</v>
      </c>
      <c r="E153">
        <v>12</v>
      </c>
      <c r="F153">
        <v>632</v>
      </c>
      <c r="G153">
        <v>124</v>
      </c>
      <c r="H153">
        <v>166</v>
      </c>
      <c r="I153">
        <v>17</v>
      </c>
      <c r="J153">
        <v>15</v>
      </c>
      <c r="K153">
        <v>17</v>
      </c>
      <c r="L153">
        <v>8</v>
      </c>
      <c r="M153">
        <v>4</v>
      </c>
      <c r="N153" t="s">
        <v>101</v>
      </c>
      <c r="O153" t="s">
        <v>103</v>
      </c>
      <c r="P153" t="s">
        <v>102</v>
      </c>
      <c r="Q153">
        <f t="shared" si="50"/>
        <v>2</v>
      </c>
      <c r="R153" t="str">
        <f t="shared" si="37"/>
        <v>6-2021</v>
      </c>
      <c r="S153" t="s">
        <v>104</v>
      </c>
      <c r="T153" t="str">
        <f t="shared" si="38"/>
        <v>Tuesday</v>
      </c>
      <c r="U153">
        <f t="shared" si="39"/>
        <v>1</v>
      </c>
      <c r="V153" s="24">
        <f>IFERROR(Table2[[#This Row],[Gray Min]]/Table2[[#This Row],[ClassLength]],"")</f>
        <v>0.27868852459016391</v>
      </c>
      <c r="W153" s="24">
        <f>IFERROR(Table2[[#This Row],[Blue Min]]/Table2[[#This Row],[ClassLength]],"")</f>
        <v>0.24590163934426229</v>
      </c>
      <c r="X153" s="24">
        <f>IFERROR(Table2[[#This Row],[Green Min]]/Table2[[#This Row],[ClassLength]],"")</f>
        <v>0.27868852459016391</v>
      </c>
      <c r="Y153" s="24">
        <f>IFERROR(Table2[[#This Row],[Orange Min]]/Table2[[#This Row],[ClassLength]],"")</f>
        <v>0.13114754098360656</v>
      </c>
      <c r="Z153" s="24">
        <f>IFERROR(Table2[[#This Row],[Red Min]]/Table2[[#This Row],[ClassLength]],"")</f>
        <v>6.5573770491803282E-2</v>
      </c>
      <c r="AA153" s="25">
        <v>232.14</v>
      </c>
      <c r="AB153" s="25">
        <f t="shared" si="52"/>
        <v>14.508749999999999</v>
      </c>
      <c r="AC153" s="26">
        <f t="shared" si="40"/>
        <v>612.625</v>
      </c>
      <c r="AD153" s="26">
        <f t="shared" si="41"/>
        <v>13.3125</v>
      </c>
      <c r="AE153">
        <f t="shared" si="42"/>
        <v>2021</v>
      </c>
      <c r="AG153">
        <v>12</v>
      </c>
      <c r="AH153" s="26">
        <f t="shared" si="43"/>
        <v>10.360655737704919</v>
      </c>
      <c r="AI153" t="str">
        <f t="shared" si="44"/>
        <v>PM</v>
      </c>
      <c r="AJ153" t="str">
        <f t="shared" si="45"/>
        <v>6-2021-2</v>
      </c>
      <c r="AK153">
        <f t="shared" si="46"/>
        <v>6</v>
      </c>
      <c r="AL153" s="26">
        <f>IFERROR(Table2[[#This Row],[Calories]]/Table2[[#This Row],[Splat]],"")</f>
        <v>52.666666666666664</v>
      </c>
      <c r="AM153">
        <f>COUNTIF(N$2:$N$938,N153)</f>
        <v>191</v>
      </c>
      <c r="AN153" t="str">
        <f>VLOOKUP(N153,'Helpful Tables'!A:D,4,FALSE)</f>
        <v>Washington, DC</v>
      </c>
      <c r="AO153" s="24">
        <f>COUNTIF(AN:AN,Table2[[#This Row],[State]])/COUNTA(AN:AN)</f>
        <v>0.54904051172707891</v>
      </c>
      <c r="AP153">
        <f>VLOOKUP(N153,'Helpful Tables'!A:B,2,FALSE)</f>
        <v>38.949649000000001</v>
      </c>
      <c r="AQ153">
        <f>VLOOKUP(N153,'Helpful Tables'!A:C,3,FALSE)</f>
        <v>-77.080878999999996</v>
      </c>
      <c r="AR153">
        <f>COUNTIF(P$2:$P$938,P153)</f>
        <v>20</v>
      </c>
      <c r="AS153" cm="1">
        <f t="array" ref="AS153">_xlfn.IFS(E153&lt;6,((E153/D153)*60)*0.5,AND(E153&gt;=6,E153&lt;9),((E153/D153)*60)*0.75,AND(E153&gt;=9,E153&lt;=11),((E153/D153)*60)*0.9,AND(E153=12),((E153/D153)*60)*1,AND(E153&gt;=13,E153&lt;=15),((E153/D153)*60)*1.2,AND(E153&gt;=16,E153&lt;=19),((E153/D153)*60)*1.5,E153&gt;=20,((E153/D153)*60)*1.8)</f>
        <v>11.803278688524589</v>
      </c>
      <c r="AT153" cm="1">
        <f t="array" ref="AT153">_xlfn.IFS(F153&lt;550,((F153/D153)*60)*0.5,AND(F153&gt;=550,F153&lt;575),((F153/D153)*60)*0.75,AND(F153&gt;=575,F153&lt;600),((F153/D153)*60)*0.9,AND(F153=600),((F153/D153)*60)*1,AND(F153&gt;=601,F153&lt;=625),((F153/D153)*60)*1.2,AND(F153&gt;=626,F153&lt;=650),((F153/D153)*60)*1.5,F153&gt;=651,((F153/D153)*60)*1.8)</f>
        <v>932.45901639344265</v>
      </c>
      <c r="AU153">
        <f t="shared" si="47"/>
        <v>-9.9999999999999645E-2</v>
      </c>
      <c r="AV153">
        <f t="shared" si="51"/>
        <v>377.68491803278692</v>
      </c>
      <c r="AW153">
        <f t="shared" si="48"/>
        <v>44.4</v>
      </c>
      <c r="AX153" t="str">
        <f t="shared" si="49"/>
        <v>Jun-2021</v>
      </c>
      <c r="AY153">
        <f>ROUNDUP(Table2[[#This Row],[Month]]/3,0)</f>
        <v>2</v>
      </c>
    </row>
    <row r="154" spans="1:51" x14ac:dyDescent="0.2">
      <c r="A154">
        <v>153</v>
      </c>
      <c r="B154">
        <f t="shared" si="36"/>
        <v>16</v>
      </c>
      <c r="C154" s="22">
        <v>44356</v>
      </c>
      <c r="D154">
        <f>SUM(Table2[[#This Row],[Gray Min]:[Red Min]])</f>
        <v>58</v>
      </c>
      <c r="E154">
        <v>23</v>
      </c>
      <c r="F154">
        <v>634</v>
      </c>
      <c r="G154">
        <v>127</v>
      </c>
      <c r="H154">
        <v>168</v>
      </c>
      <c r="I154">
        <v>14</v>
      </c>
      <c r="J154">
        <v>14</v>
      </c>
      <c r="K154">
        <v>7</v>
      </c>
      <c r="L154">
        <v>20</v>
      </c>
      <c r="M154">
        <v>3</v>
      </c>
      <c r="N154" t="s">
        <v>91</v>
      </c>
      <c r="O154" t="s">
        <v>39</v>
      </c>
      <c r="P154" t="s">
        <v>96</v>
      </c>
      <c r="Q154">
        <f t="shared" si="50"/>
        <v>1</v>
      </c>
      <c r="R154" t="str">
        <f t="shared" si="37"/>
        <v>6-2021</v>
      </c>
      <c r="S154" t="s">
        <v>99</v>
      </c>
      <c r="T154" t="str">
        <f t="shared" si="38"/>
        <v>Wednesday</v>
      </c>
      <c r="U154">
        <f t="shared" si="39"/>
        <v>1</v>
      </c>
      <c r="V154" s="24">
        <f>IFERROR(Table2[[#This Row],[Gray Min]]/Table2[[#This Row],[ClassLength]],"")</f>
        <v>0.2413793103448276</v>
      </c>
      <c r="W154" s="24">
        <f>IFERROR(Table2[[#This Row],[Blue Min]]/Table2[[#This Row],[ClassLength]],"")</f>
        <v>0.2413793103448276</v>
      </c>
      <c r="X154" s="24">
        <f>IFERROR(Table2[[#This Row],[Green Min]]/Table2[[#This Row],[ClassLength]],"")</f>
        <v>0.1206896551724138</v>
      </c>
      <c r="Y154" s="24">
        <f>IFERROR(Table2[[#This Row],[Orange Min]]/Table2[[#This Row],[ClassLength]],"")</f>
        <v>0.34482758620689657</v>
      </c>
      <c r="Z154" s="24">
        <f>IFERROR(Table2[[#This Row],[Red Min]]/Table2[[#This Row],[ClassLength]],"")</f>
        <v>5.1724137931034482E-2</v>
      </c>
      <c r="AA154" s="25">
        <v>232.14</v>
      </c>
      <c r="AB154" s="25">
        <f t="shared" si="52"/>
        <v>14.508749999999999</v>
      </c>
      <c r="AC154" s="26">
        <f t="shared" si="40"/>
        <v>612.625</v>
      </c>
      <c r="AD154" s="26">
        <f t="shared" si="41"/>
        <v>13.3125</v>
      </c>
      <c r="AE154">
        <f t="shared" si="42"/>
        <v>2021</v>
      </c>
      <c r="AG154">
        <v>12</v>
      </c>
      <c r="AH154" s="26">
        <f t="shared" si="43"/>
        <v>10.931034482758621</v>
      </c>
      <c r="AI154" t="str">
        <f t="shared" si="44"/>
        <v>PM</v>
      </c>
      <c r="AJ154" t="str">
        <f t="shared" si="45"/>
        <v>6-2021-2</v>
      </c>
      <c r="AK154">
        <f t="shared" si="46"/>
        <v>6</v>
      </c>
      <c r="AL154" s="26">
        <f>IFERROR(Table2[[#This Row],[Calories]]/Table2[[#This Row],[Splat]],"")</f>
        <v>27.565217391304348</v>
      </c>
      <c r="AM154">
        <f>COUNTIF(N$2:$N$938,N154)</f>
        <v>218</v>
      </c>
      <c r="AN154" t="str">
        <f>VLOOKUP(N154,'Helpful Tables'!A:D,4,FALSE)</f>
        <v>Washington, DC</v>
      </c>
      <c r="AO154" s="24">
        <f>COUNTIF(AN:AN,Table2[[#This Row],[State]])/COUNTA(AN:AN)</f>
        <v>0.54904051172707891</v>
      </c>
      <c r="AP154">
        <f>VLOOKUP(N154,'Helpful Tables'!A:B,2,FALSE)</f>
        <v>38.934710000000003</v>
      </c>
      <c r="AQ154">
        <f>VLOOKUP(N154,'Helpful Tables'!A:C,3,FALSE)</f>
        <v>-77.058222999999998</v>
      </c>
      <c r="AR154">
        <f>COUNTIF(P$2:$P$938,P154)</f>
        <v>71</v>
      </c>
      <c r="AS154" cm="1">
        <f t="array" ref="AS154">_xlfn.IFS(E154&lt;6,((E154/D154)*60)*0.5,AND(E154&gt;=6,E154&lt;9),((E154/D154)*60)*0.75,AND(E154&gt;=9,E154&lt;=11),((E154/D154)*60)*0.9,AND(E154=12),((E154/D154)*60)*1,AND(E154&gt;=13,E154&lt;=15),((E154/D154)*60)*1.2,AND(E154&gt;=16,E154&lt;=19),((E154/D154)*60)*1.5,E154&gt;=20,((E154/D154)*60)*1.8)</f>
        <v>42.827586206896555</v>
      </c>
      <c r="AT154" cm="1">
        <f t="array" ref="AT154">_xlfn.IFS(F154&lt;550,((F154/D154)*60)*0.5,AND(F154&gt;=550,F154&lt;575),((F154/D154)*60)*0.75,AND(F154&gt;=575,F154&lt;600),((F154/D154)*60)*0.9,AND(F154=600),((F154/D154)*60)*1,AND(F154&gt;=601,F154&lt;=625),((F154/D154)*60)*1.2,AND(F154&gt;=626,F154&lt;=650),((F154/D154)*60)*1.5,F154&gt;=651,((F154/D154)*60)*1.8)</f>
        <v>983.79310344827582</v>
      </c>
      <c r="AU154">
        <f t="shared" si="47"/>
        <v>6.6999999999999957</v>
      </c>
      <c r="AV154">
        <f t="shared" si="51"/>
        <v>411.98827586206897</v>
      </c>
      <c r="AW154">
        <f t="shared" si="48"/>
        <v>59</v>
      </c>
      <c r="AX154" t="str">
        <f t="shared" si="49"/>
        <v>Jun-2021</v>
      </c>
      <c r="AY154">
        <f>ROUNDUP(Table2[[#This Row],[Month]]/3,0)</f>
        <v>2</v>
      </c>
    </row>
    <row r="155" spans="1:51" x14ac:dyDescent="0.2">
      <c r="A155">
        <v>154</v>
      </c>
      <c r="B155">
        <f t="shared" si="36"/>
        <v>16</v>
      </c>
      <c r="C155" s="22">
        <v>44358</v>
      </c>
      <c r="D155">
        <f>SUM(Table2[[#This Row],[Gray Min]:[Red Min]])</f>
        <v>58</v>
      </c>
      <c r="E155">
        <v>7</v>
      </c>
      <c r="F155">
        <v>615</v>
      </c>
      <c r="G155">
        <v>124</v>
      </c>
      <c r="H155">
        <v>162</v>
      </c>
      <c r="I155">
        <v>10</v>
      </c>
      <c r="J155">
        <v>20</v>
      </c>
      <c r="K155">
        <v>21</v>
      </c>
      <c r="L155">
        <v>7</v>
      </c>
      <c r="M155">
        <v>0</v>
      </c>
      <c r="N155" t="s">
        <v>91</v>
      </c>
      <c r="O155" t="s">
        <v>84</v>
      </c>
      <c r="P155" t="s">
        <v>98</v>
      </c>
      <c r="Q155">
        <f t="shared" si="50"/>
        <v>2</v>
      </c>
      <c r="R155" t="str">
        <f t="shared" si="37"/>
        <v>6-2021</v>
      </c>
      <c r="S155" t="s">
        <v>105</v>
      </c>
      <c r="T155" t="str">
        <f t="shared" si="38"/>
        <v>Friday</v>
      </c>
      <c r="U155">
        <f t="shared" si="39"/>
        <v>0</v>
      </c>
      <c r="V155" s="24">
        <f>IFERROR(Table2[[#This Row],[Gray Min]]/Table2[[#This Row],[ClassLength]],"")</f>
        <v>0.17241379310344829</v>
      </c>
      <c r="W155" s="24">
        <f>IFERROR(Table2[[#This Row],[Blue Min]]/Table2[[#This Row],[ClassLength]],"")</f>
        <v>0.34482758620689657</v>
      </c>
      <c r="X155" s="24">
        <f>IFERROR(Table2[[#This Row],[Green Min]]/Table2[[#This Row],[ClassLength]],"")</f>
        <v>0.36206896551724138</v>
      </c>
      <c r="Y155" s="24">
        <f>IFERROR(Table2[[#This Row],[Orange Min]]/Table2[[#This Row],[ClassLength]],"")</f>
        <v>0.1206896551724138</v>
      </c>
      <c r="Z155" s="24">
        <f>IFERROR(Table2[[#This Row],[Red Min]]/Table2[[#This Row],[ClassLength]],"")</f>
        <v>0</v>
      </c>
      <c r="AA155" s="25">
        <v>232.14</v>
      </c>
      <c r="AB155" s="25">
        <f t="shared" si="52"/>
        <v>14.508749999999999</v>
      </c>
      <c r="AC155" s="26">
        <f t="shared" si="40"/>
        <v>612.625</v>
      </c>
      <c r="AD155" s="26">
        <f t="shared" si="41"/>
        <v>13.3125</v>
      </c>
      <c r="AE155">
        <f t="shared" si="42"/>
        <v>2021</v>
      </c>
      <c r="AG155">
        <v>12</v>
      </c>
      <c r="AH155" s="26">
        <f t="shared" si="43"/>
        <v>10.603448275862069</v>
      </c>
      <c r="AI155" t="str">
        <f t="shared" si="44"/>
        <v>AM</v>
      </c>
      <c r="AJ155" t="str">
        <f t="shared" si="45"/>
        <v>6-2021-2</v>
      </c>
      <c r="AK155">
        <f t="shared" si="46"/>
        <v>6</v>
      </c>
      <c r="AL155" s="26">
        <f>IFERROR(Table2[[#This Row],[Calories]]/Table2[[#This Row],[Splat]],"")</f>
        <v>87.857142857142861</v>
      </c>
      <c r="AM155">
        <f>COUNTIF(N$2:$N$938,N155)</f>
        <v>218</v>
      </c>
      <c r="AN155" t="str">
        <f>VLOOKUP(N155,'Helpful Tables'!A:D,4,FALSE)</f>
        <v>Washington, DC</v>
      </c>
      <c r="AO155" s="24">
        <f>COUNTIF(AN:AN,Table2[[#This Row],[State]])/COUNTA(AN:AN)</f>
        <v>0.54904051172707891</v>
      </c>
      <c r="AP155">
        <f>VLOOKUP(N155,'Helpful Tables'!A:B,2,FALSE)</f>
        <v>38.934710000000003</v>
      </c>
      <c r="AQ155">
        <f>VLOOKUP(N155,'Helpful Tables'!A:C,3,FALSE)</f>
        <v>-77.058222999999998</v>
      </c>
      <c r="AR155">
        <f>COUNTIF(P$2:$P$938,P155)</f>
        <v>28</v>
      </c>
      <c r="AS155" cm="1">
        <f t="array" ref="AS155">_xlfn.IFS(E155&lt;6,((E155/D155)*60)*0.5,AND(E155&gt;=6,E155&lt;9),((E155/D155)*60)*0.75,AND(E155&gt;=9,E155&lt;=11),((E155/D155)*60)*0.9,AND(E155=12),((E155/D155)*60)*1,AND(E155&gt;=13,E155&lt;=15),((E155/D155)*60)*1.2,AND(E155&gt;=16,E155&lt;=19),((E155/D155)*60)*1.5,E155&gt;=20,((E155/D155)*60)*1.8)</f>
        <v>5.431034482758621</v>
      </c>
      <c r="AT155" cm="1">
        <f t="array" ref="AT155">_xlfn.IFS(F155&lt;550,((F155/D155)*60)*0.5,AND(F155&gt;=550,F155&lt;575),((F155/D155)*60)*0.75,AND(F155&gt;=575,F155&lt;600),((F155/D155)*60)*0.9,AND(F155=600),((F155/D155)*60)*1,AND(F155&gt;=601,F155&lt;=625),((F155/D155)*60)*1.2,AND(F155&gt;=626,F155&lt;=650),((F155/D155)*60)*1.5,F155&gt;=651,((F155/D155)*60)*1.8)</f>
        <v>763.44827586206895</v>
      </c>
      <c r="AU155">
        <f t="shared" si="47"/>
        <v>0.29999999999999893</v>
      </c>
      <c r="AV155">
        <f t="shared" si="51"/>
        <v>307.61172413793105</v>
      </c>
      <c r="AW155">
        <f t="shared" si="48"/>
        <v>30</v>
      </c>
      <c r="AX155" t="str">
        <f t="shared" si="49"/>
        <v>Jun-2021</v>
      </c>
      <c r="AY155">
        <f>ROUNDUP(Table2[[#This Row],[Month]]/3,0)</f>
        <v>2</v>
      </c>
    </row>
    <row r="156" spans="1:51" x14ac:dyDescent="0.2">
      <c r="A156">
        <v>155</v>
      </c>
      <c r="B156">
        <f t="shared" si="36"/>
        <v>16</v>
      </c>
      <c r="C156" s="22">
        <v>44360</v>
      </c>
      <c r="D156">
        <f>SUM(Table2[[#This Row],[Gray Min]:[Red Min]])</f>
        <v>60</v>
      </c>
      <c r="E156">
        <v>19</v>
      </c>
      <c r="F156">
        <v>650</v>
      </c>
      <c r="G156">
        <v>126</v>
      </c>
      <c r="H156">
        <v>167</v>
      </c>
      <c r="I156">
        <v>18</v>
      </c>
      <c r="J156">
        <v>9</v>
      </c>
      <c r="K156">
        <v>14</v>
      </c>
      <c r="L156">
        <v>17</v>
      </c>
      <c r="M156">
        <v>2</v>
      </c>
      <c r="N156" t="s">
        <v>91</v>
      </c>
      <c r="O156" t="s">
        <v>81</v>
      </c>
      <c r="P156" t="s">
        <v>100</v>
      </c>
      <c r="Q156">
        <f t="shared" si="50"/>
        <v>2</v>
      </c>
      <c r="R156" t="str">
        <f t="shared" si="37"/>
        <v>6-2021</v>
      </c>
      <c r="S156" t="s">
        <v>104</v>
      </c>
      <c r="T156" t="str">
        <f t="shared" si="38"/>
        <v>Sunday</v>
      </c>
      <c r="U156">
        <f t="shared" si="39"/>
        <v>1</v>
      </c>
      <c r="V156" s="24">
        <f>IFERROR(Table2[[#This Row],[Gray Min]]/Table2[[#This Row],[ClassLength]],"")</f>
        <v>0.3</v>
      </c>
      <c r="W156" s="24">
        <f>IFERROR(Table2[[#This Row],[Blue Min]]/Table2[[#This Row],[ClassLength]],"")</f>
        <v>0.15</v>
      </c>
      <c r="X156" s="24">
        <f>IFERROR(Table2[[#This Row],[Green Min]]/Table2[[#This Row],[ClassLength]],"")</f>
        <v>0.23333333333333334</v>
      </c>
      <c r="Y156" s="24">
        <f>IFERROR(Table2[[#This Row],[Orange Min]]/Table2[[#This Row],[ClassLength]],"")</f>
        <v>0.28333333333333333</v>
      </c>
      <c r="Z156" s="24">
        <f>IFERROR(Table2[[#This Row],[Red Min]]/Table2[[#This Row],[ClassLength]],"")</f>
        <v>3.3333333333333333E-2</v>
      </c>
      <c r="AA156" s="25">
        <v>232.14</v>
      </c>
      <c r="AB156" s="25">
        <f t="shared" si="52"/>
        <v>14.508749999999999</v>
      </c>
      <c r="AC156" s="26">
        <f t="shared" si="40"/>
        <v>612.625</v>
      </c>
      <c r="AD156" s="26">
        <f t="shared" si="41"/>
        <v>13.3125</v>
      </c>
      <c r="AE156">
        <f t="shared" si="42"/>
        <v>2021</v>
      </c>
      <c r="AG156">
        <v>12</v>
      </c>
      <c r="AH156" s="26">
        <f t="shared" si="43"/>
        <v>10.833333333333334</v>
      </c>
      <c r="AI156" t="str">
        <f t="shared" si="44"/>
        <v>AM</v>
      </c>
      <c r="AJ156" t="str">
        <f t="shared" si="45"/>
        <v>6-2021-3</v>
      </c>
      <c r="AK156">
        <f t="shared" si="46"/>
        <v>6</v>
      </c>
      <c r="AL156" s="26">
        <f>IFERROR(Table2[[#This Row],[Calories]]/Table2[[#This Row],[Splat]],"")</f>
        <v>34.210526315789473</v>
      </c>
      <c r="AM156">
        <f>COUNTIF(N$2:$N$938,N156)</f>
        <v>218</v>
      </c>
      <c r="AN156" t="str">
        <f>VLOOKUP(N156,'Helpful Tables'!A:D,4,FALSE)</f>
        <v>Washington, DC</v>
      </c>
      <c r="AO156" s="24">
        <f>COUNTIF(AN:AN,Table2[[#This Row],[State]])/COUNTA(AN:AN)</f>
        <v>0.54904051172707891</v>
      </c>
      <c r="AP156">
        <f>VLOOKUP(N156,'Helpful Tables'!A:B,2,FALSE)</f>
        <v>38.934710000000003</v>
      </c>
      <c r="AQ156">
        <f>VLOOKUP(N156,'Helpful Tables'!A:C,3,FALSE)</f>
        <v>-77.058222999999998</v>
      </c>
      <c r="AR156">
        <f>COUNTIF(P$2:$P$938,P156)</f>
        <v>35</v>
      </c>
      <c r="AS156" cm="1">
        <f t="array" ref="AS156">_xlfn.IFS(E156&lt;6,((E156/D156)*60)*0.5,AND(E156&gt;=6,E156&lt;9),((E156/D156)*60)*0.75,AND(E156&gt;=9,E156&lt;=11),((E156/D156)*60)*0.9,AND(E156=12),((E156/D156)*60)*1,AND(E156&gt;=13,E156&lt;=15),((E156/D156)*60)*1.2,AND(E156&gt;=16,E156&lt;=19),((E156/D156)*60)*1.5,E156&gt;=20,((E156/D156)*60)*1.8)</f>
        <v>28.5</v>
      </c>
      <c r="AT156" cm="1">
        <f t="array" ref="AT156">_xlfn.IFS(F156&lt;550,((F156/D156)*60)*0.5,AND(F156&gt;=550,F156&lt;575),((F156/D156)*60)*0.75,AND(F156&gt;=575,F156&lt;600),((F156/D156)*60)*0.9,AND(F156=600),((F156/D156)*60)*1,AND(F156&gt;=601,F156&lt;=625),((F156/D156)*60)*1.2,AND(F156&gt;=626,F156&lt;=650),((F156/D156)*60)*1.5,F156&gt;=651,((F156/D156)*60)*1.8)</f>
        <v>975</v>
      </c>
      <c r="AU156">
        <f t="shared" si="47"/>
        <v>10.400000000000002</v>
      </c>
      <c r="AV156">
        <f t="shared" si="51"/>
        <v>403.47999999999996</v>
      </c>
      <c r="AW156">
        <f t="shared" si="48"/>
        <v>55.1</v>
      </c>
      <c r="AX156" t="str">
        <f t="shared" si="49"/>
        <v>Jun-2021</v>
      </c>
      <c r="AY156">
        <f>ROUNDUP(Table2[[#This Row],[Month]]/3,0)</f>
        <v>2</v>
      </c>
    </row>
    <row r="157" spans="1:51" x14ac:dyDescent="0.2">
      <c r="A157">
        <v>156</v>
      </c>
      <c r="B157">
        <f t="shared" si="36"/>
        <v>16</v>
      </c>
      <c r="C157" s="22">
        <v>44361</v>
      </c>
      <c r="D157">
        <f>SUM(Table2[[#This Row],[Gray Min]:[Red Min]])</f>
        <v>60</v>
      </c>
      <c r="E157">
        <v>14</v>
      </c>
      <c r="F157">
        <v>587</v>
      </c>
      <c r="G157">
        <v>119</v>
      </c>
      <c r="H157">
        <v>171</v>
      </c>
      <c r="I157">
        <v>24</v>
      </c>
      <c r="J157">
        <v>10</v>
      </c>
      <c r="K157">
        <v>12</v>
      </c>
      <c r="L157">
        <v>12</v>
      </c>
      <c r="M157">
        <v>2</v>
      </c>
      <c r="N157" t="s">
        <v>101</v>
      </c>
      <c r="O157" t="s">
        <v>103</v>
      </c>
      <c r="P157" t="s">
        <v>106</v>
      </c>
      <c r="Q157">
        <f t="shared" si="50"/>
        <v>1</v>
      </c>
      <c r="R157" t="str">
        <f t="shared" si="37"/>
        <v>6-2021</v>
      </c>
      <c r="S157" t="s">
        <v>104</v>
      </c>
      <c r="T157" t="str">
        <f t="shared" si="38"/>
        <v>Monday</v>
      </c>
      <c r="U157">
        <f t="shared" si="39"/>
        <v>1</v>
      </c>
      <c r="V157" s="24">
        <f>IFERROR(Table2[[#This Row],[Gray Min]]/Table2[[#This Row],[ClassLength]],"")</f>
        <v>0.4</v>
      </c>
      <c r="W157" s="24">
        <f>IFERROR(Table2[[#This Row],[Blue Min]]/Table2[[#This Row],[ClassLength]],"")</f>
        <v>0.16666666666666666</v>
      </c>
      <c r="X157" s="24">
        <f>IFERROR(Table2[[#This Row],[Green Min]]/Table2[[#This Row],[ClassLength]],"")</f>
        <v>0.2</v>
      </c>
      <c r="Y157" s="24">
        <f>IFERROR(Table2[[#This Row],[Orange Min]]/Table2[[#This Row],[ClassLength]],"")</f>
        <v>0.2</v>
      </c>
      <c r="Z157" s="24">
        <f>IFERROR(Table2[[#This Row],[Red Min]]/Table2[[#This Row],[ClassLength]],"")</f>
        <v>3.3333333333333333E-2</v>
      </c>
      <c r="AA157" s="25">
        <v>232.14</v>
      </c>
      <c r="AB157" s="25">
        <f t="shared" si="52"/>
        <v>14.508749999999999</v>
      </c>
      <c r="AC157" s="26">
        <f t="shared" si="40"/>
        <v>612.625</v>
      </c>
      <c r="AD157" s="26">
        <f t="shared" si="41"/>
        <v>13.3125</v>
      </c>
      <c r="AE157">
        <f t="shared" si="42"/>
        <v>2021</v>
      </c>
      <c r="AG157">
        <v>12</v>
      </c>
      <c r="AH157" s="26">
        <f t="shared" si="43"/>
        <v>9.7833333333333332</v>
      </c>
      <c r="AI157" t="str">
        <f t="shared" si="44"/>
        <v>PM</v>
      </c>
      <c r="AJ157" t="str">
        <f t="shared" si="45"/>
        <v>6-2021-3</v>
      </c>
      <c r="AK157">
        <f t="shared" si="46"/>
        <v>6</v>
      </c>
      <c r="AL157" s="26">
        <f>IFERROR(Table2[[#This Row],[Calories]]/Table2[[#This Row],[Splat]],"")</f>
        <v>41.928571428571431</v>
      </c>
      <c r="AM157">
        <f>COUNTIF(N$2:$N$938,N157)</f>
        <v>191</v>
      </c>
      <c r="AN157" t="str">
        <f>VLOOKUP(N157,'Helpful Tables'!A:D,4,FALSE)</f>
        <v>Washington, DC</v>
      </c>
      <c r="AO157" s="24">
        <f>COUNTIF(AN:AN,Table2[[#This Row],[State]])/COUNTA(AN:AN)</f>
        <v>0.54904051172707891</v>
      </c>
      <c r="AP157">
        <f>VLOOKUP(N157,'Helpful Tables'!A:B,2,FALSE)</f>
        <v>38.949649000000001</v>
      </c>
      <c r="AQ157">
        <f>VLOOKUP(N157,'Helpful Tables'!A:C,3,FALSE)</f>
        <v>-77.080878999999996</v>
      </c>
      <c r="AR157">
        <f>COUNTIF(P$2:$P$938,P157)</f>
        <v>1</v>
      </c>
      <c r="AS157" cm="1">
        <f t="array" ref="AS157">_xlfn.IFS(E157&lt;6,((E157/D157)*60)*0.5,AND(E157&gt;=6,E157&lt;9),((E157/D157)*60)*0.75,AND(E157&gt;=9,E157&lt;=11),((E157/D157)*60)*0.9,AND(E157=12),((E157/D157)*60)*1,AND(E157&gt;=13,E157&lt;=15),((E157/D157)*60)*1.2,AND(E157&gt;=16,E157&lt;=19),((E157/D157)*60)*1.5,E157&gt;=20,((E157/D157)*60)*1.8)</f>
        <v>16.8</v>
      </c>
      <c r="AT157" cm="1">
        <f t="array" ref="AT157">_xlfn.IFS(F157&lt;550,((F157/D157)*60)*0.5,AND(F157&gt;=550,F157&lt;575),((F157/D157)*60)*0.75,AND(F157&gt;=575,F157&lt;600),((F157/D157)*60)*0.9,AND(F157=600),((F157/D157)*60)*1,AND(F157&gt;=601,F157&lt;=625),((F157/D157)*60)*1.2,AND(F157&gt;=626,F157&lt;=650),((F157/D157)*60)*1.5,F157&gt;=651,((F157/D157)*60)*1.8)</f>
        <v>528.30000000000007</v>
      </c>
      <c r="AU157">
        <f t="shared" si="47"/>
        <v>-6.7999999999999972</v>
      </c>
      <c r="AV157">
        <f t="shared" si="51"/>
        <v>216.68000000000006</v>
      </c>
      <c r="AW157">
        <f t="shared" si="48"/>
        <v>15.6</v>
      </c>
      <c r="AX157" t="str">
        <f t="shared" si="49"/>
        <v>Jun-2021</v>
      </c>
      <c r="AY157">
        <f>ROUNDUP(Table2[[#This Row],[Month]]/3,0)</f>
        <v>2</v>
      </c>
    </row>
    <row r="158" spans="1:51" x14ac:dyDescent="0.2">
      <c r="A158">
        <v>157</v>
      </c>
      <c r="B158">
        <f t="shared" si="36"/>
        <v>16</v>
      </c>
      <c r="C158" s="22">
        <v>44363</v>
      </c>
      <c r="D158">
        <f>SUM(Table2[[#This Row],[Gray Min]:[Red Min]])</f>
        <v>58</v>
      </c>
      <c r="E158">
        <v>14</v>
      </c>
      <c r="F158">
        <v>653</v>
      </c>
      <c r="G158">
        <v>129</v>
      </c>
      <c r="H158">
        <v>166</v>
      </c>
      <c r="I158">
        <v>13</v>
      </c>
      <c r="J158">
        <v>10</v>
      </c>
      <c r="K158">
        <v>21</v>
      </c>
      <c r="L158">
        <v>13</v>
      </c>
      <c r="M158">
        <v>1</v>
      </c>
      <c r="N158" t="s">
        <v>91</v>
      </c>
      <c r="O158" t="s">
        <v>39</v>
      </c>
      <c r="P158" t="s">
        <v>96</v>
      </c>
      <c r="Q158">
        <f t="shared" si="50"/>
        <v>2</v>
      </c>
      <c r="R158" t="str">
        <f t="shared" si="37"/>
        <v>6-2021</v>
      </c>
      <c r="S158" t="s">
        <v>105</v>
      </c>
      <c r="T158" t="str">
        <f t="shared" si="38"/>
        <v>Wednesday</v>
      </c>
      <c r="U158">
        <f t="shared" si="39"/>
        <v>1</v>
      </c>
      <c r="V158" s="24">
        <f>IFERROR(Table2[[#This Row],[Gray Min]]/Table2[[#This Row],[ClassLength]],"")</f>
        <v>0.22413793103448276</v>
      </c>
      <c r="W158" s="24">
        <f>IFERROR(Table2[[#This Row],[Blue Min]]/Table2[[#This Row],[ClassLength]],"")</f>
        <v>0.17241379310344829</v>
      </c>
      <c r="X158" s="24">
        <f>IFERROR(Table2[[#This Row],[Green Min]]/Table2[[#This Row],[ClassLength]],"")</f>
        <v>0.36206896551724138</v>
      </c>
      <c r="Y158" s="24">
        <f>IFERROR(Table2[[#This Row],[Orange Min]]/Table2[[#This Row],[ClassLength]],"")</f>
        <v>0.22413793103448276</v>
      </c>
      <c r="Z158" s="24">
        <f>IFERROR(Table2[[#This Row],[Red Min]]/Table2[[#This Row],[ClassLength]],"")</f>
        <v>1.7241379310344827E-2</v>
      </c>
      <c r="AA158" s="25">
        <v>232.14</v>
      </c>
      <c r="AB158" s="25">
        <f t="shared" si="52"/>
        <v>14.508749999999999</v>
      </c>
      <c r="AC158" s="26">
        <f t="shared" si="40"/>
        <v>612.625</v>
      </c>
      <c r="AD158" s="26">
        <f t="shared" si="41"/>
        <v>13.3125</v>
      </c>
      <c r="AE158">
        <f t="shared" si="42"/>
        <v>2021</v>
      </c>
      <c r="AG158">
        <v>12</v>
      </c>
      <c r="AH158" s="26">
        <f t="shared" si="43"/>
        <v>11.258620689655173</v>
      </c>
      <c r="AI158" t="str">
        <f t="shared" si="44"/>
        <v>PM</v>
      </c>
      <c r="AJ158" t="str">
        <f t="shared" si="45"/>
        <v>6-2021-3</v>
      </c>
      <c r="AK158">
        <f t="shared" si="46"/>
        <v>6</v>
      </c>
      <c r="AL158" s="26">
        <f>IFERROR(Table2[[#This Row],[Calories]]/Table2[[#This Row],[Splat]],"")</f>
        <v>46.642857142857146</v>
      </c>
      <c r="AM158">
        <f>COUNTIF(N$2:$N$938,N158)</f>
        <v>218</v>
      </c>
      <c r="AN158" t="str">
        <f>VLOOKUP(N158,'Helpful Tables'!A:D,4,FALSE)</f>
        <v>Washington, DC</v>
      </c>
      <c r="AO158" s="24">
        <f>COUNTIF(AN:AN,Table2[[#This Row],[State]])/COUNTA(AN:AN)</f>
        <v>0.54904051172707891</v>
      </c>
      <c r="AP158">
        <f>VLOOKUP(N158,'Helpful Tables'!A:B,2,FALSE)</f>
        <v>38.934710000000003</v>
      </c>
      <c r="AQ158">
        <f>VLOOKUP(N158,'Helpful Tables'!A:C,3,FALSE)</f>
        <v>-77.058222999999998</v>
      </c>
      <c r="AR158">
        <f>COUNTIF(P$2:$P$938,P158)</f>
        <v>71</v>
      </c>
      <c r="AS158" cm="1">
        <f t="array" ref="AS158">_xlfn.IFS(E158&lt;6,((E158/D158)*60)*0.5,AND(E158&gt;=6,E158&lt;9),((E158/D158)*60)*0.75,AND(E158&gt;=9,E158&lt;=11),((E158/D158)*60)*0.9,AND(E158=12),((E158/D158)*60)*1,AND(E158&gt;=13,E158&lt;=15),((E158/D158)*60)*1.2,AND(E158&gt;=16,E158&lt;=19),((E158/D158)*60)*1.5,E158&gt;=20,((E158/D158)*60)*1.8)</f>
        <v>17.379310344827587</v>
      </c>
      <c r="AT158" cm="1">
        <f t="array" ref="AT158">_xlfn.IFS(F158&lt;550,((F158/D158)*60)*0.5,AND(F158&gt;=550,F158&lt;575),((F158/D158)*60)*0.75,AND(F158&gt;=575,F158&lt;600),((F158/D158)*60)*0.9,AND(F158=600),((F158/D158)*60)*1,AND(F158&gt;=601,F158&lt;=625),((F158/D158)*60)*1.2,AND(F158&gt;=626,F158&lt;=650),((F158/D158)*60)*1.5,F158&gt;=651,((F158/D158)*60)*1.8)</f>
        <v>1215.9310344827586</v>
      </c>
      <c r="AU158">
        <f t="shared" si="47"/>
        <v>17</v>
      </c>
      <c r="AV158">
        <f t="shared" si="51"/>
        <v>496.72413793103448</v>
      </c>
      <c r="AW158">
        <f t="shared" si="48"/>
        <v>76.7</v>
      </c>
      <c r="AX158" t="str">
        <f t="shared" si="49"/>
        <v>Jun-2021</v>
      </c>
      <c r="AY158">
        <f>ROUNDUP(Table2[[#This Row],[Month]]/3,0)</f>
        <v>2</v>
      </c>
    </row>
    <row r="159" spans="1:51" x14ac:dyDescent="0.2">
      <c r="A159">
        <v>158</v>
      </c>
      <c r="B159">
        <f t="shared" si="36"/>
        <v>16</v>
      </c>
      <c r="C159" s="22">
        <v>44365</v>
      </c>
      <c r="D159">
        <f>SUM(Table2[[#This Row],[Gray Min]:[Red Min]])</f>
        <v>64</v>
      </c>
      <c r="E159">
        <v>12</v>
      </c>
      <c r="F159">
        <v>541</v>
      </c>
      <c r="G159">
        <v>110</v>
      </c>
      <c r="H159">
        <v>164</v>
      </c>
      <c r="I159">
        <v>34</v>
      </c>
      <c r="J159">
        <v>8</v>
      </c>
      <c r="K159">
        <v>10</v>
      </c>
      <c r="L159">
        <v>10</v>
      </c>
      <c r="M159">
        <v>2</v>
      </c>
      <c r="N159" t="s">
        <v>101</v>
      </c>
      <c r="O159" t="s">
        <v>107</v>
      </c>
      <c r="P159" t="s">
        <v>102</v>
      </c>
      <c r="Q159">
        <f t="shared" si="50"/>
        <v>2</v>
      </c>
      <c r="R159" t="str">
        <f t="shared" si="37"/>
        <v>6-2021</v>
      </c>
      <c r="S159" t="s">
        <v>104</v>
      </c>
      <c r="T159" t="str">
        <f t="shared" si="38"/>
        <v>Friday</v>
      </c>
      <c r="U159">
        <f t="shared" si="39"/>
        <v>1</v>
      </c>
      <c r="V159" s="24">
        <f>IFERROR(Table2[[#This Row],[Gray Min]]/Table2[[#This Row],[ClassLength]],"")</f>
        <v>0.53125</v>
      </c>
      <c r="W159" s="24">
        <f>IFERROR(Table2[[#This Row],[Blue Min]]/Table2[[#This Row],[ClassLength]],"")</f>
        <v>0.125</v>
      </c>
      <c r="X159" s="24">
        <f>IFERROR(Table2[[#This Row],[Green Min]]/Table2[[#This Row],[ClassLength]],"")</f>
        <v>0.15625</v>
      </c>
      <c r="Y159" s="24">
        <f>IFERROR(Table2[[#This Row],[Orange Min]]/Table2[[#This Row],[ClassLength]],"")</f>
        <v>0.15625</v>
      </c>
      <c r="Z159" s="24">
        <f>IFERROR(Table2[[#This Row],[Red Min]]/Table2[[#This Row],[ClassLength]],"")</f>
        <v>3.125E-2</v>
      </c>
      <c r="AA159" s="25">
        <v>232.14</v>
      </c>
      <c r="AB159" s="25">
        <f t="shared" si="52"/>
        <v>14.508749999999999</v>
      </c>
      <c r="AC159" s="26">
        <f t="shared" si="40"/>
        <v>612.625</v>
      </c>
      <c r="AD159" s="26">
        <f t="shared" si="41"/>
        <v>13.3125</v>
      </c>
      <c r="AE159">
        <f t="shared" si="42"/>
        <v>2021</v>
      </c>
      <c r="AG159">
        <v>12</v>
      </c>
      <c r="AH159" s="26">
        <f t="shared" si="43"/>
        <v>8.453125</v>
      </c>
      <c r="AI159" t="str">
        <f t="shared" si="44"/>
        <v>AM</v>
      </c>
      <c r="AJ159" t="str">
        <f t="shared" si="45"/>
        <v>6-2021-3</v>
      </c>
      <c r="AK159">
        <f t="shared" si="46"/>
        <v>6</v>
      </c>
      <c r="AL159" s="26">
        <f>IFERROR(Table2[[#This Row],[Calories]]/Table2[[#This Row],[Splat]],"")</f>
        <v>45.083333333333336</v>
      </c>
      <c r="AM159">
        <f>COUNTIF(N$2:$N$938,N159)</f>
        <v>191</v>
      </c>
      <c r="AN159" t="str">
        <f>VLOOKUP(N159,'Helpful Tables'!A:D,4,FALSE)</f>
        <v>Washington, DC</v>
      </c>
      <c r="AO159" s="24">
        <f>COUNTIF(AN:AN,Table2[[#This Row],[State]])/COUNTA(AN:AN)</f>
        <v>0.54904051172707891</v>
      </c>
      <c r="AP159">
        <f>VLOOKUP(N159,'Helpful Tables'!A:B,2,FALSE)</f>
        <v>38.949649000000001</v>
      </c>
      <c r="AQ159">
        <f>VLOOKUP(N159,'Helpful Tables'!A:C,3,FALSE)</f>
        <v>-77.080878999999996</v>
      </c>
      <c r="AR159">
        <f>COUNTIF(P$2:$P$938,P159)</f>
        <v>20</v>
      </c>
      <c r="AS159" cm="1">
        <f t="array" ref="AS159">_xlfn.IFS(E159&lt;6,((E159/D159)*60)*0.5,AND(E159&gt;=6,E159&lt;9),((E159/D159)*60)*0.75,AND(E159&gt;=9,E159&lt;=11),((E159/D159)*60)*0.9,AND(E159=12),((E159/D159)*60)*1,AND(E159&gt;=13,E159&lt;=15),((E159/D159)*60)*1.2,AND(E159&gt;=16,E159&lt;=19),((E159/D159)*60)*1.5,E159&gt;=20,((E159/D159)*60)*1.8)</f>
        <v>11.25</v>
      </c>
      <c r="AT159" cm="1">
        <f t="array" ref="AT159">_xlfn.IFS(F159&lt;550,((F159/D159)*60)*0.5,AND(F159&gt;=550,F159&lt;575),((F159/D159)*60)*0.75,AND(F159&gt;=575,F159&lt;600),((F159/D159)*60)*0.9,AND(F159=600),((F159/D159)*60)*1,AND(F159&gt;=601,F159&lt;=625),((F159/D159)*60)*1.2,AND(F159&gt;=626,F159&lt;=650),((F159/D159)*60)*1.5,F159&gt;=651,((F159/D159)*60)*1.8)</f>
        <v>253.59375</v>
      </c>
      <c r="AU159">
        <f t="shared" si="47"/>
        <v>-21.599999999999994</v>
      </c>
      <c r="AV159">
        <f t="shared" si="51"/>
        <v>101.61750000000001</v>
      </c>
      <c r="AW159">
        <f t="shared" si="48"/>
        <v>1.2</v>
      </c>
      <c r="AX159" t="str">
        <f t="shared" si="49"/>
        <v>Jun-2021</v>
      </c>
      <c r="AY159">
        <f>ROUNDUP(Table2[[#This Row],[Month]]/3,0)</f>
        <v>2</v>
      </c>
    </row>
    <row r="160" spans="1:51" x14ac:dyDescent="0.2">
      <c r="A160">
        <v>159</v>
      </c>
      <c r="B160">
        <f t="shared" si="36"/>
        <v>16</v>
      </c>
      <c r="C160" s="22">
        <v>44366</v>
      </c>
      <c r="D160">
        <f>SUM(Table2[[#This Row],[Gray Min]:[Red Min]])</f>
        <v>58</v>
      </c>
      <c r="E160">
        <v>13</v>
      </c>
      <c r="F160">
        <v>655</v>
      </c>
      <c r="G160">
        <v>130</v>
      </c>
      <c r="H160">
        <v>167</v>
      </c>
      <c r="I160">
        <v>6</v>
      </c>
      <c r="J160">
        <v>18</v>
      </c>
      <c r="K160">
        <v>21</v>
      </c>
      <c r="L160">
        <v>12</v>
      </c>
      <c r="M160">
        <v>1</v>
      </c>
      <c r="N160" t="s">
        <v>91</v>
      </c>
      <c r="O160" t="s">
        <v>45</v>
      </c>
      <c r="P160" t="s">
        <v>108</v>
      </c>
      <c r="Q160">
        <f t="shared" si="50"/>
        <v>1</v>
      </c>
      <c r="R160" t="str">
        <f t="shared" si="37"/>
        <v>6-2021</v>
      </c>
      <c r="S160" t="s">
        <v>99</v>
      </c>
      <c r="T160" t="str">
        <f t="shared" si="38"/>
        <v>Saturday</v>
      </c>
      <c r="U160">
        <f t="shared" si="39"/>
        <v>1</v>
      </c>
      <c r="V160" s="24">
        <f>IFERROR(Table2[[#This Row],[Gray Min]]/Table2[[#This Row],[ClassLength]],"")</f>
        <v>0.10344827586206896</v>
      </c>
      <c r="W160" s="24">
        <f>IFERROR(Table2[[#This Row],[Blue Min]]/Table2[[#This Row],[ClassLength]],"")</f>
        <v>0.31034482758620691</v>
      </c>
      <c r="X160" s="24">
        <f>IFERROR(Table2[[#This Row],[Green Min]]/Table2[[#This Row],[ClassLength]],"")</f>
        <v>0.36206896551724138</v>
      </c>
      <c r="Y160" s="24">
        <f>IFERROR(Table2[[#This Row],[Orange Min]]/Table2[[#This Row],[ClassLength]],"")</f>
        <v>0.20689655172413793</v>
      </c>
      <c r="Z160" s="24">
        <f>IFERROR(Table2[[#This Row],[Red Min]]/Table2[[#This Row],[ClassLength]],"")</f>
        <v>1.7241379310344827E-2</v>
      </c>
      <c r="AA160" s="25">
        <v>232.14</v>
      </c>
      <c r="AB160" s="25">
        <f t="shared" si="52"/>
        <v>14.508749999999999</v>
      </c>
      <c r="AC160" s="26">
        <f t="shared" si="40"/>
        <v>612.625</v>
      </c>
      <c r="AD160" s="26">
        <f t="shared" si="41"/>
        <v>13.3125</v>
      </c>
      <c r="AE160">
        <f t="shared" si="42"/>
        <v>2021</v>
      </c>
      <c r="AG160">
        <v>12</v>
      </c>
      <c r="AH160" s="26">
        <f t="shared" si="43"/>
        <v>11.293103448275861</v>
      </c>
      <c r="AI160" t="str">
        <f t="shared" si="44"/>
        <v>AM</v>
      </c>
      <c r="AJ160" t="str">
        <f t="shared" si="45"/>
        <v>6-2021-3</v>
      </c>
      <c r="AK160">
        <f t="shared" si="46"/>
        <v>6</v>
      </c>
      <c r="AL160" s="26">
        <f>IFERROR(Table2[[#This Row],[Calories]]/Table2[[#This Row],[Splat]],"")</f>
        <v>50.384615384615387</v>
      </c>
      <c r="AM160">
        <f>COUNTIF(N$2:$N$938,N160)</f>
        <v>218</v>
      </c>
      <c r="AN160" t="str">
        <f>VLOOKUP(N160,'Helpful Tables'!A:D,4,FALSE)</f>
        <v>Washington, DC</v>
      </c>
      <c r="AO160" s="24">
        <f>COUNTIF(AN:AN,Table2[[#This Row],[State]])/COUNTA(AN:AN)</f>
        <v>0.54904051172707891</v>
      </c>
      <c r="AP160">
        <f>VLOOKUP(N160,'Helpful Tables'!A:B,2,FALSE)</f>
        <v>38.934710000000003</v>
      </c>
      <c r="AQ160">
        <f>VLOOKUP(N160,'Helpful Tables'!A:C,3,FALSE)</f>
        <v>-77.058222999999998</v>
      </c>
      <c r="AR160">
        <f>COUNTIF(P$2:$P$938,P160)</f>
        <v>3</v>
      </c>
      <c r="AS160" cm="1">
        <f t="array" ref="AS160">_xlfn.IFS(E160&lt;6,((E160/D160)*60)*0.5,AND(E160&gt;=6,E160&lt;9),((E160/D160)*60)*0.75,AND(E160&gt;=9,E160&lt;=11),((E160/D160)*60)*0.9,AND(E160=12),((E160/D160)*60)*1,AND(E160&gt;=13,E160&lt;=15),((E160/D160)*60)*1.2,AND(E160&gt;=16,E160&lt;=19),((E160/D160)*60)*1.5,E160&gt;=20,((E160/D160)*60)*1.8)</f>
        <v>16.137931034482758</v>
      </c>
      <c r="AT160" cm="1">
        <f t="array" ref="AT160">_xlfn.IFS(F160&lt;550,((F160/D160)*60)*0.5,AND(F160&gt;=550,F160&lt;575),((F160/D160)*60)*0.75,AND(F160&gt;=575,F160&lt;600),((F160/D160)*60)*0.9,AND(F160=600),((F160/D160)*60)*1,AND(F160&gt;=601,F160&lt;=625),((F160/D160)*60)*1.2,AND(F160&gt;=626,F160&lt;=650),((F160/D160)*60)*1.5,F160&gt;=651,((F160/D160)*60)*1.8)</f>
        <v>1219.655172413793</v>
      </c>
      <c r="AU160">
        <f t="shared" si="47"/>
        <v>15.3</v>
      </c>
      <c r="AV160">
        <f t="shared" si="51"/>
        <v>497.37724137931031</v>
      </c>
      <c r="AW160">
        <f t="shared" si="48"/>
        <v>77.400000000000006</v>
      </c>
      <c r="AX160" t="str">
        <f t="shared" si="49"/>
        <v>Jun-2021</v>
      </c>
      <c r="AY160">
        <f>ROUNDUP(Table2[[#This Row],[Month]]/3,0)</f>
        <v>2</v>
      </c>
    </row>
    <row r="161" spans="1:51" x14ac:dyDescent="0.2">
      <c r="A161">
        <v>160</v>
      </c>
      <c r="B161">
        <f t="shared" si="36"/>
        <v>16</v>
      </c>
      <c r="C161" s="22">
        <v>44368</v>
      </c>
      <c r="D161">
        <f>SUM(Table2[[#This Row],[Gray Min]:[Red Min]])</f>
        <v>57</v>
      </c>
      <c r="E161">
        <v>11</v>
      </c>
      <c r="F161">
        <v>611</v>
      </c>
      <c r="G161">
        <v>126</v>
      </c>
      <c r="H161">
        <v>168</v>
      </c>
      <c r="I161">
        <v>13</v>
      </c>
      <c r="J161">
        <v>14</v>
      </c>
      <c r="K161">
        <v>19</v>
      </c>
      <c r="L161">
        <v>10</v>
      </c>
      <c r="M161">
        <v>1</v>
      </c>
      <c r="N161" t="s">
        <v>91</v>
      </c>
      <c r="O161" t="s">
        <v>39</v>
      </c>
      <c r="P161" t="s">
        <v>94</v>
      </c>
      <c r="Q161">
        <f t="shared" si="50"/>
        <v>2</v>
      </c>
      <c r="R161" t="str">
        <f t="shared" si="37"/>
        <v>6-2021</v>
      </c>
      <c r="S161" t="s">
        <v>105</v>
      </c>
      <c r="T161" t="str">
        <f t="shared" si="38"/>
        <v>Monday</v>
      </c>
      <c r="U161">
        <f t="shared" si="39"/>
        <v>0</v>
      </c>
      <c r="V161" s="24">
        <f>IFERROR(Table2[[#This Row],[Gray Min]]/Table2[[#This Row],[ClassLength]],"")</f>
        <v>0.22807017543859648</v>
      </c>
      <c r="W161" s="24">
        <f>IFERROR(Table2[[#This Row],[Blue Min]]/Table2[[#This Row],[ClassLength]],"")</f>
        <v>0.24561403508771928</v>
      </c>
      <c r="X161" s="24">
        <f>IFERROR(Table2[[#This Row],[Green Min]]/Table2[[#This Row],[ClassLength]],"")</f>
        <v>0.33333333333333331</v>
      </c>
      <c r="Y161" s="24">
        <f>IFERROR(Table2[[#This Row],[Orange Min]]/Table2[[#This Row],[ClassLength]],"")</f>
        <v>0.17543859649122806</v>
      </c>
      <c r="Z161" s="24">
        <f>IFERROR(Table2[[#This Row],[Red Min]]/Table2[[#This Row],[ClassLength]],"")</f>
        <v>1.7543859649122806E-2</v>
      </c>
      <c r="AA161" s="25">
        <v>232.14</v>
      </c>
      <c r="AB161" s="25">
        <f t="shared" si="52"/>
        <v>14.508749999999999</v>
      </c>
      <c r="AC161" s="26">
        <f t="shared" si="40"/>
        <v>612.625</v>
      </c>
      <c r="AD161" s="26">
        <f t="shared" si="41"/>
        <v>13.3125</v>
      </c>
      <c r="AE161">
        <f t="shared" si="42"/>
        <v>2021</v>
      </c>
      <c r="AG161">
        <v>12</v>
      </c>
      <c r="AH161" s="26">
        <f t="shared" si="43"/>
        <v>10.719298245614034</v>
      </c>
      <c r="AI161" t="str">
        <f t="shared" si="44"/>
        <v>PM</v>
      </c>
      <c r="AJ161" t="str">
        <f t="shared" si="45"/>
        <v>6-2021-4</v>
      </c>
      <c r="AK161">
        <f t="shared" si="46"/>
        <v>6</v>
      </c>
      <c r="AL161" s="26">
        <f>IFERROR(Table2[[#This Row],[Calories]]/Table2[[#This Row],[Splat]],"")</f>
        <v>55.545454545454547</v>
      </c>
      <c r="AM161">
        <f>COUNTIF(N$2:$N$938,N161)</f>
        <v>218</v>
      </c>
      <c r="AN161" t="str">
        <f>VLOOKUP(N161,'Helpful Tables'!A:D,4,FALSE)</f>
        <v>Washington, DC</v>
      </c>
      <c r="AO161" s="24">
        <f>COUNTIF(AN:AN,Table2[[#This Row],[State]])/COUNTA(AN:AN)</f>
        <v>0.54904051172707891</v>
      </c>
      <c r="AP161">
        <f>VLOOKUP(N161,'Helpful Tables'!A:B,2,FALSE)</f>
        <v>38.934710000000003</v>
      </c>
      <c r="AQ161">
        <f>VLOOKUP(N161,'Helpful Tables'!A:C,3,FALSE)</f>
        <v>-77.058222999999998</v>
      </c>
      <c r="AR161">
        <f>COUNTIF(P$2:$P$938,P161)</f>
        <v>15</v>
      </c>
      <c r="AS161" cm="1">
        <f t="array" ref="AS161">_xlfn.IFS(E161&lt;6,((E161/D161)*60)*0.5,AND(E161&gt;=6,E161&lt;9),((E161/D161)*60)*0.75,AND(E161&gt;=9,E161&lt;=11),((E161/D161)*60)*0.9,AND(E161=12),((E161/D161)*60)*1,AND(E161&gt;=13,E161&lt;=15),((E161/D161)*60)*1.2,AND(E161&gt;=16,E161&lt;=19),((E161/D161)*60)*1.5,E161&gt;=20,((E161/D161)*60)*1.8)</f>
        <v>10.421052631578947</v>
      </c>
      <c r="AT161" cm="1">
        <f t="array" ref="AT161">_xlfn.IFS(F161&lt;550,((F161/D161)*60)*0.5,AND(F161&gt;=550,F161&lt;575),((F161/D161)*60)*0.75,AND(F161&gt;=575,F161&lt;600),((F161/D161)*60)*0.9,AND(F161=600),((F161/D161)*60)*1,AND(F161&gt;=601,F161&lt;=625),((F161/D161)*60)*1.2,AND(F161&gt;=626,F161&lt;=650),((F161/D161)*60)*1.5,F161&gt;=651,((F161/D161)*60)*1.8)</f>
        <v>771.78947368421052</v>
      </c>
      <c r="AU161">
        <f t="shared" si="47"/>
        <v>6.3000000000000007</v>
      </c>
      <c r="AV161">
        <f t="shared" si="51"/>
        <v>314.14421052631582</v>
      </c>
      <c r="AW161">
        <f t="shared" si="48"/>
        <v>33.1</v>
      </c>
      <c r="AX161" t="str">
        <f t="shared" si="49"/>
        <v>Jun-2021</v>
      </c>
      <c r="AY161">
        <f>ROUNDUP(Table2[[#This Row],[Month]]/3,0)</f>
        <v>2</v>
      </c>
    </row>
    <row r="162" spans="1:51" x14ac:dyDescent="0.2">
      <c r="A162">
        <v>161</v>
      </c>
      <c r="B162">
        <f t="shared" si="36"/>
        <v>16</v>
      </c>
      <c r="C162" s="22">
        <v>44369</v>
      </c>
      <c r="D162">
        <f>SUM(Table2[[#This Row],[Gray Min]:[Red Min]])</f>
        <v>56</v>
      </c>
      <c r="E162">
        <v>17</v>
      </c>
      <c r="F162">
        <v>528</v>
      </c>
      <c r="G162">
        <v>117</v>
      </c>
      <c r="H162">
        <v>170</v>
      </c>
      <c r="I162">
        <v>26</v>
      </c>
      <c r="J162">
        <v>8</v>
      </c>
      <c r="K162">
        <v>5</v>
      </c>
      <c r="L162">
        <v>14</v>
      </c>
      <c r="M162">
        <v>3</v>
      </c>
      <c r="N162" t="s">
        <v>101</v>
      </c>
      <c r="O162" t="s">
        <v>103</v>
      </c>
      <c r="P162" t="s">
        <v>109</v>
      </c>
      <c r="Q162">
        <f t="shared" si="50"/>
        <v>1</v>
      </c>
      <c r="R162" t="str">
        <f t="shared" si="37"/>
        <v>6-2021</v>
      </c>
      <c r="S162" t="s">
        <v>104</v>
      </c>
      <c r="T162" t="str">
        <f t="shared" si="38"/>
        <v>Tuesday</v>
      </c>
      <c r="U162">
        <f t="shared" si="39"/>
        <v>1</v>
      </c>
      <c r="V162" s="24">
        <f>IFERROR(Table2[[#This Row],[Gray Min]]/Table2[[#This Row],[ClassLength]],"")</f>
        <v>0.4642857142857143</v>
      </c>
      <c r="W162" s="24">
        <f>IFERROR(Table2[[#This Row],[Blue Min]]/Table2[[#This Row],[ClassLength]],"")</f>
        <v>0.14285714285714285</v>
      </c>
      <c r="X162" s="24">
        <f>IFERROR(Table2[[#This Row],[Green Min]]/Table2[[#This Row],[ClassLength]],"")</f>
        <v>8.9285714285714288E-2</v>
      </c>
      <c r="Y162" s="24">
        <f>IFERROR(Table2[[#This Row],[Orange Min]]/Table2[[#This Row],[ClassLength]],"")</f>
        <v>0.25</v>
      </c>
      <c r="Z162" s="24">
        <f>IFERROR(Table2[[#This Row],[Red Min]]/Table2[[#This Row],[ClassLength]],"")</f>
        <v>5.3571428571428568E-2</v>
      </c>
      <c r="AA162" s="25">
        <v>232.14</v>
      </c>
      <c r="AB162" s="25">
        <f t="shared" si="52"/>
        <v>14.508749999999999</v>
      </c>
      <c r="AC162" s="26">
        <f t="shared" si="40"/>
        <v>612.625</v>
      </c>
      <c r="AD162" s="26">
        <f t="shared" si="41"/>
        <v>13.3125</v>
      </c>
      <c r="AE162">
        <f t="shared" si="42"/>
        <v>2021</v>
      </c>
      <c r="AG162">
        <v>12</v>
      </c>
      <c r="AH162" s="26">
        <f t="shared" si="43"/>
        <v>9.4285714285714288</v>
      </c>
      <c r="AI162" t="str">
        <f t="shared" si="44"/>
        <v>PM</v>
      </c>
      <c r="AJ162" t="str">
        <f t="shared" si="45"/>
        <v>6-2021-4</v>
      </c>
      <c r="AK162">
        <f t="shared" si="46"/>
        <v>6</v>
      </c>
      <c r="AL162" s="26">
        <f>IFERROR(Table2[[#This Row],[Calories]]/Table2[[#This Row],[Splat]],"")</f>
        <v>31.058823529411764</v>
      </c>
      <c r="AM162">
        <f>COUNTIF(N$2:$N$938,N162)</f>
        <v>191</v>
      </c>
      <c r="AN162" t="str">
        <f>VLOOKUP(N162,'Helpful Tables'!A:D,4,FALSE)</f>
        <v>Washington, DC</v>
      </c>
      <c r="AO162" s="24">
        <f>COUNTIF(AN:AN,Table2[[#This Row],[State]])/COUNTA(AN:AN)</f>
        <v>0.54904051172707891</v>
      </c>
      <c r="AP162">
        <f>VLOOKUP(N162,'Helpful Tables'!A:B,2,FALSE)</f>
        <v>38.949649000000001</v>
      </c>
      <c r="AQ162">
        <f>VLOOKUP(N162,'Helpful Tables'!A:C,3,FALSE)</f>
        <v>-77.080878999999996</v>
      </c>
      <c r="AR162">
        <f>COUNTIF(P$2:$P$938,P162)</f>
        <v>66</v>
      </c>
      <c r="AS162" cm="1">
        <f t="array" ref="AS162">_xlfn.IFS(E162&lt;6,((E162/D162)*60)*0.5,AND(E162&gt;=6,E162&lt;9),((E162/D162)*60)*0.75,AND(E162&gt;=9,E162&lt;=11),((E162/D162)*60)*0.9,AND(E162=12),((E162/D162)*60)*1,AND(E162&gt;=13,E162&lt;=15),((E162/D162)*60)*1.2,AND(E162&gt;=16,E162&lt;=19),((E162/D162)*60)*1.5,E162&gt;=20,((E162/D162)*60)*1.8)</f>
        <v>27.321428571428569</v>
      </c>
      <c r="AT162" cm="1">
        <f t="array" ref="AT162">_xlfn.IFS(F162&lt;550,((F162/D162)*60)*0.5,AND(F162&gt;=550,F162&lt;575),((F162/D162)*60)*0.75,AND(F162&gt;=575,F162&lt;600),((F162/D162)*60)*0.9,AND(F162=600),((F162/D162)*60)*1,AND(F162&gt;=601,F162&lt;=625),((F162/D162)*60)*1.2,AND(F162&gt;=626,F162&lt;=650),((F162/D162)*60)*1.5,F162&gt;=651,((F162/D162)*60)*1.8)</f>
        <v>282.85714285714289</v>
      </c>
      <c r="AU162">
        <f t="shared" si="47"/>
        <v>-11.3</v>
      </c>
      <c r="AV162">
        <f t="shared" si="51"/>
        <v>121.81142857142859</v>
      </c>
      <c r="AW162">
        <f t="shared" si="48"/>
        <v>7.3</v>
      </c>
      <c r="AX162" t="str">
        <f t="shared" si="49"/>
        <v>Jun-2021</v>
      </c>
      <c r="AY162">
        <f>ROUNDUP(Table2[[#This Row],[Month]]/3,0)</f>
        <v>2</v>
      </c>
    </row>
    <row r="163" spans="1:51" x14ac:dyDescent="0.2">
      <c r="A163">
        <v>162</v>
      </c>
      <c r="B163">
        <f t="shared" si="36"/>
        <v>16</v>
      </c>
      <c r="C163" s="22">
        <v>44371</v>
      </c>
      <c r="D163">
        <f>SUM(Table2[[#This Row],[Gray Min]:[Red Min]])</f>
        <v>60</v>
      </c>
      <c r="E163">
        <v>11</v>
      </c>
      <c r="F163">
        <v>579</v>
      </c>
      <c r="G163">
        <v>119</v>
      </c>
      <c r="H163">
        <v>167</v>
      </c>
      <c r="I163">
        <v>24</v>
      </c>
      <c r="J163">
        <v>11</v>
      </c>
      <c r="K163">
        <v>14</v>
      </c>
      <c r="L163">
        <v>10</v>
      </c>
      <c r="M163">
        <v>1</v>
      </c>
      <c r="N163" t="s">
        <v>91</v>
      </c>
      <c r="O163" t="s">
        <v>110</v>
      </c>
      <c r="P163" t="s">
        <v>100</v>
      </c>
      <c r="Q163">
        <f t="shared" si="50"/>
        <v>2</v>
      </c>
      <c r="R163" t="str">
        <f t="shared" si="37"/>
        <v>6-2021</v>
      </c>
      <c r="S163" t="s">
        <v>105</v>
      </c>
      <c r="T163" t="str">
        <f t="shared" si="38"/>
        <v>Thursday</v>
      </c>
      <c r="U163">
        <f t="shared" si="39"/>
        <v>0</v>
      </c>
      <c r="V163" s="24">
        <f>IFERROR(Table2[[#This Row],[Gray Min]]/Table2[[#This Row],[ClassLength]],"")</f>
        <v>0.4</v>
      </c>
      <c r="W163" s="24">
        <f>IFERROR(Table2[[#This Row],[Blue Min]]/Table2[[#This Row],[ClassLength]],"")</f>
        <v>0.18333333333333332</v>
      </c>
      <c r="X163" s="24">
        <f>IFERROR(Table2[[#This Row],[Green Min]]/Table2[[#This Row],[ClassLength]],"")</f>
        <v>0.23333333333333334</v>
      </c>
      <c r="Y163" s="24">
        <f>IFERROR(Table2[[#This Row],[Orange Min]]/Table2[[#This Row],[ClassLength]],"")</f>
        <v>0.16666666666666666</v>
      </c>
      <c r="Z163" s="24">
        <f>IFERROR(Table2[[#This Row],[Red Min]]/Table2[[#This Row],[ClassLength]],"")</f>
        <v>1.6666666666666666E-2</v>
      </c>
      <c r="AA163" s="25">
        <v>232.14</v>
      </c>
      <c r="AB163" s="25">
        <f t="shared" si="52"/>
        <v>14.508749999999999</v>
      </c>
      <c r="AC163" s="26">
        <f t="shared" si="40"/>
        <v>612.625</v>
      </c>
      <c r="AD163" s="26">
        <f t="shared" si="41"/>
        <v>13.3125</v>
      </c>
      <c r="AE163">
        <f t="shared" si="42"/>
        <v>2021</v>
      </c>
      <c r="AG163">
        <v>12</v>
      </c>
      <c r="AH163" s="26">
        <f t="shared" si="43"/>
        <v>9.65</v>
      </c>
      <c r="AI163" t="str">
        <f t="shared" si="44"/>
        <v>AM</v>
      </c>
      <c r="AJ163" t="str">
        <f t="shared" si="45"/>
        <v>6-2021-4</v>
      </c>
      <c r="AK163">
        <f t="shared" si="46"/>
        <v>6</v>
      </c>
      <c r="AL163" s="26">
        <f>IFERROR(Table2[[#This Row],[Calories]]/Table2[[#This Row],[Splat]],"")</f>
        <v>52.636363636363633</v>
      </c>
      <c r="AM163">
        <f>COUNTIF(N$2:$N$938,N163)</f>
        <v>218</v>
      </c>
      <c r="AN163" t="str">
        <f>VLOOKUP(N163,'Helpful Tables'!A:D,4,FALSE)</f>
        <v>Washington, DC</v>
      </c>
      <c r="AO163" s="24">
        <f>COUNTIF(AN:AN,Table2[[#This Row],[State]])/COUNTA(AN:AN)</f>
        <v>0.54904051172707891</v>
      </c>
      <c r="AP163">
        <f>VLOOKUP(N163,'Helpful Tables'!A:B,2,FALSE)</f>
        <v>38.934710000000003</v>
      </c>
      <c r="AQ163">
        <f>VLOOKUP(N163,'Helpful Tables'!A:C,3,FALSE)</f>
        <v>-77.058222999999998</v>
      </c>
      <c r="AR163">
        <f>COUNTIF(P$2:$P$938,P163)</f>
        <v>35</v>
      </c>
      <c r="AS163" cm="1">
        <f t="array" ref="AS163">_xlfn.IFS(E163&lt;6,((E163/D163)*60)*0.5,AND(E163&gt;=6,E163&lt;9),((E163/D163)*60)*0.75,AND(E163&gt;=9,E163&lt;=11),((E163/D163)*60)*0.9,AND(E163=12),((E163/D163)*60)*1,AND(E163&gt;=13,E163&lt;=15),((E163/D163)*60)*1.2,AND(E163&gt;=16,E163&lt;=19),((E163/D163)*60)*1.5,E163&gt;=20,((E163/D163)*60)*1.8)</f>
        <v>9.9</v>
      </c>
      <c r="AT163" cm="1">
        <f t="array" ref="AT163">_xlfn.IFS(F163&lt;550,((F163/D163)*60)*0.5,AND(F163&gt;=550,F163&lt;575),((F163/D163)*60)*0.75,AND(F163&gt;=575,F163&lt;600),((F163/D163)*60)*0.9,AND(F163=600),((F163/D163)*60)*1,AND(F163&gt;=601,F163&lt;=625),((F163/D163)*60)*1.2,AND(F163&gt;=626,F163&lt;=650),((F163/D163)*60)*1.5,F163&gt;=651,((F163/D163)*60)*1.8)</f>
        <v>521.1</v>
      </c>
      <c r="AU163">
        <f t="shared" si="47"/>
        <v>-9.5999999999999979</v>
      </c>
      <c r="AV163">
        <f t="shared" si="51"/>
        <v>210.48000000000005</v>
      </c>
      <c r="AW163">
        <f t="shared" si="48"/>
        <v>14.000000000000002</v>
      </c>
      <c r="AX163" t="str">
        <f t="shared" si="49"/>
        <v>Jun-2021</v>
      </c>
      <c r="AY163">
        <f>ROUNDUP(Table2[[#This Row],[Month]]/3,0)</f>
        <v>2</v>
      </c>
    </row>
    <row r="164" spans="1:51" x14ac:dyDescent="0.2">
      <c r="A164">
        <v>163</v>
      </c>
      <c r="B164">
        <f t="shared" si="36"/>
        <v>16</v>
      </c>
      <c r="C164" s="22">
        <v>44374</v>
      </c>
      <c r="D164">
        <f>SUM(Table2[[#This Row],[Gray Min]:[Red Min]])</f>
        <v>57</v>
      </c>
      <c r="E164">
        <v>13</v>
      </c>
      <c r="F164">
        <v>614</v>
      </c>
      <c r="G164">
        <v>125</v>
      </c>
      <c r="H164">
        <v>171</v>
      </c>
      <c r="I164">
        <v>15</v>
      </c>
      <c r="J164">
        <v>15</v>
      </c>
      <c r="K164">
        <v>14</v>
      </c>
      <c r="L164">
        <v>9</v>
      </c>
      <c r="M164">
        <v>4</v>
      </c>
      <c r="N164" t="s">
        <v>111</v>
      </c>
      <c r="O164" t="s">
        <v>113</v>
      </c>
      <c r="P164" t="s">
        <v>112</v>
      </c>
      <c r="Q164">
        <f t="shared" si="50"/>
        <v>3</v>
      </c>
      <c r="R164" t="str">
        <f t="shared" si="37"/>
        <v>6-2021</v>
      </c>
      <c r="S164" t="s">
        <v>114</v>
      </c>
      <c r="T164" t="str">
        <f t="shared" si="38"/>
        <v>Sunday</v>
      </c>
      <c r="U164">
        <f t="shared" si="39"/>
        <v>1</v>
      </c>
      <c r="V164" s="24">
        <f>IFERROR(Table2[[#This Row],[Gray Min]]/Table2[[#This Row],[ClassLength]],"")</f>
        <v>0.26315789473684209</v>
      </c>
      <c r="W164" s="24">
        <f>IFERROR(Table2[[#This Row],[Blue Min]]/Table2[[#This Row],[ClassLength]],"")</f>
        <v>0.26315789473684209</v>
      </c>
      <c r="X164" s="24">
        <f>IFERROR(Table2[[#This Row],[Green Min]]/Table2[[#This Row],[ClassLength]],"")</f>
        <v>0.24561403508771928</v>
      </c>
      <c r="Y164" s="24">
        <f>IFERROR(Table2[[#This Row],[Orange Min]]/Table2[[#This Row],[ClassLength]],"")</f>
        <v>0.15789473684210525</v>
      </c>
      <c r="Z164" s="24">
        <f>IFERROR(Table2[[#This Row],[Red Min]]/Table2[[#This Row],[ClassLength]],"")</f>
        <v>7.0175438596491224E-2</v>
      </c>
      <c r="AA164" s="25">
        <v>232.14</v>
      </c>
      <c r="AB164" s="25">
        <f t="shared" si="52"/>
        <v>14.508749999999999</v>
      </c>
      <c r="AC164" s="26">
        <f t="shared" si="40"/>
        <v>612.625</v>
      </c>
      <c r="AD164" s="26">
        <f t="shared" si="41"/>
        <v>13.3125</v>
      </c>
      <c r="AE164">
        <f t="shared" si="42"/>
        <v>2021</v>
      </c>
      <c r="AG164">
        <v>12</v>
      </c>
      <c r="AH164" s="26">
        <f t="shared" si="43"/>
        <v>10.771929824561404</v>
      </c>
      <c r="AI164" t="str">
        <f t="shared" si="44"/>
        <v>AM</v>
      </c>
      <c r="AJ164" t="str">
        <f t="shared" si="45"/>
        <v>6-2021-5</v>
      </c>
      <c r="AK164">
        <f t="shared" si="46"/>
        <v>6</v>
      </c>
      <c r="AL164" s="26">
        <f>IFERROR(Table2[[#This Row],[Calories]]/Table2[[#This Row],[Splat]],"")</f>
        <v>47.230769230769234</v>
      </c>
      <c r="AM164">
        <f>COUNTIF(N$2:$N$938,N164)</f>
        <v>3</v>
      </c>
      <c r="AN164" t="str">
        <f>VLOOKUP(N164,'Helpful Tables'!A:D,4,FALSE)</f>
        <v>Massachusetts</v>
      </c>
      <c r="AO164" s="24">
        <f>COUNTIF(AN:AN,Table2[[#This Row],[State]])/COUNTA(AN:AN)</f>
        <v>1.7057569296375266E-2</v>
      </c>
      <c r="AP164">
        <f>VLOOKUP(N164,'Helpful Tables'!A:B,2,FALSE)</f>
        <v>42.383611000000002</v>
      </c>
      <c r="AQ164">
        <f>VLOOKUP(N164,'Helpful Tables'!A:C,3,FALSE)</f>
        <v>-71.181432999999998</v>
      </c>
      <c r="AR164">
        <f>COUNTIF(P$2:$P$938,P164)</f>
        <v>1</v>
      </c>
      <c r="AS164" cm="1">
        <f t="array" ref="AS164">_xlfn.IFS(E164&lt;6,((E164/D164)*60)*0.5,AND(E164&gt;=6,E164&lt;9),((E164/D164)*60)*0.75,AND(E164&gt;=9,E164&lt;=11),((E164/D164)*60)*0.9,AND(E164=12),((E164/D164)*60)*1,AND(E164&gt;=13,E164&lt;=15),((E164/D164)*60)*1.2,AND(E164&gt;=16,E164&lt;=19),((E164/D164)*60)*1.5,E164&gt;=20,((E164/D164)*60)*1.8)</f>
        <v>16.421052631578945</v>
      </c>
      <c r="AT164" cm="1">
        <f t="array" ref="AT164">_xlfn.IFS(F164&lt;550,((F164/D164)*60)*0.5,AND(F164&gt;=550,F164&lt;575),((F164/D164)*60)*0.75,AND(F164&gt;=575,F164&lt;600),((F164/D164)*60)*0.9,AND(F164=600),((F164/D164)*60)*1,AND(F164&gt;=601,F164&lt;=625),((F164/D164)*60)*1.2,AND(F164&gt;=626,F164&lt;=650),((F164/D164)*60)*1.5,F164&gt;=651,((F164/D164)*60)*1.8)</f>
        <v>775.57894736842115</v>
      </c>
      <c r="AU164">
        <f t="shared" si="47"/>
        <v>0</v>
      </c>
      <c r="AV164">
        <f t="shared" si="51"/>
        <v>316.80000000000007</v>
      </c>
      <c r="AW164">
        <f t="shared" si="48"/>
        <v>35.199999999999996</v>
      </c>
      <c r="AX164" t="str">
        <f t="shared" si="49"/>
        <v>Jun-2021</v>
      </c>
      <c r="AY164">
        <f>ROUNDUP(Table2[[#This Row],[Month]]/3,0)</f>
        <v>2</v>
      </c>
    </row>
    <row r="165" spans="1:51" x14ac:dyDescent="0.2">
      <c r="A165">
        <v>164</v>
      </c>
      <c r="B165">
        <f t="shared" si="36"/>
        <v>16</v>
      </c>
      <c r="C165" s="22">
        <v>44375</v>
      </c>
      <c r="D165">
        <f>SUM(Table2[[#This Row],[Gray Min]:[Red Min]])</f>
        <v>62</v>
      </c>
      <c r="E165">
        <v>13</v>
      </c>
      <c r="F165">
        <v>638</v>
      </c>
      <c r="G165">
        <v>122</v>
      </c>
      <c r="H165">
        <v>164</v>
      </c>
      <c r="I165">
        <v>23</v>
      </c>
      <c r="J165">
        <v>9</v>
      </c>
      <c r="K165">
        <v>17</v>
      </c>
      <c r="L165">
        <v>11</v>
      </c>
      <c r="M165">
        <v>2</v>
      </c>
      <c r="N165" t="s">
        <v>111</v>
      </c>
      <c r="O165" t="s">
        <v>113</v>
      </c>
      <c r="P165" t="s">
        <v>116</v>
      </c>
      <c r="Q165">
        <f t="shared" si="50"/>
        <v>1</v>
      </c>
      <c r="R165" t="str">
        <f t="shared" si="37"/>
        <v>6-2021</v>
      </c>
      <c r="S165" t="s">
        <v>117</v>
      </c>
      <c r="T165" t="str">
        <f t="shared" si="38"/>
        <v>Monday</v>
      </c>
      <c r="U165">
        <f t="shared" si="39"/>
        <v>1</v>
      </c>
      <c r="V165" s="24">
        <f>IFERROR(Table2[[#This Row],[Gray Min]]/Table2[[#This Row],[ClassLength]],"")</f>
        <v>0.37096774193548387</v>
      </c>
      <c r="W165" s="24">
        <f>IFERROR(Table2[[#This Row],[Blue Min]]/Table2[[#This Row],[ClassLength]],"")</f>
        <v>0.14516129032258066</v>
      </c>
      <c r="X165" s="24">
        <f>IFERROR(Table2[[#This Row],[Green Min]]/Table2[[#This Row],[ClassLength]],"")</f>
        <v>0.27419354838709675</v>
      </c>
      <c r="Y165" s="24">
        <f>IFERROR(Table2[[#This Row],[Orange Min]]/Table2[[#This Row],[ClassLength]],"")</f>
        <v>0.17741935483870969</v>
      </c>
      <c r="Z165" s="24">
        <f>IFERROR(Table2[[#This Row],[Red Min]]/Table2[[#This Row],[ClassLength]],"")</f>
        <v>3.2258064516129031E-2</v>
      </c>
      <c r="AA165" s="25">
        <v>232.14</v>
      </c>
      <c r="AB165" s="25">
        <f t="shared" si="52"/>
        <v>14.508749999999999</v>
      </c>
      <c r="AC165" s="26">
        <f t="shared" si="40"/>
        <v>612.625</v>
      </c>
      <c r="AD165" s="26">
        <f t="shared" si="41"/>
        <v>13.3125</v>
      </c>
      <c r="AE165">
        <f t="shared" si="42"/>
        <v>2021</v>
      </c>
      <c r="AG165">
        <v>12</v>
      </c>
      <c r="AH165" s="26">
        <f t="shared" si="43"/>
        <v>10.290322580645162</v>
      </c>
      <c r="AI165" t="str">
        <f t="shared" si="44"/>
        <v>AM</v>
      </c>
      <c r="AJ165" t="str">
        <f t="shared" si="45"/>
        <v>6-2021-5</v>
      </c>
      <c r="AK165">
        <f t="shared" si="46"/>
        <v>6</v>
      </c>
      <c r="AL165" s="26">
        <f>IFERROR(Table2[[#This Row],[Calories]]/Table2[[#This Row],[Splat]],"")</f>
        <v>49.07692307692308</v>
      </c>
      <c r="AM165">
        <f>COUNTIF(N$2:$N$938,N165)</f>
        <v>3</v>
      </c>
      <c r="AN165" t="str">
        <f>VLOOKUP(N165,'Helpful Tables'!A:D,4,FALSE)</f>
        <v>Massachusetts</v>
      </c>
      <c r="AO165" s="24">
        <f>COUNTIF(AN:AN,Table2[[#This Row],[State]])/COUNTA(AN:AN)</f>
        <v>1.7057569296375266E-2</v>
      </c>
      <c r="AP165">
        <f>VLOOKUP(N165,'Helpful Tables'!A:B,2,FALSE)</f>
        <v>42.383611000000002</v>
      </c>
      <c r="AQ165">
        <f>VLOOKUP(N165,'Helpful Tables'!A:C,3,FALSE)</f>
        <v>-71.181432999999998</v>
      </c>
      <c r="AR165">
        <f>COUNTIF(P$2:$P$938,P165)</f>
        <v>1</v>
      </c>
      <c r="AS165" cm="1">
        <f t="array" ref="AS165">_xlfn.IFS(E165&lt;6,((E165/D165)*60)*0.5,AND(E165&gt;=6,E165&lt;9),((E165/D165)*60)*0.75,AND(E165&gt;=9,E165&lt;=11),((E165/D165)*60)*0.9,AND(E165=12),((E165/D165)*60)*1,AND(E165&gt;=13,E165&lt;=15),((E165/D165)*60)*1.2,AND(E165&gt;=16,E165&lt;=19),((E165/D165)*60)*1.5,E165&gt;=20,((E165/D165)*60)*1.8)</f>
        <v>15.096774193548388</v>
      </c>
      <c r="AT165" cm="1">
        <f t="array" ref="AT165">_xlfn.IFS(F165&lt;550,((F165/D165)*60)*0.5,AND(F165&gt;=550,F165&lt;575),((F165/D165)*60)*0.75,AND(F165&gt;=575,F165&lt;600),((F165/D165)*60)*0.9,AND(F165=600),((F165/D165)*60)*1,AND(F165&gt;=601,F165&lt;=625),((F165/D165)*60)*1.2,AND(F165&gt;=626,F165&lt;=650),((F165/D165)*60)*1.5,F165&gt;=651,((F165/D165)*60)*1.8)</f>
        <v>926.12903225806463</v>
      </c>
      <c r="AU165">
        <f t="shared" si="47"/>
        <v>0.19999999999999929</v>
      </c>
      <c r="AV165">
        <f t="shared" si="51"/>
        <v>376.53032258064525</v>
      </c>
      <c r="AW165">
        <f t="shared" si="48"/>
        <v>44.1</v>
      </c>
      <c r="AX165" t="str">
        <f t="shared" si="49"/>
        <v>Jun-2021</v>
      </c>
      <c r="AY165">
        <f>ROUNDUP(Table2[[#This Row],[Month]]/3,0)</f>
        <v>2</v>
      </c>
    </row>
    <row r="166" spans="1:51" x14ac:dyDescent="0.2">
      <c r="A166">
        <v>165</v>
      </c>
      <c r="B166">
        <f t="shared" si="36"/>
        <v>17</v>
      </c>
      <c r="C166" s="22">
        <v>44378</v>
      </c>
      <c r="D166">
        <f>SUM(Table2[[#This Row],[Gray Min]:[Red Min]])</f>
        <v>61</v>
      </c>
      <c r="E166">
        <v>14</v>
      </c>
      <c r="F166">
        <v>659</v>
      </c>
      <c r="G166">
        <v>127</v>
      </c>
      <c r="H166">
        <v>166</v>
      </c>
      <c r="I166">
        <v>14</v>
      </c>
      <c r="J166">
        <v>9</v>
      </c>
      <c r="K166">
        <v>24</v>
      </c>
      <c r="L166">
        <v>13</v>
      </c>
      <c r="M166">
        <v>1</v>
      </c>
      <c r="N166" t="s">
        <v>91</v>
      </c>
      <c r="O166" t="s">
        <v>39</v>
      </c>
      <c r="P166" t="s">
        <v>97</v>
      </c>
      <c r="Q166">
        <f t="shared" si="50"/>
        <v>3</v>
      </c>
      <c r="R166" t="str">
        <f t="shared" si="37"/>
        <v>7-2021</v>
      </c>
      <c r="S166" t="s">
        <v>117</v>
      </c>
      <c r="T166" t="str">
        <f t="shared" si="38"/>
        <v>Thursday</v>
      </c>
      <c r="U166">
        <f t="shared" si="39"/>
        <v>1</v>
      </c>
      <c r="V166" s="24">
        <f>IFERROR(Table2[[#This Row],[Gray Min]]/Table2[[#This Row],[ClassLength]],"")</f>
        <v>0.22950819672131148</v>
      </c>
      <c r="W166" s="24">
        <f>IFERROR(Table2[[#This Row],[Blue Min]]/Table2[[#This Row],[ClassLength]],"")</f>
        <v>0.14754098360655737</v>
      </c>
      <c r="X166" s="24">
        <f>IFERROR(Table2[[#This Row],[Green Min]]/Table2[[#This Row],[ClassLength]],"")</f>
        <v>0.39344262295081966</v>
      </c>
      <c r="Y166" s="24">
        <f>IFERROR(Table2[[#This Row],[Orange Min]]/Table2[[#This Row],[ClassLength]],"")</f>
        <v>0.21311475409836064</v>
      </c>
      <c r="Z166" s="24">
        <f>IFERROR(Table2[[#This Row],[Red Min]]/Table2[[#This Row],[ClassLength]],"")</f>
        <v>1.6393442622950821E-2</v>
      </c>
      <c r="AA166" s="25">
        <v>232.14</v>
      </c>
      <c r="AB166" s="25">
        <f t="shared" si="52"/>
        <v>13.655294117647058</v>
      </c>
      <c r="AC166" s="26">
        <f t="shared" si="40"/>
        <v>600.11764705882354</v>
      </c>
      <c r="AD166" s="26">
        <f t="shared" si="41"/>
        <v>14.176470588235293</v>
      </c>
      <c r="AE166">
        <f t="shared" si="42"/>
        <v>2021</v>
      </c>
      <c r="AG166">
        <v>12</v>
      </c>
      <c r="AH166" s="26">
        <f t="shared" si="43"/>
        <v>10.803278688524591</v>
      </c>
      <c r="AI166" t="str">
        <f t="shared" si="44"/>
        <v>PM</v>
      </c>
      <c r="AJ166" t="str">
        <f t="shared" si="45"/>
        <v>7-2021-1</v>
      </c>
      <c r="AK166">
        <f t="shared" si="46"/>
        <v>7</v>
      </c>
      <c r="AL166" s="26">
        <f>IFERROR(Table2[[#This Row],[Calories]]/Table2[[#This Row],[Splat]],"")</f>
        <v>47.071428571428569</v>
      </c>
      <c r="AM166">
        <f>COUNTIF(N$2:$N$938,N166)</f>
        <v>218</v>
      </c>
      <c r="AN166" t="str">
        <f>VLOOKUP(N166,'Helpful Tables'!A:D,4,FALSE)</f>
        <v>Washington, DC</v>
      </c>
      <c r="AO166" s="24">
        <f>COUNTIF(AN:AN,Table2[[#This Row],[State]])/COUNTA(AN:AN)</f>
        <v>0.54904051172707891</v>
      </c>
      <c r="AP166">
        <f>VLOOKUP(N166,'Helpful Tables'!A:B,2,FALSE)</f>
        <v>38.934710000000003</v>
      </c>
      <c r="AQ166">
        <f>VLOOKUP(N166,'Helpful Tables'!A:C,3,FALSE)</f>
        <v>-77.058222999999998</v>
      </c>
      <c r="AR166">
        <f>COUNTIF(P$2:$P$938,P166)</f>
        <v>14</v>
      </c>
      <c r="AS166" cm="1">
        <f t="array" ref="AS166">_xlfn.IFS(E166&lt;6,((E166/D166)*60)*0.5,AND(E166&gt;=6,E166&lt;9),((E166/D166)*60)*0.75,AND(E166&gt;=9,E166&lt;=11),((E166/D166)*60)*0.9,AND(E166=12),((E166/D166)*60)*1,AND(E166&gt;=13,E166&lt;=15),((E166/D166)*60)*1.2,AND(E166&gt;=16,E166&lt;=19),((E166/D166)*60)*1.5,E166&gt;=20,((E166/D166)*60)*1.8)</f>
        <v>16.524590163934427</v>
      </c>
      <c r="AT166" cm="1">
        <f t="array" ref="AT166">_xlfn.IFS(F166&lt;550,((F166/D166)*60)*0.5,AND(F166&gt;=550,F166&lt;575),((F166/D166)*60)*0.75,AND(F166&gt;=575,F166&lt;600),((F166/D166)*60)*0.9,AND(F166=600),((F166/D166)*60)*1,AND(F166&gt;=601,F166&lt;=625),((F166/D166)*60)*1.2,AND(F166&gt;=626,F166&lt;=650),((F166/D166)*60)*1.5,F166&gt;=651,((F166/D166)*60)*1.8)</f>
        <v>1166.7540983606559</v>
      </c>
      <c r="AU166">
        <f t="shared" si="47"/>
        <v>20.499999999999996</v>
      </c>
      <c r="AV166">
        <f t="shared" si="51"/>
        <v>477.41147540983616</v>
      </c>
      <c r="AW166">
        <f t="shared" si="48"/>
        <v>69</v>
      </c>
      <c r="AX166" t="str">
        <f t="shared" si="49"/>
        <v>Jul-2021</v>
      </c>
      <c r="AY166">
        <f>ROUNDUP(Table2[[#This Row],[Month]]/3,0)</f>
        <v>3</v>
      </c>
    </row>
    <row r="167" spans="1:51" x14ac:dyDescent="0.2">
      <c r="A167">
        <v>166</v>
      </c>
      <c r="B167">
        <f t="shared" si="36"/>
        <v>17</v>
      </c>
      <c r="C167" s="22">
        <v>44379</v>
      </c>
      <c r="D167">
        <f>SUM(Table2[[#This Row],[Gray Min]:[Red Min]])</f>
        <v>61</v>
      </c>
      <c r="E167">
        <v>11</v>
      </c>
      <c r="F167">
        <v>620</v>
      </c>
      <c r="G167">
        <v>121</v>
      </c>
      <c r="H167">
        <v>170</v>
      </c>
      <c r="I167">
        <v>19</v>
      </c>
      <c r="J167">
        <v>15</v>
      </c>
      <c r="K167">
        <v>16</v>
      </c>
      <c r="L167">
        <v>9</v>
      </c>
      <c r="M167">
        <v>2</v>
      </c>
      <c r="N167" t="s">
        <v>91</v>
      </c>
      <c r="O167" t="s">
        <v>110</v>
      </c>
      <c r="P167" t="s">
        <v>97</v>
      </c>
      <c r="Q167">
        <f t="shared" si="50"/>
        <v>1</v>
      </c>
      <c r="R167" t="str">
        <f t="shared" si="37"/>
        <v>7-2021</v>
      </c>
      <c r="S167" t="s">
        <v>117</v>
      </c>
      <c r="T167" t="str">
        <f t="shared" si="38"/>
        <v>Friday</v>
      </c>
      <c r="U167">
        <f t="shared" si="39"/>
        <v>0</v>
      </c>
      <c r="V167" s="24">
        <f>IFERROR(Table2[[#This Row],[Gray Min]]/Table2[[#This Row],[ClassLength]],"")</f>
        <v>0.31147540983606559</v>
      </c>
      <c r="W167" s="24">
        <f>IFERROR(Table2[[#This Row],[Blue Min]]/Table2[[#This Row],[ClassLength]],"")</f>
        <v>0.24590163934426229</v>
      </c>
      <c r="X167" s="24">
        <f>IFERROR(Table2[[#This Row],[Green Min]]/Table2[[#This Row],[ClassLength]],"")</f>
        <v>0.26229508196721313</v>
      </c>
      <c r="Y167" s="24">
        <f>IFERROR(Table2[[#This Row],[Orange Min]]/Table2[[#This Row],[ClassLength]],"")</f>
        <v>0.14754098360655737</v>
      </c>
      <c r="Z167" s="24">
        <f>IFERROR(Table2[[#This Row],[Red Min]]/Table2[[#This Row],[ClassLength]],"")</f>
        <v>3.2786885245901641E-2</v>
      </c>
      <c r="AA167" s="25">
        <v>232.14</v>
      </c>
      <c r="AB167" s="25">
        <f t="shared" si="52"/>
        <v>13.655294117647058</v>
      </c>
      <c r="AC167" s="26">
        <f t="shared" si="40"/>
        <v>600.11764705882354</v>
      </c>
      <c r="AD167" s="26">
        <f t="shared" si="41"/>
        <v>14.176470588235293</v>
      </c>
      <c r="AE167">
        <f t="shared" si="42"/>
        <v>2021</v>
      </c>
      <c r="AG167">
        <v>12</v>
      </c>
      <c r="AH167" s="26">
        <f t="shared" si="43"/>
        <v>10.163934426229508</v>
      </c>
      <c r="AI167" t="str">
        <f t="shared" si="44"/>
        <v>AM</v>
      </c>
      <c r="AJ167" t="str">
        <f t="shared" si="45"/>
        <v>7-2021-1</v>
      </c>
      <c r="AK167">
        <f t="shared" si="46"/>
        <v>7</v>
      </c>
      <c r="AL167" s="26">
        <f>IFERROR(Table2[[#This Row],[Calories]]/Table2[[#This Row],[Splat]],"")</f>
        <v>56.363636363636367</v>
      </c>
      <c r="AM167">
        <f>COUNTIF(N$2:$N$938,N167)</f>
        <v>218</v>
      </c>
      <c r="AN167" t="str">
        <f>VLOOKUP(N167,'Helpful Tables'!A:D,4,FALSE)</f>
        <v>Washington, DC</v>
      </c>
      <c r="AO167" s="24">
        <f>COUNTIF(AN:AN,Table2[[#This Row],[State]])/COUNTA(AN:AN)</f>
        <v>0.54904051172707891</v>
      </c>
      <c r="AP167">
        <f>VLOOKUP(N167,'Helpful Tables'!A:B,2,FALSE)</f>
        <v>38.934710000000003</v>
      </c>
      <c r="AQ167">
        <f>VLOOKUP(N167,'Helpful Tables'!A:C,3,FALSE)</f>
        <v>-77.058222999999998</v>
      </c>
      <c r="AR167">
        <f>COUNTIF(P$2:$P$938,P167)</f>
        <v>14</v>
      </c>
      <c r="AS167" cm="1">
        <f t="array" ref="AS167">_xlfn.IFS(E167&lt;6,((E167/D167)*60)*0.5,AND(E167&gt;=6,E167&lt;9),((E167/D167)*60)*0.75,AND(E167&gt;=9,E167&lt;=11),((E167/D167)*60)*0.9,AND(E167=12),((E167/D167)*60)*1,AND(E167&gt;=13,E167&lt;=15),((E167/D167)*60)*1.2,AND(E167&gt;=16,E167&lt;=19),((E167/D167)*60)*1.5,E167&gt;=20,((E167/D167)*60)*1.8)</f>
        <v>9.7377049180327884</v>
      </c>
      <c r="AT167" cm="1">
        <f t="array" ref="AT167">_xlfn.IFS(F167&lt;550,((F167/D167)*60)*0.5,AND(F167&gt;=550,F167&lt;575),((F167/D167)*60)*0.75,AND(F167&gt;=575,F167&lt;600),((F167/D167)*60)*0.9,AND(F167=600),((F167/D167)*60)*1,AND(F167&gt;=601,F167&lt;=625),((F167/D167)*60)*1.2,AND(F167&gt;=626,F167&lt;=650),((F167/D167)*60)*1.5,F167&gt;=651,((F167/D167)*60)*1.8)</f>
        <v>731.80327868852453</v>
      </c>
      <c r="AU167">
        <f t="shared" si="47"/>
        <v>-5.3999999999999968</v>
      </c>
      <c r="AV167">
        <f t="shared" si="51"/>
        <v>295.53639344262297</v>
      </c>
      <c r="AW167">
        <f t="shared" si="48"/>
        <v>25.7</v>
      </c>
      <c r="AX167" t="str">
        <f t="shared" si="49"/>
        <v>Jul-2021</v>
      </c>
      <c r="AY167">
        <f>ROUNDUP(Table2[[#This Row],[Month]]/3,0)</f>
        <v>3</v>
      </c>
    </row>
    <row r="168" spans="1:51" x14ac:dyDescent="0.2">
      <c r="A168">
        <v>167</v>
      </c>
      <c r="B168">
        <f t="shared" si="36"/>
        <v>17</v>
      </c>
      <c r="C168" s="22">
        <v>44381</v>
      </c>
      <c r="D168">
        <f>SUM(Table2[[#This Row],[Gray Min]:[Red Min]])</f>
        <v>58</v>
      </c>
      <c r="E168">
        <v>15</v>
      </c>
      <c r="F168">
        <v>600</v>
      </c>
      <c r="G168">
        <v>122</v>
      </c>
      <c r="H168">
        <v>168</v>
      </c>
      <c r="I168">
        <v>23</v>
      </c>
      <c r="J168">
        <v>9</v>
      </c>
      <c r="K168">
        <v>11</v>
      </c>
      <c r="L168">
        <v>12</v>
      </c>
      <c r="M168">
        <v>3</v>
      </c>
      <c r="N168" t="s">
        <v>91</v>
      </c>
      <c r="O168" t="s">
        <v>45</v>
      </c>
      <c r="P168" t="s">
        <v>100</v>
      </c>
      <c r="Q168">
        <f t="shared" si="50"/>
        <v>2</v>
      </c>
      <c r="R168" t="str">
        <f t="shared" si="37"/>
        <v>7-2021</v>
      </c>
      <c r="S168" t="s">
        <v>104</v>
      </c>
      <c r="T168" t="str">
        <f t="shared" si="38"/>
        <v>Sunday</v>
      </c>
      <c r="U168">
        <f t="shared" si="39"/>
        <v>1</v>
      </c>
      <c r="V168" s="24">
        <f>IFERROR(Table2[[#This Row],[Gray Min]]/Table2[[#This Row],[ClassLength]],"")</f>
        <v>0.39655172413793105</v>
      </c>
      <c r="W168" s="24">
        <f>IFERROR(Table2[[#This Row],[Blue Min]]/Table2[[#This Row],[ClassLength]],"")</f>
        <v>0.15517241379310345</v>
      </c>
      <c r="X168" s="24">
        <f>IFERROR(Table2[[#This Row],[Green Min]]/Table2[[#This Row],[ClassLength]],"")</f>
        <v>0.18965517241379309</v>
      </c>
      <c r="Y168" s="24">
        <f>IFERROR(Table2[[#This Row],[Orange Min]]/Table2[[#This Row],[ClassLength]],"")</f>
        <v>0.20689655172413793</v>
      </c>
      <c r="Z168" s="24">
        <f>IFERROR(Table2[[#This Row],[Red Min]]/Table2[[#This Row],[ClassLength]],"")</f>
        <v>5.1724137931034482E-2</v>
      </c>
      <c r="AA168" s="25">
        <v>232.14</v>
      </c>
      <c r="AB168" s="25">
        <f t="shared" si="52"/>
        <v>13.655294117647058</v>
      </c>
      <c r="AC168" s="26">
        <f t="shared" si="40"/>
        <v>600.11764705882354</v>
      </c>
      <c r="AD168" s="26">
        <f t="shared" si="41"/>
        <v>14.176470588235293</v>
      </c>
      <c r="AE168">
        <f t="shared" si="42"/>
        <v>2021</v>
      </c>
      <c r="AG168">
        <v>12</v>
      </c>
      <c r="AH168" s="26">
        <f t="shared" si="43"/>
        <v>10.344827586206897</v>
      </c>
      <c r="AI168" t="str">
        <f t="shared" si="44"/>
        <v>AM</v>
      </c>
      <c r="AJ168" t="str">
        <f t="shared" si="45"/>
        <v>7-2021-2</v>
      </c>
      <c r="AK168">
        <f t="shared" si="46"/>
        <v>7</v>
      </c>
      <c r="AL168" s="26">
        <f>IFERROR(Table2[[#This Row],[Calories]]/Table2[[#This Row],[Splat]],"")</f>
        <v>40</v>
      </c>
      <c r="AM168">
        <f>COUNTIF(N$2:$N$938,N168)</f>
        <v>218</v>
      </c>
      <c r="AN168" t="str">
        <f>VLOOKUP(N168,'Helpful Tables'!A:D,4,FALSE)</f>
        <v>Washington, DC</v>
      </c>
      <c r="AO168" s="24">
        <f>COUNTIF(AN:AN,Table2[[#This Row],[State]])/COUNTA(AN:AN)</f>
        <v>0.54904051172707891</v>
      </c>
      <c r="AP168">
        <f>VLOOKUP(N168,'Helpful Tables'!A:B,2,FALSE)</f>
        <v>38.934710000000003</v>
      </c>
      <c r="AQ168">
        <f>VLOOKUP(N168,'Helpful Tables'!A:C,3,FALSE)</f>
        <v>-77.058222999999998</v>
      </c>
      <c r="AR168">
        <f>COUNTIF(P$2:$P$938,P168)</f>
        <v>35</v>
      </c>
      <c r="AS168" cm="1">
        <f t="array" ref="AS168">_xlfn.IFS(E168&lt;6,((E168/D168)*60)*0.5,AND(E168&gt;=6,E168&lt;9),((E168/D168)*60)*0.75,AND(E168&gt;=9,E168&lt;=11),((E168/D168)*60)*0.9,AND(E168=12),((E168/D168)*60)*1,AND(E168&gt;=13,E168&lt;=15),((E168/D168)*60)*1.2,AND(E168&gt;=16,E168&lt;=19),((E168/D168)*60)*1.5,E168&gt;=20,((E168/D168)*60)*1.8)</f>
        <v>18.620689655172413</v>
      </c>
      <c r="AT168" cm="1">
        <f t="array" ref="AT168">_xlfn.IFS(F168&lt;550,((F168/D168)*60)*0.5,AND(F168&gt;=550,F168&lt;575),((F168/D168)*60)*0.75,AND(F168&gt;=575,F168&lt;600),((F168/D168)*60)*0.9,AND(F168=600),((F168/D168)*60)*1,AND(F168&gt;=601,F168&lt;=625),((F168/D168)*60)*1.2,AND(F168&gt;=626,F168&lt;=650),((F168/D168)*60)*1.5,F168&gt;=651,((F168/D168)*60)*1.8)</f>
        <v>620.68965517241384</v>
      </c>
      <c r="AU168">
        <f t="shared" si="47"/>
        <v>-4.1999999999999993</v>
      </c>
      <c r="AV168">
        <f t="shared" si="51"/>
        <v>254.8841379310345</v>
      </c>
      <c r="AW168">
        <f t="shared" si="48"/>
        <v>23.200000000000003</v>
      </c>
      <c r="AX168" t="str">
        <f t="shared" si="49"/>
        <v>Jul-2021</v>
      </c>
      <c r="AY168">
        <f>ROUNDUP(Table2[[#This Row],[Month]]/3,0)</f>
        <v>3</v>
      </c>
    </row>
    <row r="169" spans="1:51" x14ac:dyDescent="0.2">
      <c r="A169">
        <v>168</v>
      </c>
      <c r="B169">
        <f t="shared" si="36"/>
        <v>17</v>
      </c>
      <c r="C169" s="22">
        <v>44383</v>
      </c>
      <c r="D169">
        <f>SUM(Table2[[#This Row],[Gray Min]:[Red Min]])</f>
        <v>59</v>
      </c>
      <c r="E169">
        <v>15</v>
      </c>
      <c r="F169">
        <v>597</v>
      </c>
      <c r="G169">
        <v>120</v>
      </c>
      <c r="H169">
        <v>175</v>
      </c>
      <c r="I169">
        <v>22</v>
      </c>
      <c r="J169">
        <v>9</v>
      </c>
      <c r="K169">
        <v>13</v>
      </c>
      <c r="L169">
        <v>13</v>
      </c>
      <c r="M169">
        <v>2</v>
      </c>
      <c r="N169" t="s">
        <v>101</v>
      </c>
      <c r="O169" t="s">
        <v>39</v>
      </c>
      <c r="P169" t="s">
        <v>102</v>
      </c>
      <c r="Q169">
        <f t="shared" si="50"/>
        <v>2</v>
      </c>
      <c r="R169" t="str">
        <f t="shared" si="37"/>
        <v>7-2021</v>
      </c>
      <c r="S169" t="s">
        <v>104</v>
      </c>
      <c r="T169" t="str">
        <f t="shared" si="38"/>
        <v>Tuesday</v>
      </c>
      <c r="U169">
        <f t="shared" si="39"/>
        <v>1</v>
      </c>
      <c r="V169" s="24">
        <f>IFERROR(Table2[[#This Row],[Gray Min]]/Table2[[#This Row],[ClassLength]],"")</f>
        <v>0.3728813559322034</v>
      </c>
      <c r="W169" s="24">
        <f>IFERROR(Table2[[#This Row],[Blue Min]]/Table2[[#This Row],[ClassLength]],"")</f>
        <v>0.15254237288135594</v>
      </c>
      <c r="X169" s="24">
        <f>IFERROR(Table2[[#This Row],[Green Min]]/Table2[[#This Row],[ClassLength]],"")</f>
        <v>0.22033898305084745</v>
      </c>
      <c r="Y169" s="24">
        <f>IFERROR(Table2[[#This Row],[Orange Min]]/Table2[[#This Row],[ClassLength]],"")</f>
        <v>0.22033898305084745</v>
      </c>
      <c r="Z169" s="24">
        <f>IFERROR(Table2[[#This Row],[Red Min]]/Table2[[#This Row],[ClassLength]],"")</f>
        <v>3.3898305084745763E-2</v>
      </c>
      <c r="AA169" s="25">
        <v>232.14</v>
      </c>
      <c r="AB169" s="25">
        <f t="shared" si="52"/>
        <v>13.655294117647058</v>
      </c>
      <c r="AC169" s="26">
        <f t="shared" si="40"/>
        <v>600.11764705882354</v>
      </c>
      <c r="AD169" s="26">
        <f t="shared" si="41"/>
        <v>14.176470588235293</v>
      </c>
      <c r="AE169">
        <f t="shared" si="42"/>
        <v>2021</v>
      </c>
      <c r="AG169">
        <v>12</v>
      </c>
      <c r="AH169" s="26">
        <f t="shared" si="43"/>
        <v>10.118644067796611</v>
      </c>
      <c r="AI169" t="str">
        <f t="shared" si="44"/>
        <v>PM</v>
      </c>
      <c r="AJ169" t="str">
        <f t="shared" si="45"/>
        <v>7-2021-2</v>
      </c>
      <c r="AK169">
        <f t="shared" si="46"/>
        <v>7</v>
      </c>
      <c r="AL169" s="26">
        <f>IFERROR(Table2[[#This Row],[Calories]]/Table2[[#This Row],[Splat]],"")</f>
        <v>39.799999999999997</v>
      </c>
      <c r="AM169">
        <f>COUNTIF(N$2:$N$938,N169)</f>
        <v>191</v>
      </c>
      <c r="AN169" t="str">
        <f>VLOOKUP(N169,'Helpful Tables'!A:D,4,FALSE)</f>
        <v>Washington, DC</v>
      </c>
      <c r="AO169" s="24">
        <f>COUNTIF(AN:AN,Table2[[#This Row],[State]])/COUNTA(AN:AN)</f>
        <v>0.54904051172707891</v>
      </c>
      <c r="AP169">
        <f>VLOOKUP(N169,'Helpful Tables'!A:B,2,FALSE)</f>
        <v>38.949649000000001</v>
      </c>
      <c r="AQ169">
        <f>VLOOKUP(N169,'Helpful Tables'!A:C,3,FALSE)</f>
        <v>-77.080878999999996</v>
      </c>
      <c r="AR169">
        <f>COUNTIF(P$2:$P$938,P169)</f>
        <v>20</v>
      </c>
      <c r="AS169" cm="1">
        <f t="array" ref="AS169">_xlfn.IFS(E169&lt;6,((E169/D169)*60)*0.5,AND(E169&gt;=6,E169&lt;9),((E169/D169)*60)*0.75,AND(E169&gt;=9,E169&lt;=11),((E169/D169)*60)*0.9,AND(E169=12),((E169/D169)*60)*1,AND(E169&gt;=13,E169&lt;=15),((E169/D169)*60)*1.2,AND(E169&gt;=16,E169&lt;=19),((E169/D169)*60)*1.5,E169&gt;=20,((E169/D169)*60)*1.8)</f>
        <v>18.305084745762709</v>
      </c>
      <c r="AT169" cm="1">
        <f t="array" ref="AT169">_xlfn.IFS(F169&lt;550,((F169/D169)*60)*0.5,AND(F169&gt;=550,F169&lt;575),((F169/D169)*60)*0.75,AND(F169&gt;=575,F169&lt;600),((F169/D169)*60)*0.9,AND(F169=600),((F169/D169)*60)*1,AND(F169&gt;=601,F169&lt;=625),((F169/D169)*60)*1.2,AND(F169&gt;=626,F169&lt;=650),((F169/D169)*60)*1.5,F169&gt;=651,((F169/D169)*60)*1.8)</f>
        <v>546.40677966101691</v>
      </c>
      <c r="AU169">
        <f t="shared" si="47"/>
        <v>-0.79999999999999361</v>
      </c>
      <c r="AV169">
        <f t="shared" si="51"/>
        <v>225.72474576271185</v>
      </c>
      <c r="AW169">
        <f t="shared" si="48"/>
        <v>18.5</v>
      </c>
      <c r="AX169" t="str">
        <f t="shared" si="49"/>
        <v>Jul-2021</v>
      </c>
      <c r="AY169">
        <f>ROUNDUP(Table2[[#This Row],[Month]]/3,0)</f>
        <v>3</v>
      </c>
    </row>
    <row r="170" spans="1:51" x14ac:dyDescent="0.2">
      <c r="A170">
        <v>169</v>
      </c>
      <c r="B170">
        <f t="shared" si="36"/>
        <v>17</v>
      </c>
      <c r="C170" s="22">
        <v>44384</v>
      </c>
      <c r="D170">
        <f>SUM(Table2[[#This Row],[Gray Min]:[Red Min]])</f>
        <v>57</v>
      </c>
      <c r="E170">
        <v>13</v>
      </c>
      <c r="F170">
        <v>611</v>
      </c>
      <c r="G170">
        <v>125</v>
      </c>
      <c r="H170">
        <v>163</v>
      </c>
      <c r="I170">
        <v>12</v>
      </c>
      <c r="J170">
        <v>16</v>
      </c>
      <c r="K170">
        <v>16</v>
      </c>
      <c r="L170">
        <v>12</v>
      </c>
      <c r="M170">
        <v>1</v>
      </c>
      <c r="N170" t="s">
        <v>91</v>
      </c>
      <c r="O170" t="s">
        <v>39</v>
      </c>
      <c r="P170" t="s">
        <v>96</v>
      </c>
      <c r="Q170">
        <f t="shared" si="50"/>
        <v>1</v>
      </c>
      <c r="R170" t="str">
        <f t="shared" si="37"/>
        <v>7-2021</v>
      </c>
      <c r="S170" t="s">
        <v>117</v>
      </c>
      <c r="T170" t="str">
        <f t="shared" si="38"/>
        <v>Wednesday</v>
      </c>
      <c r="U170">
        <f t="shared" si="39"/>
        <v>1</v>
      </c>
      <c r="V170" s="24">
        <f>IFERROR(Table2[[#This Row],[Gray Min]]/Table2[[#This Row],[ClassLength]],"")</f>
        <v>0.21052631578947367</v>
      </c>
      <c r="W170" s="24">
        <f>IFERROR(Table2[[#This Row],[Blue Min]]/Table2[[#This Row],[ClassLength]],"")</f>
        <v>0.2807017543859649</v>
      </c>
      <c r="X170" s="24">
        <f>IFERROR(Table2[[#This Row],[Green Min]]/Table2[[#This Row],[ClassLength]],"")</f>
        <v>0.2807017543859649</v>
      </c>
      <c r="Y170" s="24">
        <f>IFERROR(Table2[[#This Row],[Orange Min]]/Table2[[#This Row],[ClassLength]],"")</f>
        <v>0.21052631578947367</v>
      </c>
      <c r="Z170" s="24">
        <f>IFERROR(Table2[[#This Row],[Red Min]]/Table2[[#This Row],[ClassLength]],"")</f>
        <v>1.7543859649122806E-2</v>
      </c>
      <c r="AA170" s="25">
        <v>232.14</v>
      </c>
      <c r="AB170" s="25">
        <f t="shared" si="52"/>
        <v>13.655294117647058</v>
      </c>
      <c r="AC170" s="26">
        <f t="shared" si="40"/>
        <v>600.11764705882354</v>
      </c>
      <c r="AD170" s="26">
        <f t="shared" si="41"/>
        <v>14.176470588235293</v>
      </c>
      <c r="AE170">
        <f t="shared" si="42"/>
        <v>2021</v>
      </c>
      <c r="AG170">
        <v>12</v>
      </c>
      <c r="AH170" s="26">
        <f t="shared" si="43"/>
        <v>10.719298245614034</v>
      </c>
      <c r="AI170" t="str">
        <f t="shared" si="44"/>
        <v>PM</v>
      </c>
      <c r="AJ170" t="str">
        <f t="shared" si="45"/>
        <v>7-2021-2</v>
      </c>
      <c r="AK170">
        <f t="shared" si="46"/>
        <v>7</v>
      </c>
      <c r="AL170" s="26">
        <f>IFERROR(Table2[[#This Row],[Calories]]/Table2[[#This Row],[Splat]],"")</f>
        <v>47</v>
      </c>
      <c r="AM170">
        <f>COUNTIF(N$2:$N$938,N170)</f>
        <v>218</v>
      </c>
      <c r="AN170" t="str">
        <f>VLOOKUP(N170,'Helpful Tables'!A:D,4,FALSE)</f>
        <v>Washington, DC</v>
      </c>
      <c r="AO170" s="24">
        <f>COUNTIF(AN:AN,Table2[[#This Row],[State]])/COUNTA(AN:AN)</f>
        <v>0.54904051172707891</v>
      </c>
      <c r="AP170">
        <f>VLOOKUP(N170,'Helpful Tables'!A:B,2,FALSE)</f>
        <v>38.934710000000003</v>
      </c>
      <c r="AQ170">
        <f>VLOOKUP(N170,'Helpful Tables'!A:C,3,FALSE)</f>
        <v>-77.058222999999998</v>
      </c>
      <c r="AR170">
        <f>COUNTIF(P$2:$P$938,P170)</f>
        <v>71</v>
      </c>
      <c r="AS170" cm="1">
        <f t="array" ref="AS170">_xlfn.IFS(E170&lt;6,((E170/D170)*60)*0.5,AND(E170&gt;=6,E170&lt;9),((E170/D170)*60)*0.75,AND(E170&gt;=9,E170&lt;=11),((E170/D170)*60)*0.9,AND(E170=12),((E170/D170)*60)*1,AND(E170&gt;=13,E170&lt;=15),((E170/D170)*60)*1.2,AND(E170&gt;=16,E170&lt;=19),((E170/D170)*60)*1.5,E170&gt;=20,((E170/D170)*60)*1.8)</f>
        <v>16.421052631578945</v>
      </c>
      <c r="AT170" cm="1">
        <f t="array" ref="AT170">_xlfn.IFS(F170&lt;550,((F170/D170)*60)*0.5,AND(F170&gt;=550,F170&lt;575),((F170/D170)*60)*0.75,AND(F170&gt;=575,F170&lt;600),((F170/D170)*60)*0.9,AND(F170=600),((F170/D170)*60)*1,AND(F170&gt;=601,F170&lt;=625),((F170/D170)*60)*1.2,AND(F170&gt;=626,F170&lt;=650),((F170/D170)*60)*1.5,F170&gt;=651,((F170/D170)*60)*1.8)</f>
        <v>771.78947368421052</v>
      </c>
      <c r="AU170">
        <f t="shared" si="47"/>
        <v>4.3000000000000007</v>
      </c>
      <c r="AV170">
        <f t="shared" si="51"/>
        <v>316.14421052631587</v>
      </c>
      <c r="AW170">
        <f t="shared" si="48"/>
        <v>34.799999999999997</v>
      </c>
      <c r="AX170" t="str">
        <f t="shared" si="49"/>
        <v>Jul-2021</v>
      </c>
      <c r="AY170">
        <f>ROUNDUP(Table2[[#This Row],[Month]]/3,0)</f>
        <v>3</v>
      </c>
    </row>
    <row r="171" spans="1:51" x14ac:dyDescent="0.2">
      <c r="A171">
        <v>170</v>
      </c>
      <c r="B171">
        <f t="shared" si="36"/>
        <v>17</v>
      </c>
      <c r="C171" s="22">
        <v>44386</v>
      </c>
      <c r="D171">
        <f>SUM(Table2[[#This Row],[Gray Min]:[Red Min]])</f>
        <v>58</v>
      </c>
      <c r="E171">
        <v>6</v>
      </c>
      <c r="F171">
        <v>526</v>
      </c>
      <c r="G171">
        <v>115</v>
      </c>
      <c r="H171">
        <v>162</v>
      </c>
      <c r="I171">
        <v>22</v>
      </c>
      <c r="J171">
        <v>16</v>
      </c>
      <c r="K171">
        <v>14</v>
      </c>
      <c r="L171">
        <v>6</v>
      </c>
      <c r="M171">
        <v>0</v>
      </c>
      <c r="N171" t="s">
        <v>91</v>
      </c>
      <c r="O171" t="s">
        <v>110</v>
      </c>
      <c r="P171" t="s">
        <v>98</v>
      </c>
      <c r="Q171">
        <f t="shared" si="50"/>
        <v>2</v>
      </c>
      <c r="R171" t="str">
        <f t="shared" si="37"/>
        <v>7-2021</v>
      </c>
      <c r="S171" t="s">
        <v>117</v>
      </c>
      <c r="T171" t="str">
        <f t="shared" si="38"/>
        <v>Friday</v>
      </c>
      <c r="U171">
        <f t="shared" si="39"/>
        <v>0</v>
      </c>
      <c r="V171" s="24">
        <f>IFERROR(Table2[[#This Row],[Gray Min]]/Table2[[#This Row],[ClassLength]],"")</f>
        <v>0.37931034482758619</v>
      </c>
      <c r="W171" s="24">
        <f>IFERROR(Table2[[#This Row],[Blue Min]]/Table2[[#This Row],[ClassLength]],"")</f>
        <v>0.27586206896551724</v>
      </c>
      <c r="X171" s="24">
        <f>IFERROR(Table2[[#This Row],[Green Min]]/Table2[[#This Row],[ClassLength]],"")</f>
        <v>0.2413793103448276</v>
      </c>
      <c r="Y171" s="24">
        <f>IFERROR(Table2[[#This Row],[Orange Min]]/Table2[[#This Row],[ClassLength]],"")</f>
        <v>0.10344827586206896</v>
      </c>
      <c r="Z171" s="24">
        <f>IFERROR(Table2[[#This Row],[Red Min]]/Table2[[#This Row],[ClassLength]],"")</f>
        <v>0</v>
      </c>
      <c r="AA171" s="25">
        <v>232.14</v>
      </c>
      <c r="AB171" s="25">
        <f t="shared" si="52"/>
        <v>13.655294117647058</v>
      </c>
      <c r="AC171" s="26">
        <f t="shared" si="40"/>
        <v>600.11764705882354</v>
      </c>
      <c r="AD171" s="26">
        <f t="shared" si="41"/>
        <v>14.176470588235293</v>
      </c>
      <c r="AE171">
        <f t="shared" si="42"/>
        <v>2021</v>
      </c>
      <c r="AG171">
        <v>12</v>
      </c>
      <c r="AH171" s="26">
        <f t="shared" si="43"/>
        <v>9.068965517241379</v>
      </c>
      <c r="AI171" t="str">
        <f t="shared" si="44"/>
        <v>AM</v>
      </c>
      <c r="AJ171" t="str">
        <f t="shared" si="45"/>
        <v>7-2021-2</v>
      </c>
      <c r="AK171">
        <f t="shared" si="46"/>
        <v>7</v>
      </c>
      <c r="AL171" s="26">
        <f>IFERROR(Table2[[#This Row],[Calories]]/Table2[[#This Row],[Splat]],"")</f>
        <v>87.666666666666671</v>
      </c>
      <c r="AM171">
        <f>COUNTIF(N$2:$N$938,N171)</f>
        <v>218</v>
      </c>
      <c r="AN171" t="str">
        <f>VLOOKUP(N171,'Helpful Tables'!A:D,4,FALSE)</f>
        <v>Washington, DC</v>
      </c>
      <c r="AO171" s="24">
        <f>COUNTIF(AN:AN,Table2[[#This Row],[State]])/COUNTA(AN:AN)</f>
        <v>0.54904051172707891</v>
      </c>
      <c r="AP171">
        <f>VLOOKUP(N171,'Helpful Tables'!A:B,2,FALSE)</f>
        <v>38.934710000000003</v>
      </c>
      <c r="AQ171">
        <f>VLOOKUP(N171,'Helpful Tables'!A:C,3,FALSE)</f>
        <v>-77.058222999999998</v>
      </c>
      <c r="AR171">
        <f>COUNTIF(P$2:$P$938,P171)</f>
        <v>28</v>
      </c>
      <c r="AS171" cm="1">
        <f t="array" ref="AS171">_xlfn.IFS(E171&lt;6,((E171/D171)*60)*0.5,AND(E171&gt;=6,E171&lt;9),((E171/D171)*60)*0.75,AND(E171&gt;=9,E171&lt;=11),((E171/D171)*60)*0.9,AND(E171=12),((E171/D171)*60)*1,AND(E171&gt;=13,E171&lt;=15),((E171/D171)*60)*1.2,AND(E171&gt;=16,E171&lt;=19),((E171/D171)*60)*1.5,E171&gt;=20,((E171/D171)*60)*1.8)</f>
        <v>4.6551724137931032</v>
      </c>
      <c r="AT171" cm="1">
        <f t="array" ref="AT171">_xlfn.IFS(F171&lt;550,((F171/D171)*60)*0.5,AND(F171&gt;=550,F171&lt;575),((F171/D171)*60)*0.75,AND(F171&gt;=575,F171&lt;600),((F171/D171)*60)*0.9,AND(F171=600),((F171/D171)*60)*1,AND(F171&gt;=601,F171&lt;=625),((F171/D171)*60)*1.2,AND(F171&gt;=626,F171&lt;=650),((F171/D171)*60)*1.5,F171&gt;=651,((F171/D171)*60)*1.8)</f>
        <v>272.06896551724139</v>
      </c>
      <c r="AU171">
        <f t="shared" si="47"/>
        <v>-19.399999999999999</v>
      </c>
      <c r="AV171">
        <f t="shared" si="51"/>
        <v>106.80965517241381</v>
      </c>
      <c r="AW171">
        <f t="shared" si="48"/>
        <v>2.9000000000000004</v>
      </c>
      <c r="AX171" t="str">
        <f t="shared" si="49"/>
        <v>Jul-2021</v>
      </c>
      <c r="AY171">
        <f>ROUNDUP(Table2[[#This Row],[Month]]/3,0)</f>
        <v>3</v>
      </c>
    </row>
    <row r="172" spans="1:51" x14ac:dyDescent="0.2">
      <c r="A172">
        <v>171</v>
      </c>
      <c r="B172">
        <f t="shared" si="36"/>
        <v>17</v>
      </c>
      <c r="C172" s="22">
        <v>44389</v>
      </c>
      <c r="D172">
        <f>SUM(Table2[[#This Row],[Gray Min]:[Red Min]])</f>
        <v>61</v>
      </c>
      <c r="E172">
        <v>17</v>
      </c>
      <c r="F172">
        <v>613</v>
      </c>
      <c r="G172">
        <v>121</v>
      </c>
      <c r="H172">
        <v>170</v>
      </c>
      <c r="I172">
        <v>22</v>
      </c>
      <c r="J172">
        <v>11</v>
      </c>
      <c r="K172">
        <v>11</v>
      </c>
      <c r="L172">
        <v>15</v>
      </c>
      <c r="M172">
        <v>2</v>
      </c>
      <c r="N172" t="s">
        <v>101</v>
      </c>
      <c r="O172" t="s">
        <v>39</v>
      </c>
      <c r="P172" t="s">
        <v>118</v>
      </c>
      <c r="Q172">
        <f t="shared" si="50"/>
        <v>3</v>
      </c>
      <c r="R172" t="str">
        <f t="shared" si="37"/>
        <v>7-2021</v>
      </c>
      <c r="S172" t="s">
        <v>104</v>
      </c>
      <c r="T172" t="str">
        <f t="shared" si="38"/>
        <v>Monday</v>
      </c>
      <c r="U172">
        <f t="shared" si="39"/>
        <v>1</v>
      </c>
      <c r="V172" s="24">
        <f>IFERROR(Table2[[#This Row],[Gray Min]]/Table2[[#This Row],[ClassLength]],"")</f>
        <v>0.36065573770491804</v>
      </c>
      <c r="W172" s="24">
        <f>IFERROR(Table2[[#This Row],[Blue Min]]/Table2[[#This Row],[ClassLength]],"")</f>
        <v>0.18032786885245902</v>
      </c>
      <c r="X172" s="24">
        <f>IFERROR(Table2[[#This Row],[Green Min]]/Table2[[#This Row],[ClassLength]],"")</f>
        <v>0.18032786885245902</v>
      </c>
      <c r="Y172" s="24">
        <f>IFERROR(Table2[[#This Row],[Orange Min]]/Table2[[#This Row],[ClassLength]],"")</f>
        <v>0.24590163934426229</v>
      </c>
      <c r="Z172" s="24">
        <f>IFERROR(Table2[[#This Row],[Red Min]]/Table2[[#This Row],[ClassLength]],"")</f>
        <v>3.2786885245901641E-2</v>
      </c>
      <c r="AA172" s="25">
        <v>232.14</v>
      </c>
      <c r="AB172" s="25">
        <f t="shared" si="52"/>
        <v>13.655294117647058</v>
      </c>
      <c r="AC172" s="26">
        <f t="shared" si="40"/>
        <v>600.11764705882354</v>
      </c>
      <c r="AD172" s="26">
        <f t="shared" si="41"/>
        <v>14.176470588235293</v>
      </c>
      <c r="AE172">
        <f t="shared" si="42"/>
        <v>2021</v>
      </c>
      <c r="AG172">
        <v>12</v>
      </c>
      <c r="AH172" s="26">
        <f t="shared" si="43"/>
        <v>10.049180327868852</v>
      </c>
      <c r="AI172" t="str">
        <f t="shared" si="44"/>
        <v>PM</v>
      </c>
      <c r="AJ172" t="str">
        <f t="shared" si="45"/>
        <v>7-2021-3</v>
      </c>
      <c r="AK172">
        <f t="shared" si="46"/>
        <v>7</v>
      </c>
      <c r="AL172" s="26">
        <f>IFERROR(Table2[[#This Row],[Calories]]/Table2[[#This Row],[Splat]],"")</f>
        <v>36.058823529411768</v>
      </c>
      <c r="AM172">
        <f>COUNTIF(N$2:$N$938,N172)</f>
        <v>191</v>
      </c>
      <c r="AN172" t="str">
        <f>VLOOKUP(N172,'Helpful Tables'!A:D,4,FALSE)</f>
        <v>Washington, DC</v>
      </c>
      <c r="AO172" s="24">
        <f>COUNTIF(AN:AN,Table2[[#This Row],[State]])/COUNTA(AN:AN)</f>
        <v>0.54904051172707891</v>
      </c>
      <c r="AP172">
        <f>VLOOKUP(N172,'Helpful Tables'!A:B,2,FALSE)</f>
        <v>38.949649000000001</v>
      </c>
      <c r="AQ172">
        <f>VLOOKUP(N172,'Helpful Tables'!A:C,3,FALSE)</f>
        <v>-77.080878999999996</v>
      </c>
      <c r="AR172">
        <f>COUNTIF(P$2:$P$938,P172)</f>
        <v>16</v>
      </c>
      <c r="AS172" cm="1">
        <f t="array" ref="AS172">_xlfn.IFS(E172&lt;6,((E172/D172)*60)*0.5,AND(E172&gt;=6,E172&lt;9),((E172/D172)*60)*0.75,AND(E172&gt;=9,E172&lt;=11),((E172/D172)*60)*0.9,AND(E172=12),((E172/D172)*60)*1,AND(E172&gt;=13,E172&lt;=15),((E172/D172)*60)*1.2,AND(E172&gt;=16,E172&lt;=19),((E172/D172)*60)*1.5,E172&gt;=20,((E172/D172)*60)*1.8)</f>
        <v>25.081967213114751</v>
      </c>
      <c r="AT172" cm="1">
        <f t="array" ref="AT172">_xlfn.IFS(F172&lt;550,((F172/D172)*60)*0.5,AND(F172&gt;=550,F172&lt;575),((F172/D172)*60)*0.75,AND(F172&gt;=575,F172&lt;600),((F172/D172)*60)*0.9,AND(F172=600),((F172/D172)*60)*1,AND(F172&gt;=601,F172&lt;=625),((F172/D172)*60)*1.2,AND(F172&gt;=626,F172&lt;=650),((F172/D172)*60)*1.5,F172&gt;=651,((F172/D172)*60)*1.8)</f>
        <v>723.54098360655735</v>
      </c>
      <c r="AU172">
        <f t="shared" si="47"/>
        <v>-2.8000000000000007</v>
      </c>
      <c r="AV172">
        <f t="shared" si="51"/>
        <v>298.88918032786887</v>
      </c>
      <c r="AW172">
        <f t="shared" si="48"/>
        <v>26.5</v>
      </c>
      <c r="AX172" t="str">
        <f t="shared" si="49"/>
        <v>Jul-2021</v>
      </c>
      <c r="AY172">
        <f>ROUNDUP(Table2[[#This Row],[Month]]/3,0)</f>
        <v>3</v>
      </c>
    </row>
    <row r="173" spans="1:51" x14ac:dyDescent="0.2">
      <c r="A173">
        <v>172</v>
      </c>
      <c r="B173">
        <f t="shared" si="36"/>
        <v>17</v>
      </c>
      <c r="C173" s="22">
        <v>44390</v>
      </c>
      <c r="D173">
        <f>SUM(Table2[[#This Row],[Gray Min]:[Red Min]])</f>
        <v>58</v>
      </c>
      <c r="E173">
        <v>13</v>
      </c>
      <c r="F173">
        <v>633</v>
      </c>
      <c r="G173">
        <v>127</v>
      </c>
      <c r="H173">
        <v>165</v>
      </c>
      <c r="I173">
        <v>10</v>
      </c>
      <c r="J173">
        <v>19</v>
      </c>
      <c r="K173">
        <v>16</v>
      </c>
      <c r="L173">
        <v>12</v>
      </c>
      <c r="M173">
        <v>1</v>
      </c>
      <c r="N173" t="s">
        <v>101</v>
      </c>
      <c r="O173" t="s">
        <v>39</v>
      </c>
      <c r="P173" t="s">
        <v>102</v>
      </c>
      <c r="Q173">
        <f t="shared" si="50"/>
        <v>1</v>
      </c>
      <c r="R173" t="str">
        <f t="shared" si="37"/>
        <v>7-2021</v>
      </c>
      <c r="S173" t="s">
        <v>104</v>
      </c>
      <c r="T173" t="str">
        <f t="shared" si="38"/>
        <v>Tuesday</v>
      </c>
      <c r="U173">
        <f t="shared" si="39"/>
        <v>1</v>
      </c>
      <c r="V173" s="24">
        <f>IFERROR(Table2[[#This Row],[Gray Min]]/Table2[[#This Row],[ClassLength]],"")</f>
        <v>0.17241379310344829</v>
      </c>
      <c r="W173" s="24">
        <f>IFERROR(Table2[[#This Row],[Blue Min]]/Table2[[#This Row],[ClassLength]],"")</f>
        <v>0.32758620689655171</v>
      </c>
      <c r="X173" s="24">
        <f>IFERROR(Table2[[#This Row],[Green Min]]/Table2[[#This Row],[ClassLength]],"")</f>
        <v>0.27586206896551724</v>
      </c>
      <c r="Y173" s="24">
        <f>IFERROR(Table2[[#This Row],[Orange Min]]/Table2[[#This Row],[ClassLength]],"")</f>
        <v>0.20689655172413793</v>
      </c>
      <c r="Z173" s="24">
        <f>IFERROR(Table2[[#This Row],[Red Min]]/Table2[[#This Row],[ClassLength]],"")</f>
        <v>1.7241379310344827E-2</v>
      </c>
      <c r="AA173" s="25">
        <v>232.14</v>
      </c>
      <c r="AB173" s="25">
        <f t="shared" si="52"/>
        <v>13.655294117647058</v>
      </c>
      <c r="AC173" s="26">
        <f t="shared" si="40"/>
        <v>600.11764705882354</v>
      </c>
      <c r="AD173" s="26">
        <f t="shared" si="41"/>
        <v>14.176470588235293</v>
      </c>
      <c r="AE173">
        <f t="shared" si="42"/>
        <v>2021</v>
      </c>
      <c r="AG173">
        <v>12</v>
      </c>
      <c r="AH173" s="26">
        <f t="shared" si="43"/>
        <v>10.913793103448276</v>
      </c>
      <c r="AI173" t="str">
        <f t="shared" si="44"/>
        <v>PM</v>
      </c>
      <c r="AJ173" t="str">
        <f t="shared" si="45"/>
        <v>7-2021-3</v>
      </c>
      <c r="AK173">
        <f t="shared" si="46"/>
        <v>7</v>
      </c>
      <c r="AL173" s="26">
        <f>IFERROR(Table2[[#This Row],[Calories]]/Table2[[#This Row],[Splat]],"")</f>
        <v>48.692307692307693</v>
      </c>
      <c r="AM173">
        <f>COUNTIF(N$2:$N$938,N173)</f>
        <v>191</v>
      </c>
      <c r="AN173" t="str">
        <f>VLOOKUP(N173,'Helpful Tables'!A:D,4,FALSE)</f>
        <v>Washington, DC</v>
      </c>
      <c r="AO173" s="24">
        <f>COUNTIF(AN:AN,Table2[[#This Row],[State]])/COUNTA(AN:AN)</f>
        <v>0.54904051172707891</v>
      </c>
      <c r="AP173">
        <f>VLOOKUP(N173,'Helpful Tables'!A:B,2,FALSE)</f>
        <v>38.949649000000001</v>
      </c>
      <c r="AQ173">
        <f>VLOOKUP(N173,'Helpful Tables'!A:C,3,FALSE)</f>
        <v>-77.080878999999996</v>
      </c>
      <c r="AR173">
        <f>COUNTIF(P$2:$P$938,P173)</f>
        <v>20</v>
      </c>
      <c r="AS173" cm="1">
        <f t="array" ref="AS173">_xlfn.IFS(E173&lt;6,((E173/D173)*60)*0.5,AND(E173&gt;=6,E173&lt;9),((E173/D173)*60)*0.75,AND(E173&gt;=9,E173&lt;=11),((E173/D173)*60)*0.9,AND(E173=12),((E173/D173)*60)*1,AND(E173&gt;=13,E173&lt;=15),((E173/D173)*60)*1.2,AND(E173&gt;=16,E173&lt;=19),((E173/D173)*60)*1.5,E173&gt;=20,((E173/D173)*60)*1.8)</f>
        <v>16.137931034482758</v>
      </c>
      <c r="AT173" cm="1">
        <f t="array" ref="AT173">_xlfn.IFS(F173&lt;550,((F173/D173)*60)*0.5,AND(F173&gt;=550,F173&lt;575),((F173/D173)*60)*0.75,AND(F173&gt;=575,F173&lt;600),((F173/D173)*60)*0.9,AND(F173=600),((F173/D173)*60)*1,AND(F173&gt;=601,F173&lt;=625),((F173/D173)*60)*1.2,AND(F173&gt;=626,F173&lt;=650),((F173/D173)*60)*1.5,F173&gt;=651,((F173/D173)*60)*1.8)</f>
        <v>982.24137931034477</v>
      </c>
      <c r="AU173">
        <f t="shared" si="47"/>
        <v>3.399999999999995</v>
      </c>
      <c r="AV173">
        <f t="shared" si="51"/>
        <v>400.03172413793101</v>
      </c>
      <c r="AW173">
        <f t="shared" si="48"/>
        <v>53.1</v>
      </c>
      <c r="AX173" t="str">
        <f t="shared" si="49"/>
        <v>Jul-2021</v>
      </c>
      <c r="AY173">
        <f>ROUNDUP(Table2[[#This Row],[Month]]/3,0)</f>
        <v>3</v>
      </c>
    </row>
    <row r="174" spans="1:51" x14ac:dyDescent="0.2">
      <c r="A174">
        <v>173</v>
      </c>
      <c r="B174">
        <f t="shared" si="36"/>
        <v>17</v>
      </c>
      <c r="C174" s="22">
        <v>44392</v>
      </c>
      <c r="D174">
        <f>SUM(Table2[[#This Row],[Gray Min]:[Red Min]])</f>
        <v>57</v>
      </c>
      <c r="E174">
        <v>14</v>
      </c>
      <c r="F174">
        <v>601</v>
      </c>
      <c r="G174">
        <v>124</v>
      </c>
      <c r="H174">
        <v>165</v>
      </c>
      <c r="I174">
        <v>12</v>
      </c>
      <c r="J174">
        <v>17</v>
      </c>
      <c r="K174">
        <v>14</v>
      </c>
      <c r="L174">
        <v>11</v>
      </c>
      <c r="M174">
        <v>3</v>
      </c>
      <c r="N174" t="s">
        <v>91</v>
      </c>
      <c r="O174" t="s">
        <v>110</v>
      </c>
      <c r="P174" t="s">
        <v>100</v>
      </c>
      <c r="Q174">
        <f t="shared" si="50"/>
        <v>2</v>
      </c>
      <c r="R174" t="str">
        <f t="shared" si="37"/>
        <v>7-2021</v>
      </c>
      <c r="S174" t="s">
        <v>117</v>
      </c>
      <c r="T174" t="str">
        <f t="shared" si="38"/>
        <v>Thursday</v>
      </c>
      <c r="U174">
        <f t="shared" si="39"/>
        <v>1</v>
      </c>
      <c r="V174" s="24">
        <f>IFERROR(Table2[[#This Row],[Gray Min]]/Table2[[#This Row],[ClassLength]],"")</f>
        <v>0.21052631578947367</v>
      </c>
      <c r="W174" s="24">
        <f>IFERROR(Table2[[#This Row],[Blue Min]]/Table2[[#This Row],[ClassLength]],"")</f>
        <v>0.2982456140350877</v>
      </c>
      <c r="X174" s="24">
        <f>IFERROR(Table2[[#This Row],[Green Min]]/Table2[[#This Row],[ClassLength]],"")</f>
        <v>0.24561403508771928</v>
      </c>
      <c r="Y174" s="24">
        <f>IFERROR(Table2[[#This Row],[Orange Min]]/Table2[[#This Row],[ClassLength]],"")</f>
        <v>0.19298245614035087</v>
      </c>
      <c r="Z174" s="24">
        <f>IFERROR(Table2[[#This Row],[Red Min]]/Table2[[#This Row],[ClassLength]],"")</f>
        <v>5.2631578947368418E-2</v>
      </c>
      <c r="AA174" s="25">
        <v>232.14</v>
      </c>
      <c r="AB174" s="25">
        <f t="shared" si="52"/>
        <v>13.655294117647058</v>
      </c>
      <c r="AC174" s="26">
        <f t="shared" si="40"/>
        <v>600.11764705882354</v>
      </c>
      <c r="AD174" s="26">
        <f t="shared" si="41"/>
        <v>14.176470588235293</v>
      </c>
      <c r="AE174">
        <f t="shared" si="42"/>
        <v>2021</v>
      </c>
      <c r="AG174">
        <v>12</v>
      </c>
      <c r="AH174" s="26">
        <f t="shared" si="43"/>
        <v>10.543859649122806</v>
      </c>
      <c r="AI174" t="str">
        <f t="shared" si="44"/>
        <v>AM</v>
      </c>
      <c r="AJ174" t="str">
        <f t="shared" si="45"/>
        <v>7-2021-3</v>
      </c>
      <c r="AK174">
        <f t="shared" si="46"/>
        <v>7</v>
      </c>
      <c r="AL174" s="26">
        <f>IFERROR(Table2[[#This Row],[Calories]]/Table2[[#This Row],[Splat]],"")</f>
        <v>42.928571428571431</v>
      </c>
      <c r="AM174">
        <f>COUNTIF(N$2:$N$938,N174)</f>
        <v>218</v>
      </c>
      <c r="AN174" t="str">
        <f>VLOOKUP(N174,'Helpful Tables'!A:D,4,FALSE)</f>
        <v>Washington, DC</v>
      </c>
      <c r="AO174" s="24">
        <f>COUNTIF(AN:AN,Table2[[#This Row],[State]])/COUNTA(AN:AN)</f>
        <v>0.54904051172707891</v>
      </c>
      <c r="AP174">
        <f>VLOOKUP(N174,'Helpful Tables'!A:B,2,FALSE)</f>
        <v>38.934710000000003</v>
      </c>
      <c r="AQ174">
        <f>VLOOKUP(N174,'Helpful Tables'!A:C,3,FALSE)</f>
        <v>-77.058222999999998</v>
      </c>
      <c r="AR174">
        <f>COUNTIF(P$2:$P$938,P174)</f>
        <v>35</v>
      </c>
      <c r="AS174" cm="1">
        <f t="array" ref="AS174">_xlfn.IFS(E174&lt;6,((E174/D174)*60)*0.5,AND(E174&gt;=6,E174&lt;9),((E174/D174)*60)*0.75,AND(E174&gt;=9,E174&lt;=11),((E174/D174)*60)*0.9,AND(E174=12),((E174/D174)*60)*1,AND(E174&gt;=13,E174&lt;=15),((E174/D174)*60)*1.2,AND(E174&gt;=16,E174&lt;=19),((E174/D174)*60)*1.5,E174&gt;=20,((E174/D174)*60)*1.8)</f>
        <v>17.684210526315788</v>
      </c>
      <c r="AT174" cm="1">
        <f t="array" ref="AT174">_xlfn.IFS(F174&lt;550,((F174/D174)*60)*0.5,AND(F174&gt;=550,F174&lt;575),((F174/D174)*60)*0.75,AND(F174&gt;=575,F174&lt;600),((F174/D174)*60)*0.9,AND(F174=600),((F174/D174)*60)*1,AND(F174&gt;=601,F174&lt;=625),((F174/D174)*60)*1.2,AND(F174&gt;=626,F174&lt;=650),((F174/D174)*60)*1.5,F174&gt;=651,((F174/D174)*60)*1.8)</f>
        <v>759.15789473684208</v>
      </c>
      <c r="AU174">
        <f t="shared" si="47"/>
        <v>2.5</v>
      </c>
      <c r="AV174">
        <f t="shared" si="51"/>
        <v>311.23684210526318</v>
      </c>
      <c r="AW174">
        <f t="shared" si="48"/>
        <v>31.900000000000002</v>
      </c>
      <c r="AX174" t="str">
        <f t="shared" si="49"/>
        <v>Jul-2021</v>
      </c>
      <c r="AY174">
        <f>ROUNDUP(Table2[[#This Row],[Month]]/3,0)</f>
        <v>3</v>
      </c>
    </row>
    <row r="175" spans="1:51" x14ac:dyDescent="0.2">
      <c r="A175">
        <v>174</v>
      </c>
      <c r="B175">
        <f t="shared" si="36"/>
        <v>17</v>
      </c>
      <c r="C175" s="22">
        <v>44393</v>
      </c>
      <c r="D175">
        <f>SUM(Table2[[#This Row],[Gray Min]:[Red Min]])</f>
        <v>58</v>
      </c>
      <c r="E175">
        <v>17</v>
      </c>
      <c r="F175">
        <v>615</v>
      </c>
      <c r="G175">
        <v>124</v>
      </c>
      <c r="H175">
        <v>167</v>
      </c>
      <c r="I175">
        <v>21</v>
      </c>
      <c r="J175">
        <v>10</v>
      </c>
      <c r="K175">
        <v>10</v>
      </c>
      <c r="L175">
        <v>14</v>
      </c>
      <c r="M175">
        <v>3</v>
      </c>
      <c r="N175" t="s">
        <v>101</v>
      </c>
      <c r="O175" t="s">
        <v>107</v>
      </c>
      <c r="P175" t="s">
        <v>102</v>
      </c>
      <c r="Q175">
        <f t="shared" si="50"/>
        <v>1</v>
      </c>
      <c r="R175" t="str">
        <f t="shared" si="37"/>
        <v>7-2021</v>
      </c>
      <c r="S175" t="s">
        <v>104</v>
      </c>
      <c r="T175" t="str">
        <f t="shared" si="38"/>
        <v>Friday</v>
      </c>
      <c r="U175">
        <f t="shared" si="39"/>
        <v>1</v>
      </c>
      <c r="V175" s="24">
        <f>IFERROR(Table2[[#This Row],[Gray Min]]/Table2[[#This Row],[ClassLength]],"")</f>
        <v>0.36206896551724138</v>
      </c>
      <c r="W175" s="24">
        <f>IFERROR(Table2[[#This Row],[Blue Min]]/Table2[[#This Row],[ClassLength]],"")</f>
        <v>0.17241379310344829</v>
      </c>
      <c r="X175" s="24">
        <f>IFERROR(Table2[[#This Row],[Green Min]]/Table2[[#This Row],[ClassLength]],"")</f>
        <v>0.17241379310344829</v>
      </c>
      <c r="Y175" s="24">
        <f>IFERROR(Table2[[#This Row],[Orange Min]]/Table2[[#This Row],[ClassLength]],"")</f>
        <v>0.2413793103448276</v>
      </c>
      <c r="Z175" s="24">
        <f>IFERROR(Table2[[#This Row],[Red Min]]/Table2[[#This Row],[ClassLength]],"")</f>
        <v>5.1724137931034482E-2</v>
      </c>
      <c r="AA175" s="25">
        <v>232.14</v>
      </c>
      <c r="AB175" s="25">
        <f t="shared" si="52"/>
        <v>13.655294117647058</v>
      </c>
      <c r="AC175" s="26">
        <f t="shared" si="40"/>
        <v>600.11764705882354</v>
      </c>
      <c r="AD175" s="26">
        <f t="shared" si="41"/>
        <v>14.176470588235293</v>
      </c>
      <c r="AE175">
        <f t="shared" si="42"/>
        <v>2021</v>
      </c>
      <c r="AG175">
        <v>12</v>
      </c>
      <c r="AH175" s="26">
        <f t="shared" si="43"/>
        <v>10.603448275862069</v>
      </c>
      <c r="AI175" t="str">
        <f t="shared" si="44"/>
        <v>AM</v>
      </c>
      <c r="AJ175" t="str">
        <f t="shared" si="45"/>
        <v>7-2021-3</v>
      </c>
      <c r="AK175">
        <f t="shared" si="46"/>
        <v>7</v>
      </c>
      <c r="AL175" s="26">
        <f>IFERROR(Table2[[#This Row],[Calories]]/Table2[[#This Row],[Splat]],"")</f>
        <v>36.176470588235297</v>
      </c>
      <c r="AM175">
        <f>COUNTIF(N$2:$N$938,N175)</f>
        <v>191</v>
      </c>
      <c r="AN175" t="str">
        <f>VLOOKUP(N175,'Helpful Tables'!A:D,4,FALSE)</f>
        <v>Washington, DC</v>
      </c>
      <c r="AO175" s="24">
        <f>COUNTIF(AN:AN,Table2[[#This Row],[State]])/COUNTA(AN:AN)</f>
        <v>0.54904051172707891</v>
      </c>
      <c r="AP175">
        <f>VLOOKUP(N175,'Helpful Tables'!A:B,2,FALSE)</f>
        <v>38.949649000000001</v>
      </c>
      <c r="AQ175">
        <f>VLOOKUP(N175,'Helpful Tables'!A:C,3,FALSE)</f>
        <v>-77.080878999999996</v>
      </c>
      <c r="AR175">
        <f>COUNTIF(P$2:$P$938,P175)</f>
        <v>20</v>
      </c>
      <c r="AS175" cm="1">
        <f t="array" ref="AS175">_xlfn.IFS(E175&lt;6,((E175/D175)*60)*0.5,AND(E175&gt;=6,E175&lt;9),((E175/D175)*60)*0.75,AND(E175&gt;=9,E175&lt;=11),((E175/D175)*60)*0.9,AND(E175=12),((E175/D175)*60)*1,AND(E175&gt;=13,E175&lt;=15),((E175/D175)*60)*1.2,AND(E175&gt;=16,E175&lt;=19),((E175/D175)*60)*1.5,E175&gt;=20,((E175/D175)*60)*1.8)</f>
        <v>26.379310344827584</v>
      </c>
      <c r="AT175" cm="1">
        <f t="array" ref="AT175">_xlfn.IFS(F175&lt;550,((F175/D175)*60)*0.5,AND(F175&gt;=550,F175&lt;575),((F175/D175)*60)*0.75,AND(F175&gt;=575,F175&lt;600),((F175/D175)*60)*0.9,AND(F175=600),((F175/D175)*60)*1,AND(F175&gt;=601,F175&lt;=625),((F175/D175)*60)*1.2,AND(F175&gt;=626,F175&lt;=650),((F175/D175)*60)*1.5,F175&gt;=651,((F175/D175)*60)*1.8)</f>
        <v>763.44827586206895</v>
      </c>
      <c r="AU175">
        <f t="shared" si="47"/>
        <v>-1.5000000000000036</v>
      </c>
      <c r="AV175">
        <f t="shared" si="51"/>
        <v>315.63103448275865</v>
      </c>
      <c r="AW175">
        <f t="shared" si="48"/>
        <v>34.4</v>
      </c>
      <c r="AX175" t="str">
        <f t="shared" si="49"/>
        <v>Jul-2021</v>
      </c>
      <c r="AY175">
        <f>ROUNDUP(Table2[[#This Row],[Month]]/3,0)</f>
        <v>3</v>
      </c>
    </row>
    <row r="176" spans="1:51" x14ac:dyDescent="0.2">
      <c r="A176">
        <v>175</v>
      </c>
      <c r="B176">
        <f t="shared" si="36"/>
        <v>17</v>
      </c>
      <c r="C176" s="22">
        <v>44396</v>
      </c>
      <c r="D176">
        <f>SUM(Table2[[#This Row],[Gray Min]:[Red Min]])</f>
        <v>56</v>
      </c>
      <c r="E176">
        <v>20</v>
      </c>
      <c r="F176">
        <v>615</v>
      </c>
      <c r="G176">
        <v>124</v>
      </c>
      <c r="H176">
        <v>181</v>
      </c>
      <c r="I176">
        <v>22</v>
      </c>
      <c r="J176">
        <v>11</v>
      </c>
      <c r="K176">
        <v>3</v>
      </c>
      <c r="L176">
        <v>5</v>
      </c>
      <c r="M176">
        <v>15</v>
      </c>
      <c r="N176" t="s">
        <v>101</v>
      </c>
      <c r="O176" t="s">
        <v>39</v>
      </c>
      <c r="P176" t="s">
        <v>109</v>
      </c>
      <c r="Q176">
        <f t="shared" si="50"/>
        <v>3</v>
      </c>
      <c r="R176" t="str">
        <f t="shared" si="37"/>
        <v>7-2021</v>
      </c>
      <c r="S176" t="s">
        <v>104</v>
      </c>
      <c r="T176" t="str">
        <f t="shared" si="38"/>
        <v>Monday</v>
      </c>
      <c r="U176">
        <f t="shared" si="39"/>
        <v>1</v>
      </c>
      <c r="V176" s="24">
        <f>IFERROR(Table2[[#This Row],[Gray Min]]/Table2[[#This Row],[ClassLength]],"")</f>
        <v>0.39285714285714285</v>
      </c>
      <c r="W176" s="24">
        <f>IFERROR(Table2[[#This Row],[Blue Min]]/Table2[[#This Row],[ClassLength]],"")</f>
        <v>0.19642857142857142</v>
      </c>
      <c r="X176" s="24">
        <f>IFERROR(Table2[[#This Row],[Green Min]]/Table2[[#This Row],[ClassLength]],"")</f>
        <v>5.3571428571428568E-2</v>
      </c>
      <c r="Y176" s="24">
        <f>IFERROR(Table2[[#This Row],[Orange Min]]/Table2[[#This Row],[ClassLength]],"")</f>
        <v>8.9285714285714288E-2</v>
      </c>
      <c r="Z176" s="24">
        <f>IFERROR(Table2[[#This Row],[Red Min]]/Table2[[#This Row],[ClassLength]],"")</f>
        <v>0.26785714285714285</v>
      </c>
      <c r="AA176" s="25">
        <v>232.14</v>
      </c>
      <c r="AB176" s="25">
        <f t="shared" si="52"/>
        <v>13.655294117647058</v>
      </c>
      <c r="AC176" s="26">
        <f t="shared" si="40"/>
        <v>600.11764705882354</v>
      </c>
      <c r="AD176" s="26">
        <f t="shared" si="41"/>
        <v>14.176470588235293</v>
      </c>
      <c r="AE176">
        <f t="shared" si="42"/>
        <v>2021</v>
      </c>
      <c r="AG176">
        <v>12</v>
      </c>
      <c r="AH176" s="26">
        <f t="shared" si="43"/>
        <v>10.982142857142858</v>
      </c>
      <c r="AI176" t="str">
        <f t="shared" si="44"/>
        <v>PM</v>
      </c>
      <c r="AJ176" t="str">
        <f t="shared" si="45"/>
        <v>7-2021-4</v>
      </c>
      <c r="AK176">
        <f t="shared" si="46"/>
        <v>7</v>
      </c>
      <c r="AL176" s="26">
        <f>IFERROR(Table2[[#This Row],[Calories]]/Table2[[#This Row],[Splat]],"")</f>
        <v>30.75</v>
      </c>
      <c r="AM176">
        <f>COUNTIF(N$2:$N$938,N176)</f>
        <v>191</v>
      </c>
      <c r="AN176" t="str">
        <f>VLOOKUP(N176,'Helpful Tables'!A:D,4,FALSE)</f>
        <v>Washington, DC</v>
      </c>
      <c r="AO176" s="24">
        <f>COUNTIF(AN:AN,Table2[[#This Row],[State]])/COUNTA(AN:AN)</f>
        <v>0.54904051172707891</v>
      </c>
      <c r="AP176">
        <f>VLOOKUP(N176,'Helpful Tables'!A:B,2,FALSE)</f>
        <v>38.949649000000001</v>
      </c>
      <c r="AQ176">
        <f>VLOOKUP(N176,'Helpful Tables'!A:C,3,FALSE)</f>
        <v>-77.080878999999996</v>
      </c>
      <c r="AR176">
        <f>COUNTIF(P$2:$P$938,P176)</f>
        <v>66</v>
      </c>
      <c r="AS176" cm="1">
        <f t="array" ref="AS176">_xlfn.IFS(E176&lt;6,((E176/D176)*60)*0.5,AND(E176&gt;=6,E176&lt;9),((E176/D176)*60)*0.75,AND(E176&gt;=9,E176&lt;=11),((E176/D176)*60)*0.9,AND(E176=12),((E176/D176)*60)*1,AND(E176&gt;=13,E176&lt;=15),((E176/D176)*60)*1.2,AND(E176&gt;=16,E176&lt;=19),((E176/D176)*60)*1.5,E176&gt;=20,((E176/D176)*60)*1.8)</f>
        <v>38.571428571428577</v>
      </c>
      <c r="AT176" cm="1">
        <f t="array" ref="AT176">_xlfn.IFS(F176&lt;550,((F176/D176)*60)*0.5,AND(F176&gt;=550,F176&lt;575),((F176/D176)*60)*0.75,AND(F176&gt;=575,F176&lt;600),((F176/D176)*60)*0.9,AND(F176=600),((F176/D176)*60)*1,AND(F176&gt;=601,F176&lt;=625),((F176/D176)*60)*1.2,AND(F176&gt;=626,F176&lt;=650),((F176/D176)*60)*1.5,F176&gt;=651,((F176/D176)*60)*1.8)</f>
        <v>790.71428571428567</v>
      </c>
      <c r="AU176">
        <f t="shared" si="47"/>
        <v>-5.8999999999999986</v>
      </c>
      <c r="AV176">
        <f t="shared" si="51"/>
        <v>330.53428571428572</v>
      </c>
      <c r="AW176">
        <f t="shared" si="48"/>
        <v>40.400000000000006</v>
      </c>
      <c r="AX176" t="str">
        <f t="shared" si="49"/>
        <v>Jul-2021</v>
      </c>
      <c r="AY176">
        <f>ROUNDUP(Table2[[#This Row],[Month]]/3,0)</f>
        <v>3</v>
      </c>
    </row>
    <row r="177" spans="1:51" x14ac:dyDescent="0.2">
      <c r="A177">
        <v>176</v>
      </c>
      <c r="B177">
        <f t="shared" si="36"/>
        <v>17</v>
      </c>
      <c r="C177" s="22">
        <v>44398</v>
      </c>
      <c r="D177">
        <f>SUM(Table2[[#This Row],[Gray Min]:[Red Min]])</f>
        <v>60</v>
      </c>
      <c r="E177">
        <v>12</v>
      </c>
      <c r="F177">
        <v>601</v>
      </c>
      <c r="G177">
        <v>121</v>
      </c>
      <c r="H177">
        <v>168</v>
      </c>
      <c r="I177">
        <v>17</v>
      </c>
      <c r="J177">
        <v>20</v>
      </c>
      <c r="K177">
        <v>11</v>
      </c>
      <c r="L177">
        <v>9</v>
      </c>
      <c r="M177">
        <v>3</v>
      </c>
      <c r="N177" t="s">
        <v>91</v>
      </c>
      <c r="O177" t="s">
        <v>39</v>
      </c>
      <c r="P177" t="s">
        <v>96</v>
      </c>
      <c r="Q177">
        <f t="shared" si="50"/>
        <v>2</v>
      </c>
      <c r="R177" t="str">
        <f t="shared" si="37"/>
        <v>7-2021</v>
      </c>
      <c r="S177" t="s">
        <v>117</v>
      </c>
      <c r="T177" t="str">
        <f t="shared" si="38"/>
        <v>Wednesday</v>
      </c>
      <c r="U177">
        <f t="shared" si="39"/>
        <v>1</v>
      </c>
      <c r="V177" s="24">
        <f>IFERROR(Table2[[#This Row],[Gray Min]]/Table2[[#This Row],[ClassLength]],"")</f>
        <v>0.28333333333333333</v>
      </c>
      <c r="W177" s="24">
        <f>IFERROR(Table2[[#This Row],[Blue Min]]/Table2[[#This Row],[ClassLength]],"")</f>
        <v>0.33333333333333331</v>
      </c>
      <c r="X177" s="24">
        <f>IFERROR(Table2[[#This Row],[Green Min]]/Table2[[#This Row],[ClassLength]],"")</f>
        <v>0.18333333333333332</v>
      </c>
      <c r="Y177" s="24">
        <f>IFERROR(Table2[[#This Row],[Orange Min]]/Table2[[#This Row],[ClassLength]],"")</f>
        <v>0.15</v>
      </c>
      <c r="Z177" s="24">
        <f>IFERROR(Table2[[#This Row],[Red Min]]/Table2[[#This Row],[ClassLength]],"")</f>
        <v>0.05</v>
      </c>
      <c r="AA177" s="25">
        <v>232.14</v>
      </c>
      <c r="AB177" s="25">
        <f t="shared" si="52"/>
        <v>13.655294117647058</v>
      </c>
      <c r="AC177" s="26">
        <f t="shared" si="40"/>
        <v>600.11764705882354</v>
      </c>
      <c r="AD177" s="26">
        <f t="shared" si="41"/>
        <v>14.176470588235293</v>
      </c>
      <c r="AE177">
        <f t="shared" si="42"/>
        <v>2021</v>
      </c>
      <c r="AG177">
        <v>12</v>
      </c>
      <c r="AH177" s="26">
        <f t="shared" si="43"/>
        <v>10.016666666666667</v>
      </c>
      <c r="AI177" t="str">
        <f t="shared" si="44"/>
        <v>PM</v>
      </c>
      <c r="AJ177" t="str">
        <f t="shared" si="45"/>
        <v>7-2021-4</v>
      </c>
      <c r="AK177">
        <f t="shared" si="46"/>
        <v>7</v>
      </c>
      <c r="AL177" s="26">
        <f>IFERROR(Table2[[#This Row],[Calories]]/Table2[[#This Row],[Splat]],"")</f>
        <v>50.083333333333336</v>
      </c>
      <c r="AM177">
        <f>COUNTIF(N$2:$N$938,N177)</f>
        <v>218</v>
      </c>
      <c r="AN177" t="str">
        <f>VLOOKUP(N177,'Helpful Tables'!A:D,4,FALSE)</f>
        <v>Washington, DC</v>
      </c>
      <c r="AO177" s="24">
        <f>COUNTIF(AN:AN,Table2[[#This Row],[State]])/COUNTA(AN:AN)</f>
        <v>0.54904051172707891</v>
      </c>
      <c r="AP177">
        <f>VLOOKUP(N177,'Helpful Tables'!A:B,2,FALSE)</f>
        <v>38.934710000000003</v>
      </c>
      <c r="AQ177">
        <f>VLOOKUP(N177,'Helpful Tables'!A:C,3,FALSE)</f>
        <v>-77.058222999999998</v>
      </c>
      <c r="AR177">
        <f>COUNTIF(P$2:$P$938,P177)</f>
        <v>71</v>
      </c>
      <c r="AS177" cm="1">
        <f t="array" ref="AS177">_xlfn.IFS(E177&lt;6,((E177/D177)*60)*0.5,AND(E177&gt;=6,E177&lt;9),((E177/D177)*60)*0.75,AND(E177&gt;=9,E177&lt;=11),((E177/D177)*60)*0.9,AND(E177=12),((E177/D177)*60)*1,AND(E177&gt;=13,E177&lt;=15),((E177/D177)*60)*1.2,AND(E177&gt;=16,E177&lt;=19),((E177/D177)*60)*1.5,E177&gt;=20,((E177/D177)*60)*1.8)</f>
        <v>12</v>
      </c>
      <c r="AT177" cm="1">
        <f t="array" ref="AT177">_xlfn.IFS(F177&lt;550,((F177/D177)*60)*0.5,AND(F177&gt;=550,F177&lt;575),((F177/D177)*60)*0.75,AND(F177&gt;=575,F177&lt;600),((F177/D177)*60)*0.9,AND(F177=600),((F177/D177)*60)*1,AND(F177&gt;=601,F177&lt;=625),((F177/D177)*60)*1.2,AND(F177&gt;=626,F177&lt;=650),((F177/D177)*60)*1.5,F177&gt;=651,((F177/D177)*60)*1.8)</f>
        <v>721.19999999999993</v>
      </c>
      <c r="AU177">
        <f t="shared" si="47"/>
        <v>-13</v>
      </c>
      <c r="AV177">
        <f t="shared" si="51"/>
        <v>290.67999999999995</v>
      </c>
      <c r="AW177">
        <f t="shared" si="48"/>
        <v>24.5</v>
      </c>
      <c r="AX177" t="str">
        <f t="shared" si="49"/>
        <v>Jul-2021</v>
      </c>
      <c r="AY177">
        <f>ROUNDUP(Table2[[#This Row],[Month]]/3,0)</f>
        <v>3</v>
      </c>
    </row>
    <row r="178" spans="1:51" x14ac:dyDescent="0.2">
      <c r="A178">
        <v>177</v>
      </c>
      <c r="B178">
        <f t="shared" si="36"/>
        <v>17</v>
      </c>
      <c r="C178" s="22">
        <v>44399</v>
      </c>
      <c r="D178">
        <f>SUM(Table2[[#This Row],[Gray Min]:[Red Min]])</f>
        <v>53</v>
      </c>
      <c r="E178">
        <v>9</v>
      </c>
      <c r="F178">
        <v>474</v>
      </c>
      <c r="G178">
        <v>113</v>
      </c>
      <c r="H178">
        <v>163</v>
      </c>
      <c r="I178">
        <v>24</v>
      </c>
      <c r="J178">
        <v>10</v>
      </c>
      <c r="K178">
        <v>10</v>
      </c>
      <c r="L178">
        <v>9</v>
      </c>
      <c r="M178">
        <v>0</v>
      </c>
      <c r="N178" t="s">
        <v>91</v>
      </c>
      <c r="O178" t="s">
        <v>39</v>
      </c>
      <c r="P178" t="s">
        <v>96</v>
      </c>
      <c r="Q178">
        <f t="shared" si="50"/>
        <v>1</v>
      </c>
      <c r="R178" t="str">
        <f t="shared" si="37"/>
        <v>7-2021</v>
      </c>
      <c r="S178" t="s">
        <v>117</v>
      </c>
      <c r="T178" t="str">
        <f t="shared" si="38"/>
        <v>Thursday</v>
      </c>
      <c r="U178">
        <f t="shared" si="39"/>
        <v>0</v>
      </c>
      <c r="V178" s="24">
        <f>IFERROR(Table2[[#This Row],[Gray Min]]/Table2[[#This Row],[ClassLength]],"")</f>
        <v>0.45283018867924529</v>
      </c>
      <c r="W178" s="24">
        <f>IFERROR(Table2[[#This Row],[Blue Min]]/Table2[[#This Row],[ClassLength]],"")</f>
        <v>0.18867924528301888</v>
      </c>
      <c r="X178" s="24">
        <f>IFERROR(Table2[[#This Row],[Green Min]]/Table2[[#This Row],[ClassLength]],"")</f>
        <v>0.18867924528301888</v>
      </c>
      <c r="Y178" s="24">
        <f>IFERROR(Table2[[#This Row],[Orange Min]]/Table2[[#This Row],[ClassLength]],"")</f>
        <v>0.16981132075471697</v>
      </c>
      <c r="Z178" s="24">
        <f>IFERROR(Table2[[#This Row],[Red Min]]/Table2[[#This Row],[ClassLength]],"")</f>
        <v>0</v>
      </c>
      <c r="AA178" s="25">
        <v>232.14</v>
      </c>
      <c r="AB178" s="25">
        <f t="shared" si="52"/>
        <v>13.655294117647058</v>
      </c>
      <c r="AC178" s="26">
        <f t="shared" si="40"/>
        <v>600.11764705882354</v>
      </c>
      <c r="AD178" s="26">
        <f t="shared" si="41"/>
        <v>14.176470588235293</v>
      </c>
      <c r="AE178">
        <f t="shared" si="42"/>
        <v>2021</v>
      </c>
      <c r="AG178">
        <v>12</v>
      </c>
      <c r="AH178" s="26">
        <f t="shared" si="43"/>
        <v>8.9433962264150946</v>
      </c>
      <c r="AI178" t="str">
        <f t="shared" si="44"/>
        <v>PM</v>
      </c>
      <c r="AJ178" t="str">
        <f t="shared" si="45"/>
        <v>7-2021-4</v>
      </c>
      <c r="AK178">
        <f t="shared" si="46"/>
        <v>7</v>
      </c>
      <c r="AL178" s="26">
        <f>IFERROR(Table2[[#This Row],[Calories]]/Table2[[#This Row],[Splat]],"")</f>
        <v>52.666666666666664</v>
      </c>
      <c r="AM178">
        <f>COUNTIF(N$2:$N$938,N178)</f>
        <v>218</v>
      </c>
      <c r="AN178" t="str">
        <f>VLOOKUP(N178,'Helpful Tables'!A:D,4,FALSE)</f>
        <v>Washington, DC</v>
      </c>
      <c r="AO178" s="24">
        <f>COUNTIF(AN:AN,Table2[[#This Row],[State]])/COUNTA(AN:AN)</f>
        <v>0.54904051172707891</v>
      </c>
      <c r="AP178">
        <f>VLOOKUP(N178,'Helpful Tables'!A:B,2,FALSE)</f>
        <v>38.934710000000003</v>
      </c>
      <c r="AQ178">
        <f>VLOOKUP(N178,'Helpful Tables'!A:C,3,FALSE)</f>
        <v>-77.058222999999998</v>
      </c>
      <c r="AR178">
        <f>COUNTIF(P$2:$P$938,P178)</f>
        <v>71</v>
      </c>
      <c r="AS178" cm="1">
        <f t="array" ref="AS178">_xlfn.IFS(E178&lt;6,((E178/D178)*60)*0.5,AND(E178&gt;=6,E178&lt;9),((E178/D178)*60)*0.75,AND(E178&gt;=9,E178&lt;=11),((E178/D178)*60)*0.9,AND(E178=12),((E178/D178)*60)*1,AND(E178&gt;=13,E178&lt;=15),((E178/D178)*60)*1.2,AND(E178&gt;=16,E178&lt;=19),((E178/D178)*60)*1.5,E178&gt;=20,((E178/D178)*60)*1.8)</f>
        <v>9.1698113207547163</v>
      </c>
      <c r="AT178" cm="1">
        <f t="array" ref="AT178">_xlfn.IFS(F178&lt;550,((F178/D178)*60)*0.5,AND(F178&gt;=550,F178&lt;575),((F178/D178)*60)*0.75,AND(F178&gt;=575,F178&lt;600),((F178/D178)*60)*0.9,AND(F178=600),((F178/D178)*60)*1,AND(F178&gt;=601,F178&lt;=625),((F178/D178)*60)*1.2,AND(F178&gt;=626,F178&lt;=650),((F178/D178)*60)*1.5,F178&gt;=651,((F178/D178)*60)*1.8)</f>
        <v>268.30188679245282</v>
      </c>
      <c r="AU178">
        <f t="shared" si="47"/>
        <v>-16.099999999999994</v>
      </c>
      <c r="AV178">
        <f t="shared" si="51"/>
        <v>107.76867924528301</v>
      </c>
      <c r="AW178">
        <f t="shared" si="48"/>
        <v>3.3000000000000003</v>
      </c>
      <c r="AX178" t="str">
        <f t="shared" si="49"/>
        <v>Jul-2021</v>
      </c>
      <c r="AY178">
        <f>ROUNDUP(Table2[[#This Row],[Month]]/3,0)</f>
        <v>3</v>
      </c>
    </row>
    <row r="179" spans="1:51" x14ac:dyDescent="0.2">
      <c r="A179">
        <v>178</v>
      </c>
      <c r="B179">
        <f t="shared" si="36"/>
        <v>17</v>
      </c>
      <c r="C179" s="22">
        <v>44401</v>
      </c>
      <c r="D179">
        <f>SUM(Table2[[#This Row],[Gray Min]:[Red Min]])</f>
        <v>61</v>
      </c>
      <c r="E179">
        <v>16</v>
      </c>
      <c r="F179">
        <v>661</v>
      </c>
      <c r="G179">
        <v>128</v>
      </c>
      <c r="H179">
        <v>165</v>
      </c>
      <c r="I179">
        <v>13</v>
      </c>
      <c r="J179">
        <v>14</v>
      </c>
      <c r="K179">
        <v>18</v>
      </c>
      <c r="L179">
        <v>14</v>
      </c>
      <c r="M179">
        <v>2</v>
      </c>
      <c r="N179" t="s">
        <v>101</v>
      </c>
      <c r="O179" t="s">
        <v>45</v>
      </c>
      <c r="P179" t="s">
        <v>109</v>
      </c>
      <c r="Q179">
        <f t="shared" si="50"/>
        <v>2</v>
      </c>
      <c r="R179" t="str">
        <f t="shared" si="37"/>
        <v>7-2021</v>
      </c>
      <c r="S179" t="s">
        <v>104</v>
      </c>
      <c r="T179" t="str">
        <f t="shared" si="38"/>
        <v>Saturday</v>
      </c>
      <c r="U179">
        <f t="shared" si="39"/>
        <v>1</v>
      </c>
      <c r="V179" s="24">
        <f>IFERROR(Table2[[#This Row],[Gray Min]]/Table2[[#This Row],[ClassLength]],"")</f>
        <v>0.21311475409836064</v>
      </c>
      <c r="W179" s="24">
        <f>IFERROR(Table2[[#This Row],[Blue Min]]/Table2[[#This Row],[ClassLength]],"")</f>
        <v>0.22950819672131148</v>
      </c>
      <c r="X179" s="24">
        <f>IFERROR(Table2[[#This Row],[Green Min]]/Table2[[#This Row],[ClassLength]],"")</f>
        <v>0.29508196721311475</v>
      </c>
      <c r="Y179" s="24">
        <f>IFERROR(Table2[[#This Row],[Orange Min]]/Table2[[#This Row],[ClassLength]],"")</f>
        <v>0.22950819672131148</v>
      </c>
      <c r="Z179" s="24">
        <f>IFERROR(Table2[[#This Row],[Red Min]]/Table2[[#This Row],[ClassLength]],"")</f>
        <v>3.2786885245901641E-2</v>
      </c>
      <c r="AA179" s="25">
        <v>232.14</v>
      </c>
      <c r="AB179" s="25">
        <f t="shared" si="52"/>
        <v>13.655294117647058</v>
      </c>
      <c r="AC179" s="26">
        <f t="shared" si="40"/>
        <v>600.11764705882354</v>
      </c>
      <c r="AD179" s="26">
        <f t="shared" si="41"/>
        <v>14.176470588235293</v>
      </c>
      <c r="AE179">
        <f t="shared" si="42"/>
        <v>2021</v>
      </c>
      <c r="AG179">
        <v>12</v>
      </c>
      <c r="AH179" s="26">
        <f t="shared" si="43"/>
        <v>10.836065573770492</v>
      </c>
      <c r="AI179" t="str">
        <f t="shared" si="44"/>
        <v>AM</v>
      </c>
      <c r="AJ179" t="str">
        <f t="shared" si="45"/>
        <v>7-2021-4</v>
      </c>
      <c r="AK179">
        <f t="shared" si="46"/>
        <v>7</v>
      </c>
      <c r="AL179" s="26">
        <f>IFERROR(Table2[[#This Row],[Calories]]/Table2[[#This Row],[Splat]],"")</f>
        <v>41.3125</v>
      </c>
      <c r="AM179">
        <f>COUNTIF(N$2:$N$938,N179)</f>
        <v>191</v>
      </c>
      <c r="AN179" t="str">
        <f>VLOOKUP(N179,'Helpful Tables'!A:D,4,FALSE)</f>
        <v>Washington, DC</v>
      </c>
      <c r="AO179" s="24">
        <f>COUNTIF(AN:AN,Table2[[#This Row],[State]])/COUNTA(AN:AN)</f>
        <v>0.54904051172707891</v>
      </c>
      <c r="AP179">
        <f>VLOOKUP(N179,'Helpful Tables'!A:B,2,FALSE)</f>
        <v>38.949649000000001</v>
      </c>
      <c r="AQ179">
        <f>VLOOKUP(N179,'Helpful Tables'!A:C,3,FALSE)</f>
        <v>-77.080878999999996</v>
      </c>
      <c r="AR179">
        <f>COUNTIF(P$2:$P$938,P179)</f>
        <v>66</v>
      </c>
      <c r="AS179" cm="1">
        <f t="array" ref="AS179">_xlfn.IFS(E179&lt;6,((E179/D179)*60)*0.5,AND(E179&gt;=6,E179&lt;9),((E179/D179)*60)*0.75,AND(E179&gt;=9,E179&lt;=11),((E179/D179)*60)*0.9,AND(E179=12),((E179/D179)*60)*1,AND(E179&gt;=13,E179&lt;=15),((E179/D179)*60)*1.2,AND(E179&gt;=16,E179&lt;=19),((E179/D179)*60)*1.5,E179&gt;=20,((E179/D179)*60)*1.8)</f>
        <v>23.606557377049182</v>
      </c>
      <c r="AT179" cm="1">
        <f t="array" ref="AT179">_xlfn.IFS(F179&lt;550,((F179/D179)*60)*0.5,AND(F179&gt;=550,F179&lt;575),((F179/D179)*60)*0.75,AND(F179&gt;=575,F179&lt;600),((F179/D179)*60)*0.9,AND(F179=600),((F179/D179)*60)*1,AND(F179&gt;=601,F179&lt;=625),((F179/D179)*60)*1.2,AND(F179&gt;=626,F179&lt;=650),((F179/D179)*60)*1.5,F179&gt;=651,((F179/D179)*60)*1.8)</f>
        <v>1170.295081967213</v>
      </c>
      <c r="AU179">
        <f t="shared" si="47"/>
        <v>11.799999999999997</v>
      </c>
      <c r="AV179">
        <f t="shared" si="51"/>
        <v>479.92065573770492</v>
      </c>
      <c r="AW179">
        <f t="shared" si="48"/>
        <v>69.699999999999989</v>
      </c>
      <c r="AX179" t="str">
        <f t="shared" si="49"/>
        <v>Jul-2021</v>
      </c>
      <c r="AY179">
        <f>ROUNDUP(Table2[[#This Row],[Month]]/3,0)</f>
        <v>3</v>
      </c>
    </row>
    <row r="180" spans="1:51" x14ac:dyDescent="0.2">
      <c r="A180">
        <v>179</v>
      </c>
      <c r="B180">
        <f t="shared" si="36"/>
        <v>17</v>
      </c>
      <c r="C180" s="22">
        <v>44404</v>
      </c>
      <c r="D180">
        <f>SUM(Table2[[#This Row],[Gray Min]:[Red Min]])</f>
        <v>58</v>
      </c>
      <c r="E180">
        <v>18</v>
      </c>
      <c r="F180">
        <v>593</v>
      </c>
      <c r="G180">
        <v>123</v>
      </c>
      <c r="H180">
        <v>167</v>
      </c>
      <c r="I180">
        <v>22</v>
      </c>
      <c r="J180">
        <v>9</v>
      </c>
      <c r="K180">
        <v>9</v>
      </c>
      <c r="L180">
        <v>15</v>
      </c>
      <c r="M180">
        <v>3</v>
      </c>
      <c r="N180" t="s">
        <v>101</v>
      </c>
      <c r="O180" t="s">
        <v>107</v>
      </c>
      <c r="P180" t="s">
        <v>119</v>
      </c>
      <c r="Q180">
        <f t="shared" si="50"/>
        <v>3</v>
      </c>
      <c r="R180" t="str">
        <f t="shared" si="37"/>
        <v>7-2021</v>
      </c>
      <c r="S180" t="s">
        <v>104</v>
      </c>
      <c r="T180" t="str">
        <f t="shared" si="38"/>
        <v>Tuesday</v>
      </c>
      <c r="U180">
        <f t="shared" si="39"/>
        <v>1</v>
      </c>
      <c r="V180" s="24">
        <f>IFERROR(Table2[[#This Row],[Gray Min]]/Table2[[#This Row],[ClassLength]],"")</f>
        <v>0.37931034482758619</v>
      </c>
      <c r="W180" s="24">
        <f>IFERROR(Table2[[#This Row],[Blue Min]]/Table2[[#This Row],[ClassLength]],"")</f>
        <v>0.15517241379310345</v>
      </c>
      <c r="X180" s="24">
        <f>IFERROR(Table2[[#This Row],[Green Min]]/Table2[[#This Row],[ClassLength]],"")</f>
        <v>0.15517241379310345</v>
      </c>
      <c r="Y180" s="24">
        <f>IFERROR(Table2[[#This Row],[Orange Min]]/Table2[[#This Row],[ClassLength]],"")</f>
        <v>0.25862068965517243</v>
      </c>
      <c r="Z180" s="24">
        <f>IFERROR(Table2[[#This Row],[Red Min]]/Table2[[#This Row],[ClassLength]],"")</f>
        <v>5.1724137931034482E-2</v>
      </c>
      <c r="AA180" s="25">
        <v>232.14</v>
      </c>
      <c r="AB180" s="25">
        <f t="shared" si="52"/>
        <v>13.655294117647058</v>
      </c>
      <c r="AC180" s="26">
        <f t="shared" si="40"/>
        <v>600.11764705882354</v>
      </c>
      <c r="AD180" s="26">
        <f t="shared" si="41"/>
        <v>14.176470588235293</v>
      </c>
      <c r="AE180">
        <f t="shared" si="42"/>
        <v>2021</v>
      </c>
      <c r="AG180">
        <v>12</v>
      </c>
      <c r="AH180" s="26">
        <f t="shared" si="43"/>
        <v>10.224137931034482</v>
      </c>
      <c r="AI180" t="str">
        <f t="shared" si="44"/>
        <v>AM</v>
      </c>
      <c r="AJ180" t="str">
        <f t="shared" si="45"/>
        <v>7-2021-5</v>
      </c>
      <c r="AK180">
        <f t="shared" si="46"/>
        <v>7</v>
      </c>
      <c r="AL180" s="26">
        <f>IFERROR(Table2[[#This Row],[Calories]]/Table2[[#This Row],[Splat]],"")</f>
        <v>32.944444444444443</v>
      </c>
      <c r="AM180">
        <f>COUNTIF(N$2:$N$938,N180)</f>
        <v>191</v>
      </c>
      <c r="AN180" t="str">
        <f>VLOOKUP(N180,'Helpful Tables'!A:D,4,FALSE)</f>
        <v>Washington, DC</v>
      </c>
      <c r="AO180" s="24">
        <f>COUNTIF(AN:AN,Table2[[#This Row],[State]])/COUNTA(AN:AN)</f>
        <v>0.54904051172707891</v>
      </c>
      <c r="AP180">
        <f>VLOOKUP(N180,'Helpful Tables'!A:B,2,FALSE)</f>
        <v>38.949649000000001</v>
      </c>
      <c r="AQ180">
        <f>VLOOKUP(N180,'Helpful Tables'!A:C,3,FALSE)</f>
        <v>-77.080878999999996</v>
      </c>
      <c r="AR180">
        <f>COUNTIF(P$2:$P$938,P180)</f>
        <v>1</v>
      </c>
      <c r="AS180" cm="1">
        <f t="array" ref="AS180">_xlfn.IFS(E180&lt;6,((E180/D180)*60)*0.5,AND(E180&gt;=6,E180&lt;9),((E180/D180)*60)*0.75,AND(E180&gt;=9,E180&lt;=11),((E180/D180)*60)*0.9,AND(E180=12),((E180/D180)*60)*1,AND(E180&gt;=13,E180&lt;=15),((E180/D180)*60)*1.2,AND(E180&gt;=16,E180&lt;=19),((E180/D180)*60)*1.5,E180&gt;=20,((E180/D180)*60)*1.8)</f>
        <v>27.931034482758619</v>
      </c>
      <c r="AT180" cm="1">
        <f t="array" ref="AT180">_xlfn.IFS(F180&lt;550,((F180/D180)*60)*0.5,AND(F180&gt;=550,F180&lt;575),((F180/D180)*60)*0.75,AND(F180&gt;=575,F180&lt;600),((F180/D180)*60)*0.9,AND(F180=600),((F180/D180)*60)*1,AND(F180&gt;=601,F180&lt;=625),((F180/D180)*60)*1.2,AND(F180&gt;=626,F180&lt;=650),((F180/D180)*60)*1.5,F180&gt;=651,((F180/D180)*60)*1.8)</f>
        <v>552.10344827586209</v>
      </c>
      <c r="AU180">
        <f t="shared" si="47"/>
        <v>-1.5</v>
      </c>
      <c r="AV180">
        <f t="shared" si="51"/>
        <v>231.7137931034483</v>
      </c>
      <c r="AW180">
        <f t="shared" si="48"/>
        <v>20.3</v>
      </c>
      <c r="AX180" t="str">
        <f t="shared" si="49"/>
        <v>Jul-2021</v>
      </c>
      <c r="AY180">
        <f>ROUNDUP(Table2[[#This Row],[Month]]/3,0)</f>
        <v>3</v>
      </c>
    </row>
    <row r="181" spans="1:51" x14ac:dyDescent="0.2">
      <c r="A181">
        <v>180</v>
      </c>
      <c r="B181">
        <f t="shared" si="36"/>
        <v>17</v>
      </c>
      <c r="C181" s="22">
        <v>44405</v>
      </c>
      <c r="D181">
        <f>SUM(Table2[[#This Row],[Gray Min]:[Red Min]])</f>
        <v>58</v>
      </c>
      <c r="E181">
        <v>13</v>
      </c>
      <c r="F181">
        <v>614</v>
      </c>
      <c r="G181">
        <v>124</v>
      </c>
      <c r="H181">
        <v>173</v>
      </c>
      <c r="I181">
        <v>16</v>
      </c>
      <c r="J181">
        <v>16</v>
      </c>
      <c r="K181">
        <v>13</v>
      </c>
      <c r="L181">
        <v>8</v>
      </c>
      <c r="M181">
        <v>5</v>
      </c>
      <c r="N181" t="s">
        <v>91</v>
      </c>
      <c r="O181" t="s">
        <v>39</v>
      </c>
      <c r="P181" t="s">
        <v>96</v>
      </c>
      <c r="Q181">
        <f t="shared" si="50"/>
        <v>1</v>
      </c>
      <c r="R181" t="str">
        <f t="shared" si="37"/>
        <v>7-2021</v>
      </c>
      <c r="S181" t="s">
        <v>117</v>
      </c>
      <c r="T181" t="str">
        <f t="shared" si="38"/>
        <v>Wednesday</v>
      </c>
      <c r="U181">
        <f t="shared" si="39"/>
        <v>1</v>
      </c>
      <c r="V181" s="24">
        <f>IFERROR(Table2[[#This Row],[Gray Min]]/Table2[[#This Row],[ClassLength]],"")</f>
        <v>0.27586206896551724</v>
      </c>
      <c r="W181" s="24">
        <f>IFERROR(Table2[[#This Row],[Blue Min]]/Table2[[#This Row],[ClassLength]],"")</f>
        <v>0.27586206896551724</v>
      </c>
      <c r="X181" s="24">
        <f>IFERROR(Table2[[#This Row],[Green Min]]/Table2[[#This Row],[ClassLength]],"")</f>
        <v>0.22413793103448276</v>
      </c>
      <c r="Y181" s="24">
        <f>IFERROR(Table2[[#This Row],[Orange Min]]/Table2[[#This Row],[ClassLength]],"")</f>
        <v>0.13793103448275862</v>
      </c>
      <c r="Z181" s="24">
        <f>IFERROR(Table2[[#This Row],[Red Min]]/Table2[[#This Row],[ClassLength]],"")</f>
        <v>8.6206896551724144E-2</v>
      </c>
      <c r="AA181" s="25">
        <v>232.14</v>
      </c>
      <c r="AB181" s="25">
        <f t="shared" si="52"/>
        <v>13.655294117647058</v>
      </c>
      <c r="AC181" s="26">
        <f t="shared" si="40"/>
        <v>600.11764705882354</v>
      </c>
      <c r="AD181" s="26">
        <f t="shared" si="41"/>
        <v>14.176470588235293</v>
      </c>
      <c r="AE181">
        <f t="shared" si="42"/>
        <v>2021</v>
      </c>
      <c r="AG181">
        <v>12</v>
      </c>
      <c r="AH181" s="26">
        <f t="shared" si="43"/>
        <v>10.586206896551724</v>
      </c>
      <c r="AI181" t="str">
        <f t="shared" si="44"/>
        <v>PM</v>
      </c>
      <c r="AJ181" t="str">
        <f t="shared" si="45"/>
        <v>7-2021-5</v>
      </c>
      <c r="AK181">
        <f t="shared" si="46"/>
        <v>7</v>
      </c>
      <c r="AL181" s="26">
        <f>IFERROR(Table2[[#This Row],[Calories]]/Table2[[#This Row],[Splat]],"")</f>
        <v>47.230769230769234</v>
      </c>
      <c r="AM181">
        <f>COUNTIF(N$2:$N$938,N181)</f>
        <v>218</v>
      </c>
      <c r="AN181" t="str">
        <f>VLOOKUP(N181,'Helpful Tables'!A:D,4,FALSE)</f>
        <v>Washington, DC</v>
      </c>
      <c r="AO181" s="24">
        <f>COUNTIF(AN:AN,Table2[[#This Row],[State]])/COUNTA(AN:AN)</f>
        <v>0.54904051172707891</v>
      </c>
      <c r="AP181">
        <f>VLOOKUP(N181,'Helpful Tables'!A:B,2,FALSE)</f>
        <v>38.934710000000003</v>
      </c>
      <c r="AQ181">
        <f>VLOOKUP(N181,'Helpful Tables'!A:C,3,FALSE)</f>
        <v>-77.058222999999998</v>
      </c>
      <c r="AR181">
        <f>COUNTIF(P$2:$P$938,P181)</f>
        <v>71</v>
      </c>
      <c r="AS181" cm="1">
        <f t="array" ref="AS181">_xlfn.IFS(E181&lt;6,((E181/D181)*60)*0.5,AND(E181&gt;=6,E181&lt;9),((E181/D181)*60)*0.75,AND(E181&gt;=9,E181&lt;=11),((E181/D181)*60)*0.9,AND(E181=12),((E181/D181)*60)*1,AND(E181&gt;=13,E181&lt;=15),((E181/D181)*60)*1.2,AND(E181&gt;=16,E181&lt;=19),((E181/D181)*60)*1.5,E181&gt;=20,((E181/D181)*60)*1.8)</f>
        <v>16.137931034482758</v>
      </c>
      <c r="AT181" cm="1">
        <f t="array" ref="AT181">_xlfn.IFS(F181&lt;550,((F181/D181)*60)*0.5,AND(F181&gt;=550,F181&lt;575),((F181/D181)*60)*0.75,AND(F181&gt;=575,F181&lt;600),((F181/D181)*60)*0.9,AND(F181=600),((F181/D181)*60)*1,AND(F181&gt;=601,F181&lt;=625),((F181/D181)*60)*1.2,AND(F181&gt;=626,F181&lt;=650),((F181/D181)*60)*1.5,F181&gt;=651,((F181/D181)*60)*1.8)</f>
        <v>762.20689655172418</v>
      </c>
      <c r="AU181">
        <f t="shared" si="47"/>
        <v>-3.2999999999999954</v>
      </c>
      <c r="AV181">
        <f t="shared" si="51"/>
        <v>310.67793103448275</v>
      </c>
      <c r="AW181">
        <f t="shared" si="48"/>
        <v>31.6</v>
      </c>
      <c r="AX181" t="str">
        <f t="shared" si="49"/>
        <v>Jul-2021</v>
      </c>
      <c r="AY181">
        <f>ROUNDUP(Table2[[#This Row],[Month]]/3,0)</f>
        <v>3</v>
      </c>
    </row>
    <row r="182" spans="1:51" x14ac:dyDescent="0.2">
      <c r="A182">
        <v>181</v>
      </c>
      <c r="B182">
        <f t="shared" si="36"/>
        <v>17</v>
      </c>
      <c r="C182" s="22">
        <v>44407</v>
      </c>
      <c r="D182">
        <f>SUM(Table2[[#This Row],[Gray Min]:[Red Min]])</f>
        <v>58</v>
      </c>
      <c r="E182">
        <v>18</v>
      </c>
      <c r="F182">
        <v>569</v>
      </c>
      <c r="G182">
        <v>120</v>
      </c>
      <c r="H182">
        <v>165</v>
      </c>
      <c r="I182">
        <v>24</v>
      </c>
      <c r="J182">
        <v>11</v>
      </c>
      <c r="K182">
        <v>5</v>
      </c>
      <c r="L182">
        <v>14</v>
      </c>
      <c r="M182">
        <v>4</v>
      </c>
      <c r="N182" t="s">
        <v>101</v>
      </c>
      <c r="O182" t="s">
        <v>107</v>
      </c>
      <c r="P182" t="s">
        <v>102</v>
      </c>
      <c r="Q182">
        <f t="shared" si="50"/>
        <v>2</v>
      </c>
      <c r="R182" t="str">
        <f t="shared" si="37"/>
        <v>7-2021</v>
      </c>
      <c r="S182" t="s">
        <v>104</v>
      </c>
      <c r="T182" t="str">
        <f t="shared" si="38"/>
        <v>Friday</v>
      </c>
      <c r="U182">
        <f t="shared" si="39"/>
        <v>1</v>
      </c>
      <c r="V182" s="24">
        <f>IFERROR(Table2[[#This Row],[Gray Min]]/Table2[[#This Row],[ClassLength]],"")</f>
        <v>0.41379310344827586</v>
      </c>
      <c r="W182" s="24">
        <f>IFERROR(Table2[[#This Row],[Blue Min]]/Table2[[#This Row],[ClassLength]],"")</f>
        <v>0.18965517241379309</v>
      </c>
      <c r="X182" s="24">
        <f>IFERROR(Table2[[#This Row],[Green Min]]/Table2[[#This Row],[ClassLength]],"")</f>
        <v>8.6206896551724144E-2</v>
      </c>
      <c r="Y182" s="24">
        <f>IFERROR(Table2[[#This Row],[Orange Min]]/Table2[[#This Row],[ClassLength]],"")</f>
        <v>0.2413793103448276</v>
      </c>
      <c r="Z182" s="24">
        <f>IFERROR(Table2[[#This Row],[Red Min]]/Table2[[#This Row],[ClassLength]],"")</f>
        <v>6.8965517241379309E-2</v>
      </c>
      <c r="AA182" s="25">
        <v>232.14</v>
      </c>
      <c r="AB182" s="25">
        <f t="shared" si="52"/>
        <v>13.655294117647058</v>
      </c>
      <c r="AC182" s="26">
        <f t="shared" si="40"/>
        <v>600.11764705882354</v>
      </c>
      <c r="AD182" s="26">
        <f t="shared" si="41"/>
        <v>14.176470588235293</v>
      </c>
      <c r="AE182">
        <f t="shared" si="42"/>
        <v>2021</v>
      </c>
      <c r="AG182">
        <v>12</v>
      </c>
      <c r="AH182" s="26">
        <f t="shared" si="43"/>
        <v>9.8103448275862064</v>
      </c>
      <c r="AI182" t="str">
        <f t="shared" si="44"/>
        <v>AM</v>
      </c>
      <c r="AJ182" t="str">
        <f t="shared" si="45"/>
        <v>7-2021-5</v>
      </c>
      <c r="AK182">
        <f t="shared" si="46"/>
        <v>7</v>
      </c>
      <c r="AL182" s="26">
        <f>IFERROR(Table2[[#This Row],[Calories]]/Table2[[#This Row],[Splat]],"")</f>
        <v>31.611111111111111</v>
      </c>
      <c r="AM182">
        <f>COUNTIF(N$2:$N$938,N182)</f>
        <v>191</v>
      </c>
      <c r="AN182" t="str">
        <f>VLOOKUP(N182,'Helpful Tables'!A:D,4,FALSE)</f>
        <v>Washington, DC</v>
      </c>
      <c r="AO182" s="24">
        <f>COUNTIF(AN:AN,Table2[[#This Row],[State]])/COUNTA(AN:AN)</f>
        <v>0.54904051172707891</v>
      </c>
      <c r="AP182">
        <f>VLOOKUP(N182,'Helpful Tables'!A:B,2,FALSE)</f>
        <v>38.949649000000001</v>
      </c>
      <c r="AQ182">
        <f>VLOOKUP(N182,'Helpful Tables'!A:C,3,FALSE)</f>
        <v>-77.080878999999996</v>
      </c>
      <c r="AR182">
        <f>COUNTIF(P$2:$P$938,P182)</f>
        <v>20</v>
      </c>
      <c r="AS182" cm="1">
        <f t="array" ref="AS182">_xlfn.IFS(E182&lt;6,((E182/D182)*60)*0.5,AND(E182&gt;=6,E182&lt;9),((E182/D182)*60)*0.75,AND(E182&gt;=9,E182&lt;=11),((E182/D182)*60)*0.9,AND(E182=12),((E182/D182)*60)*1,AND(E182&gt;=13,E182&lt;=15),((E182/D182)*60)*1.2,AND(E182&gt;=16,E182&lt;=19),((E182/D182)*60)*1.5,E182&gt;=20,((E182/D182)*60)*1.8)</f>
        <v>27.931034482758619</v>
      </c>
      <c r="AT182" cm="1">
        <f t="array" ref="AT182">_xlfn.IFS(F182&lt;550,((F182/D182)*60)*0.5,AND(F182&gt;=550,F182&lt;575),((F182/D182)*60)*0.75,AND(F182&gt;=575,F182&lt;600),((F182/D182)*60)*0.9,AND(F182=600),((F182/D182)*60)*1,AND(F182&gt;=601,F182&lt;=625),((F182/D182)*60)*1.2,AND(F182&gt;=626,F182&lt;=650),((F182/D182)*60)*1.5,F182&gt;=651,((F182/D182)*60)*1.8)</f>
        <v>441.46551724137925</v>
      </c>
      <c r="AU182">
        <f t="shared" si="47"/>
        <v>-10.7</v>
      </c>
      <c r="AV182">
        <f t="shared" si="51"/>
        <v>185.61862068965519</v>
      </c>
      <c r="AW182">
        <f t="shared" si="48"/>
        <v>11.799999999999999</v>
      </c>
      <c r="AX182" t="str">
        <f t="shared" si="49"/>
        <v>Jul-2021</v>
      </c>
      <c r="AY182">
        <f>ROUNDUP(Table2[[#This Row],[Month]]/3,0)</f>
        <v>3</v>
      </c>
    </row>
    <row r="183" spans="1:51" x14ac:dyDescent="0.2">
      <c r="A183">
        <v>182</v>
      </c>
      <c r="B183">
        <f t="shared" si="36"/>
        <v>18</v>
      </c>
      <c r="C183" s="22">
        <v>44409</v>
      </c>
      <c r="D183">
        <f>SUM(Table2[[#This Row],[Gray Min]:[Red Min]])</f>
        <v>56</v>
      </c>
      <c r="E183">
        <v>15</v>
      </c>
      <c r="F183">
        <v>616</v>
      </c>
      <c r="G183">
        <v>128</v>
      </c>
      <c r="H183">
        <v>169</v>
      </c>
      <c r="I183">
        <v>9</v>
      </c>
      <c r="J183">
        <v>14</v>
      </c>
      <c r="K183">
        <v>18</v>
      </c>
      <c r="L183">
        <v>12</v>
      </c>
      <c r="M183">
        <v>3</v>
      </c>
      <c r="N183" t="s">
        <v>91</v>
      </c>
      <c r="O183" t="s">
        <v>45</v>
      </c>
      <c r="P183" t="s">
        <v>100</v>
      </c>
      <c r="Q183">
        <f t="shared" si="50"/>
        <v>2</v>
      </c>
      <c r="R183" t="str">
        <f t="shared" si="37"/>
        <v>8-2021</v>
      </c>
      <c r="S183" t="s">
        <v>104</v>
      </c>
      <c r="T183" t="str">
        <f t="shared" si="38"/>
        <v>Sunday</v>
      </c>
      <c r="U183">
        <f t="shared" si="39"/>
        <v>1</v>
      </c>
      <c r="V183" s="24">
        <f>IFERROR(Table2[[#This Row],[Gray Min]]/Table2[[#This Row],[ClassLength]],"")</f>
        <v>0.16071428571428573</v>
      </c>
      <c r="W183" s="24">
        <f>IFERROR(Table2[[#This Row],[Blue Min]]/Table2[[#This Row],[ClassLength]],"")</f>
        <v>0.25</v>
      </c>
      <c r="X183" s="24">
        <f>IFERROR(Table2[[#This Row],[Green Min]]/Table2[[#This Row],[ClassLength]],"")</f>
        <v>0.32142857142857145</v>
      </c>
      <c r="Y183" s="24">
        <f>IFERROR(Table2[[#This Row],[Orange Min]]/Table2[[#This Row],[ClassLength]],"")</f>
        <v>0.21428571428571427</v>
      </c>
      <c r="Z183" s="24">
        <f>IFERROR(Table2[[#This Row],[Red Min]]/Table2[[#This Row],[ClassLength]],"")</f>
        <v>5.3571428571428568E-2</v>
      </c>
      <c r="AA183" s="25">
        <v>232.14</v>
      </c>
      <c r="AB183" s="25">
        <f t="shared" si="52"/>
        <v>12.896666666666667</v>
      </c>
      <c r="AC183" s="26">
        <f t="shared" si="40"/>
        <v>654.38888888888891</v>
      </c>
      <c r="AD183" s="26">
        <f t="shared" si="41"/>
        <v>14.166666666666666</v>
      </c>
      <c r="AE183">
        <f t="shared" si="42"/>
        <v>2021</v>
      </c>
      <c r="AG183">
        <v>12</v>
      </c>
      <c r="AH183" s="26">
        <f t="shared" si="43"/>
        <v>11</v>
      </c>
      <c r="AI183" t="str">
        <f t="shared" si="44"/>
        <v>AM</v>
      </c>
      <c r="AJ183" t="str">
        <f t="shared" si="45"/>
        <v>8-2021-1</v>
      </c>
      <c r="AK183">
        <f t="shared" si="46"/>
        <v>8</v>
      </c>
      <c r="AL183" s="26">
        <f>IFERROR(Table2[[#This Row],[Calories]]/Table2[[#This Row],[Splat]],"")</f>
        <v>41.06666666666667</v>
      </c>
      <c r="AM183">
        <f>COUNTIF(N$2:$N$938,N183)</f>
        <v>218</v>
      </c>
      <c r="AN183" t="str">
        <f>VLOOKUP(N183,'Helpful Tables'!A:D,4,FALSE)</f>
        <v>Washington, DC</v>
      </c>
      <c r="AO183" s="24">
        <f>COUNTIF(AN:AN,Table2[[#This Row],[State]])/COUNTA(AN:AN)</f>
        <v>0.54904051172707891</v>
      </c>
      <c r="AP183">
        <f>VLOOKUP(N183,'Helpful Tables'!A:B,2,FALSE)</f>
        <v>38.934710000000003</v>
      </c>
      <c r="AQ183">
        <f>VLOOKUP(N183,'Helpful Tables'!A:C,3,FALSE)</f>
        <v>-77.058222999999998</v>
      </c>
      <c r="AR183">
        <f>COUNTIF(P$2:$P$938,P183)</f>
        <v>35</v>
      </c>
      <c r="AS183" cm="1">
        <f t="array" ref="AS183">_xlfn.IFS(E183&lt;6,((E183/D183)*60)*0.5,AND(E183&gt;=6,E183&lt;9),((E183/D183)*60)*0.75,AND(E183&gt;=9,E183&lt;=11),((E183/D183)*60)*0.9,AND(E183=12),((E183/D183)*60)*1,AND(E183&gt;=13,E183&lt;=15),((E183/D183)*60)*1.2,AND(E183&gt;=16,E183&lt;=19),((E183/D183)*60)*1.5,E183&gt;=20,((E183/D183)*60)*1.8)</f>
        <v>19.285714285714281</v>
      </c>
      <c r="AT183" cm="1">
        <f t="array" ref="AT183">_xlfn.IFS(F183&lt;550,((F183/D183)*60)*0.5,AND(F183&gt;=550,F183&lt;575),((F183/D183)*60)*0.75,AND(F183&gt;=575,F183&lt;600),((F183/D183)*60)*0.9,AND(F183=600),((F183/D183)*60)*1,AND(F183&gt;=601,F183&lt;=625),((F183/D183)*60)*1.2,AND(F183&gt;=626,F183&lt;=650),((F183/D183)*60)*1.5,F183&gt;=651,((F183/D183)*60)*1.8)</f>
        <v>792</v>
      </c>
      <c r="AU183">
        <f t="shared" si="47"/>
        <v>15.499999999999996</v>
      </c>
      <c r="AV183">
        <f t="shared" si="51"/>
        <v>327.61428571428576</v>
      </c>
      <c r="AW183">
        <f t="shared" si="48"/>
        <v>39.6</v>
      </c>
      <c r="AX183" t="str">
        <f t="shared" si="49"/>
        <v>Aug-2021</v>
      </c>
      <c r="AY183">
        <f>ROUNDUP(Table2[[#This Row],[Month]]/3,0)</f>
        <v>3</v>
      </c>
    </row>
    <row r="184" spans="1:51" x14ac:dyDescent="0.2">
      <c r="A184">
        <v>183</v>
      </c>
      <c r="B184">
        <f t="shared" si="36"/>
        <v>18</v>
      </c>
      <c r="C184" s="22">
        <v>44410</v>
      </c>
      <c r="D184">
        <f>SUM(Table2[[#This Row],[Gray Min]:[Red Min]])</f>
        <v>60</v>
      </c>
      <c r="E184">
        <v>13</v>
      </c>
      <c r="F184">
        <v>635</v>
      </c>
      <c r="G184">
        <v>124</v>
      </c>
      <c r="H184">
        <v>167</v>
      </c>
      <c r="I184">
        <v>16</v>
      </c>
      <c r="J184">
        <v>14</v>
      </c>
      <c r="K184">
        <v>17</v>
      </c>
      <c r="L184">
        <v>12</v>
      </c>
      <c r="M184">
        <v>1</v>
      </c>
      <c r="N184" t="s">
        <v>91</v>
      </c>
      <c r="O184" t="s">
        <v>39</v>
      </c>
      <c r="P184" t="s">
        <v>94</v>
      </c>
      <c r="Q184">
        <f t="shared" si="50"/>
        <v>1</v>
      </c>
      <c r="R184" t="str">
        <f t="shared" si="37"/>
        <v>8-2021</v>
      </c>
      <c r="S184" t="s">
        <v>117</v>
      </c>
      <c r="T184" t="str">
        <f t="shared" si="38"/>
        <v>Monday</v>
      </c>
      <c r="U184">
        <f t="shared" si="39"/>
        <v>1</v>
      </c>
      <c r="V184" s="24">
        <f>IFERROR(Table2[[#This Row],[Gray Min]]/Table2[[#This Row],[ClassLength]],"")</f>
        <v>0.26666666666666666</v>
      </c>
      <c r="W184" s="24">
        <f>IFERROR(Table2[[#This Row],[Blue Min]]/Table2[[#This Row],[ClassLength]],"")</f>
        <v>0.23333333333333334</v>
      </c>
      <c r="X184" s="24">
        <f>IFERROR(Table2[[#This Row],[Green Min]]/Table2[[#This Row],[ClassLength]],"")</f>
        <v>0.28333333333333333</v>
      </c>
      <c r="Y184" s="24">
        <f>IFERROR(Table2[[#This Row],[Orange Min]]/Table2[[#This Row],[ClassLength]],"")</f>
        <v>0.2</v>
      </c>
      <c r="Z184" s="24">
        <f>IFERROR(Table2[[#This Row],[Red Min]]/Table2[[#This Row],[ClassLength]],"")</f>
        <v>1.6666666666666666E-2</v>
      </c>
      <c r="AA184" s="25">
        <v>232.14</v>
      </c>
      <c r="AB184" s="25">
        <f t="shared" si="52"/>
        <v>12.896666666666667</v>
      </c>
      <c r="AC184" s="26">
        <f t="shared" si="40"/>
        <v>654.38888888888891</v>
      </c>
      <c r="AD184" s="26">
        <f t="shared" si="41"/>
        <v>14.166666666666666</v>
      </c>
      <c r="AE184">
        <f t="shared" si="42"/>
        <v>2021</v>
      </c>
      <c r="AG184">
        <v>12</v>
      </c>
      <c r="AH184" s="26">
        <f t="shared" si="43"/>
        <v>10.583333333333334</v>
      </c>
      <c r="AI184" t="str">
        <f t="shared" si="44"/>
        <v>PM</v>
      </c>
      <c r="AJ184" t="str">
        <f t="shared" si="45"/>
        <v>8-2021-1</v>
      </c>
      <c r="AK184">
        <f t="shared" si="46"/>
        <v>8</v>
      </c>
      <c r="AL184" s="26">
        <f>IFERROR(Table2[[#This Row],[Calories]]/Table2[[#This Row],[Splat]],"")</f>
        <v>48.846153846153847</v>
      </c>
      <c r="AM184">
        <f>COUNTIF(N$2:$N$938,N184)</f>
        <v>218</v>
      </c>
      <c r="AN184" t="str">
        <f>VLOOKUP(N184,'Helpful Tables'!A:D,4,FALSE)</f>
        <v>Washington, DC</v>
      </c>
      <c r="AO184" s="24">
        <f>COUNTIF(AN:AN,Table2[[#This Row],[State]])/COUNTA(AN:AN)</f>
        <v>0.54904051172707891</v>
      </c>
      <c r="AP184">
        <f>VLOOKUP(N184,'Helpful Tables'!A:B,2,FALSE)</f>
        <v>38.934710000000003</v>
      </c>
      <c r="AQ184">
        <f>VLOOKUP(N184,'Helpful Tables'!A:C,3,FALSE)</f>
        <v>-77.058222999999998</v>
      </c>
      <c r="AR184">
        <f>COUNTIF(P$2:$P$938,P184)</f>
        <v>15</v>
      </c>
      <c r="AS184" cm="1">
        <f t="array" ref="AS184">_xlfn.IFS(E184&lt;6,((E184/D184)*60)*0.5,AND(E184&gt;=6,E184&lt;9),((E184/D184)*60)*0.75,AND(E184&gt;=9,E184&lt;=11),((E184/D184)*60)*0.9,AND(E184=12),((E184/D184)*60)*1,AND(E184&gt;=13,E184&lt;=15),((E184/D184)*60)*1.2,AND(E184&gt;=16,E184&lt;=19),((E184/D184)*60)*1.5,E184&gt;=20,((E184/D184)*60)*1.8)</f>
        <v>15.6</v>
      </c>
      <c r="AT184" cm="1">
        <f t="array" ref="AT184">_xlfn.IFS(F184&lt;550,((F184/D184)*60)*0.5,AND(F184&gt;=550,F184&lt;575),((F184/D184)*60)*0.75,AND(F184&gt;=575,F184&lt;600),((F184/D184)*60)*0.9,AND(F184=600),((F184/D184)*60)*1,AND(F184&gt;=601,F184&lt;=625),((F184/D184)*60)*1.2,AND(F184&gt;=626,F184&lt;=650),((F184/D184)*60)*1.5,F184&gt;=651,((F184/D184)*60)*1.8)</f>
        <v>952.5</v>
      </c>
      <c r="AU184">
        <f t="shared" si="47"/>
        <v>2.8999999999999986</v>
      </c>
      <c r="AV184">
        <f t="shared" si="51"/>
        <v>387.82</v>
      </c>
      <c r="AW184">
        <f t="shared" si="48"/>
        <v>47.4</v>
      </c>
      <c r="AX184" t="str">
        <f t="shared" si="49"/>
        <v>Aug-2021</v>
      </c>
      <c r="AY184">
        <f>ROUNDUP(Table2[[#This Row],[Month]]/3,0)</f>
        <v>3</v>
      </c>
    </row>
    <row r="185" spans="1:51" x14ac:dyDescent="0.2">
      <c r="A185">
        <v>184</v>
      </c>
      <c r="B185">
        <f t="shared" si="36"/>
        <v>18</v>
      </c>
      <c r="C185" s="22">
        <v>44412</v>
      </c>
      <c r="D185">
        <f>SUM(Table2[[#This Row],[Gray Min]:[Red Min]])</f>
        <v>60</v>
      </c>
      <c r="E185">
        <v>13</v>
      </c>
      <c r="F185">
        <v>623</v>
      </c>
      <c r="G185">
        <v>123</v>
      </c>
      <c r="H185">
        <v>173</v>
      </c>
      <c r="I185">
        <v>16</v>
      </c>
      <c r="J185">
        <v>19</v>
      </c>
      <c r="K185">
        <v>12</v>
      </c>
      <c r="L185">
        <v>8</v>
      </c>
      <c r="M185">
        <v>5</v>
      </c>
      <c r="N185" t="s">
        <v>91</v>
      </c>
      <c r="O185" t="s">
        <v>39</v>
      </c>
      <c r="P185" t="s">
        <v>96</v>
      </c>
      <c r="Q185">
        <f t="shared" si="50"/>
        <v>2</v>
      </c>
      <c r="R185" t="str">
        <f t="shared" si="37"/>
        <v>8-2021</v>
      </c>
      <c r="S185" t="s">
        <v>117</v>
      </c>
      <c r="T185" t="str">
        <f t="shared" si="38"/>
        <v>Wednesday</v>
      </c>
      <c r="U185">
        <f t="shared" si="39"/>
        <v>1</v>
      </c>
      <c r="V185" s="24">
        <f>IFERROR(Table2[[#This Row],[Gray Min]]/Table2[[#This Row],[ClassLength]],"")</f>
        <v>0.26666666666666666</v>
      </c>
      <c r="W185" s="24">
        <f>IFERROR(Table2[[#This Row],[Blue Min]]/Table2[[#This Row],[ClassLength]],"")</f>
        <v>0.31666666666666665</v>
      </c>
      <c r="X185" s="24">
        <f>IFERROR(Table2[[#This Row],[Green Min]]/Table2[[#This Row],[ClassLength]],"")</f>
        <v>0.2</v>
      </c>
      <c r="Y185" s="24">
        <f>IFERROR(Table2[[#This Row],[Orange Min]]/Table2[[#This Row],[ClassLength]],"")</f>
        <v>0.13333333333333333</v>
      </c>
      <c r="Z185" s="24">
        <f>IFERROR(Table2[[#This Row],[Red Min]]/Table2[[#This Row],[ClassLength]],"")</f>
        <v>8.3333333333333329E-2</v>
      </c>
      <c r="AA185" s="25">
        <v>232.14</v>
      </c>
      <c r="AB185" s="25">
        <f t="shared" si="52"/>
        <v>12.896666666666667</v>
      </c>
      <c r="AC185" s="26">
        <f t="shared" si="40"/>
        <v>654.38888888888891</v>
      </c>
      <c r="AD185" s="26">
        <f t="shared" si="41"/>
        <v>14.166666666666666</v>
      </c>
      <c r="AE185">
        <f t="shared" si="42"/>
        <v>2021</v>
      </c>
      <c r="AG185">
        <v>12</v>
      </c>
      <c r="AH185" s="26">
        <f t="shared" si="43"/>
        <v>10.383333333333333</v>
      </c>
      <c r="AI185" t="str">
        <f t="shared" si="44"/>
        <v>PM</v>
      </c>
      <c r="AJ185" t="str">
        <f t="shared" si="45"/>
        <v>8-2021-1</v>
      </c>
      <c r="AK185">
        <f t="shared" si="46"/>
        <v>8</v>
      </c>
      <c r="AL185" s="26">
        <f>IFERROR(Table2[[#This Row],[Calories]]/Table2[[#This Row],[Splat]],"")</f>
        <v>47.92307692307692</v>
      </c>
      <c r="AM185">
        <f>COUNTIF(N$2:$N$938,N185)</f>
        <v>218</v>
      </c>
      <c r="AN185" t="str">
        <f>VLOOKUP(N185,'Helpful Tables'!A:D,4,FALSE)</f>
        <v>Washington, DC</v>
      </c>
      <c r="AO185" s="24">
        <f>COUNTIF(AN:AN,Table2[[#This Row],[State]])/COUNTA(AN:AN)</f>
        <v>0.54904051172707891</v>
      </c>
      <c r="AP185">
        <f>VLOOKUP(N185,'Helpful Tables'!A:B,2,FALSE)</f>
        <v>38.934710000000003</v>
      </c>
      <c r="AQ185">
        <f>VLOOKUP(N185,'Helpful Tables'!A:C,3,FALSE)</f>
        <v>-77.058222999999998</v>
      </c>
      <c r="AR185">
        <f>COUNTIF(P$2:$P$938,P185)</f>
        <v>71</v>
      </c>
      <c r="AS185" cm="1">
        <f t="array" ref="AS185">_xlfn.IFS(E185&lt;6,((E185/D185)*60)*0.5,AND(E185&gt;=6,E185&lt;9),((E185/D185)*60)*0.75,AND(E185&gt;=9,E185&lt;=11),((E185/D185)*60)*0.9,AND(E185=12),((E185/D185)*60)*1,AND(E185&gt;=13,E185&lt;=15),((E185/D185)*60)*1.2,AND(E185&gt;=16,E185&lt;=19),((E185/D185)*60)*1.5,E185&gt;=20,((E185/D185)*60)*1.8)</f>
        <v>15.6</v>
      </c>
      <c r="AT185" cm="1">
        <f t="array" ref="AT185">_xlfn.IFS(F185&lt;550,((F185/D185)*60)*0.5,AND(F185&gt;=550,F185&lt;575),((F185/D185)*60)*0.75,AND(F185&gt;=575,F185&lt;600),((F185/D185)*60)*0.9,AND(F185=600),((F185/D185)*60)*1,AND(F185&gt;=601,F185&lt;=625),((F185/D185)*60)*1.2,AND(F185&gt;=626,F185&lt;=650),((F185/D185)*60)*1.5,F185&gt;=651,((F185/D185)*60)*1.8)</f>
        <v>747.6</v>
      </c>
      <c r="AU185">
        <f t="shared" si="47"/>
        <v>-7.8000000000000025</v>
      </c>
      <c r="AV185">
        <f t="shared" si="51"/>
        <v>303.72000000000003</v>
      </c>
      <c r="AW185">
        <f t="shared" si="48"/>
        <v>28.299999999999997</v>
      </c>
      <c r="AX185" t="str">
        <f t="shared" si="49"/>
        <v>Aug-2021</v>
      </c>
      <c r="AY185">
        <f>ROUNDUP(Table2[[#This Row],[Month]]/3,0)</f>
        <v>3</v>
      </c>
    </row>
    <row r="186" spans="1:51" x14ac:dyDescent="0.2">
      <c r="A186">
        <v>185</v>
      </c>
      <c r="B186">
        <f t="shared" si="36"/>
        <v>18</v>
      </c>
      <c r="C186" s="22">
        <v>44413</v>
      </c>
      <c r="D186">
        <f>SUM(Table2[[#This Row],[Gray Min]:[Red Min]])</f>
        <v>54</v>
      </c>
      <c r="E186">
        <v>10</v>
      </c>
      <c r="F186">
        <v>599</v>
      </c>
      <c r="G186">
        <v>127</v>
      </c>
      <c r="H186">
        <v>167</v>
      </c>
      <c r="I186">
        <v>10</v>
      </c>
      <c r="J186">
        <v>14</v>
      </c>
      <c r="K186">
        <v>20</v>
      </c>
      <c r="L186">
        <v>9</v>
      </c>
      <c r="M186">
        <v>1</v>
      </c>
      <c r="N186" t="s">
        <v>91</v>
      </c>
      <c r="O186" t="s">
        <v>39</v>
      </c>
      <c r="P186" t="s">
        <v>120</v>
      </c>
      <c r="Q186">
        <f t="shared" si="50"/>
        <v>1</v>
      </c>
      <c r="R186" t="str">
        <f t="shared" si="37"/>
        <v>8-2021</v>
      </c>
      <c r="S186" t="s">
        <v>117</v>
      </c>
      <c r="T186" t="str">
        <f t="shared" si="38"/>
        <v>Thursday</v>
      </c>
      <c r="U186">
        <f t="shared" si="39"/>
        <v>0</v>
      </c>
      <c r="V186" s="24">
        <f>IFERROR(Table2[[#This Row],[Gray Min]]/Table2[[#This Row],[ClassLength]],"")</f>
        <v>0.18518518518518517</v>
      </c>
      <c r="W186" s="24">
        <f>IFERROR(Table2[[#This Row],[Blue Min]]/Table2[[#This Row],[ClassLength]],"")</f>
        <v>0.25925925925925924</v>
      </c>
      <c r="X186" s="24">
        <f>IFERROR(Table2[[#This Row],[Green Min]]/Table2[[#This Row],[ClassLength]],"")</f>
        <v>0.37037037037037035</v>
      </c>
      <c r="Y186" s="24">
        <f>IFERROR(Table2[[#This Row],[Orange Min]]/Table2[[#This Row],[ClassLength]],"")</f>
        <v>0.16666666666666666</v>
      </c>
      <c r="Z186" s="24">
        <f>IFERROR(Table2[[#This Row],[Red Min]]/Table2[[#This Row],[ClassLength]],"")</f>
        <v>1.8518518518518517E-2</v>
      </c>
      <c r="AA186" s="25">
        <v>232.14</v>
      </c>
      <c r="AB186" s="25">
        <f t="shared" si="52"/>
        <v>12.896666666666667</v>
      </c>
      <c r="AC186" s="26">
        <f t="shared" si="40"/>
        <v>654.38888888888891</v>
      </c>
      <c r="AD186" s="26">
        <f t="shared" si="41"/>
        <v>14.166666666666666</v>
      </c>
      <c r="AE186">
        <f t="shared" si="42"/>
        <v>2021</v>
      </c>
      <c r="AG186">
        <v>12</v>
      </c>
      <c r="AH186" s="26">
        <f t="shared" si="43"/>
        <v>11.092592592592593</v>
      </c>
      <c r="AI186" t="str">
        <f t="shared" si="44"/>
        <v>PM</v>
      </c>
      <c r="AJ186" t="str">
        <f t="shared" si="45"/>
        <v>8-2021-1</v>
      </c>
      <c r="AK186">
        <f t="shared" si="46"/>
        <v>8</v>
      </c>
      <c r="AL186" s="26">
        <f>IFERROR(Table2[[#This Row],[Calories]]/Table2[[#This Row],[Splat]],"")</f>
        <v>59.9</v>
      </c>
      <c r="AM186">
        <f>COUNTIF(N$2:$N$938,N186)</f>
        <v>218</v>
      </c>
      <c r="AN186" t="str">
        <f>VLOOKUP(N186,'Helpful Tables'!A:D,4,FALSE)</f>
        <v>Washington, DC</v>
      </c>
      <c r="AO186" s="24">
        <f>COUNTIF(AN:AN,Table2[[#This Row],[State]])/COUNTA(AN:AN)</f>
        <v>0.54904051172707891</v>
      </c>
      <c r="AP186">
        <f>VLOOKUP(N186,'Helpful Tables'!A:B,2,FALSE)</f>
        <v>38.934710000000003</v>
      </c>
      <c r="AQ186">
        <f>VLOOKUP(N186,'Helpful Tables'!A:C,3,FALSE)</f>
        <v>-77.058222999999998</v>
      </c>
      <c r="AR186">
        <f>COUNTIF(P$2:$P$938,P186)</f>
        <v>4</v>
      </c>
      <c r="AS186" cm="1">
        <f t="array" ref="AS186">_xlfn.IFS(E186&lt;6,((E186/D186)*60)*0.5,AND(E186&gt;=6,E186&lt;9),((E186/D186)*60)*0.75,AND(E186&gt;=9,E186&lt;=11),((E186/D186)*60)*0.9,AND(E186=12),((E186/D186)*60)*1,AND(E186&gt;=13,E186&lt;=15),((E186/D186)*60)*1.2,AND(E186&gt;=16,E186&lt;=19),((E186/D186)*60)*1.5,E186&gt;=20,((E186/D186)*60)*1.8)</f>
        <v>10</v>
      </c>
      <c r="AT186" cm="1">
        <f t="array" ref="AT186">_xlfn.IFS(F186&lt;550,((F186/D186)*60)*0.5,AND(F186&gt;=550,F186&lt;575),((F186/D186)*60)*0.75,AND(F186&gt;=575,F186&lt;600),((F186/D186)*60)*0.9,AND(F186=600),((F186/D186)*60)*1,AND(F186&gt;=601,F186&lt;=625),((F186/D186)*60)*1.2,AND(F186&gt;=626,F186&lt;=650),((F186/D186)*60)*1.5,F186&gt;=651,((F186/D186)*60)*1.8)</f>
        <v>599.00000000000011</v>
      </c>
      <c r="AU186">
        <f t="shared" si="47"/>
        <v>9.7999999999999989</v>
      </c>
      <c r="AV186">
        <f t="shared" si="51"/>
        <v>245.56000000000006</v>
      </c>
      <c r="AW186">
        <f t="shared" si="48"/>
        <v>22.6</v>
      </c>
      <c r="AX186" t="str">
        <f t="shared" si="49"/>
        <v>Aug-2021</v>
      </c>
      <c r="AY186">
        <f>ROUNDUP(Table2[[#This Row],[Month]]/3,0)</f>
        <v>3</v>
      </c>
    </row>
    <row r="187" spans="1:51" x14ac:dyDescent="0.2">
      <c r="A187">
        <v>186</v>
      </c>
      <c r="B187">
        <f t="shared" si="36"/>
        <v>18</v>
      </c>
      <c r="C187" s="22">
        <v>44416</v>
      </c>
      <c r="D187">
        <f>SUM(Table2[[#This Row],[Gray Min]:[Red Min]])</f>
        <v>56</v>
      </c>
      <c r="E187">
        <v>20</v>
      </c>
      <c r="F187">
        <v>700</v>
      </c>
      <c r="G187">
        <v>136</v>
      </c>
      <c r="H187">
        <v>174</v>
      </c>
      <c r="I187">
        <v>4</v>
      </c>
      <c r="J187">
        <v>11</v>
      </c>
      <c r="K187">
        <v>21</v>
      </c>
      <c r="L187">
        <v>13</v>
      </c>
      <c r="M187">
        <v>7</v>
      </c>
      <c r="N187" t="s">
        <v>121</v>
      </c>
      <c r="O187" t="s">
        <v>45</v>
      </c>
      <c r="P187" t="s">
        <v>122</v>
      </c>
      <c r="Q187">
        <f t="shared" si="50"/>
        <v>3</v>
      </c>
      <c r="R187" t="str">
        <f t="shared" si="37"/>
        <v>8-2021</v>
      </c>
      <c r="S187" t="s">
        <v>99</v>
      </c>
      <c r="T187" t="str">
        <f t="shared" si="38"/>
        <v>Sunday</v>
      </c>
      <c r="U187">
        <f t="shared" si="39"/>
        <v>1</v>
      </c>
      <c r="V187" s="24">
        <f>IFERROR(Table2[[#This Row],[Gray Min]]/Table2[[#This Row],[ClassLength]],"")</f>
        <v>7.1428571428571425E-2</v>
      </c>
      <c r="W187" s="24">
        <f>IFERROR(Table2[[#This Row],[Blue Min]]/Table2[[#This Row],[ClassLength]],"")</f>
        <v>0.19642857142857142</v>
      </c>
      <c r="X187" s="24">
        <f>IFERROR(Table2[[#This Row],[Green Min]]/Table2[[#This Row],[ClassLength]],"")</f>
        <v>0.375</v>
      </c>
      <c r="Y187" s="24">
        <f>IFERROR(Table2[[#This Row],[Orange Min]]/Table2[[#This Row],[ClassLength]],"")</f>
        <v>0.23214285714285715</v>
      </c>
      <c r="Z187" s="24">
        <f>IFERROR(Table2[[#This Row],[Red Min]]/Table2[[#This Row],[ClassLength]],"")</f>
        <v>0.125</v>
      </c>
      <c r="AA187" s="25">
        <v>232.14</v>
      </c>
      <c r="AB187" s="25">
        <f t="shared" si="52"/>
        <v>12.896666666666667</v>
      </c>
      <c r="AC187" s="26">
        <f t="shared" si="40"/>
        <v>654.38888888888891</v>
      </c>
      <c r="AD187" s="26">
        <f t="shared" si="41"/>
        <v>14.166666666666666</v>
      </c>
      <c r="AE187">
        <f t="shared" si="42"/>
        <v>2021</v>
      </c>
      <c r="AG187">
        <v>12</v>
      </c>
      <c r="AH187" s="26">
        <f t="shared" si="43"/>
        <v>12.5</v>
      </c>
      <c r="AI187" t="str">
        <f t="shared" si="44"/>
        <v>AM</v>
      </c>
      <c r="AJ187" t="str">
        <f t="shared" si="45"/>
        <v>8-2021-2</v>
      </c>
      <c r="AK187">
        <f t="shared" si="46"/>
        <v>8</v>
      </c>
      <c r="AL187" s="26">
        <f>IFERROR(Table2[[#This Row],[Calories]]/Table2[[#This Row],[Splat]],"")</f>
        <v>35</v>
      </c>
      <c r="AM187">
        <f>COUNTIF(N$2:$N$938,N187)</f>
        <v>2</v>
      </c>
      <c r="AN187" t="str">
        <f>VLOOKUP(N187,'Helpful Tables'!A:D,4,FALSE)</f>
        <v>Connecticut</v>
      </c>
      <c r="AO187" s="24">
        <f>COUNTIF(AN:AN,Table2[[#This Row],[State]])/COUNTA(AN:AN)</f>
        <v>2.1321961620469083E-3</v>
      </c>
      <c r="AP187">
        <f>VLOOKUP(N187,'Helpful Tables'!A:B,2,FALSE)</f>
        <v>41.370860999999998</v>
      </c>
      <c r="AQ187">
        <f>VLOOKUP(N187,'Helpful Tables'!A:C,3,FALSE)</f>
        <v>-72.915813999999997</v>
      </c>
      <c r="AR187">
        <f>COUNTIF(P$2:$P$938,P187)</f>
        <v>1</v>
      </c>
      <c r="AS187" cm="1">
        <f t="array" ref="AS187">_xlfn.IFS(E187&lt;6,((E187/D187)*60)*0.5,AND(E187&gt;=6,E187&lt;9),((E187/D187)*60)*0.75,AND(E187&gt;=9,E187&lt;=11),((E187/D187)*60)*0.9,AND(E187=12),((E187/D187)*60)*1,AND(E187&gt;=13,E187&lt;=15),((E187/D187)*60)*1.2,AND(E187&gt;=16,E187&lt;=19),((E187/D187)*60)*1.5,E187&gt;=20,((E187/D187)*60)*1.8)</f>
        <v>38.571428571428577</v>
      </c>
      <c r="AT187" cm="1">
        <f t="array" ref="AT187">_xlfn.IFS(F187&lt;550,((F187/D187)*60)*0.5,AND(F187&gt;=550,F187&lt;575),((F187/D187)*60)*0.75,AND(F187&gt;=575,F187&lt;600),((F187/D187)*60)*0.9,AND(F187=600),((F187/D187)*60)*1,AND(F187&gt;=601,F187&lt;=625),((F187/D187)*60)*1.2,AND(F187&gt;=626,F187&lt;=650),((F187/D187)*60)*1.5,F187&gt;=651,((F187/D187)*60)*1.8)</f>
        <v>1350</v>
      </c>
      <c r="AU187">
        <f t="shared" si="47"/>
        <v>35.700000000000003</v>
      </c>
      <c r="AV187">
        <f t="shared" si="51"/>
        <v>562.56857142857143</v>
      </c>
      <c r="AW187">
        <f t="shared" si="48"/>
        <v>99.1</v>
      </c>
      <c r="AX187" t="str">
        <f t="shared" si="49"/>
        <v>Aug-2021</v>
      </c>
      <c r="AY187">
        <f>ROUNDUP(Table2[[#This Row],[Month]]/3,0)</f>
        <v>3</v>
      </c>
    </row>
    <row r="188" spans="1:51" x14ac:dyDescent="0.2">
      <c r="A188">
        <v>187</v>
      </c>
      <c r="B188">
        <f t="shared" si="36"/>
        <v>18</v>
      </c>
      <c r="C188" s="22">
        <v>44418</v>
      </c>
      <c r="D188">
        <f>SUM(Table2[[#This Row],[Gray Min]:[Red Min]])</f>
        <v>57</v>
      </c>
      <c r="E188">
        <v>17</v>
      </c>
      <c r="F188">
        <v>694</v>
      </c>
      <c r="G188">
        <v>133</v>
      </c>
      <c r="H188">
        <v>173</v>
      </c>
      <c r="I188">
        <v>5</v>
      </c>
      <c r="J188">
        <v>16</v>
      </c>
      <c r="K188">
        <v>19</v>
      </c>
      <c r="L188">
        <v>15</v>
      </c>
      <c r="M188">
        <v>2</v>
      </c>
      <c r="N188" t="s">
        <v>101</v>
      </c>
      <c r="O188" t="s">
        <v>39</v>
      </c>
      <c r="P188" t="s">
        <v>109</v>
      </c>
      <c r="Q188">
        <f t="shared" si="50"/>
        <v>2</v>
      </c>
      <c r="R188" t="str">
        <f t="shared" si="37"/>
        <v>8-2021</v>
      </c>
      <c r="S188" t="s">
        <v>104</v>
      </c>
      <c r="T188" t="str">
        <f t="shared" si="38"/>
        <v>Tuesday</v>
      </c>
      <c r="U188">
        <f t="shared" si="39"/>
        <v>1</v>
      </c>
      <c r="V188" s="24">
        <f>IFERROR(Table2[[#This Row],[Gray Min]]/Table2[[#This Row],[ClassLength]],"")</f>
        <v>8.771929824561403E-2</v>
      </c>
      <c r="W188" s="24">
        <f>IFERROR(Table2[[#This Row],[Blue Min]]/Table2[[#This Row],[ClassLength]],"")</f>
        <v>0.2807017543859649</v>
      </c>
      <c r="X188" s="24">
        <f>IFERROR(Table2[[#This Row],[Green Min]]/Table2[[#This Row],[ClassLength]],"")</f>
        <v>0.33333333333333331</v>
      </c>
      <c r="Y188" s="24">
        <f>IFERROR(Table2[[#This Row],[Orange Min]]/Table2[[#This Row],[ClassLength]],"")</f>
        <v>0.26315789473684209</v>
      </c>
      <c r="Z188" s="24">
        <f>IFERROR(Table2[[#This Row],[Red Min]]/Table2[[#This Row],[ClassLength]],"")</f>
        <v>3.5087719298245612E-2</v>
      </c>
      <c r="AA188" s="25">
        <v>232.14</v>
      </c>
      <c r="AB188" s="25">
        <f t="shared" si="52"/>
        <v>12.896666666666667</v>
      </c>
      <c r="AC188" s="26">
        <f t="shared" si="40"/>
        <v>654.38888888888891</v>
      </c>
      <c r="AD188" s="26">
        <f t="shared" si="41"/>
        <v>14.166666666666666</v>
      </c>
      <c r="AE188">
        <f t="shared" si="42"/>
        <v>2021</v>
      </c>
      <c r="AG188">
        <v>12</v>
      </c>
      <c r="AH188" s="26">
        <f t="shared" si="43"/>
        <v>12.175438596491228</v>
      </c>
      <c r="AI188" t="str">
        <f t="shared" si="44"/>
        <v>PM</v>
      </c>
      <c r="AJ188" t="str">
        <f t="shared" si="45"/>
        <v>8-2021-2</v>
      </c>
      <c r="AK188">
        <f t="shared" si="46"/>
        <v>8</v>
      </c>
      <c r="AL188" s="26">
        <f>IFERROR(Table2[[#This Row],[Calories]]/Table2[[#This Row],[Splat]],"")</f>
        <v>40.823529411764703</v>
      </c>
      <c r="AM188">
        <f>COUNTIF(N$2:$N$938,N188)</f>
        <v>191</v>
      </c>
      <c r="AN188" t="str">
        <f>VLOOKUP(N188,'Helpful Tables'!A:D,4,FALSE)</f>
        <v>Washington, DC</v>
      </c>
      <c r="AO188" s="24">
        <f>COUNTIF(AN:AN,Table2[[#This Row],[State]])/COUNTA(AN:AN)</f>
        <v>0.54904051172707891</v>
      </c>
      <c r="AP188">
        <f>VLOOKUP(N188,'Helpful Tables'!A:B,2,FALSE)</f>
        <v>38.949649000000001</v>
      </c>
      <c r="AQ188">
        <f>VLOOKUP(N188,'Helpful Tables'!A:C,3,FALSE)</f>
        <v>-77.080878999999996</v>
      </c>
      <c r="AR188">
        <f>COUNTIF(P$2:$P$938,P188)</f>
        <v>66</v>
      </c>
      <c r="AS188" cm="1">
        <f t="array" ref="AS188">_xlfn.IFS(E188&lt;6,((E188/D188)*60)*0.5,AND(E188&gt;=6,E188&lt;9),((E188/D188)*60)*0.75,AND(E188&gt;=9,E188&lt;=11),((E188/D188)*60)*0.9,AND(E188=12),((E188/D188)*60)*1,AND(E188&gt;=13,E188&lt;=15),((E188/D188)*60)*1.2,AND(E188&gt;=16,E188&lt;=19),((E188/D188)*60)*1.5,E188&gt;=20,((E188/D188)*60)*1.8)</f>
        <v>26.842105263157897</v>
      </c>
      <c r="AT188" cm="1">
        <f t="array" ref="AT188">_xlfn.IFS(F188&lt;550,((F188/D188)*60)*0.5,AND(F188&gt;=550,F188&lt;575),((F188/D188)*60)*0.75,AND(F188&gt;=575,F188&lt;600),((F188/D188)*60)*0.9,AND(F188=600),((F188/D188)*60)*1,AND(F188&gt;=601,F188&lt;=625),((F188/D188)*60)*1.2,AND(F188&gt;=626,F188&lt;=650),((F188/D188)*60)*1.5,F188&gt;=651,((F188/D188)*60)*1.8)</f>
        <v>1314.9473684210525</v>
      </c>
      <c r="AU188">
        <f t="shared" si="47"/>
        <v>21.7</v>
      </c>
      <c r="AV188">
        <f t="shared" si="51"/>
        <v>541.05578947368417</v>
      </c>
      <c r="AW188">
        <f t="shared" si="48"/>
        <v>96.5</v>
      </c>
      <c r="AX188" t="str">
        <f t="shared" si="49"/>
        <v>Aug-2021</v>
      </c>
      <c r="AY188">
        <f>ROUNDUP(Table2[[#This Row],[Month]]/3,0)</f>
        <v>3</v>
      </c>
    </row>
    <row r="189" spans="1:51" x14ac:dyDescent="0.2">
      <c r="A189">
        <v>188</v>
      </c>
      <c r="B189">
        <f t="shared" si="36"/>
        <v>18</v>
      </c>
      <c r="C189" s="22">
        <v>44419</v>
      </c>
      <c r="D189">
        <f>SUM(Table2[[#This Row],[Gray Min]:[Red Min]])</f>
        <v>56</v>
      </c>
      <c r="E189">
        <v>21</v>
      </c>
      <c r="F189">
        <v>694</v>
      </c>
      <c r="G189">
        <v>136</v>
      </c>
      <c r="H189">
        <v>166</v>
      </c>
      <c r="I189">
        <v>6</v>
      </c>
      <c r="J189">
        <v>11</v>
      </c>
      <c r="K189">
        <v>18</v>
      </c>
      <c r="L189">
        <v>17</v>
      </c>
      <c r="M189">
        <v>4</v>
      </c>
      <c r="N189" t="s">
        <v>91</v>
      </c>
      <c r="O189" t="s">
        <v>39</v>
      </c>
      <c r="P189" t="s">
        <v>96</v>
      </c>
      <c r="Q189">
        <f t="shared" si="50"/>
        <v>1</v>
      </c>
      <c r="R189" t="str">
        <f t="shared" si="37"/>
        <v>8-2021</v>
      </c>
      <c r="S189" t="s">
        <v>117</v>
      </c>
      <c r="T189" t="str">
        <f t="shared" si="38"/>
        <v>Wednesday</v>
      </c>
      <c r="U189">
        <f t="shared" si="39"/>
        <v>1</v>
      </c>
      <c r="V189" s="24">
        <f>IFERROR(Table2[[#This Row],[Gray Min]]/Table2[[#This Row],[ClassLength]],"")</f>
        <v>0.10714285714285714</v>
      </c>
      <c r="W189" s="24">
        <f>IFERROR(Table2[[#This Row],[Blue Min]]/Table2[[#This Row],[ClassLength]],"")</f>
        <v>0.19642857142857142</v>
      </c>
      <c r="X189" s="24">
        <f>IFERROR(Table2[[#This Row],[Green Min]]/Table2[[#This Row],[ClassLength]],"")</f>
        <v>0.32142857142857145</v>
      </c>
      <c r="Y189" s="24">
        <f>IFERROR(Table2[[#This Row],[Orange Min]]/Table2[[#This Row],[ClassLength]],"")</f>
        <v>0.30357142857142855</v>
      </c>
      <c r="Z189" s="24">
        <f>IFERROR(Table2[[#This Row],[Red Min]]/Table2[[#This Row],[ClassLength]],"")</f>
        <v>7.1428571428571425E-2</v>
      </c>
      <c r="AA189" s="25">
        <v>232.14</v>
      </c>
      <c r="AB189" s="25">
        <f t="shared" si="52"/>
        <v>12.896666666666667</v>
      </c>
      <c r="AC189" s="26">
        <f t="shared" si="40"/>
        <v>654.38888888888891</v>
      </c>
      <c r="AD189" s="26">
        <f t="shared" si="41"/>
        <v>14.166666666666666</v>
      </c>
      <c r="AE189">
        <f t="shared" si="42"/>
        <v>2021</v>
      </c>
      <c r="AG189">
        <v>12</v>
      </c>
      <c r="AH189" s="26">
        <f t="shared" si="43"/>
        <v>12.392857142857142</v>
      </c>
      <c r="AI189" t="str">
        <f t="shared" si="44"/>
        <v>PM</v>
      </c>
      <c r="AJ189" t="str">
        <f t="shared" si="45"/>
        <v>8-2021-2</v>
      </c>
      <c r="AK189">
        <f t="shared" si="46"/>
        <v>8</v>
      </c>
      <c r="AL189" s="26">
        <f>IFERROR(Table2[[#This Row],[Calories]]/Table2[[#This Row],[Splat]],"")</f>
        <v>33.047619047619051</v>
      </c>
      <c r="AM189">
        <f>COUNTIF(N$2:$N$938,N189)</f>
        <v>218</v>
      </c>
      <c r="AN189" t="str">
        <f>VLOOKUP(N189,'Helpful Tables'!A:D,4,FALSE)</f>
        <v>Washington, DC</v>
      </c>
      <c r="AO189" s="24">
        <f>COUNTIF(AN:AN,Table2[[#This Row],[State]])/COUNTA(AN:AN)</f>
        <v>0.54904051172707891</v>
      </c>
      <c r="AP189">
        <f>VLOOKUP(N189,'Helpful Tables'!A:B,2,FALSE)</f>
        <v>38.934710000000003</v>
      </c>
      <c r="AQ189">
        <f>VLOOKUP(N189,'Helpful Tables'!A:C,3,FALSE)</f>
        <v>-77.058222999999998</v>
      </c>
      <c r="AR189">
        <f>COUNTIF(P$2:$P$938,P189)</f>
        <v>71</v>
      </c>
      <c r="AS189" cm="1">
        <f t="array" ref="AS189">_xlfn.IFS(E189&lt;6,((E189/D189)*60)*0.5,AND(E189&gt;=6,E189&lt;9),((E189/D189)*60)*0.75,AND(E189&gt;=9,E189&lt;=11),((E189/D189)*60)*0.9,AND(E189=12),((E189/D189)*60)*1,AND(E189&gt;=13,E189&lt;=15),((E189/D189)*60)*1.2,AND(E189&gt;=16,E189&lt;=19),((E189/D189)*60)*1.5,E189&gt;=20,((E189/D189)*60)*1.8)</f>
        <v>40.5</v>
      </c>
      <c r="AT189" cm="1">
        <f t="array" ref="AT189">_xlfn.IFS(F189&lt;550,((F189/D189)*60)*0.5,AND(F189&gt;=550,F189&lt;575),((F189/D189)*60)*0.75,AND(F189&gt;=575,F189&lt;600),((F189/D189)*60)*0.9,AND(F189=600),((F189/D189)*60)*1,AND(F189&gt;=601,F189&lt;=625),((F189/D189)*60)*1.2,AND(F189&gt;=626,F189&lt;=650),((F189/D189)*60)*1.5,F189&gt;=651,((F189/D189)*60)*1.8)</f>
        <v>1338.4285714285713</v>
      </c>
      <c r="AU189">
        <f t="shared" si="47"/>
        <v>30.4</v>
      </c>
      <c r="AV189">
        <f t="shared" si="51"/>
        <v>557.6514285714286</v>
      </c>
      <c r="AW189">
        <f t="shared" si="48"/>
        <v>98.4</v>
      </c>
      <c r="AX189" t="str">
        <f t="shared" si="49"/>
        <v>Aug-2021</v>
      </c>
      <c r="AY189">
        <f>ROUNDUP(Table2[[#This Row],[Month]]/3,0)</f>
        <v>3</v>
      </c>
    </row>
    <row r="190" spans="1:51" x14ac:dyDescent="0.2">
      <c r="A190">
        <v>189</v>
      </c>
      <c r="B190">
        <f t="shared" si="36"/>
        <v>18</v>
      </c>
      <c r="C190" s="22">
        <v>44421</v>
      </c>
      <c r="D190">
        <f>SUM(Table2[[#This Row],[Gray Min]:[Red Min]])</f>
        <v>61</v>
      </c>
      <c r="E190">
        <v>13</v>
      </c>
      <c r="F190">
        <v>713</v>
      </c>
      <c r="G190">
        <v>130</v>
      </c>
      <c r="H190">
        <v>166</v>
      </c>
      <c r="I190">
        <v>7</v>
      </c>
      <c r="J190">
        <v>16</v>
      </c>
      <c r="K190">
        <v>25</v>
      </c>
      <c r="L190">
        <v>11</v>
      </c>
      <c r="M190">
        <v>2</v>
      </c>
      <c r="N190" t="s">
        <v>101</v>
      </c>
      <c r="O190" t="s">
        <v>107</v>
      </c>
      <c r="P190" t="s">
        <v>102</v>
      </c>
      <c r="Q190">
        <f t="shared" si="50"/>
        <v>2</v>
      </c>
      <c r="R190" t="str">
        <f t="shared" si="37"/>
        <v>8-2021</v>
      </c>
      <c r="S190" t="s">
        <v>104</v>
      </c>
      <c r="T190" t="str">
        <f t="shared" si="38"/>
        <v>Friday</v>
      </c>
      <c r="U190">
        <f t="shared" si="39"/>
        <v>1</v>
      </c>
      <c r="V190" s="24">
        <f>IFERROR(Table2[[#This Row],[Gray Min]]/Table2[[#This Row],[ClassLength]],"")</f>
        <v>0.11475409836065574</v>
      </c>
      <c r="W190" s="24">
        <f>IFERROR(Table2[[#This Row],[Blue Min]]/Table2[[#This Row],[ClassLength]],"")</f>
        <v>0.26229508196721313</v>
      </c>
      <c r="X190" s="24">
        <f>IFERROR(Table2[[#This Row],[Green Min]]/Table2[[#This Row],[ClassLength]],"")</f>
        <v>0.4098360655737705</v>
      </c>
      <c r="Y190" s="24">
        <f>IFERROR(Table2[[#This Row],[Orange Min]]/Table2[[#This Row],[ClassLength]],"")</f>
        <v>0.18032786885245902</v>
      </c>
      <c r="Z190" s="24">
        <f>IFERROR(Table2[[#This Row],[Red Min]]/Table2[[#This Row],[ClassLength]],"")</f>
        <v>3.2786885245901641E-2</v>
      </c>
      <c r="AA190" s="25">
        <v>232.14</v>
      </c>
      <c r="AB190" s="25">
        <f t="shared" si="52"/>
        <v>12.896666666666667</v>
      </c>
      <c r="AC190" s="26">
        <f t="shared" si="40"/>
        <v>654.38888888888891</v>
      </c>
      <c r="AD190" s="26">
        <f t="shared" si="41"/>
        <v>14.166666666666666</v>
      </c>
      <c r="AE190">
        <f t="shared" si="42"/>
        <v>2021</v>
      </c>
      <c r="AG190">
        <v>12</v>
      </c>
      <c r="AH190" s="26">
        <f t="shared" si="43"/>
        <v>11.688524590163935</v>
      </c>
      <c r="AI190" t="str">
        <f t="shared" si="44"/>
        <v>AM</v>
      </c>
      <c r="AJ190" t="str">
        <f t="shared" si="45"/>
        <v>8-2021-2</v>
      </c>
      <c r="AK190">
        <f t="shared" si="46"/>
        <v>8</v>
      </c>
      <c r="AL190" s="26">
        <f>IFERROR(Table2[[#This Row],[Calories]]/Table2[[#This Row],[Splat]],"")</f>
        <v>54.846153846153847</v>
      </c>
      <c r="AM190">
        <f>COUNTIF(N$2:$N$938,N190)</f>
        <v>191</v>
      </c>
      <c r="AN190" t="str">
        <f>VLOOKUP(N190,'Helpful Tables'!A:D,4,FALSE)</f>
        <v>Washington, DC</v>
      </c>
      <c r="AO190" s="24">
        <f>COUNTIF(AN:AN,Table2[[#This Row],[State]])/COUNTA(AN:AN)</f>
        <v>0.54904051172707891</v>
      </c>
      <c r="AP190">
        <f>VLOOKUP(N190,'Helpful Tables'!A:B,2,FALSE)</f>
        <v>38.949649000000001</v>
      </c>
      <c r="AQ190">
        <f>VLOOKUP(N190,'Helpful Tables'!A:C,3,FALSE)</f>
        <v>-77.080878999999996</v>
      </c>
      <c r="AR190">
        <f>COUNTIF(P$2:$P$938,P190)</f>
        <v>20</v>
      </c>
      <c r="AS190" cm="1">
        <f t="array" ref="AS190">_xlfn.IFS(E190&lt;6,((E190/D190)*60)*0.5,AND(E190&gt;=6,E190&lt;9),((E190/D190)*60)*0.75,AND(E190&gt;=9,E190&lt;=11),((E190/D190)*60)*0.9,AND(E190=12),((E190/D190)*60)*1,AND(E190&gt;=13,E190&lt;=15),((E190/D190)*60)*1.2,AND(E190&gt;=16,E190&lt;=19),((E190/D190)*60)*1.5,E190&gt;=20,((E190/D190)*60)*1.8)</f>
        <v>15.344262295081965</v>
      </c>
      <c r="AT190" cm="1">
        <f t="array" ref="AT190">_xlfn.IFS(F190&lt;550,((F190/D190)*60)*0.5,AND(F190&gt;=550,F190&lt;575),((F190/D190)*60)*0.75,AND(F190&gt;=575,F190&lt;600),((F190/D190)*60)*0.9,AND(F190=600),((F190/D190)*60)*1,AND(F190&gt;=601,F190&lt;=625),((F190/D190)*60)*1.2,AND(F190&gt;=626,F190&lt;=650),((F190/D190)*60)*1.5,F190&gt;=651,((F190/D190)*60)*1.8)</f>
        <v>1262.360655737705</v>
      </c>
      <c r="AU190">
        <f t="shared" si="47"/>
        <v>21.3</v>
      </c>
      <c r="AV190">
        <f t="shared" si="51"/>
        <v>515.3419672131148</v>
      </c>
      <c r="AW190">
        <f t="shared" si="48"/>
        <v>88</v>
      </c>
      <c r="AX190" t="str">
        <f t="shared" si="49"/>
        <v>Aug-2021</v>
      </c>
      <c r="AY190">
        <f>ROUNDUP(Table2[[#This Row],[Month]]/3,0)</f>
        <v>3</v>
      </c>
    </row>
    <row r="191" spans="1:51" x14ac:dyDescent="0.2">
      <c r="A191">
        <v>190</v>
      </c>
      <c r="B191">
        <f t="shared" si="36"/>
        <v>18</v>
      </c>
      <c r="C191" s="22">
        <v>44423</v>
      </c>
      <c r="D191">
        <f>SUM(Table2[[#This Row],[Gray Min]:[Red Min]])</f>
        <v>59</v>
      </c>
      <c r="E191">
        <v>17</v>
      </c>
      <c r="F191">
        <v>653</v>
      </c>
      <c r="G191">
        <v>127</v>
      </c>
      <c r="H191">
        <v>161</v>
      </c>
      <c r="I191">
        <v>13</v>
      </c>
      <c r="J191">
        <v>17</v>
      </c>
      <c r="K191">
        <v>12</v>
      </c>
      <c r="L191">
        <v>17</v>
      </c>
      <c r="M191">
        <v>0</v>
      </c>
      <c r="N191" t="s">
        <v>101</v>
      </c>
      <c r="O191" t="s">
        <v>45</v>
      </c>
      <c r="P191" t="s">
        <v>118</v>
      </c>
      <c r="Q191">
        <f t="shared" si="50"/>
        <v>2</v>
      </c>
      <c r="R191" t="str">
        <f t="shared" si="37"/>
        <v>8-2021</v>
      </c>
      <c r="S191" t="s">
        <v>104</v>
      </c>
      <c r="T191" t="str">
        <f t="shared" si="38"/>
        <v>Sunday</v>
      </c>
      <c r="U191">
        <f t="shared" si="39"/>
        <v>1</v>
      </c>
      <c r="V191" s="24">
        <f>IFERROR(Table2[[#This Row],[Gray Min]]/Table2[[#This Row],[ClassLength]],"")</f>
        <v>0.22033898305084745</v>
      </c>
      <c r="W191" s="24">
        <f>IFERROR(Table2[[#This Row],[Blue Min]]/Table2[[#This Row],[ClassLength]],"")</f>
        <v>0.28813559322033899</v>
      </c>
      <c r="X191" s="24">
        <f>IFERROR(Table2[[#This Row],[Green Min]]/Table2[[#This Row],[ClassLength]],"")</f>
        <v>0.20338983050847459</v>
      </c>
      <c r="Y191" s="24">
        <f>IFERROR(Table2[[#This Row],[Orange Min]]/Table2[[#This Row],[ClassLength]],"")</f>
        <v>0.28813559322033899</v>
      </c>
      <c r="Z191" s="24">
        <f>IFERROR(Table2[[#This Row],[Red Min]]/Table2[[#This Row],[ClassLength]],"")</f>
        <v>0</v>
      </c>
      <c r="AA191" s="25">
        <v>232.14</v>
      </c>
      <c r="AB191" s="25">
        <f t="shared" si="52"/>
        <v>12.896666666666667</v>
      </c>
      <c r="AC191" s="26">
        <f t="shared" si="40"/>
        <v>654.38888888888891</v>
      </c>
      <c r="AD191" s="26">
        <f t="shared" si="41"/>
        <v>14.166666666666666</v>
      </c>
      <c r="AE191">
        <f t="shared" si="42"/>
        <v>2021</v>
      </c>
      <c r="AG191">
        <v>12</v>
      </c>
      <c r="AH191" s="26">
        <f t="shared" si="43"/>
        <v>11.067796610169491</v>
      </c>
      <c r="AI191" t="str">
        <f t="shared" si="44"/>
        <v>AM</v>
      </c>
      <c r="AJ191" t="str">
        <f t="shared" si="45"/>
        <v>8-2021-3</v>
      </c>
      <c r="AK191">
        <f t="shared" si="46"/>
        <v>8</v>
      </c>
      <c r="AL191" s="26">
        <f>IFERROR(Table2[[#This Row],[Calories]]/Table2[[#This Row],[Splat]],"")</f>
        <v>38.411764705882355</v>
      </c>
      <c r="AM191">
        <f>COUNTIF(N$2:$N$938,N191)</f>
        <v>191</v>
      </c>
      <c r="AN191" t="str">
        <f>VLOOKUP(N191,'Helpful Tables'!A:D,4,FALSE)</f>
        <v>Washington, DC</v>
      </c>
      <c r="AO191" s="24">
        <f>COUNTIF(AN:AN,Table2[[#This Row],[State]])/COUNTA(AN:AN)</f>
        <v>0.54904051172707891</v>
      </c>
      <c r="AP191">
        <f>VLOOKUP(N191,'Helpful Tables'!A:B,2,FALSE)</f>
        <v>38.949649000000001</v>
      </c>
      <c r="AQ191">
        <f>VLOOKUP(N191,'Helpful Tables'!A:C,3,FALSE)</f>
        <v>-77.080878999999996</v>
      </c>
      <c r="AR191">
        <f>COUNTIF(P$2:$P$938,P191)</f>
        <v>16</v>
      </c>
      <c r="AS191" cm="1">
        <f t="array" ref="AS191">_xlfn.IFS(E191&lt;6,((E191/D191)*60)*0.5,AND(E191&gt;=6,E191&lt;9),((E191/D191)*60)*0.75,AND(E191&gt;=9,E191&lt;=11),((E191/D191)*60)*0.9,AND(E191=12),((E191/D191)*60)*1,AND(E191&gt;=13,E191&lt;=15),((E191/D191)*60)*1.2,AND(E191&gt;=16,E191&lt;=19),((E191/D191)*60)*1.5,E191&gt;=20,((E191/D191)*60)*1.8)</f>
        <v>25.932203389830509</v>
      </c>
      <c r="AT191" cm="1">
        <f t="array" ref="AT191">_xlfn.IFS(F191&lt;550,((F191/D191)*60)*0.5,AND(F191&gt;=550,F191&lt;575),((F191/D191)*60)*0.75,AND(F191&gt;=575,F191&lt;600),((F191/D191)*60)*0.9,AND(F191=600),((F191/D191)*60)*1,AND(F191&gt;=601,F191&lt;=625),((F191/D191)*60)*1.2,AND(F191&gt;=626,F191&lt;=650),((F191/D191)*60)*1.5,F191&gt;=651,((F191/D191)*60)*1.8)</f>
        <v>1195.3220338983051</v>
      </c>
      <c r="AU191">
        <f t="shared" si="47"/>
        <v>2.1999999999999957</v>
      </c>
      <c r="AV191">
        <f t="shared" si="51"/>
        <v>488.94169491525423</v>
      </c>
      <c r="AW191">
        <f t="shared" si="48"/>
        <v>73.099999999999994</v>
      </c>
      <c r="AX191" t="str">
        <f t="shared" si="49"/>
        <v>Aug-2021</v>
      </c>
      <c r="AY191">
        <f>ROUNDUP(Table2[[#This Row],[Month]]/3,0)</f>
        <v>3</v>
      </c>
    </row>
    <row r="192" spans="1:51" x14ac:dyDescent="0.2">
      <c r="A192">
        <v>191</v>
      </c>
      <c r="B192">
        <f t="shared" si="36"/>
        <v>18</v>
      </c>
      <c r="C192" s="22">
        <v>44426</v>
      </c>
      <c r="D192">
        <f>SUM(Table2[[#This Row],[Gray Min]:[Red Min]])</f>
        <v>56</v>
      </c>
      <c r="E192">
        <v>13</v>
      </c>
      <c r="F192">
        <v>623</v>
      </c>
      <c r="G192">
        <v>127</v>
      </c>
      <c r="H192">
        <v>166</v>
      </c>
      <c r="I192">
        <v>8</v>
      </c>
      <c r="J192">
        <v>16</v>
      </c>
      <c r="K192">
        <v>19</v>
      </c>
      <c r="L192">
        <v>11</v>
      </c>
      <c r="M192">
        <v>2</v>
      </c>
      <c r="N192" t="s">
        <v>91</v>
      </c>
      <c r="O192" t="s">
        <v>110</v>
      </c>
      <c r="P192" t="s">
        <v>100</v>
      </c>
      <c r="Q192">
        <f t="shared" si="50"/>
        <v>3</v>
      </c>
      <c r="R192" t="str">
        <f t="shared" si="37"/>
        <v>8-2021</v>
      </c>
      <c r="S192" t="s">
        <v>117</v>
      </c>
      <c r="T192" t="str">
        <f t="shared" si="38"/>
        <v>Wednesday</v>
      </c>
      <c r="U192">
        <f t="shared" si="39"/>
        <v>1</v>
      </c>
      <c r="V192" s="24">
        <f>IFERROR(Table2[[#This Row],[Gray Min]]/Table2[[#This Row],[ClassLength]],"")</f>
        <v>0.14285714285714285</v>
      </c>
      <c r="W192" s="24">
        <f>IFERROR(Table2[[#This Row],[Blue Min]]/Table2[[#This Row],[ClassLength]],"")</f>
        <v>0.2857142857142857</v>
      </c>
      <c r="X192" s="24">
        <f>IFERROR(Table2[[#This Row],[Green Min]]/Table2[[#This Row],[ClassLength]],"")</f>
        <v>0.3392857142857143</v>
      </c>
      <c r="Y192" s="24">
        <f>IFERROR(Table2[[#This Row],[Orange Min]]/Table2[[#This Row],[ClassLength]],"")</f>
        <v>0.19642857142857142</v>
      </c>
      <c r="Z192" s="24">
        <f>IFERROR(Table2[[#This Row],[Red Min]]/Table2[[#This Row],[ClassLength]],"")</f>
        <v>3.5714285714285712E-2</v>
      </c>
      <c r="AA192" s="25">
        <v>232.14</v>
      </c>
      <c r="AB192" s="25">
        <f t="shared" si="52"/>
        <v>12.896666666666667</v>
      </c>
      <c r="AC192" s="26">
        <f t="shared" si="40"/>
        <v>654.38888888888891</v>
      </c>
      <c r="AD192" s="26">
        <f t="shared" si="41"/>
        <v>14.166666666666666</v>
      </c>
      <c r="AE192">
        <f t="shared" si="42"/>
        <v>2021</v>
      </c>
      <c r="AG192">
        <v>12</v>
      </c>
      <c r="AH192" s="26">
        <f t="shared" si="43"/>
        <v>11.125</v>
      </c>
      <c r="AI192" t="str">
        <f t="shared" si="44"/>
        <v>AM</v>
      </c>
      <c r="AJ192" t="str">
        <f t="shared" si="45"/>
        <v>8-2021-3</v>
      </c>
      <c r="AK192">
        <f t="shared" si="46"/>
        <v>8</v>
      </c>
      <c r="AL192" s="26">
        <f>IFERROR(Table2[[#This Row],[Calories]]/Table2[[#This Row],[Splat]],"")</f>
        <v>47.92307692307692</v>
      </c>
      <c r="AM192">
        <f>COUNTIF(N$2:$N$938,N192)</f>
        <v>218</v>
      </c>
      <c r="AN192" t="str">
        <f>VLOOKUP(N192,'Helpful Tables'!A:D,4,FALSE)</f>
        <v>Washington, DC</v>
      </c>
      <c r="AO192" s="24">
        <f>COUNTIF(AN:AN,Table2[[#This Row],[State]])/COUNTA(AN:AN)</f>
        <v>0.54904051172707891</v>
      </c>
      <c r="AP192">
        <f>VLOOKUP(N192,'Helpful Tables'!A:B,2,FALSE)</f>
        <v>38.934710000000003</v>
      </c>
      <c r="AQ192">
        <f>VLOOKUP(N192,'Helpful Tables'!A:C,3,FALSE)</f>
        <v>-77.058222999999998</v>
      </c>
      <c r="AR192">
        <f>COUNTIF(P$2:$P$938,P192)</f>
        <v>35</v>
      </c>
      <c r="AS192" cm="1">
        <f t="array" ref="AS192">_xlfn.IFS(E192&lt;6,((E192/D192)*60)*0.5,AND(E192&gt;=6,E192&lt;9),((E192/D192)*60)*0.75,AND(E192&gt;=9,E192&lt;=11),((E192/D192)*60)*0.9,AND(E192=12),((E192/D192)*60)*1,AND(E192&gt;=13,E192&lt;=15),((E192/D192)*60)*1.2,AND(E192&gt;=16,E192&lt;=19),((E192/D192)*60)*1.5,E192&gt;=20,((E192/D192)*60)*1.8)</f>
        <v>16.714285714285715</v>
      </c>
      <c r="AT192" cm="1">
        <f t="array" ref="AT192">_xlfn.IFS(F192&lt;550,((F192/D192)*60)*0.5,AND(F192&gt;=550,F192&lt;575),((F192/D192)*60)*0.75,AND(F192&gt;=575,F192&lt;600),((F192/D192)*60)*0.9,AND(F192=600),((F192/D192)*60)*1,AND(F192&gt;=601,F192&lt;=625),((F192/D192)*60)*1.2,AND(F192&gt;=626,F192&lt;=650),((F192/D192)*60)*1.5,F192&gt;=651,((F192/D192)*60)*1.8)</f>
        <v>801</v>
      </c>
      <c r="AU192">
        <f t="shared" si="47"/>
        <v>12.899999999999999</v>
      </c>
      <c r="AV192">
        <f t="shared" si="51"/>
        <v>329.66571428571433</v>
      </c>
      <c r="AW192">
        <f t="shared" si="48"/>
        <v>40</v>
      </c>
      <c r="AX192" t="str">
        <f t="shared" si="49"/>
        <v>Aug-2021</v>
      </c>
      <c r="AY192">
        <f>ROUNDUP(Table2[[#This Row],[Month]]/3,0)</f>
        <v>3</v>
      </c>
    </row>
    <row r="193" spans="1:51" x14ac:dyDescent="0.2">
      <c r="A193">
        <v>192</v>
      </c>
      <c r="B193">
        <f t="shared" si="36"/>
        <v>18</v>
      </c>
      <c r="C193" s="22">
        <v>44427</v>
      </c>
      <c r="D193">
        <f>SUM(Table2[[#This Row],[Gray Min]:[Red Min]])</f>
        <v>56</v>
      </c>
      <c r="E193">
        <v>15</v>
      </c>
      <c r="F193">
        <v>650</v>
      </c>
      <c r="G193">
        <v>132</v>
      </c>
      <c r="H193">
        <v>173</v>
      </c>
      <c r="I193">
        <v>7</v>
      </c>
      <c r="J193">
        <v>12</v>
      </c>
      <c r="K193">
        <v>22</v>
      </c>
      <c r="L193">
        <v>13</v>
      </c>
      <c r="M193">
        <v>2</v>
      </c>
      <c r="N193" t="s">
        <v>30</v>
      </c>
      <c r="O193" t="s">
        <v>39</v>
      </c>
      <c r="P193" t="s">
        <v>124</v>
      </c>
      <c r="Q193">
        <f t="shared" si="50"/>
        <v>1</v>
      </c>
      <c r="R193" t="str">
        <f t="shared" si="37"/>
        <v>8-2021</v>
      </c>
      <c r="S193" t="s">
        <v>117</v>
      </c>
      <c r="T193" t="str">
        <f t="shared" si="38"/>
        <v>Thursday</v>
      </c>
      <c r="U193">
        <f t="shared" si="39"/>
        <v>1</v>
      </c>
      <c r="V193" s="24">
        <f>IFERROR(Table2[[#This Row],[Gray Min]]/Table2[[#This Row],[ClassLength]],"")</f>
        <v>0.125</v>
      </c>
      <c r="W193" s="24">
        <f>IFERROR(Table2[[#This Row],[Blue Min]]/Table2[[#This Row],[ClassLength]],"")</f>
        <v>0.21428571428571427</v>
      </c>
      <c r="X193" s="24">
        <f>IFERROR(Table2[[#This Row],[Green Min]]/Table2[[#This Row],[ClassLength]],"")</f>
        <v>0.39285714285714285</v>
      </c>
      <c r="Y193" s="24">
        <f>IFERROR(Table2[[#This Row],[Orange Min]]/Table2[[#This Row],[ClassLength]],"")</f>
        <v>0.23214285714285715</v>
      </c>
      <c r="Z193" s="24">
        <f>IFERROR(Table2[[#This Row],[Red Min]]/Table2[[#This Row],[ClassLength]],"")</f>
        <v>3.5714285714285712E-2</v>
      </c>
      <c r="AA193" s="25">
        <v>237.14</v>
      </c>
      <c r="AB193" s="25">
        <f t="shared" si="52"/>
        <v>13.174444444444443</v>
      </c>
      <c r="AC193" s="26">
        <f t="shared" si="40"/>
        <v>654.38888888888891</v>
      </c>
      <c r="AD193" s="26">
        <f t="shared" si="41"/>
        <v>14.166666666666666</v>
      </c>
      <c r="AE193">
        <f t="shared" si="42"/>
        <v>2021</v>
      </c>
      <c r="AF193" s="25">
        <v>5</v>
      </c>
      <c r="AG193">
        <v>12</v>
      </c>
      <c r="AH193" s="26">
        <f t="shared" si="43"/>
        <v>11.607142857142858</v>
      </c>
      <c r="AI193" t="str">
        <f t="shared" si="44"/>
        <v>PM</v>
      </c>
      <c r="AJ193" t="str">
        <f t="shared" si="45"/>
        <v>8-2021-3</v>
      </c>
      <c r="AK193">
        <f t="shared" si="46"/>
        <v>8</v>
      </c>
      <c r="AL193" s="26">
        <f>IFERROR(Table2[[#This Row],[Calories]]/Table2[[#This Row],[Splat]],"")</f>
        <v>43.333333333333336</v>
      </c>
      <c r="AM193">
        <f>COUNTIF(N$2:$N$938,N193)</f>
        <v>9</v>
      </c>
      <c r="AN193" t="str">
        <f>VLOOKUP(N193,'Helpful Tables'!A:D,4,FALSE)</f>
        <v>Virginia</v>
      </c>
      <c r="AO193" s="24">
        <f>COUNTIF(AN:AN,Table2[[#This Row],[State]])/COUNTA(AN:AN)</f>
        <v>5.6503198294243072E-2</v>
      </c>
      <c r="AP193">
        <f>VLOOKUP(N193,'Helpful Tables'!A:B,2,FALSE)</f>
        <v>38.894024999999999</v>
      </c>
      <c r="AQ193">
        <f>VLOOKUP(N193,'Helpful Tables'!A:C,3,FALSE)</f>
        <v>-77.078213000000005</v>
      </c>
      <c r="AR193">
        <f>COUNTIF(P$2:$P$938,P193)</f>
        <v>2</v>
      </c>
      <c r="AS193" cm="1">
        <f t="array" ref="AS193">_xlfn.IFS(E193&lt;6,((E193/D193)*60)*0.5,AND(E193&gt;=6,E193&lt;9),((E193/D193)*60)*0.75,AND(E193&gt;=9,E193&lt;=11),((E193/D193)*60)*0.9,AND(E193=12),((E193/D193)*60)*1,AND(E193&gt;=13,E193&lt;=15),((E193/D193)*60)*1.2,AND(E193&gt;=16,E193&lt;=19),((E193/D193)*60)*1.5,E193&gt;=20,((E193/D193)*60)*1.8)</f>
        <v>19.285714285714281</v>
      </c>
      <c r="AT193" cm="1">
        <f t="array" ref="AT193">_xlfn.IFS(F193&lt;550,((F193/D193)*60)*0.5,AND(F193&gt;=550,F193&lt;575),((F193/D193)*60)*0.75,AND(F193&gt;=575,F193&lt;600),((F193/D193)*60)*0.9,AND(F193=600),((F193/D193)*60)*1,AND(F193&gt;=601,F193&lt;=625),((F193/D193)*60)*1.2,AND(F193&gt;=626,F193&lt;=650),((F193/D193)*60)*1.5,F193&gt;=651,((F193/D193)*60)*1.8)</f>
        <v>1044.6428571428571</v>
      </c>
      <c r="AU193">
        <f t="shared" si="47"/>
        <v>24.7</v>
      </c>
      <c r="AV193">
        <f t="shared" si="51"/>
        <v>430.51142857142861</v>
      </c>
      <c r="AW193">
        <f t="shared" si="48"/>
        <v>64.900000000000006</v>
      </c>
      <c r="AX193" t="str">
        <f t="shared" si="49"/>
        <v>Aug-2021</v>
      </c>
      <c r="AY193">
        <f>ROUNDUP(Table2[[#This Row],[Month]]/3,0)</f>
        <v>3</v>
      </c>
    </row>
    <row r="194" spans="1:51" x14ac:dyDescent="0.2">
      <c r="A194">
        <v>193</v>
      </c>
      <c r="B194">
        <f t="shared" ref="B194:B257" si="53">COUNTIF(R:R,R194)</f>
        <v>18</v>
      </c>
      <c r="C194" s="22">
        <v>44428</v>
      </c>
      <c r="D194">
        <f>SUM(Table2[[#This Row],[Gray Min]:[Red Min]])</f>
        <v>60</v>
      </c>
      <c r="E194">
        <v>13</v>
      </c>
      <c r="F194">
        <v>622</v>
      </c>
      <c r="G194">
        <v>122</v>
      </c>
      <c r="H194">
        <v>167</v>
      </c>
      <c r="I194">
        <v>16</v>
      </c>
      <c r="J194">
        <v>16</v>
      </c>
      <c r="K194">
        <v>15</v>
      </c>
      <c r="L194">
        <v>11</v>
      </c>
      <c r="M194">
        <v>2</v>
      </c>
      <c r="N194" t="s">
        <v>91</v>
      </c>
      <c r="O194" t="s">
        <v>39</v>
      </c>
      <c r="P194" t="s">
        <v>94</v>
      </c>
      <c r="Q194">
        <f t="shared" si="50"/>
        <v>1</v>
      </c>
      <c r="R194" t="str">
        <f t="shared" ref="R194:R257" si="54">MONTH(C194)&amp;"-"&amp;YEAR(C194)</f>
        <v>8-2021</v>
      </c>
      <c r="S194" t="s">
        <v>117</v>
      </c>
      <c r="T194" t="str">
        <f t="shared" ref="T194:T257" si="55">IF(WEEKDAY(C194)=1,"Sunday",IF(WEEKDAY(C194)=2,"Monday",IF(WEEKDAY(C194)=3,"Tuesday",IF(WEEKDAY(C194)=4,"Wednesday",IF(WEEKDAY(C194)=5,"Thursday",IF(WEEKDAY(C194)=6,"Friday","Saturday"))))))</f>
        <v>Friday</v>
      </c>
      <c r="U194">
        <f t="shared" ref="U194:U257" si="56">IF(E194&gt;=12,1,0)</f>
        <v>1</v>
      </c>
      <c r="V194" s="24">
        <f>IFERROR(Table2[[#This Row],[Gray Min]]/Table2[[#This Row],[ClassLength]],"")</f>
        <v>0.26666666666666666</v>
      </c>
      <c r="W194" s="24">
        <f>IFERROR(Table2[[#This Row],[Blue Min]]/Table2[[#This Row],[ClassLength]],"")</f>
        <v>0.26666666666666666</v>
      </c>
      <c r="X194" s="24">
        <f>IFERROR(Table2[[#This Row],[Green Min]]/Table2[[#This Row],[ClassLength]],"")</f>
        <v>0.25</v>
      </c>
      <c r="Y194" s="24">
        <f>IFERROR(Table2[[#This Row],[Orange Min]]/Table2[[#This Row],[ClassLength]],"")</f>
        <v>0.18333333333333332</v>
      </c>
      <c r="Z194" s="24">
        <f>IFERROR(Table2[[#This Row],[Red Min]]/Table2[[#This Row],[ClassLength]],"")</f>
        <v>3.3333333333333333E-2</v>
      </c>
      <c r="AA194" s="25">
        <v>232.14</v>
      </c>
      <c r="AB194" s="25">
        <f t="shared" si="52"/>
        <v>12.896666666666667</v>
      </c>
      <c r="AC194" s="26">
        <f t="shared" ref="AC194:AC257" si="57">AVERAGEIF(R:R,R194,F:F)</f>
        <v>654.38888888888891</v>
      </c>
      <c r="AD194" s="26">
        <f t="shared" ref="AD194:AD257" si="58">AVERAGEIF(R:R,R194,E:E)</f>
        <v>14.166666666666666</v>
      </c>
      <c r="AE194">
        <f t="shared" ref="AE194:AE257" si="59">YEAR(C194)</f>
        <v>2021</v>
      </c>
      <c r="AG194">
        <v>12</v>
      </c>
      <c r="AH194" s="26">
        <f t="shared" ref="AH194:AH257" si="60">F194/D194</f>
        <v>10.366666666666667</v>
      </c>
      <c r="AI194" t="str">
        <f t="shared" ref="AI194:AI257" si="61">RIGHT(O194,2)</f>
        <v>PM</v>
      </c>
      <c r="AJ194" t="str">
        <f t="shared" ref="AJ194:AJ257" si="62">R194&amp;"-"&amp;WEEKNUM(C194,1)-WEEKNUM(DATE(YEAR(C194),MONTH(C194),1),1)+1</f>
        <v>8-2021-3</v>
      </c>
      <c r="AK194">
        <f t="shared" ref="AK194:AK257" si="63">MONTH(C194)</f>
        <v>8</v>
      </c>
      <c r="AL194" s="26">
        <f>IFERROR(Table2[[#This Row],[Calories]]/Table2[[#This Row],[Splat]],"")</f>
        <v>47.846153846153847</v>
      </c>
      <c r="AM194">
        <f>COUNTIF(N$2:$N$938,N194)</f>
        <v>218</v>
      </c>
      <c r="AN194" t="str">
        <f>VLOOKUP(N194,'Helpful Tables'!A:D,4,FALSE)</f>
        <v>Washington, DC</v>
      </c>
      <c r="AO194" s="24">
        <f>COUNTIF(AN:AN,Table2[[#This Row],[State]])/COUNTA(AN:AN)</f>
        <v>0.54904051172707891</v>
      </c>
      <c r="AP194">
        <f>VLOOKUP(N194,'Helpful Tables'!A:B,2,FALSE)</f>
        <v>38.934710000000003</v>
      </c>
      <c r="AQ194">
        <f>VLOOKUP(N194,'Helpful Tables'!A:C,3,FALSE)</f>
        <v>-77.058222999999998</v>
      </c>
      <c r="AR194">
        <f>COUNTIF(P$2:$P$938,P194)</f>
        <v>15</v>
      </c>
      <c r="AS194" cm="1">
        <f t="array" ref="AS194">_xlfn.IFS(E194&lt;6,((E194/D194)*60)*0.5,AND(E194&gt;=6,E194&lt;9),((E194/D194)*60)*0.75,AND(E194&gt;=9,E194&lt;=11),((E194/D194)*60)*0.9,AND(E194=12),((E194/D194)*60)*1,AND(E194&gt;=13,E194&lt;=15),((E194/D194)*60)*1.2,AND(E194&gt;=16,E194&lt;=19),((E194/D194)*60)*1.5,E194&gt;=20,((E194/D194)*60)*1.8)</f>
        <v>15.6</v>
      </c>
      <c r="AT194" cm="1">
        <f t="array" ref="AT194">_xlfn.IFS(F194&lt;550,((F194/D194)*60)*0.5,AND(F194&gt;=550,F194&lt;575),((F194/D194)*60)*0.75,AND(F194&gt;=575,F194&lt;600),((F194/D194)*60)*0.9,AND(F194=600),((F194/D194)*60)*1,AND(F194&gt;=601,F194&lt;=625),((F194/D194)*60)*1.2,AND(F194&gt;=626,F194&lt;=650),((F194/D194)*60)*1.5,F194&gt;=651,((F194/D194)*60)*1.8)</f>
        <v>746.4</v>
      </c>
      <c r="AU194">
        <f t="shared" ref="AU194:AU205" si="64">(I194*-1.2)+(J194*-1.1)+(K194*1.2)+(L194*1.3)+(M194*1.5)</f>
        <v>-1.4999999999999964</v>
      </c>
      <c r="AV194">
        <f t="shared" si="51"/>
        <v>304.5</v>
      </c>
      <c r="AW194">
        <f t="shared" ref="AW194:AW257" si="65">PERCENTRANK(AV:AV,AV194)*100</f>
        <v>28.599999999999998</v>
      </c>
      <c r="AX194" t="str">
        <f t="shared" ref="AX194:AX257" si="66">_xlfn.CONCAT(TEXT(C194,"mmm"),"-",AE194)</f>
        <v>Aug-2021</v>
      </c>
      <c r="AY194">
        <f>ROUNDUP(Table2[[#This Row],[Month]]/3,0)</f>
        <v>3</v>
      </c>
    </row>
    <row r="195" spans="1:51" x14ac:dyDescent="0.2">
      <c r="A195">
        <v>194</v>
      </c>
      <c r="B195">
        <f t="shared" si="53"/>
        <v>18</v>
      </c>
      <c r="C195" s="22">
        <v>44430</v>
      </c>
      <c r="D195">
        <f>SUM(Table2[[#This Row],[Gray Min]:[Red Min]])</f>
        <v>66</v>
      </c>
      <c r="E195">
        <v>12</v>
      </c>
      <c r="F195">
        <v>714</v>
      </c>
      <c r="G195">
        <v>125</v>
      </c>
      <c r="H195">
        <v>161</v>
      </c>
      <c r="I195">
        <v>13</v>
      </c>
      <c r="J195">
        <v>20</v>
      </c>
      <c r="K195">
        <v>21</v>
      </c>
      <c r="L195">
        <v>12</v>
      </c>
      <c r="M195">
        <v>0</v>
      </c>
      <c r="N195" t="s">
        <v>101</v>
      </c>
      <c r="O195" t="s">
        <v>45</v>
      </c>
      <c r="P195" t="s">
        <v>102</v>
      </c>
      <c r="Q195">
        <f t="shared" ref="Q195:Q258" si="67">C195-C194</f>
        <v>2</v>
      </c>
      <c r="R195" t="str">
        <f t="shared" si="54"/>
        <v>8-2021</v>
      </c>
      <c r="S195" t="s">
        <v>104</v>
      </c>
      <c r="T195" t="str">
        <f t="shared" si="55"/>
        <v>Sunday</v>
      </c>
      <c r="U195">
        <f t="shared" si="56"/>
        <v>1</v>
      </c>
      <c r="V195" s="24">
        <f>IFERROR(Table2[[#This Row],[Gray Min]]/Table2[[#This Row],[ClassLength]],"")</f>
        <v>0.19696969696969696</v>
      </c>
      <c r="W195" s="24">
        <f>IFERROR(Table2[[#This Row],[Blue Min]]/Table2[[#This Row],[ClassLength]],"")</f>
        <v>0.30303030303030304</v>
      </c>
      <c r="X195" s="24">
        <f>IFERROR(Table2[[#This Row],[Green Min]]/Table2[[#This Row],[ClassLength]],"")</f>
        <v>0.31818181818181818</v>
      </c>
      <c r="Y195" s="24">
        <f>IFERROR(Table2[[#This Row],[Orange Min]]/Table2[[#This Row],[ClassLength]],"")</f>
        <v>0.18181818181818182</v>
      </c>
      <c r="Z195" s="24">
        <f>IFERROR(Table2[[#This Row],[Red Min]]/Table2[[#This Row],[ClassLength]],"")</f>
        <v>0</v>
      </c>
      <c r="AA195" s="25">
        <v>232.14</v>
      </c>
      <c r="AB195" s="25">
        <f t="shared" si="52"/>
        <v>12.896666666666667</v>
      </c>
      <c r="AC195" s="26">
        <f t="shared" si="57"/>
        <v>654.38888888888891</v>
      </c>
      <c r="AD195" s="26">
        <f t="shared" si="58"/>
        <v>14.166666666666666</v>
      </c>
      <c r="AE195">
        <f t="shared" si="59"/>
        <v>2021</v>
      </c>
      <c r="AG195">
        <v>12</v>
      </c>
      <c r="AH195" s="26">
        <f t="shared" si="60"/>
        <v>10.818181818181818</v>
      </c>
      <c r="AI195" t="str">
        <f t="shared" si="61"/>
        <v>AM</v>
      </c>
      <c r="AJ195" t="str">
        <f t="shared" si="62"/>
        <v>8-2021-4</v>
      </c>
      <c r="AK195">
        <f t="shared" si="63"/>
        <v>8</v>
      </c>
      <c r="AL195" s="26">
        <f>IFERROR(Table2[[#This Row],[Calories]]/Table2[[#This Row],[Splat]],"")</f>
        <v>59.5</v>
      </c>
      <c r="AM195">
        <f>COUNTIF(N$2:$N$938,N195)</f>
        <v>191</v>
      </c>
      <c r="AN195" t="str">
        <f>VLOOKUP(N195,'Helpful Tables'!A:D,4,FALSE)</f>
        <v>Washington, DC</v>
      </c>
      <c r="AO195" s="24">
        <f>COUNTIF(AN:AN,Table2[[#This Row],[State]])/COUNTA(AN:AN)</f>
        <v>0.54904051172707891</v>
      </c>
      <c r="AP195">
        <f>VLOOKUP(N195,'Helpful Tables'!A:B,2,FALSE)</f>
        <v>38.949649000000001</v>
      </c>
      <c r="AQ195">
        <f>VLOOKUP(N195,'Helpful Tables'!A:C,3,FALSE)</f>
        <v>-77.080878999999996</v>
      </c>
      <c r="AR195">
        <f>COUNTIF(P$2:$P$938,P195)</f>
        <v>20</v>
      </c>
      <c r="AS195" cm="1">
        <f t="array" ref="AS195">_xlfn.IFS(E195&lt;6,((E195/D195)*60)*0.5,AND(E195&gt;=6,E195&lt;9),((E195/D195)*60)*0.75,AND(E195&gt;=9,E195&lt;=11),((E195/D195)*60)*0.9,AND(E195=12),((E195/D195)*60)*1,AND(E195&gt;=13,E195&lt;=15),((E195/D195)*60)*1.2,AND(E195&gt;=16,E195&lt;=19),((E195/D195)*60)*1.5,E195&gt;=20,((E195/D195)*60)*1.8)</f>
        <v>10.90909090909091</v>
      </c>
      <c r="AT195" cm="1">
        <f t="array" ref="AT195">_xlfn.IFS(F195&lt;550,((F195/D195)*60)*0.5,AND(F195&gt;=550,F195&lt;575),((F195/D195)*60)*0.75,AND(F195&gt;=575,F195&lt;600),((F195/D195)*60)*0.9,AND(F195=600),((F195/D195)*60)*1,AND(F195&gt;=601,F195&lt;=625),((F195/D195)*60)*1.2,AND(F195&gt;=626,F195&lt;=650),((F195/D195)*60)*1.5,F195&gt;=651,((F195/D195)*60)*1.8)</f>
        <v>1168.3636363636365</v>
      </c>
      <c r="AU195">
        <f t="shared" si="64"/>
        <v>3.1999999999999993</v>
      </c>
      <c r="AV195">
        <f t="shared" ref="AV195:AV258" si="68">(AS195*0.4)+(AT195*0.4)+(AU195*0.2)</f>
        <v>472.34909090909099</v>
      </c>
      <c r="AW195">
        <f t="shared" si="65"/>
        <v>68</v>
      </c>
      <c r="AX195" t="str">
        <f t="shared" si="66"/>
        <v>Aug-2021</v>
      </c>
      <c r="AY195">
        <f>ROUNDUP(Table2[[#This Row],[Month]]/3,0)</f>
        <v>3</v>
      </c>
    </row>
    <row r="196" spans="1:51" x14ac:dyDescent="0.2">
      <c r="A196">
        <v>195</v>
      </c>
      <c r="B196">
        <f t="shared" si="53"/>
        <v>18</v>
      </c>
      <c r="C196" s="22">
        <v>44431</v>
      </c>
      <c r="D196">
        <f>SUM(Table2[[#This Row],[Gray Min]:[Red Min]])</f>
        <v>57</v>
      </c>
      <c r="E196">
        <v>15</v>
      </c>
      <c r="F196">
        <v>676</v>
      </c>
      <c r="G196">
        <v>131</v>
      </c>
      <c r="H196">
        <v>167</v>
      </c>
      <c r="I196">
        <v>7</v>
      </c>
      <c r="J196">
        <v>14</v>
      </c>
      <c r="K196">
        <v>21</v>
      </c>
      <c r="L196">
        <v>14</v>
      </c>
      <c r="M196">
        <v>1</v>
      </c>
      <c r="N196" t="s">
        <v>91</v>
      </c>
      <c r="O196" t="s">
        <v>39</v>
      </c>
      <c r="P196" t="s">
        <v>94</v>
      </c>
      <c r="Q196">
        <f t="shared" si="67"/>
        <v>1</v>
      </c>
      <c r="R196" t="str">
        <f t="shared" si="54"/>
        <v>8-2021</v>
      </c>
      <c r="S196" t="s">
        <v>117</v>
      </c>
      <c r="T196" t="str">
        <f t="shared" si="55"/>
        <v>Monday</v>
      </c>
      <c r="U196">
        <f t="shared" si="56"/>
        <v>1</v>
      </c>
      <c r="V196" s="24">
        <f>IFERROR(Table2[[#This Row],[Gray Min]]/Table2[[#This Row],[ClassLength]],"")</f>
        <v>0.12280701754385964</v>
      </c>
      <c r="W196" s="24">
        <f>IFERROR(Table2[[#This Row],[Blue Min]]/Table2[[#This Row],[ClassLength]],"")</f>
        <v>0.24561403508771928</v>
      </c>
      <c r="X196" s="24">
        <f>IFERROR(Table2[[#This Row],[Green Min]]/Table2[[#This Row],[ClassLength]],"")</f>
        <v>0.36842105263157893</v>
      </c>
      <c r="Y196" s="24">
        <f>IFERROR(Table2[[#This Row],[Orange Min]]/Table2[[#This Row],[ClassLength]],"")</f>
        <v>0.24561403508771928</v>
      </c>
      <c r="Z196" s="24">
        <f>IFERROR(Table2[[#This Row],[Red Min]]/Table2[[#This Row],[ClassLength]],"")</f>
        <v>1.7543859649122806E-2</v>
      </c>
      <c r="AA196" s="25">
        <v>232.14</v>
      </c>
      <c r="AB196" s="25">
        <f t="shared" si="52"/>
        <v>12.896666666666667</v>
      </c>
      <c r="AC196" s="26">
        <f t="shared" si="57"/>
        <v>654.38888888888891</v>
      </c>
      <c r="AD196" s="26">
        <f t="shared" si="58"/>
        <v>14.166666666666666</v>
      </c>
      <c r="AE196">
        <f t="shared" si="59"/>
        <v>2021</v>
      </c>
      <c r="AG196">
        <v>12</v>
      </c>
      <c r="AH196" s="26">
        <f t="shared" si="60"/>
        <v>11.859649122807017</v>
      </c>
      <c r="AI196" t="str">
        <f t="shared" si="61"/>
        <v>PM</v>
      </c>
      <c r="AJ196" t="str">
        <f t="shared" si="62"/>
        <v>8-2021-4</v>
      </c>
      <c r="AK196">
        <f t="shared" si="63"/>
        <v>8</v>
      </c>
      <c r="AL196" s="26">
        <f>IFERROR(Table2[[#This Row],[Calories]]/Table2[[#This Row],[Splat]],"")</f>
        <v>45.06666666666667</v>
      </c>
      <c r="AM196">
        <f>COUNTIF(N$2:$N$938,N196)</f>
        <v>218</v>
      </c>
      <c r="AN196" t="str">
        <f>VLOOKUP(N196,'Helpful Tables'!A:D,4,FALSE)</f>
        <v>Washington, DC</v>
      </c>
      <c r="AO196" s="24">
        <f>COUNTIF(AN:AN,Table2[[#This Row],[State]])/COUNTA(AN:AN)</f>
        <v>0.54904051172707891</v>
      </c>
      <c r="AP196">
        <f>VLOOKUP(N196,'Helpful Tables'!A:B,2,FALSE)</f>
        <v>38.934710000000003</v>
      </c>
      <c r="AQ196">
        <f>VLOOKUP(N196,'Helpful Tables'!A:C,3,FALSE)</f>
        <v>-77.058222999999998</v>
      </c>
      <c r="AR196">
        <f>COUNTIF(P$2:$P$938,P196)</f>
        <v>15</v>
      </c>
      <c r="AS196" cm="1">
        <f t="array" ref="AS196">_xlfn.IFS(E196&lt;6,((E196/D196)*60)*0.5,AND(E196&gt;=6,E196&lt;9),((E196/D196)*60)*0.75,AND(E196&gt;=9,E196&lt;=11),((E196/D196)*60)*0.9,AND(E196=12),((E196/D196)*60)*1,AND(E196&gt;=13,E196&lt;=15),((E196/D196)*60)*1.2,AND(E196&gt;=16,E196&lt;=19),((E196/D196)*60)*1.5,E196&gt;=20,((E196/D196)*60)*1.8)</f>
        <v>18.94736842105263</v>
      </c>
      <c r="AT196" cm="1">
        <f t="array" ref="AT196">_xlfn.IFS(F196&lt;550,((F196/D196)*60)*0.5,AND(F196&gt;=550,F196&lt;575),((F196/D196)*60)*0.75,AND(F196&gt;=575,F196&lt;600),((F196/D196)*60)*0.9,AND(F196=600),((F196/D196)*60)*1,AND(F196&gt;=601,F196&lt;=625),((F196/D196)*60)*1.2,AND(F196&gt;=626,F196&lt;=650),((F196/D196)*60)*1.5,F196&gt;=651,((F196/D196)*60)*1.8)</f>
        <v>1280.8421052631579</v>
      </c>
      <c r="AU196">
        <f t="shared" si="64"/>
        <v>21.099999999999994</v>
      </c>
      <c r="AV196">
        <f t="shared" si="68"/>
        <v>524.13578947368421</v>
      </c>
      <c r="AW196">
        <f t="shared" si="65"/>
        <v>92.2</v>
      </c>
      <c r="AX196" t="str">
        <f t="shared" si="66"/>
        <v>Aug-2021</v>
      </c>
      <c r="AY196">
        <f>ROUNDUP(Table2[[#This Row],[Month]]/3,0)</f>
        <v>3</v>
      </c>
    </row>
    <row r="197" spans="1:51" x14ac:dyDescent="0.2">
      <c r="A197">
        <v>196</v>
      </c>
      <c r="B197">
        <f t="shared" si="53"/>
        <v>18</v>
      </c>
      <c r="C197" s="22">
        <v>44433</v>
      </c>
      <c r="D197">
        <f>SUM(Table2[[#This Row],[Gray Min]:[Red Min]])</f>
        <v>58</v>
      </c>
      <c r="E197">
        <v>14</v>
      </c>
      <c r="F197">
        <v>699</v>
      </c>
      <c r="G197">
        <v>133</v>
      </c>
      <c r="H197">
        <v>170</v>
      </c>
      <c r="I197">
        <v>5</v>
      </c>
      <c r="J197">
        <v>10</v>
      </c>
      <c r="K197">
        <v>29</v>
      </c>
      <c r="L197">
        <v>12</v>
      </c>
      <c r="M197">
        <v>2</v>
      </c>
      <c r="N197" t="s">
        <v>91</v>
      </c>
      <c r="O197" t="s">
        <v>39</v>
      </c>
      <c r="P197" t="s">
        <v>96</v>
      </c>
      <c r="Q197">
        <f t="shared" si="67"/>
        <v>2</v>
      </c>
      <c r="R197" t="str">
        <f t="shared" si="54"/>
        <v>8-2021</v>
      </c>
      <c r="S197" t="s">
        <v>117</v>
      </c>
      <c r="T197" t="str">
        <f t="shared" si="55"/>
        <v>Wednesday</v>
      </c>
      <c r="U197">
        <f t="shared" si="56"/>
        <v>1</v>
      </c>
      <c r="V197" s="24">
        <f>IFERROR(Table2[[#This Row],[Gray Min]]/Table2[[#This Row],[ClassLength]],"")</f>
        <v>8.6206896551724144E-2</v>
      </c>
      <c r="W197" s="24">
        <f>IFERROR(Table2[[#This Row],[Blue Min]]/Table2[[#This Row],[ClassLength]],"")</f>
        <v>0.17241379310344829</v>
      </c>
      <c r="X197" s="24">
        <f>IFERROR(Table2[[#This Row],[Green Min]]/Table2[[#This Row],[ClassLength]],"")</f>
        <v>0.5</v>
      </c>
      <c r="Y197" s="24">
        <f>IFERROR(Table2[[#This Row],[Orange Min]]/Table2[[#This Row],[ClassLength]],"")</f>
        <v>0.20689655172413793</v>
      </c>
      <c r="Z197" s="24">
        <f>IFERROR(Table2[[#This Row],[Red Min]]/Table2[[#This Row],[ClassLength]],"")</f>
        <v>3.4482758620689655E-2</v>
      </c>
      <c r="AA197" s="25">
        <v>232.14</v>
      </c>
      <c r="AB197" s="25">
        <f t="shared" si="52"/>
        <v>12.896666666666667</v>
      </c>
      <c r="AC197" s="26">
        <f t="shared" si="57"/>
        <v>654.38888888888891</v>
      </c>
      <c r="AD197" s="26">
        <f t="shared" si="58"/>
        <v>14.166666666666666</v>
      </c>
      <c r="AE197">
        <f t="shared" si="59"/>
        <v>2021</v>
      </c>
      <c r="AG197">
        <v>12</v>
      </c>
      <c r="AH197" s="26">
        <f t="shared" si="60"/>
        <v>12.051724137931034</v>
      </c>
      <c r="AI197" t="str">
        <f t="shared" si="61"/>
        <v>PM</v>
      </c>
      <c r="AJ197" t="str">
        <f t="shared" si="62"/>
        <v>8-2021-4</v>
      </c>
      <c r="AK197">
        <f t="shared" si="63"/>
        <v>8</v>
      </c>
      <c r="AL197" s="26">
        <f>IFERROR(Table2[[#This Row],[Calories]]/Table2[[#This Row],[Splat]],"")</f>
        <v>49.928571428571431</v>
      </c>
      <c r="AM197">
        <f>COUNTIF(N$2:$N$938,N197)</f>
        <v>218</v>
      </c>
      <c r="AN197" t="str">
        <f>VLOOKUP(N197,'Helpful Tables'!A:D,4,FALSE)</f>
        <v>Washington, DC</v>
      </c>
      <c r="AO197" s="24">
        <f>COUNTIF(AN:AN,Table2[[#This Row],[State]])/COUNTA(AN:AN)</f>
        <v>0.54904051172707891</v>
      </c>
      <c r="AP197">
        <f>VLOOKUP(N197,'Helpful Tables'!A:B,2,FALSE)</f>
        <v>38.934710000000003</v>
      </c>
      <c r="AQ197">
        <f>VLOOKUP(N197,'Helpful Tables'!A:C,3,FALSE)</f>
        <v>-77.058222999999998</v>
      </c>
      <c r="AR197">
        <f>COUNTIF(P$2:$P$938,P197)</f>
        <v>71</v>
      </c>
      <c r="AS197" cm="1">
        <f t="array" ref="AS197">_xlfn.IFS(E197&lt;6,((E197/D197)*60)*0.5,AND(E197&gt;=6,E197&lt;9),((E197/D197)*60)*0.75,AND(E197&gt;=9,E197&lt;=11),((E197/D197)*60)*0.9,AND(E197=12),((E197/D197)*60)*1,AND(E197&gt;=13,E197&lt;=15),((E197/D197)*60)*1.2,AND(E197&gt;=16,E197&lt;=19),((E197/D197)*60)*1.5,E197&gt;=20,((E197/D197)*60)*1.8)</f>
        <v>17.379310344827587</v>
      </c>
      <c r="AT197" cm="1">
        <f t="array" ref="AT197">_xlfn.IFS(F197&lt;550,((F197/D197)*60)*0.5,AND(F197&gt;=550,F197&lt;575),((F197/D197)*60)*0.75,AND(F197&gt;=575,F197&lt;600),((F197/D197)*60)*0.9,AND(F197=600),((F197/D197)*60)*1,AND(F197&gt;=601,F197&lt;=625),((F197/D197)*60)*1.2,AND(F197&gt;=626,F197&lt;=650),((F197/D197)*60)*1.5,F197&gt;=651,((F197/D197)*60)*1.8)</f>
        <v>1301.5862068965516</v>
      </c>
      <c r="AU197">
        <f t="shared" si="64"/>
        <v>36.4</v>
      </c>
      <c r="AV197">
        <f t="shared" si="68"/>
        <v>534.86620689655172</v>
      </c>
      <c r="AW197">
        <f t="shared" si="65"/>
        <v>95</v>
      </c>
      <c r="AX197" t="str">
        <f t="shared" si="66"/>
        <v>Aug-2021</v>
      </c>
      <c r="AY197">
        <f>ROUNDUP(Table2[[#This Row],[Month]]/3,0)</f>
        <v>3</v>
      </c>
    </row>
    <row r="198" spans="1:51" x14ac:dyDescent="0.2">
      <c r="A198">
        <v>197</v>
      </c>
      <c r="B198">
        <f t="shared" si="53"/>
        <v>18</v>
      </c>
      <c r="C198" s="22">
        <v>44434</v>
      </c>
      <c r="D198">
        <f>SUM(Table2[[#This Row],[Gray Min]:[Red Min]])</f>
        <v>57</v>
      </c>
      <c r="E198">
        <v>18</v>
      </c>
      <c r="F198">
        <v>629</v>
      </c>
      <c r="G198">
        <v>129</v>
      </c>
      <c r="H198">
        <v>165</v>
      </c>
      <c r="I198">
        <v>8</v>
      </c>
      <c r="J198">
        <v>18</v>
      </c>
      <c r="K198">
        <v>13</v>
      </c>
      <c r="L198">
        <v>15</v>
      </c>
      <c r="M198">
        <v>3</v>
      </c>
      <c r="N198" t="s">
        <v>91</v>
      </c>
      <c r="O198" t="s">
        <v>39</v>
      </c>
      <c r="P198" t="s">
        <v>108</v>
      </c>
      <c r="Q198">
        <f t="shared" si="67"/>
        <v>1</v>
      </c>
      <c r="R198" t="str">
        <f t="shared" si="54"/>
        <v>8-2021</v>
      </c>
      <c r="S198" t="s">
        <v>117</v>
      </c>
      <c r="T198" t="str">
        <f t="shared" si="55"/>
        <v>Thursday</v>
      </c>
      <c r="U198">
        <f t="shared" si="56"/>
        <v>1</v>
      </c>
      <c r="V198" s="24">
        <f>IFERROR(Table2[[#This Row],[Gray Min]]/Table2[[#This Row],[ClassLength]],"")</f>
        <v>0.14035087719298245</v>
      </c>
      <c r="W198" s="24">
        <f>IFERROR(Table2[[#This Row],[Blue Min]]/Table2[[#This Row],[ClassLength]],"")</f>
        <v>0.31578947368421051</v>
      </c>
      <c r="X198" s="24">
        <f>IFERROR(Table2[[#This Row],[Green Min]]/Table2[[#This Row],[ClassLength]],"")</f>
        <v>0.22807017543859648</v>
      </c>
      <c r="Y198" s="24">
        <f>IFERROR(Table2[[#This Row],[Orange Min]]/Table2[[#This Row],[ClassLength]],"")</f>
        <v>0.26315789473684209</v>
      </c>
      <c r="Z198" s="24">
        <f>IFERROR(Table2[[#This Row],[Red Min]]/Table2[[#This Row],[ClassLength]],"")</f>
        <v>5.2631578947368418E-2</v>
      </c>
      <c r="AA198" s="25">
        <v>232.14</v>
      </c>
      <c r="AB198" s="25">
        <f t="shared" si="52"/>
        <v>12.896666666666667</v>
      </c>
      <c r="AC198" s="26">
        <f t="shared" si="57"/>
        <v>654.38888888888891</v>
      </c>
      <c r="AD198" s="26">
        <f t="shared" si="58"/>
        <v>14.166666666666666</v>
      </c>
      <c r="AE198">
        <f t="shared" si="59"/>
        <v>2021</v>
      </c>
      <c r="AG198">
        <v>12</v>
      </c>
      <c r="AH198" s="26">
        <f t="shared" si="60"/>
        <v>11.035087719298245</v>
      </c>
      <c r="AI198" t="str">
        <f t="shared" si="61"/>
        <v>PM</v>
      </c>
      <c r="AJ198" t="str">
        <f t="shared" si="62"/>
        <v>8-2021-4</v>
      </c>
      <c r="AK198">
        <f t="shared" si="63"/>
        <v>8</v>
      </c>
      <c r="AL198" s="26">
        <f>IFERROR(Table2[[#This Row],[Calories]]/Table2[[#This Row],[Splat]],"")</f>
        <v>34.944444444444443</v>
      </c>
      <c r="AM198">
        <f>COUNTIF(N$2:$N$938,N198)</f>
        <v>218</v>
      </c>
      <c r="AN198" t="str">
        <f>VLOOKUP(N198,'Helpful Tables'!A:D,4,FALSE)</f>
        <v>Washington, DC</v>
      </c>
      <c r="AO198" s="24">
        <f>COUNTIF(AN:AN,Table2[[#This Row],[State]])/COUNTA(AN:AN)</f>
        <v>0.54904051172707891</v>
      </c>
      <c r="AP198">
        <f>VLOOKUP(N198,'Helpful Tables'!A:B,2,FALSE)</f>
        <v>38.934710000000003</v>
      </c>
      <c r="AQ198">
        <f>VLOOKUP(N198,'Helpful Tables'!A:C,3,FALSE)</f>
        <v>-77.058222999999998</v>
      </c>
      <c r="AR198">
        <f>COUNTIF(P$2:$P$938,P198)</f>
        <v>3</v>
      </c>
      <c r="AS198" cm="1">
        <f t="array" ref="AS198">_xlfn.IFS(E198&lt;6,((E198/D198)*60)*0.5,AND(E198&gt;=6,E198&lt;9),((E198/D198)*60)*0.75,AND(E198&gt;=9,E198&lt;=11),((E198/D198)*60)*0.9,AND(E198=12),((E198/D198)*60)*1,AND(E198&gt;=13,E198&lt;=15),((E198/D198)*60)*1.2,AND(E198&gt;=16,E198&lt;=19),((E198/D198)*60)*1.5,E198&gt;=20,((E198/D198)*60)*1.8)</f>
        <v>28.421052631578945</v>
      </c>
      <c r="AT198" cm="1">
        <f t="array" ref="AT198">_xlfn.IFS(F198&lt;550,((F198/D198)*60)*0.5,AND(F198&gt;=550,F198&lt;575),((F198/D198)*60)*0.75,AND(F198&gt;=575,F198&lt;600),((F198/D198)*60)*0.9,AND(F198=600),((F198/D198)*60)*1,AND(F198&gt;=601,F198&lt;=625),((F198/D198)*60)*1.2,AND(F198&gt;=626,F198&lt;=650),((F198/D198)*60)*1.5,F198&gt;=651,((F198/D198)*60)*1.8)</f>
        <v>993.15789473684208</v>
      </c>
      <c r="AU198">
        <f t="shared" si="64"/>
        <v>10.200000000000001</v>
      </c>
      <c r="AV198">
        <f t="shared" si="68"/>
        <v>410.67157894736846</v>
      </c>
      <c r="AW198">
        <f t="shared" si="65"/>
        <v>58.5</v>
      </c>
      <c r="AX198" t="str">
        <f t="shared" si="66"/>
        <v>Aug-2021</v>
      </c>
      <c r="AY198">
        <f>ROUNDUP(Table2[[#This Row],[Month]]/3,0)</f>
        <v>3</v>
      </c>
    </row>
    <row r="199" spans="1:51" x14ac:dyDescent="0.2">
      <c r="A199">
        <v>198</v>
      </c>
      <c r="B199">
        <f t="shared" si="53"/>
        <v>18</v>
      </c>
      <c r="C199" s="22">
        <v>44437</v>
      </c>
      <c r="D199">
        <f>SUM(Table2[[#This Row],[Gray Min]:[Red Min]])</f>
        <v>59</v>
      </c>
      <c r="E199">
        <v>9</v>
      </c>
      <c r="F199">
        <v>659</v>
      </c>
      <c r="G199">
        <v>128</v>
      </c>
      <c r="H199">
        <v>159</v>
      </c>
      <c r="I199">
        <v>10</v>
      </c>
      <c r="J199">
        <v>11</v>
      </c>
      <c r="K199">
        <v>29</v>
      </c>
      <c r="L199">
        <v>9</v>
      </c>
      <c r="M199">
        <v>0</v>
      </c>
      <c r="N199" t="s">
        <v>101</v>
      </c>
      <c r="O199" t="s">
        <v>45</v>
      </c>
      <c r="P199" t="s">
        <v>102</v>
      </c>
      <c r="Q199">
        <f t="shared" si="67"/>
        <v>3</v>
      </c>
      <c r="R199" t="str">
        <f t="shared" si="54"/>
        <v>8-2021</v>
      </c>
      <c r="S199" t="s">
        <v>104</v>
      </c>
      <c r="T199" t="str">
        <f t="shared" si="55"/>
        <v>Sunday</v>
      </c>
      <c r="U199">
        <f t="shared" si="56"/>
        <v>0</v>
      </c>
      <c r="V199" s="24">
        <f>IFERROR(Table2[[#This Row],[Gray Min]]/Table2[[#This Row],[ClassLength]],"")</f>
        <v>0.16949152542372881</v>
      </c>
      <c r="W199" s="24">
        <f>IFERROR(Table2[[#This Row],[Blue Min]]/Table2[[#This Row],[ClassLength]],"")</f>
        <v>0.1864406779661017</v>
      </c>
      <c r="X199" s="24">
        <f>IFERROR(Table2[[#This Row],[Green Min]]/Table2[[#This Row],[ClassLength]],"")</f>
        <v>0.49152542372881358</v>
      </c>
      <c r="Y199" s="24">
        <f>IFERROR(Table2[[#This Row],[Orange Min]]/Table2[[#This Row],[ClassLength]],"")</f>
        <v>0.15254237288135594</v>
      </c>
      <c r="Z199" s="24">
        <f>IFERROR(Table2[[#This Row],[Red Min]]/Table2[[#This Row],[ClassLength]],"")</f>
        <v>0</v>
      </c>
      <c r="AA199" s="25">
        <v>232.14</v>
      </c>
      <c r="AB199" s="25">
        <f t="shared" si="52"/>
        <v>12.896666666666667</v>
      </c>
      <c r="AC199" s="26">
        <f t="shared" si="57"/>
        <v>654.38888888888891</v>
      </c>
      <c r="AD199" s="26">
        <f t="shared" si="58"/>
        <v>14.166666666666666</v>
      </c>
      <c r="AE199">
        <f t="shared" si="59"/>
        <v>2021</v>
      </c>
      <c r="AG199">
        <v>12</v>
      </c>
      <c r="AH199" s="26">
        <f t="shared" si="60"/>
        <v>11.169491525423728</v>
      </c>
      <c r="AI199" t="str">
        <f t="shared" si="61"/>
        <v>AM</v>
      </c>
      <c r="AJ199" t="str">
        <f t="shared" si="62"/>
        <v>8-2021-5</v>
      </c>
      <c r="AK199">
        <f t="shared" si="63"/>
        <v>8</v>
      </c>
      <c r="AL199" s="26">
        <f>IFERROR(Table2[[#This Row],[Calories]]/Table2[[#This Row],[Splat]],"")</f>
        <v>73.222222222222229</v>
      </c>
      <c r="AM199">
        <f>COUNTIF(N$2:$N$938,N199)</f>
        <v>191</v>
      </c>
      <c r="AN199" t="str">
        <f>VLOOKUP(N199,'Helpful Tables'!A:D,4,FALSE)</f>
        <v>Washington, DC</v>
      </c>
      <c r="AO199" s="24">
        <f>COUNTIF(AN:AN,Table2[[#This Row],[State]])/COUNTA(AN:AN)</f>
        <v>0.54904051172707891</v>
      </c>
      <c r="AP199">
        <f>VLOOKUP(N199,'Helpful Tables'!A:B,2,FALSE)</f>
        <v>38.949649000000001</v>
      </c>
      <c r="AQ199">
        <f>VLOOKUP(N199,'Helpful Tables'!A:C,3,FALSE)</f>
        <v>-77.080878999999996</v>
      </c>
      <c r="AR199">
        <f>COUNTIF(P$2:$P$938,P199)</f>
        <v>20</v>
      </c>
      <c r="AS199" cm="1">
        <f t="array" ref="AS199">_xlfn.IFS(E199&lt;6,((E199/D199)*60)*0.5,AND(E199&gt;=6,E199&lt;9),((E199/D199)*60)*0.75,AND(E199&gt;=9,E199&lt;=11),((E199/D199)*60)*0.9,AND(E199=12),((E199/D199)*60)*1,AND(E199&gt;=13,E199&lt;=15),((E199/D199)*60)*1.2,AND(E199&gt;=16,E199&lt;=19),((E199/D199)*60)*1.5,E199&gt;=20,((E199/D199)*60)*1.8)</f>
        <v>8.2372881355932215</v>
      </c>
      <c r="AT199" cm="1">
        <f t="array" ref="AT199">_xlfn.IFS(F199&lt;550,((F199/D199)*60)*0.5,AND(F199&gt;=550,F199&lt;575),((F199/D199)*60)*0.75,AND(F199&gt;=575,F199&lt;600),((F199/D199)*60)*0.9,AND(F199=600),((F199/D199)*60)*1,AND(F199&gt;=601,F199&lt;=625),((F199/D199)*60)*1.2,AND(F199&gt;=626,F199&lt;=650),((F199/D199)*60)*1.5,F199&gt;=651,((F199/D199)*60)*1.8)</f>
        <v>1206.3050847457628</v>
      </c>
      <c r="AU199">
        <f t="shared" si="64"/>
        <v>22.4</v>
      </c>
      <c r="AV199">
        <f t="shared" si="68"/>
        <v>490.29694915254248</v>
      </c>
      <c r="AW199">
        <f t="shared" si="65"/>
        <v>74.400000000000006</v>
      </c>
      <c r="AX199" t="str">
        <f t="shared" si="66"/>
        <v>Aug-2021</v>
      </c>
      <c r="AY199">
        <f>ROUNDUP(Table2[[#This Row],[Month]]/3,0)</f>
        <v>3</v>
      </c>
    </row>
    <row r="200" spans="1:51" x14ac:dyDescent="0.2">
      <c r="A200">
        <v>199</v>
      </c>
      <c r="B200">
        <f t="shared" si="53"/>
        <v>18</v>
      </c>
      <c r="C200" s="22">
        <v>44438</v>
      </c>
      <c r="D200">
        <f>SUM(Table2[[#This Row],[Gray Min]:[Red Min]])</f>
        <v>56</v>
      </c>
      <c r="E200">
        <v>7</v>
      </c>
      <c r="F200">
        <v>580</v>
      </c>
      <c r="G200">
        <v>122</v>
      </c>
      <c r="H200">
        <v>168</v>
      </c>
      <c r="I200">
        <v>13</v>
      </c>
      <c r="J200">
        <v>17</v>
      </c>
      <c r="K200">
        <v>19</v>
      </c>
      <c r="L200">
        <v>6</v>
      </c>
      <c r="M200">
        <v>1</v>
      </c>
      <c r="N200" t="s">
        <v>101</v>
      </c>
      <c r="O200" t="s">
        <v>39</v>
      </c>
      <c r="P200" t="s">
        <v>109</v>
      </c>
      <c r="Q200">
        <f t="shared" si="67"/>
        <v>1</v>
      </c>
      <c r="R200" t="str">
        <f t="shared" si="54"/>
        <v>8-2021</v>
      </c>
      <c r="S200" t="s">
        <v>104</v>
      </c>
      <c r="T200" t="str">
        <f t="shared" si="55"/>
        <v>Monday</v>
      </c>
      <c r="U200">
        <f t="shared" si="56"/>
        <v>0</v>
      </c>
      <c r="V200" s="24">
        <f>IFERROR(Table2[[#This Row],[Gray Min]]/Table2[[#This Row],[ClassLength]],"")</f>
        <v>0.23214285714285715</v>
      </c>
      <c r="W200" s="24">
        <f>IFERROR(Table2[[#This Row],[Blue Min]]/Table2[[#This Row],[ClassLength]],"")</f>
        <v>0.30357142857142855</v>
      </c>
      <c r="X200" s="24">
        <f>IFERROR(Table2[[#This Row],[Green Min]]/Table2[[#This Row],[ClassLength]],"")</f>
        <v>0.3392857142857143</v>
      </c>
      <c r="Y200" s="24">
        <f>IFERROR(Table2[[#This Row],[Orange Min]]/Table2[[#This Row],[ClassLength]],"")</f>
        <v>0.10714285714285714</v>
      </c>
      <c r="Z200" s="24">
        <f>IFERROR(Table2[[#This Row],[Red Min]]/Table2[[#This Row],[ClassLength]],"")</f>
        <v>1.7857142857142856E-2</v>
      </c>
      <c r="AA200" s="25">
        <v>232.14</v>
      </c>
      <c r="AB200" s="25">
        <f t="shared" si="52"/>
        <v>12.896666666666667</v>
      </c>
      <c r="AC200" s="26">
        <f t="shared" si="57"/>
        <v>654.38888888888891</v>
      </c>
      <c r="AD200" s="26">
        <f t="shared" si="58"/>
        <v>14.166666666666666</v>
      </c>
      <c r="AE200">
        <f t="shared" si="59"/>
        <v>2021</v>
      </c>
      <c r="AG200">
        <v>12</v>
      </c>
      <c r="AH200" s="26">
        <f t="shared" si="60"/>
        <v>10.357142857142858</v>
      </c>
      <c r="AI200" t="str">
        <f t="shared" si="61"/>
        <v>PM</v>
      </c>
      <c r="AJ200" t="str">
        <f t="shared" si="62"/>
        <v>8-2021-5</v>
      </c>
      <c r="AK200">
        <f t="shared" si="63"/>
        <v>8</v>
      </c>
      <c r="AL200" s="26">
        <f>IFERROR(Table2[[#This Row],[Calories]]/Table2[[#This Row],[Splat]],"")</f>
        <v>82.857142857142861</v>
      </c>
      <c r="AM200">
        <f>COUNTIF(N$2:$N$938,N200)</f>
        <v>191</v>
      </c>
      <c r="AN200" t="str">
        <f>VLOOKUP(N200,'Helpful Tables'!A:D,4,FALSE)</f>
        <v>Washington, DC</v>
      </c>
      <c r="AO200" s="24">
        <f>COUNTIF(AN:AN,Table2[[#This Row],[State]])/COUNTA(AN:AN)</f>
        <v>0.54904051172707891</v>
      </c>
      <c r="AP200">
        <f>VLOOKUP(N200,'Helpful Tables'!A:B,2,FALSE)</f>
        <v>38.949649000000001</v>
      </c>
      <c r="AQ200">
        <f>VLOOKUP(N200,'Helpful Tables'!A:C,3,FALSE)</f>
        <v>-77.080878999999996</v>
      </c>
      <c r="AR200">
        <f>COUNTIF(P$2:$P$938,P200)</f>
        <v>66</v>
      </c>
      <c r="AS200" cm="1">
        <f t="array" ref="AS200">_xlfn.IFS(E200&lt;6,((E200/D200)*60)*0.5,AND(E200&gt;=6,E200&lt;9),((E200/D200)*60)*0.75,AND(E200&gt;=9,E200&lt;=11),((E200/D200)*60)*0.9,AND(E200=12),((E200/D200)*60)*1,AND(E200&gt;=13,E200&lt;=15),((E200/D200)*60)*1.2,AND(E200&gt;=16,E200&lt;=19),((E200/D200)*60)*1.5,E200&gt;=20,((E200/D200)*60)*1.8)</f>
        <v>5.625</v>
      </c>
      <c r="AT200" cm="1">
        <f t="array" ref="AT200">_xlfn.IFS(F200&lt;550,((F200/D200)*60)*0.5,AND(F200&gt;=550,F200&lt;575),((F200/D200)*60)*0.75,AND(F200&gt;=575,F200&lt;600),((F200/D200)*60)*0.9,AND(F200=600),((F200/D200)*60)*1,AND(F200&gt;=601,F200&lt;=625),((F200/D200)*60)*1.2,AND(F200&gt;=626,F200&lt;=650),((F200/D200)*60)*1.5,F200&gt;=651,((F200/D200)*60)*1.8)</f>
        <v>559.28571428571433</v>
      </c>
      <c r="AU200">
        <f t="shared" si="64"/>
        <v>-2.2000000000000028</v>
      </c>
      <c r="AV200">
        <f t="shared" si="68"/>
        <v>225.52428571428575</v>
      </c>
      <c r="AW200">
        <f t="shared" si="65"/>
        <v>18.3</v>
      </c>
      <c r="AX200" t="str">
        <f t="shared" si="66"/>
        <v>Aug-2021</v>
      </c>
      <c r="AY200">
        <f>ROUNDUP(Table2[[#This Row],[Month]]/3,0)</f>
        <v>3</v>
      </c>
    </row>
    <row r="201" spans="1:51" x14ac:dyDescent="0.2">
      <c r="A201">
        <v>200</v>
      </c>
      <c r="B201">
        <f t="shared" si="53"/>
        <v>15</v>
      </c>
      <c r="C201" s="22">
        <v>44440</v>
      </c>
      <c r="D201">
        <f>SUM(Table2[[#This Row],[Gray Min]:[Red Min]])</f>
        <v>56</v>
      </c>
      <c r="E201">
        <v>13</v>
      </c>
      <c r="F201">
        <v>646</v>
      </c>
      <c r="G201">
        <v>129</v>
      </c>
      <c r="H201">
        <v>165</v>
      </c>
      <c r="I201">
        <v>6</v>
      </c>
      <c r="J201">
        <v>22</v>
      </c>
      <c r="K201">
        <v>15</v>
      </c>
      <c r="L201">
        <v>11</v>
      </c>
      <c r="M201">
        <v>2</v>
      </c>
      <c r="N201" t="s">
        <v>91</v>
      </c>
      <c r="O201" t="s">
        <v>39</v>
      </c>
      <c r="P201" t="s">
        <v>96</v>
      </c>
      <c r="Q201">
        <f t="shared" si="67"/>
        <v>2</v>
      </c>
      <c r="R201" t="str">
        <f t="shared" si="54"/>
        <v>9-2021</v>
      </c>
      <c r="S201" t="s">
        <v>117</v>
      </c>
      <c r="T201" t="str">
        <f t="shared" si="55"/>
        <v>Wednesday</v>
      </c>
      <c r="U201">
        <f t="shared" si="56"/>
        <v>1</v>
      </c>
      <c r="V201" s="24">
        <f>IFERROR(Table2[[#This Row],[Gray Min]]/Table2[[#This Row],[ClassLength]],"")</f>
        <v>0.10714285714285714</v>
      </c>
      <c r="W201" s="24">
        <f>IFERROR(Table2[[#This Row],[Blue Min]]/Table2[[#This Row],[ClassLength]],"")</f>
        <v>0.39285714285714285</v>
      </c>
      <c r="X201" s="24">
        <f>IFERROR(Table2[[#This Row],[Green Min]]/Table2[[#This Row],[ClassLength]],"")</f>
        <v>0.26785714285714285</v>
      </c>
      <c r="Y201" s="24">
        <f>IFERROR(Table2[[#This Row],[Orange Min]]/Table2[[#This Row],[ClassLength]],"")</f>
        <v>0.19642857142857142</v>
      </c>
      <c r="Z201" s="24">
        <f>IFERROR(Table2[[#This Row],[Red Min]]/Table2[[#This Row],[ClassLength]],"")</f>
        <v>3.5714285714285712E-2</v>
      </c>
      <c r="AA201" s="25">
        <v>232.14</v>
      </c>
      <c r="AB201" s="25">
        <f t="shared" si="52"/>
        <v>15.475999999999999</v>
      </c>
      <c r="AC201" s="26">
        <f t="shared" si="57"/>
        <v>651.46153846153845</v>
      </c>
      <c r="AD201" s="26">
        <f t="shared" si="58"/>
        <v>14.307692307692308</v>
      </c>
      <c r="AE201">
        <f t="shared" si="59"/>
        <v>2021</v>
      </c>
      <c r="AG201">
        <v>12</v>
      </c>
      <c r="AH201" s="26">
        <f t="shared" si="60"/>
        <v>11.535714285714286</v>
      </c>
      <c r="AI201" t="str">
        <f t="shared" si="61"/>
        <v>PM</v>
      </c>
      <c r="AJ201" t="str">
        <f t="shared" si="62"/>
        <v>9-2021-1</v>
      </c>
      <c r="AK201">
        <f t="shared" si="63"/>
        <v>9</v>
      </c>
      <c r="AL201" s="26">
        <f>IFERROR(Table2[[#This Row],[Calories]]/Table2[[#This Row],[Splat]],"")</f>
        <v>49.692307692307693</v>
      </c>
      <c r="AM201">
        <f>COUNTIF(N$2:$N$938,N201)</f>
        <v>218</v>
      </c>
      <c r="AN201" t="str">
        <f>VLOOKUP(N201,'Helpful Tables'!A:D,4,FALSE)</f>
        <v>Washington, DC</v>
      </c>
      <c r="AO201" s="24">
        <f>COUNTIF(AN:AN,Table2[[#This Row],[State]])/COUNTA(AN:AN)</f>
        <v>0.54904051172707891</v>
      </c>
      <c r="AP201">
        <f>VLOOKUP(N201,'Helpful Tables'!A:B,2,FALSE)</f>
        <v>38.934710000000003</v>
      </c>
      <c r="AQ201">
        <f>VLOOKUP(N201,'Helpful Tables'!A:C,3,FALSE)</f>
        <v>-77.058222999999998</v>
      </c>
      <c r="AR201">
        <f>COUNTIF(P$2:$P$938,P201)</f>
        <v>71</v>
      </c>
      <c r="AS201" cm="1">
        <f t="array" ref="AS201">_xlfn.IFS(E201&lt;6,((E201/D201)*60)*0.5,AND(E201&gt;=6,E201&lt;9),((E201/D201)*60)*0.75,AND(E201&gt;=9,E201&lt;=11),((E201/D201)*60)*0.9,AND(E201=12),((E201/D201)*60)*1,AND(E201&gt;=13,E201&lt;=15),((E201/D201)*60)*1.2,AND(E201&gt;=16,E201&lt;=19),((E201/D201)*60)*1.5,E201&gt;=20,((E201/D201)*60)*1.8)</f>
        <v>16.714285714285715</v>
      </c>
      <c r="AT201" cm="1">
        <f t="array" ref="AT201">_xlfn.IFS(F201&lt;550,((F201/D201)*60)*0.5,AND(F201&gt;=550,F201&lt;575),((F201/D201)*60)*0.75,AND(F201&gt;=575,F201&lt;600),((F201/D201)*60)*0.9,AND(F201=600),((F201/D201)*60)*1,AND(F201&gt;=601,F201&lt;=625),((F201/D201)*60)*1.2,AND(F201&gt;=626,F201&lt;=650),((F201/D201)*60)*1.5,F201&gt;=651,((F201/D201)*60)*1.8)</f>
        <v>1038.2142857142858</v>
      </c>
      <c r="AU201">
        <f t="shared" si="64"/>
        <v>3.8999999999999986</v>
      </c>
      <c r="AV201">
        <f t="shared" si="68"/>
        <v>422.75142857142862</v>
      </c>
      <c r="AW201">
        <f t="shared" si="65"/>
        <v>62.8</v>
      </c>
      <c r="AX201" t="str">
        <f t="shared" si="66"/>
        <v>Sep-2021</v>
      </c>
      <c r="AY201">
        <f>ROUNDUP(Table2[[#This Row],[Month]]/3,0)</f>
        <v>3</v>
      </c>
    </row>
    <row r="202" spans="1:51" x14ac:dyDescent="0.2">
      <c r="A202">
        <v>201</v>
      </c>
      <c r="B202">
        <f t="shared" si="53"/>
        <v>15</v>
      </c>
      <c r="C202" s="22">
        <v>44441</v>
      </c>
      <c r="D202">
        <f>SUM(Table2[[#This Row],[Gray Min]:[Red Min]])</f>
        <v>56</v>
      </c>
      <c r="E202">
        <v>16</v>
      </c>
      <c r="F202">
        <v>682</v>
      </c>
      <c r="G202">
        <v>134</v>
      </c>
      <c r="H202">
        <v>168</v>
      </c>
      <c r="I202">
        <v>3</v>
      </c>
      <c r="J202">
        <v>14</v>
      </c>
      <c r="K202">
        <v>23</v>
      </c>
      <c r="L202">
        <v>14</v>
      </c>
      <c r="M202">
        <v>2</v>
      </c>
      <c r="N202" t="s">
        <v>91</v>
      </c>
      <c r="O202" t="s">
        <v>39</v>
      </c>
      <c r="P202" t="s">
        <v>97</v>
      </c>
      <c r="Q202">
        <f t="shared" si="67"/>
        <v>1</v>
      </c>
      <c r="R202" t="str">
        <f t="shared" si="54"/>
        <v>9-2021</v>
      </c>
      <c r="S202" t="s">
        <v>117</v>
      </c>
      <c r="T202" t="str">
        <f t="shared" si="55"/>
        <v>Thursday</v>
      </c>
      <c r="U202">
        <f t="shared" si="56"/>
        <v>1</v>
      </c>
      <c r="V202" s="24">
        <f>IFERROR(Table2[[#This Row],[Gray Min]]/Table2[[#This Row],[ClassLength]],"")</f>
        <v>5.3571428571428568E-2</v>
      </c>
      <c r="W202" s="24">
        <f>IFERROR(Table2[[#This Row],[Blue Min]]/Table2[[#This Row],[ClassLength]],"")</f>
        <v>0.25</v>
      </c>
      <c r="X202" s="24">
        <f>IFERROR(Table2[[#This Row],[Green Min]]/Table2[[#This Row],[ClassLength]],"")</f>
        <v>0.4107142857142857</v>
      </c>
      <c r="Y202" s="24">
        <f>IFERROR(Table2[[#This Row],[Orange Min]]/Table2[[#This Row],[ClassLength]],"")</f>
        <v>0.25</v>
      </c>
      <c r="Z202" s="24">
        <f>IFERROR(Table2[[#This Row],[Red Min]]/Table2[[#This Row],[ClassLength]],"")</f>
        <v>3.5714285714285712E-2</v>
      </c>
      <c r="AA202" s="25">
        <v>232.14</v>
      </c>
      <c r="AB202" s="25">
        <f t="shared" si="52"/>
        <v>15.475999999999999</v>
      </c>
      <c r="AC202" s="26">
        <f t="shared" si="57"/>
        <v>651.46153846153845</v>
      </c>
      <c r="AD202" s="26">
        <f t="shared" si="58"/>
        <v>14.307692307692308</v>
      </c>
      <c r="AE202">
        <f t="shared" si="59"/>
        <v>2021</v>
      </c>
      <c r="AG202">
        <v>12</v>
      </c>
      <c r="AH202" s="26">
        <f t="shared" si="60"/>
        <v>12.178571428571429</v>
      </c>
      <c r="AI202" t="str">
        <f t="shared" si="61"/>
        <v>PM</v>
      </c>
      <c r="AJ202" t="str">
        <f t="shared" si="62"/>
        <v>9-2021-1</v>
      </c>
      <c r="AK202">
        <f t="shared" si="63"/>
        <v>9</v>
      </c>
      <c r="AL202" s="26">
        <f>IFERROR(Table2[[#This Row],[Calories]]/Table2[[#This Row],[Splat]],"")</f>
        <v>42.625</v>
      </c>
      <c r="AM202">
        <f>COUNTIF(N$2:$N$938,N202)</f>
        <v>218</v>
      </c>
      <c r="AN202" t="str">
        <f>VLOOKUP(N202,'Helpful Tables'!A:D,4,FALSE)</f>
        <v>Washington, DC</v>
      </c>
      <c r="AO202" s="24">
        <f>COUNTIF(AN:AN,Table2[[#This Row],[State]])/COUNTA(AN:AN)</f>
        <v>0.54904051172707891</v>
      </c>
      <c r="AP202">
        <f>VLOOKUP(N202,'Helpful Tables'!A:B,2,FALSE)</f>
        <v>38.934710000000003</v>
      </c>
      <c r="AQ202">
        <f>VLOOKUP(N202,'Helpful Tables'!A:C,3,FALSE)</f>
        <v>-77.058222999999998</v>
      </c>
      <c r="AR202">
        <f>COUNTIF(P$2:$P$938,P202)</f>
        <v>14</v>
      </c>
      <c r="AS202" cm="1">
        <f t="array" ref="AS202">_xlfn.IFS(E202&lt;6,((E202/D202)*60)*0.5,AND(E202&gt;=6,E202&lt;9),((E202/D202)*60)*0.75,AND(E202&gt;=9,E202&lt;=11),((E202/D202)*60)*0.9,AND(E202=12),((E202/D202)*60)*1,AND(E202&gt;=13,E202&lt;=15),((E202/D202)*60)*1.2,AND(E202&gt;=16,E202&lt;=19),((E202/D202)*60)*1.5,E202&gt;=20,((E202/D202)*60)*1.8)</f>
        <v>25.714285714285715</v>
      </c>
      <c r="AT202" cm="1">
        <f t="array" ref="AT202">_xlfn.IFS(F202&lt;550,((F202/D202)*60)*0.5,AND(F202&gt;=550,F202&lt;575),((F202/D202)*60)*0.75,AND(F202&gt;=575,F202&lt;600),((F202/D202)*60)*0.9,AND(F202=600),((F202/D202)*60)*1,AND(F202&gt;=601,F202&lt;=625),((F202/D202)*60)*1.2,AND(F202&gt;=626,F202&lt;=650),((F202/D202)*60)*1.5,F202&gt;=651,((F202/D202)*60)*1.8)</f>
        <v>1315.2857142857144</v>
      </c>
      <c r="AU202">
        <f t="shared" si="64"/>
        <v>29.799999999999997</v>
      </c>
      <c r="AV202">
        <f t="shared" si="68"/>
        <v>542.36000000000013</v>
      </c>
      <c r="AW202">
        <f t="shared" si="65"/>
        <v>96.6</v>
      </c>
      <c r="AX202" t="str">
        <f t="shared" si="66"/>
        <v>Sep-2021</v>
      </c>
      <c r="AY202">
        <f>ROUNDUP(Table2[[#This Row],[Month]]/3,0)</f>
        <v>3</v>
      </c>
    </row>
    <row r="203" spans="1:51" x14ac:dyDescent="0.2">
      <c r="A203">
        <v>202</v>
      </c>
      <c r="B203">
        <f t="shared" si="53"/>
        <v>15</v>
      </c>
      <c r="C203" s="22">
        <v>44446</v>
      </c>
      <c r="D203">
        <f>SUM(Table2[[#This Row],[Gray Min]:[Red Min]])</f>
        <v>56</v>
      </c>
      <c r="E203">
        <v>19</v>
      </c>
      <c r="F203">
        <v>670</v>
      </c>
      <c r="G203">
        <v>134</v>
      </c>
      <c r="H203">
        <v>165</v>
      </c>
      <c r="I203">
        <v>6</v>
      </c>
      <c r="J203">
        <v>14</v>
      </c>
      <c r="K203">
        <v>17</v>
      </c>
      <c r="L203">
        <v>17</v>
      </c>
      <c r="M203">
        <v>2</v>
      </c>
      <c r="N203" t="s">
        <v>125</v>
      </c>
      <c r="O203" t="s">
        <v>127</v>
      </c>
      <c r="P203" t="s">
        <v>126</v>
      </c>
      <c r="Q203">
        <f t="shared" si="67"/>
        <v>5</v>
      </c>
      <c r="R203" t="str">
        <f t="shared" si="54"/>
        <v>9-2021</v>
      </c>
      <c r="S203" t="s">
        <v>128</v>
      </c>
      <c r="T203" t="str">
        <f t="shared" si="55"/>
        <v>Tuesday</v>
      </c>
      <c r="U203">
        <f t="shared" si="56"/>
        <v>1</v>
      </c>
      <c r="V203" s="24">
        <f>IFERROR(Table2[[#This Row],[Gray Min]]/Table2[[#This Row],[ClassLength]],"")</f>
        <v>0.10714285714285714</v>
      </c>
      <c r="W203" s="24">
        <f>IFERROR(Table2[[#This Row],[Blue Min]]/Table2[[#This Row],[ClassLength]],"")</f>
        <v>0.25</v>
      </c>
      <c r="X203" s="24">
        <f>IFERROR(Table2[[#This Row],[Green Min]]/Table2[[#This Row],[ClassLength]],"")</f>
        <v>0.30357142857142855</v>
      </c>
      <c r="Y203" s="24">
        <f>IFERROR(Table2[[#This Row],[Orange Min]]/Table2[[#This Row],[ClassLength]],"")</f>
        <v>0.30357142857142855</v>
      </c>
      <c r="Z203" s="24">
        <f>IFERROR(Table2[[#This Row],[Red Min]]/Table2[[#This Row],[ClassLength]],"")</f>
        <v>3.5714285714285712E-2</v>
      </c>
      <c r="AA203" s="25">
        <v>232.14</v>
      </c>
      <c r="AB203" s="25">
        <f t="shared" si="52"/>
        <v>15.475999999999999</v>
      </c>
      <c r="AC203" s="26">
        <f t="shared" si="57"/>
        <v>651.46153846153845</v>
      </c>
      <c r="AD203" s="26">
        <f t="shared" si="58"/>
        <v>14.307692307692308</v>
      </c>
      <c r="AE203">
        <f t="shared" si="59"/>
        <v>2021</v>
      </c>
      <c r="AG203">
        <v>12</v>
      </c>
      <c r="AH203" s="26">
        <f t="shared" si="60"/>
        <v>11.964285714285714</v>
      </c>
      <c r="AI203" t="str">
        <f t="shared" si="61"/>
        <v>PM</v>
      </c>
      <c r="AJ203" t="str">
        <f t="shared" si="62"/>
        <v>9-2021-2</v>
      </c>
      <c r="AK203">
        <f t="shared" si="63"/>
        <v>9</v>
      </c>
      <c r="AL203" s="26">
        <f>IFERROR(Table2[[#This Row],[Calories]]/Table2[[#This Row],[Splat]],"")</f>
        <v>35.263157894736842</v>
      </c>
      <c r="AM203">
        <f>COUNTIF(N$2:$N$938,N203)</f>
        <v>258</v>
      </c>
      <c r="AN203" t="str">
        <f>VLOOKUP(N203,'Helpful Tables'!A:D,4,FALSE)</f>
        <v>Oregon</v>
      </c>
      <c r="AO203" s="24">
        <f>COUNTIF(AN:AN,Table2[[#This Row],[State]])/COUNTA(AN:AN)</f>
        <v>0.36140724946695096</v>
      </c>
      <c r="AP203">
        <f>VLOOKUP(N203,'Helpful Tables'!A:B,2,FALSE)</f>
        <v>45.534162000000002</v>
      </c>
      <c r="AQ203">
        <f>VLOOKUP(N203,'Helpful Tables'!A:C,3,FALSE)</f>
        <v>-122.69670000000001</v>
      </c>
      <c r="AR203">
        <f>COUNTIF(P$2:$P$938,P203)</f>
        <v>11</v>
      </c>
      <c r="AS203" cm="1">
        <f t="array" ref="AS203">_xlfn.IFS(E203&lt;6,((E203/D203)*60)*0.5,AND(E203&gt;=6,E203&lt;9),((E203/D203)*60)*0.75,AND(E203&gt;=9,E203&lt;=11),((E203/D203)*60)*0.9,AND(E203=12),((E203/D203)*60)*1,AND(E203&gt;=13,E203&lt;=15),((E203/D203)*60)*1.2,AND(E203&gt;=16,E203&lt;=19),((E203/D203)*60)*1.5,E203&gt;=20,((E203/D203)*60)*1.8)</f>
        <v>30.535714285714285</v>
      </c>
      <c r="AT203" cm="1">
        <f t="array" ref="AT203">_xlfn.IFS(F203&lt;550,((F203/D203)*60)*0.5,AND(F203&gt;=550,F203&lt;575),((F203/D203)*60)*0.75,AND(F203&gt;=575,F203&lt;600),((F203/D203)*60)*0.9,AND(F203=600),((F203/D203)*60)*1,AND(F203&gt;=601,F203&lt;=625),((F203/D203)*60)*1.2,AND(F203&gt;=626,F203&lt;=650),((F203/D203)*60)*1.5,F203&gt;=651,((F203/D203)*60)*1.8)</f>
        <v>1292.1428571428571</v>
      </c>
      <c r="AU203">
        <f t="shared" si="64"/>
        <v>22.9</v>
      </c>
      <c r="AV203">
        <f t="shared" si="68"/>
        <v>533.6514285714286</v>
      </c>
      <c r="AW203">
        <f t="shared" si="65"/>
        <v>94.8</v>
      </c>
      <c r="AX203" t="str">
        <f t="shared" si="66"/>
        <v>Sep-2021</v>
      </c>
      <c r="AY203">
        <f>ROUNDUP(Table2[[#This Row],[Month]]/3,0)</f>
        <v>3</v>
      </c>
    </row>
    <row r="204" spans="1:51" x14ac:dyDescent="0.2">
      <c r="A204">
        <v>203</v>
      </c>
      <c r="B204">
        <f t="shared" si="53"/>
        <v>15</v>
      </c>
      <c r="C204" s="22">
        <v>44448</v>
      </c>
      <c r="D204">
        <f>SUM(Table2[[#This Row],[Gray Min]:[Red Min]])</f>
        <v>59</v>
      </c>
      <c r="E204">
        <v>15</v>
      </c>
      <c r="F204">
        <v>688</v>
      </c>
      <c r="G204">
        <v>131</v>
      </c>
      <c r="H204">
        <v>165</v>
      </c>
      <c r="I204">
        <v>7</v>
      </c>
      <c r="J204">
        <v>15</v>
      </c>
      <c r="K204">
        <v>22</v>
      </c>
      <c r="L204">
        <v>13</v>
      </c>
      <c r="M204">
        <v>2</v>
      </c>
      <c r="N204" t="s">
        <v>125</v>
      </c>
      <c r="O204" t="s">
        <v>131</v>
      </c>
      <c r="P204" t="s">
        <v>130</v>
      </c>
      <c r="Q204">
        <f t="shared" si="67"/>
        <v>2</v>
      </c>
      <c r="R204" t="str">
        <f t="shared" si="54"/>
        <v>9-2021</v>
      </c>
      <c r="S204" t="s">
        <v>132</v>
      </c>
      <c r="T204" t="str">
        <f t="shared" si="55"/>
        <v>Thursday</v>
      </c>
      <c r="U204">
        <f t="shared" si="56"/>
        <v>1</v>
      </c>
      <c r="V204" s="24">
        <f>IFERROR(Table2[[#This Row],[Gray Min]]/Table2[[#This Row],[ClassLength]],"")</f>
        <v>0.11864406779661017</v>
      </c>
      <c r="W204" s="24">
        <f>IFERROR(Table2[[#This Row],[Blue Min]]/Table2[[#This Row],[ClassLength]],"")</f>
        <v>0.25423728813559321</v>
      </c>
      <c r="X204" s="24">
        <f>IFERROR(Table2[[#This Row],[Green Min]]/Table2[[#This Row],[ClassLength]],"")</f>
        <v>0.3728813559322034</v>
      </c>
      <c r="Y204" s="24">
        <f>IFERROR(Table2[[#This Row],[Orange Min]]/Table2[[#This Row],[ClassLength]],"")</f>
        <v>0.22033898305084745</v>
      </c>
      <c r="Z204" s="24">
        <f>IFERROR(Table2[[#This Row],[Red Min]]/Table2[[#This Row],[ClassLength]],"")</f>
        <v>3.3898305084745763E-2</v>
      </c>
      <c r="AA204" s="25">
        <v>232.14</v>
      </c>
      <c r="AB204" s="25">
        <f t="shared" si="52"/>
        <v>15.475999999999999</v>
      </c>
      <c r="AC204" s="26">
        <f t="shared" si="57"/>
        <v>651.46153846153845</v>
      </c>
      <c r="AD204" s="26">
        <f t="shared" si="58"/>
        <v>14.307692307692308</v>
      </c>
      <c r="AE204">
        <f t="shared" si="59"/>
        <v>2021</v>
      </c>
      <c r="AG204">
        <v>12</v>
      </c>
      <c r="AH204" s="26">
        <f t="shared" si="60"/>
        <v>11.661016949152541</v>
      </c>
      <c r="AI204" t="str">
        <f t="shared" si="61"/>
        <v>PM</v>
      </c>
      <c r="AJ204" t="str">
        <f t="shared" si="62"/>
        <v>9-2021-2</v>
      </c>
      <c r="AK204">
        <f t="shared" si="63"/>
        <v>9</v>
      </c>
      <c r="AL204" s="26">
        <f>IFERROR(Table2[[#This Row],[Calories]]/Table2[[#This Row],[Splat]],"")</f>
        <v>45.866666666666667</v>
      </c>
      <c r="AM204">
        <f>COUNTIF(N$2:$N$938,N204)</f>
        <v>258</v>
      </c>
      <c r="AN204" t="str">
        <f>VLOOKUP(N204,'Helpful Tables'!A:D,4,FALSE)</f>
        <v>Oregon</v>
      </c>
      <c r="AO204" s="24">
        <f>COUNTIF(AN:AN,Table2[[#This Row],[State]])/COUNTA(AN:AN)</f>
        <v>0.36140724946695096</v>
      </c>
      <c r="AP204">
        <f>VLOOKUP(N204,'Helpful Tables'!A:B,2,FALSE)</f>
        <v>45.534162000000002</v>
      </c>
      <c r="AQ204">
        <f>VLOOKUP(N204,'Helpful Tables'!A:C,3,FALSE)</f>
        <v>-122.69670000000001</v>
      </c>
      <c r="AR204">
        <f>COUNTIF(P$2:$P$938,P204)</f>
        <v>1</v>
      </c>
      <c r="AS204" cm="1">
        <f t="array" ref="AS204">_xlfn.IFS(E204&lt;6,((E204/D204)*60)*0.5,AND(E204&gt;=6,E204&lt;9),((E204/D204)*60)*0.75,AND(E204&gt;=9,E204&lt;=11),((E204/D204)*60)*0.9,AND(E204=12),((E204/D204)*60)*1,AND(E204&gt;=13,E204&lt;=15),((E204/D204)*60)*1.2,AND(E204&gt;=16,E204&lt;=19),((E204/D204)*60)*1.5,E204&gt;=20,((E204/D204)*60)*1.8)</f>
        <v>18.305084745762709</v>
      </c>
      <c r="AT204" cm="1">
        <f t="array" ref="AT204">_xlfn.IFS(F204&lt;550,((F204/D204)*60)*0.5,AND(F204&gt;=550,F204&lt;575),((F204/D204)*60)*0.75,AND(F204&gt;=575,F204&lt;600),((F204/D204)*60)*0.9,AND(F204=600),((F204/D204)*60)*1,AND(F204&gt;=601,F204&lt;=625),((F204/D204)*60)*1.2,AND(F204&gt;=626,F204&lt;=650),((F204/D204)*60)*1.5,F204&gt;=651,((F204/D204)*60)*1.8)</f>
        <v>1259.3898305084745</v>
      </c>
      <c r="AU204">
        <f t="shared" si="64"/>
        <v>21.400000000000002</v>
      </c>
      <c r="AV204">
        <f t="shared" si="68"/>
        <v>515.35796610169496</v>
      </c>
      <c r="AW204">
        <f t="shared" si="65"/>
        <v>88.2</v>
      </c>
      <c r="AX204" t="str">
        <f t="shared" si="66"/>
        <v>Sep-2021</v>
      </c>
      <c r="AY204">
        <f>ROUNDUP(Table2[[#This Row],[Month]]/3,0)</f>
        <v>3</v>
      </c>
    </row>
    <row r="205" spans="1:51" x14ac:dyDescent="0.2">
      <c r="A205">
        <v>204</v>
      </c>
      <c r="B205">
        <f t="shared" si="53"/>
        <v>15</v>
      </c>
      <c r="C205" s="22">
        <v>44452</v>
      </c>
      <c r="D205">
        <f>SUM(Table2[[#This Row],[Gray Min]:[Red Min]])</f>
        <v>57</v>
      </c>
      <c r="E205">
        <v>12</v>
      </c>
      <c r="F205">
        <v>620</v>
      </c>
      <c r="G205">
        <v>126</v>
      </c>
      <c r="H205">
        <v>167</v>
      </c>
      <c r="I205">
        <v>10</v>
      </c>
      <c r="J205">
        <v>20</v>
      </c>
      <c r="K205">
        <v>15</v>
      </c>
      <c r="L205">
        <v>10</v>
      </c>
      <c r="M205">
        <v>2</v>
      </c>
      <c r="N205" t="s">
        <v>91</v>
      </c>
      <c r="O205" t="s">
        <v>39</v>
      </c>
      <c r="P205" t="s">
        <v>94</v>
      </c>
      <c r="Q205">
        <f t="shared" si="67"/>
        <v>4</v>
      </c>
      <c r="R205" t="str">
        <f t="shared" si="54"/>
        <v>9-2021</v>
      </c>
      <c r="S205" t="s">
        <v>117</v>
      </c>
      <c r="T205" t="str">
        <f t="shared" si="55"/>
        <v>Monday</v>
      </c>
      <c r="U205">
        <f t="shared" si="56"/>
        <v>1</v>
      </c>
      <c r="V205" s="24">
        <f>IFERROR(Table2[[#This Row],[Gray Min]]/Table2[[#This Row],[ClassLength]],"")</f>
        <v>0.17543859649122806</v>
      </c>
      <c r="W205" s="24">
        <f>IFERROR(Table2[[#This Row],[Blue Min]]/Table2[[#This Row],[ClassLength]],"")</f>
        <v>0.35087719298245612</v>
      </c>
      <c r="X205" s="24">
        <f>IFERROR(Table2[[#This Row],[Green Min]]/Table2[[#This Row],[ClassLength]],"")</f>
        <v>0.26315789473684209</v>
      </c>
      <c r="Y205" s="24">
        <f>IFERROR(Table2[[#This Row],[Orange Min]]/Table2[[#This Row],[ClassLength]],"")</f>
        <v>0.17543859649122806</v>
      </c>
      <c r="Z205" s="24">
        <f>IFERROR(Table2[[#This Row],[Red Min]]/Table2[[#This Row],[ClassLength]],"")</f>
        <v>3.5087719298245612E-2</v>
      </c>
      <c r="AA205" s="25">
        <v>232.14</v>
      </c>
      <c r="AB205" s="25">
        <f t="shared" si="52"/>
        <v>15.475999999999999</v>
      </c>
      <c r="AC205" s="26">
        <f t="shared" si="57"/>
        <v>651.46153846153845</v>
      </c>
      <c r="AD205" s="26">
        <f t="shared" si="58"/>
        <v>14.307692307692308</v>
      </c>
      <c r="AE205">
        <f t="shared" si="59"/>
        <v>2021</v>
      </c>
      <c r="AG205">
        <v>12</v>
      </c>
      <c r="AH205" s="26">
        <f t="shared" si="60"/>
        <v>10.87719298245614</v>
      </c>
      <c r="AI205" t="str">
        <f t="shared" si="61"/>
        <v>PM</v>
      </c>
      <c r="AJ205" t="str">
        <f t="shared" si="62"/>
        <v>9-2021-3</v>
      </c>
      <c r="AK205">
        <f t="shared" si="63"/>
        <v>9</v>
      </c>
      <c r="AL205" s="26">
        <f>IFERROR(Table2[[#This Row],[Calories]]/Table2[[#This Row],[Splat]],"")</f>
        <v>51.666666666666664</v>
      </c>
      <c r="AM205">
        <f>COUNTIF(N$2:$N$938,N205)</f>
        <v>218</v>
      </c>
      <c r="AN205" t="str">
        <f>VLOOKUP(N205,'Helpful Tables'!A:D,4,FALSE)</f>
        <v>Washington, DC</v>
      </c>
      <c r="AO205" s="24">
        <f>COUNTIF(AN:AN,Table2[[#This Row],[State]])/COUNTA(AN:AN)</f>
        <v>0.54904051172707891</v>
      </c>
      <c r="AP205">
        <f>VLOOKUP(N205,'Helpful Tables'!A:B,2,FALSE)</f>
        <v>38.934710000000003</v>
      </c>
      <c r="AQ205">
        <f>VLOOKUP(N205,'Helpful Tables'!A:C,3,FALSE)</f>
        <v>-77.058222999999998</v>
      </c>
      <c r="AR205">
        <f>COUNTIF(P$2:$P$938,P205)</f>
        <v>15</v>
      </c>
      <c r="AS205" cm="1">
        <f t="array" ref="AS205">_xlfn.IFS(E205&lt;6,((E205/D205)*60)*0.5,AND(E205&gt;=6,E205&lt;9),((E205/D205)*60)*0.75,AND(E205&gt;=9,E205&lt;=11),((E205/D205)*60)*0.9,AND(E205=12),((E205/D205)*60)*1,AND(E205&gt;=13,E205&lt;=15),((E205/D205)*60)*1.2,AND(E205&gt;=16,E205&lt;=19),((E205/D205)*60)*1.5,E205&gt;=20,((E205/D205)*60)*1.8)</f>
        <v>12.631578947368421</v>
      </c>
      <c r="AT205" cm="1">
        <f t="array" ref="AT205">_xlfn.IFS(F205&lt;550,((F205/D205)*60)*0.5,AND(F205&gt;=550,F205&lt;575),((F205/D205)*60)*0.75,AND(F205&gt;=575,F205&lt;600),((F205/D205)*60)*0.9,AND(F205=600),((F205/D205)*60)*1,AND(F205&gt;=601,F205&lt;=625),((F205/D205)*60)*1.2,AND(F205&gt;=626,F205&lt;=650),((F205/D205)*60)*1.5,F205&gt;=651,((F205/D205)*60)*1.8)</f>
        <v>783.15789473684208</v>
      </c>
      <c r="AU205">
        <f t="shared" si="64"/>
        <v>0</v>
      </c>
      <c r="AV205">
        <f t="shared" si="68"/>
        <v>318.31578947368422</v>
      </c>
      <c r="AW205">
        <f t="shared" si="65"/>
        <v>36</v>
      </c>
      <c r="AX205" t="str">
        <f t="shared" si="66"/>
        <v>Sep-2021</v>
      </c>
      <c r="AY205">
        <f>ROUNDUP(Table2[[#This Row],[Month]]/3,0)</f>
        <v>3</v>
      </c>
    </row>
    <row r="206" spans="1:51" x14ac:dyDescent="0.2">
      <c r="A206">
        <v>205</v>
      </c>
      <c r="B206">
        <f t="shared" si="53"/>
        <v>15</v>
      </c>
      <c r="C206" s="22">
        <v>44453</v>
      </c>
      <c r="D206">
        <f>SUM(Table2[[#This Row],[Gray Min]:[Red Min]])</f>
        <v>0</v>
      </c>
      <c r="N206" t="s">
        <v>101</v>
      </c>
      <c r="O206" t="s">
        <v>39</v>
      </c>
      <c r="P206" t="s">
        <v>133</v>
      </c>
      <c r="Q206">
        <f t="shared" si="67"/>
        <v>1</v>
      </c>
      <c r="R206" t="str">
        <f t="shared" si="54"/>
        <v>9-2021</v>
      </c>
      <c r="S206" t="s">
        <v>104</v>
      </c>
      <c r="T206" t="str">
        <f t="shared" si="55"/>
        <v>Tuesday</v>
      </c>
      <c r="U206">
        <f t="shared" si="56"/>
        <v>0</v>
      </c>
      <c r="V206" s="24" t="str">
        <f>IFERROR(Table2[[#This Row],[Gray Min]]/Table2[[#This Row],[ClassLength]],"")</f>
        <v/>
      </c>
      <c r="W206" s="24" t="str">
        <f>IFERROR(Table2[[#This Row],[Blue Min]]/Table2[[#This Row],[ClassLength]],"")</f>
        <v/>
      </c>
      <c r="X206" s="24" t="str">
        <f>IFERROR(Table2[[#This Row],[Green Min]]/Table2[[#This Row],[ClassLength]],"")</f>
        <v/>
      </c>
      <c r="Y206" s="24" t="str">
        <f>IFERROR(Table2[[#This Row],[Orange Min]]/Table2[[#This Row],[ClassLength]],"")</f>
        <v/>
      </c>
      <c r="Z206" s="24" t="str">
        <f>IFERROR(Table2[[#This Row],[Red Min]]/Table2[[#This Row],[ClassLength]],"")</f>
        <v/>
      </c>
      <c r="AA206" s="25">
        <v>232.14</v>
      </c>
      <c r="AB206" s="25">
        <f t="shared" si="52"/>
        <v>15.475999999999999</v>
      </c>
      <c r="AC206" s="26">
        <f t="shared" si="57"/>
        <v>651.46153846153845</v>
      </c>
      <c r="AD206" s="26">
        <f t="shared" si="58"/>
        <v>14.307692307692308</v>
      </c>
      <c r="AE206">
        <f t="shared" si="59"/>
        <v>2021</v>
      </c>
      <c r="AG206">
        <v>12</v>
      </c>
      <c r="AH206" s="26" t="e">
        <f t="shared" si="60"/>
        <v>#DIV/0!</v>
      </c>
      <c r="AI206" t="str">
        <f t="shared" si="61"/>
        <v>PM</v>
      </c>
      <c r="AJ206" t="str">
        <f t="shared" si="62"/>
        <v>9-2021-3</v>
      </c>
      <c r="AK206">
        <f t="shared" si="63"/>
        <v>9</v>
      </c>
      <c r="AL206" s="26" t="str">
        <f>IFERROR(Table2[[#This Row],[Calories]]/Table2[[#This Row],[Splat]],"")</f>
        <v/>
      </c>
      <c r="AM206">
        <f>COUNTIF(N$2:$N$938,N206)</f>
        <v>191</v>
      </c>
      <c r="AN206" t="str">
        <f>VLOOKUP(N206,'Helpful Tables'!A:D,4,FALSE)</f>
        <v>Washington, DC</v>
      </c>
      <c r="AO206" s="24">
        <f>COUNTIF(AN:AN,Table2[[#This Row],[State]])/COUNTA(AN:AN)</f>
        <v>0.54904051172707891</v>
      </c>
      <c r="AP206">
        <f>VLOOKUP(N206,'Helpful Tables'!A:B,2,FALSE)</f>
        <v>38.949649000000001</v>
      </c>
      <c r="AQ206">
        <f>VLOOKUP(N206,'Helpful Tables'!A:C,3,FALSE)</f>
        <v>-77.080878999999996</v>
      </c>
      <c r="AR206">
        <f>COUNTIF(P$2:$P$938,P206)</f>
        <v>25</v>
      </c>
      <c r="AX206" t="str">
        <f t="shared" si="66"/>
        <v>Sep-2021</v>
      </c>
      <c r="AY206">
        <f>ROUNDUP(Table2[[#This Row],[Month]]/3,0)</f>
        <v>3</v>
      </c>
    </row>
    <row r="207" spans="1:51" x14ac:dyDescent="0.2">
      <c r="A207">
        <v>206</v>
      </c>
      <c r="B207">
        <f t="shared" si="53"/>
        <v>15</v>
      </c>
      <c r="C207" s="22">
        <v>44454</v>
      </c>
      <c r="D207">
        <f>SUM(Table2[[#This Row],[Gray Min]:[Red Min]])</f>
        <v>0</v>
      </c>
      <c r="N207" t="s">
        <v>101</v>
      </c>
      <c r="O207" t="s">
        <v>107</v>
      </c>
      <c r="P207" t="s">
        <v>134</v>
      </c>
      <c r="Q207">
        <f t="shared" si="67"/>
        <v>1</v>
      </c>
      <c r="R207" t="str">
        <f t="shared" si="54"/>
        <v>9-2021</v>
      </c>
      <c r="S207" t="s">
        <v>104</v>
      </c>
      <c r="T207" t="str">
        <f t="shared" si="55"/>
        <v>Wednesday</v>
      </c>
      <c r="U207">
        <f t="shared" si="56"/>
        <v>0</v>
      </c>
      <c r="V207" s="24" t="str">
        <f>IFERROR(Table2[[#This Row],[Gray Min]]/Table2[[#This Row],[ClassLength]],"")</f>
        <v/>
      </c>
      <c r="W207" s="24" t="str">
        <f>IFERROR(Table2[[#This Row],[Blue Min]]/Table2[[#This Row],[ClassLength]],"")</f>
        <v/>
      </c>
      <c r="X207" s="24" t="str">
        <f>IFERROR(Table2[[#This Row],[Green Min]]/Table2[[#This Row],[ClassLength]],"")</f>
        <v/>
      </c>
      <c r="Y207" s="24" t="str">
        <f>IFERROR(Table2[[#This Row],[Orange Min]]/Table2[[#This Row],[ClassLength]],"")</f>
        <v/>
      </c>
      <c r="Z207" s="24" t="str">
        <f>IFERROR(Table2[[#This Row],[Red Min]]/Table2[[#This Row],[ClassLength]],"")</f>
        <v/>
      </c>
      <c r="AA207" s="25">
        <v>232.14</v>
      </c>
      <c r="AB207" s="25">
        <f t="shared" si="52"/>
        <v>15.475999999999999</v>
      </c>
      <c r="AC207" s="26">
        <f t="shared" si="57"/>
        <v>651.46153846153845</v>
      </c>
      <c r="AD207" s="26">
        <f t="shared" si="58"/>
        <v>14.307692307692308</v>
      </c>
      <c r="AE207">
        <f t="shared" si="59"/>
        <v>2021</v>
      </c>
      <c r="AG207">
        <v>12</v>
      </c>
      <c r="AH207" s="26" t="e">
        <f t="shared" si="60"/>
        <v>#DIV/0!</v>
      </c>
      <c r="AI207" t="str">
        <f t="shared" si="61"/>
        <v>AM</v>
      </c>
      <c r="AJ207" t="str">
        <f t="shared" si="62"/>
        <v>9-2021-3</v>
      </c>
      <c r="AK207">
        <f t="shared" si="63"/>
        <v>9</v>
      </c>
      <c r="AL207" s="26" t="str">
        <f>IFERROR(Table2[[#This Row],[Calories]]/Table2[[#This Row],[Splat]],"")</f>
        <v/>
      </c>
      <c r="AM207">
        <f>COUNTIF(N$2:$N$938,N207)</f>
        <v>191</v>
      </c>
      <c r="AN207" t="str">
        <f>VLOOKUP(N207,'Helpful Tables'!A:D,4,FALSE)</f>
        <v>Washington, DC</v>
      </c>
      <c r="AO207" s="24">
        <f>COUNTIF(AN:AN,Table2[[#This Row],[State]])/COUNTA(AN:AN)</f>
        <v>0.54904051172707891</v>
      </c>
      <c r="AP207">
        <f>VLOOKUP(N207,'Helpful Tables'!A:B,2,FALSE)</f>
        <v>38.949649000000001</v>
      </c>
      <c r="AQ207">
        <f>VLOOKUP(N207,'Helpful Tables'!A:C,3,FALSE)</f>
        <v>-77.080878999999996</v>
      </c>
      <c r="AR207">
        <f>COUNTIF(P$2:$P$938,P207)</f>
        <v>9</v>
      </c>
      <c r="AX207" t="str">
        <f t="shared" si="66"/>
        <v>Sep-2021</v>
      </c>
      <c r="AY207">
        <f>ROUNDUP(Table2[[#This Row],[Month]]/3,0)</f>
        <v>3</v>
      </c>
    </row>
    <row r="208" spans="1:51" x14ac:dyDescent="0.2">
      <c r="A208">
        <v>207</v>
      </c>
      <c r="B208">
        <f t="shared" si="53"/>
        <v>15</v>
      </c>
      <c r="C208" s="22">
        <v>44457</v>
      </c>
      <c r="D208">
        <f>SUM(Table2[[#This Row],[Gray Min]:[Red Min]])</f>
        <v>56</v>
      </c>
      <c r="E208">
        <v>12</v>
      </c>
      <c r="F208">
        <v>674</v>
      </c>
      <c r="G208">
        <v>132</v>
      </c>
      <c r="H208">
        <v>163</v>
      </c>
      <c r="I208">
        <v>5</v>
      </c>
      <c r="J208">
        <v>11</v>
      </c>
      <c r="K208">
        <v>28</v>
      </c>
      <c r="L208">
        <v>11</v>
      </c>
      <c r="M208">
        <v>1</v>
      </c>
      <c r="N208" t="s">
        <v>91</v>
      </c>
      <c r="O208" t="s">
        <v>81</v>
      </c>
      <c r="P208" t="s">
        <v>120</v>
      </c>
      <c r="Q208">
        <f t="shared" si="67"/>
        <v>3</v>
      </c>
      <c r="R208" t="str">
        <f t="shared" si="54"/>
        <v>9-2021</v>
      </c>
      <c r="S208" t="s">
        <v>104</v>
      </c>
      <c r="T208" t="str">
        <f t="shared" si="55"/>
        <v>Saturday</v>
      </c>
      <c r="U208">
        <f t="shared" si="56"/>
        <v>1</v>
      </c>
      <c r="V208" s="24">
        <f>IFERROR(Table2[[#This Row],[Gray Min]]/Table2[[#This Row],[ClassLength]],"")</f>
        <v>8.9285714285714288E-2</v>
      </c>
      <c r="W208" s="24">
        <f>IFERROR(Table2[[#This Row],[Blue Min]]/Table2[[#This Row],[ClassLength]],"")</f>
        <v>0.19642857142857142</v>
      </c>
      <c r="X208" s="24">
        <f>IFERROR(Table2[[#This Row],[Green Min]]/Table2[[#This Row],[ClassLength]],"")</f>
        <v>0.5</v>
      </c>
      <c r="Y208" s="24">
        <f>IFERROR(Table2[[#This Row],[Orange Min]]/Table2[[#This Row],[ClassLength]],"")</f>
        <v>0.19642857142857142</v>
      </c>
      <c r="Z208" s="24">
        <f>IFERROR(Table2[[#This Row],[Red Min]]/Table2[[#This Row],[ClassLength]],"")</f>
        <v>1.7857142857142856E-2</v>
      </c>
      <c r="AA208" s="25">
        <v>232.14</v>
      </c>
      <c r="AB208" s="25">
        <f t="shared" ref="AB208:AB271" si="69">AA208/B208</f>
        <v>15.475999999999999</v>
      </c>
      <c r="AC208" s="26">
        <f t="shared" si="57"/>
        <v>651.46153846153845</v>
      </c>
      <c r="AD208" s="26">
        <f t="shared" si="58"/>
        <v>14.307692307692308</v>
      </c>
      <c r="AE208">
        <f t="shared" si="59"/>
        <v>2021</v>
      </c>
      <c r="AG208">
        <v>12</v>
      </c>
      <c r="AH208" s="26">
        <f t="shared" si="60"/>
        <v>12.035714285714286</v>
      </c>
      <c r="AI208" t="str">
        <f t="shared" si="61"/>
        <v>AM</v>
      </c>
      <c r="AJ208" t="str">
        <f t="shared" si="62"/>
        <v>9-2021-3</v>
      </c>
      <c r="AK208">
        <f t="shared" si="63"/>
        <v>9</v>
      </c>
      <c r="AL208" s="26">
        <f>IFERROR(Table2[[#This Row],[Calories]]/Table2[[#This Row],[Splat]],"")</f>
        <v>56.166666666666664</v>
      </c>
      <c r="AM208">
        <f>COUNTIF(N$2:$N$938,N208)</f>
        <v>218</v>
      </c>
      <c r="AN208" t="str">
        <f>VLOOKUP(N208,'Helpful Tables'!A:D,4,FALSE)</f>
        <v>Washington, DC</v>
      </c>
      <c r="AO208" s="24">
        <f>COUNTIF(AN:AN,Table2[[#This Row],[State]])/COUNTA(AN:AN)</f>
        <v>0.54904051172707891</v>
      </c>
      <c r="AP208">
        <f>VLOOKUP(N208,'Helpful Tables'!A:B,2,FALSE)</f>
        <v>38.934710000000003</v>
      </c>
      <c r="AQ208">
        <f>VLOOKUP(N208,'Helpful Tables'!A:C,3,FALSE)</f>
        <v>-77.058222999999998</v>
      </c>
      <c r="AR208">
        <f>COUNTIF(P$2:$P$938,P208)</f>
        <v>4</v>
      </c>
      <c r="AS208" cm="1">
        <f t="array" ref="AS208">_xlfn.IFS(E208&lt;6,((E208/D208)*60)*0.5,AND(E208&gt;=6,E208&lt;9),((E208/D208)*60)*0.75,AND(E208&gt;=9,E208&lt;=11),((E208/D208)*60)*0.9,AND(E208=12),((E208/D208)*60)*1,AND(E208&gt;=13,E208&lt;=15),((E208/D208)*60)*1.2,AND(E208&gt;=16,E208&lt;=19),((E208/D208)*60)*1.5,E208&gt;=20,((E208/D208)*60)*1.8)</f>
        <v>12.857142857142856</v>
      </c>
      <c r="AT208" cm="1">
        <f t="array" ref="AT208">_xlfn.IFS(F208&lt;550,((F208/D208)*60)*0.5,AND(F208&gt;=550,F208&lt;575),((F208/D208)*60)*0.75,AND(F208&gt;=575,F208&lt;600),((F208/D208)*60)*0.9,AND(F208=600),((F208/D208)*60)*1,AND(F208&gt;=601,F208&lt;=625),((F208/D208)*60)*1.2,AND(F208&gt;=626,F208&lt;=650),((F208/D208)*60)*1.5,F208&gt;=651,((F208/D208)*60)*1.8)</f>
        <v>1299.8571428571431</v>
      </c>
      <c r="AU208">
        <f t="shared" ref="AU208:AU236" si="70">(I208*-1.2)+(J208*-1.1)+(K208*1.2)+(L208*1.3)+(M208*1.5)</f>
        <v>31.3</v>
      </c>
      <c r="AV208">
        <f t="shared" si="68"/>
        <v>531.34571428571439</v>
      </c>
      <c r="AW208">
        <f t="shared" ref="AW208:AW236" si="71">PERCENTRANK(AV:AV,AV208)*100</f>
        <v>93.899999999999991</v>
      </c>
      <c r="AX208" t="str">
        <f t="shared" si="66"/>
        <v>Sep-2021</v>
      </c>
      <c r="AY208">
        <f>ROUNDUP(Table2[[#This Row],[Month]]/3,0)</f>
        <v>3</v>
      </c>
    </row>
    <row r="209" spans="1:51" x14ac:dyDescent="0.2">
      <c r="A209">
        <v>208</v>
      </c>
      <c r="B209">
        <f t="shared" si="53"/>
        <v>15</v>
      </c>
      <c r="C209" s="22">
        <v>44459</v>
      </c>
      <c r="D209">
        <f>SUM(Table2[[#This Row],[Gray Min]:[Red Min]])</f>
        <v>61</v>
      </c>
      <c r="E209">
        <v>17</v>
      </c>
      <c r="F209">
        <v>683</v>
      </c>
      <c r="G209">
        <v>128</v>
      </c>
      <c r="H209">
        <v>168</v>
      </c>
      <c r="I209">
        <v>11</v>
      </c>
      <c r="J209">
        <v>18</v>
      </c>
      <c r="K209">
        <v>15</v>
      </c>
      <c r="L209">
        <v>15</v>
      </c>
      <c r="M209">
        <v>2</v>
      </c>
      <c r="N209" t="s">
        <v>101</v>
      </c>
      <c r="O209" t="s">
        <v>107</v>
      </c>
      <c r="P209" t="s">
        <v>102</v>
      </c>
      <c r="Q209">
        <f t="shared" si="67"/>
        <v>2</v>
      </c>
      <c r="R209" t="str">
        <f t="shared" si="54"/>
        <v>9-2021</v>
      </c>
      <c r="S209" t="s">
        <v>104</v>
      </c>
      <c r="T209" t="str">
        <f t="shared" si="55"/>
        <v>Monday</v>
      </c>
      <c r="U209">
        <f t="shared" si="56"/>
        <v>1</v>
      </c>
      <c r="V209" s="24">
        <f>IFERROR(Table2[[#This Row],[Gray Min]]/Table2[[#This Row],[ClassLength]],"")</f>
        <v>0.18032786885245902</v>
      </c>
      <c r="W209" s="24">
        <f>IFERROR(Table2[[#This Row],[Blue Min]]/Table2[[#This Row],[ClassLength]],"")</f>
        <v>0.29508196721311475</v>
      </c>
      <c r="X209" s="24">
        <f>IFERROR(Table2[[#This Row],[Green Min]]/Table2[[#This Row],[ClassLength]],"")</f>
        <v>0.24590163934426229</v>
      </c>
      <c r="Y209" s="24">
        <f>IFERROR(Table2[[#This Row],[Orange Min]]/Table2[[#This Row],[ClassLength]],"")</f>
        <v>0.24590163934426229</v>
      </c>
      <c r="Z209" s="24">
        <f>IFERROR(Table2[[#This Row],[Red Min]]/Table2[[#This Row],[ClassLength]],"")</f>
        <v>3.2786885245901641E-2</v>
      </c>
      <c r="AA209" s="25">
        <v>232.14</v>
      </c>
      <c r="AB209" s="25">
        <f t="shared" si="69"/>
        <v>15.475999999999999</v>
      </c>
      <c r="AC209" s="26">
        <f t="shared" si="57"/>
        <v>651.46153846153845</v>
      </c>
      <c r="AD209" s="26">
        <f t="shared" si="58"/>
        <v>14.307692307692308</v>
      </c>
      <c r="AE209">
        <f t="shared" si="59"/>
        <v>2021</v>
      </c>
      <c r="AG209">
        <v>12</v>
      </c>
      <c r="AH209" s="26">
        <f t="shared" si="60"/>
        <v>11.196721311475409</v>
      </c>
      <c r="AI209" t="str">
        <f t="shared" si="61"/>
        <v>AM</v>
      </c>
      <c r="AJ209" t="str">
        <f t="shared" si="62"/>
        <v>9-2021-4</v>
      </c>
      <c r="AK209">
        <f t="shared" si="63"/>
        <v>9</v>
      </c>
      <c r="AL209" s="26">
        <f>IFERROR(Table2[[#This Row],[Calories]]/Table2[[#This Row],[Splat]],"")</f>
        <v>40.176470588235297</v>
      </c>
      <c r="AM209">
        <f>COUNTIF(N$2:$N$938,N209)</f>
        <v>191</v>
      </c>
      <c r="AN209" t="str">
        <f>VLOOKUP(N209,'Helpful Tables'!A:D,4,FALSE)</f>
        <v>Washington, DC</v>
      </c>
      <c r="AO209" s="24">
        <f>COUNTIF(AN:AN,Table2[[#This Row],[State]])/COUNTA(AN:AN)</f>
        <v>0.54904051172707891</v>
      </c>
      <c r="AP209">
        <f>VLOOKUP(N209,'Helpful Tables'!A:B,2,FALSE)</f>
        <v>38.949649000000001</v>
      </c>
      <c r="AQ209">
        <f>VLOOKUP(N209,'Helpful Tables'!A:C,3,FALSE)</f>
        <v>-77.080878999999996</v>
      </c>
      <c r="AR209">
        <f>COUNTIF(P$2:$P$938,P209)</f>
        <v>20</v>
      </c>
      <c r="AS209" cm="1">
        <f t="array" ref="AS209">_xlfn.IFS(E209&lt;6,((E209/D209)*60)*0.5,AND(E209&gt;=6,E209&lt;9),((E209/D209)*60)*0.75,AND(E209&gt;=9,E209&lt;=11),((E209/D209)*60)*0.9,AND(E209=12),((E209/D209)*60)*1,AND(E209&gt;=13,E209&lt;=15),((E209/D209)*60)*1.2,AND(E209&gt;=16,E209&lt;=19),((E209/D209)*60)*1.5,E209&gt;=20,((E209/D209)*60)*1.8)</f>
        <v>25.081967213114751</v>
      </c>
      <c r="AT209" cm="1">
        <f t="array" ref="AT209">_xlfn.IFS(F209&lt;550,((F209/D209)*60)*0.5,AND(F209&gt;=550,F209&lt;575),((F209/D209)*60)*0.75,AND(F209&gt;=575,F209&lt;600),((F209/D209)*60)*0.9,AND(F209=600),((F209/D209)*60)*1,AND(F209&gt;=601,F209&lt;=625),((F209/D209)*60)*1.2,AND(F209&gt;=626,F209&lt;=650),((F209/D209)*60)*1.5,F209&gt;=651,((F209/D209)*60)*1.8)</f>
        <v>1209.2459016393441</v>
      </c>
      <c r="AU209">
        <f t="shared" si="70"/>
        <v>7.5</v>
      </c>
      <c r="AV209">
        <f t="shared" si="68"/>
        <v>495.23114754098356</v>
      </c>
      <c r="AW209">
        <f t="shared" si="71"/>
        <v>76.099999999999994</v>
      </c>
      <c r="AX209" t="str">
        <f t="shared" si="66"/>
        <v>Sep-2021</v>
      </c>
      <c r="AY209">
        <f>ROUNDUP(Table2[[#This Row],[Month]]/3,0)</f>
        <v>3</v>
      </c>
    </row>
    <row r="210" spans="1:51" x14ac:dyDescent="0.2">
      <c r="A210">
        <v>209</v>
      </c>
      <c r="B210">
        <f t="shared" si="53"/>
        <v>15</v>
      </c>
      <c r="C210" s="22">
        <v>44460</v>
      </c>
      <c r="D210">
        <f>SUM(Table2[[#This Row],[Gray Min]:[Red Min]])</f>
        <v>59</v>
      </c>
      <c r="E210">
        <v>18</v>
      </c>
      <c r="F210">
        <v>708</v>
      </c>
      <c r="G210">
        <v>134</v>
      </c>
      <c r="H210">
        <v>169</v>
      </c>
      <c r="I210">
        <v>4</v>
      </c>
      <c r="J210">
        <v>15</v>
      </c>
      <c r="K210">
        <v>22</v>
      </c>
      <c r="L210">
        <v>15</v>
      </c>
      <c r="M210">
        <v>3</v>
      </c>
      <c r="N210" t="s">
        <v>101</v>
      </c>
      <c r="O210" t="s">
        <v>39</v>
      </c>
      <c r="P210" t="s">
        <v>133</v>
      </c>
      <c r="Q210">
        <f t="shared" si="67"/>
        <v>1</v>
      </c>
      <c r="R210" t="str">
        <f t="shared" si="54"/>
        <v>9-2021</v>
      </c>
      <c r="S210" t="s">
        <v>104</v>
      </c>
      <c r="T210" t="str">
        <f t="shared" si="55"/>
        <v>Tuesday</v>
      </c>
      <c r="U210">
        <f t="shared" si="56"/>
        <v>1</v>
      </c>
      <c r="V210" s="24">
        <f>IFERROR(Table2[[#This Row],[Gray Min]]/Table2[[#This Row],[ClassLength]],"")</f>
        <v>6.7796610169491525E-2</v>
      </c>
      <c r="W210" s="24">
        <f>IFERROR(Table2[[#This Row],[Blue Min]]/Table2[[#This Row],[ClassLength]],"")</f>
        <v>0.25423728813559321</v>
      </c>
      <c r="X210" s="24">
        <f>IFERROR(Table2[[#This Row],[Green Min]]/Table2[[#This Row],[ClassLength]],"")</f>
        <v>0.3728813559322034</v>
      </c>
      <c r="Y210" s="24">
        <f>IFERROR(Table2[[#This Row],[Orange Min]]/Table2[[#This Row],[ClassLength]],"")</f>
        <v>0.25423728813559321</v>
      </c>
      <c r="Z210" s="24">
        <f>IFERROR(Table2[[#This Row],[Red Min]]/Table2[[#This Row],[ClassLength]],"")</f>
        <v>5.0847457627118647E-2</v>
      </c>
      <c r="AA210" s="25">
        <v>232.14</v>
      </c>
      <c r="AB210" s="25">
        <f t="shared" si="69"/>
        <v>15.475999999999999</v>
      </c>
      <c r="AC210" s="26">
        <f t="shared" si="57"/>
        <v>651.46153846153845</v>
      </c>
      <c r="AD210" s="26">
        <f t="shared" si="58"/>
        <v>14.307692307692308</v>
      </c>
      <c r="AE210">
        <f t="shared" si="59"/>
        <v>2021</v>
      </c>
      <c r="AG210">
        <v>12</v>
      </c>
      <c r="AH210" s="26">
        <f t="shared" si="60"/>
        <v>12</v>
      </c>
      <c r="AI210" t="str">
        <f t="shared" si="61"/>
        <v>PM</v>
      </c>
      <c r="AJ210" t="str">
        <f t="shared" si="62"/>
        <v>9-2021-4</v>
      </c>
      <c r="AK210">
        <f t="shared" si="63"/>
        <v>9</v>
      </c>
      <c r="AL210" s="26">
        <f>IFERROR(Table2[[#This Row],[Calories]]/Table2[[#This Row],[Splat]],"")</f>
        <v>39.333333333333336</v>
      </c>
      <c r="AM210">
        <f>COUNTIF(N$2:$N$938,N210)</f>
        <v>191</v>
      </c>
      <c r="AN210" t="str">
        <f>VLOOKUP(N210,'Helpful Tables'!A:D,4,FALSE)</f>
        <v>Washington, DC</v>
      </c>
      <c r="AO210" s="24">
        <f>COUNTIF(AN:AN,Table2[[#This Row],[State]])/COUNTA(AN:AN)</f>
        <v>0.54904051172707891</v>
      </c>
      <c r="AP210">
        <f>VLOOKUP(N210,'Helpful Tables'!A:B,2,FALSE)</f>
        <v>38.949649000000001</v>
      </c>
      <c r="AQ210">
        <f>VLOOKUP(N210,'Helpful Tables'!A:C,3,FALSE)</f>
        <v>-77.080878999999996</v>
      </c>
      <c r="AR210">
        <f>COUNTIF(P$2:$P$938,P210)</f>
        <v>25</v>
      </c>
      <c r="AS210" cm="1">
        <f t="array" ref="AS210">_xlfn.IFS(E210&lt;6,((E210/D210)*60)*0.5,AND(E210&gt;=6,E210&lt;9),((E210/D210)*60)*0.75,AND(E210&gt;=9,E210&lt;=11),((E210/D210)*60)*0.9,AND(E210=12),((E210/D210)*60)*1,AND(E210&gt;=13,E210&lt;=15),((E210/D210)*60)*1.2,AND(E210&gt;=16,E210&lt;=19),((E210/D210)*60)*1.5,E210&gt;=20,((E210/D210)*60)*1.8)</f>
        <v>27.457627118644069</v>
      </c>
      <c r="AT210" cm="1">
        <f t="array" ref="AT210">_xlfn.IFS(F210&lt;550,((F210/D210)*60)*0.5,AND(F210&gt;=550,F210&lt;575),((F210/D210)*60)*0.75,AND(F210&gt;=575,F210&lt;600),((F210/D210)*60)*0.9,AND(F210=600),((F210/D210)*60)*1,AND(F210&gt;=601,F210&lt;=625),((F210/D210)*60)*1.2,AND(F210&gt;=626,F210&lt;=650),((F210/D210)*60)*1.5,F210&gt;=651,((F210/D210)*60)*1.8)</f>
        <v>1296</v>
      </c>
      <c r="AU210">
        <f t="shared" si="70"/>
        <v>29.099999999999998</v>
      </c>
      <c r="AV210">
        <f t="shared" si="68"/>
        <v>535.20305084745769</v>
      </c>
      <c r="AW210">
        <f t="shared" si="71"/>
        <v>95.1</v>
      </c>
      <c r="AX210" t="str">
        <f t="shared" si="66"/>
        <v>Sep-2021</v>
      </c>
      <c r="AY210">
        <f>ROUNDUP(Table2[[#This Row],[Month]]/3,0)</f>
        <v>3</v>
      </c>
    </row>
    <row r="211" spans="1:51" x14ac:dyDescent="0.2">
      <c r="A211">
        <v>210</v>
      </c>
      <c r="B211">
        <f t="shared" si="53"/>
        <v>15</v>
      </c>
      <c r="C211" s="22">
        <v>44462</v>
      </c>
      <c r="D211">
        <f>SUM(Table2[[#This Row],[Gray Min]:[Red Min]])</f>
        <v>57</v>
      </c>
      <c r="E211">
        <v>14</v>
      </c>
      <c r="F211">
        <v>644</v>
      </c>
      <c r="G211">
        <v>129</v>
      </c>
      <c r="H211">
        <v>163</v>
      </c>
      <c r="I211">
        <v>11</v>
      </c>
      <c r="J211">
        <v>14</v>
      </c>
      <c r="K211">
        <v>18</v>
      </c>
      <c r="L211">
        <v>14</v>
      </c>
      <c r="M211">
        <v>0</v>
      </c>
      <c r="N211" t="s">
        <v>91</v>
      </c>
      <c r="O211" t="s">
        <v>39</v>
      </c>
      <c r="P211" t="s">
        <v>96</v>
      </c>
      <c r="Q211">
        <f t="shared" si="67"/>
        <v>2</v>
      </c>
      <c r="R211" t="str">
        <f t="shared" si="54"/>
        <v>9-2021</v>
      </c>
      <c r="S211" t="s">
        <v>117</v>
      </c>
      <c r="T211" t="str">
        <f t="shared" si="55"/>
        <v>Thursday</v>
      </c>
      <c r="U211">
        <f t="shared" si="56"/>
        <v>1</v>
      </c>
      <c r="V211" s="24">
        <f>IFERROR(Table2[[#This Row],[Gray Min]]/Table2[[#This Row],[ClassLength]],"")</f>
        <v>0.19298245614035087</v>
      </c>
      <c r="W211" s="24">
        <f>IFERROR(Table2[[#This Row],[Blue Min]]/Table2[[#This Row],[ClassLength]],"")</f>
        <v>0.24561403508771928</v>
      </c>
      <c r="X211" s="24">
        <f>IFERROR(Table2[[#This Row],[Green Min]]/Table2[[#This Row],[ClassLength]],"")</f>
        <v>0.31578947368421051</v>
      </c>
      <c r="Y211" s="24">
        <f>IFERROR(Table2[[#This Row],[Orange Min]]/Table2[[#This Row],[ClassLength]],"")</f>
        <v>0.24561403508771928</v>
      </c>
      <c r="Z211" s="24">
        <f>IFERROR(Table2[[#This Row],[Red Min]]/Table2[[#This Row],[ClassLength]],"")</f>
        <v>0</v>
      </c>
      <c r="AA211" s="25">
        <v>232.14</v>
      </c>
      <c r="AB211" s="25">
        <f t="shared" si="69"/>
        <v>15.475999999999999</v>
      </c>
      <c r="AC211" s="26">
        <f t="shared" si="57"/>
        <v>651.46153846153845</v>
      </c>
      <c r="AD211" s="26">
        <f t="shared" si="58"/>
        <v>14.307692307692308</v>
      </c>
      <c r="AE211">
        <f t="shared" si="59"/>
        <v>2021</v>
      </c>
      <c r="AG211">
        <v>12</v>
      </c>
      <c r="AH211" s="26">
        <f t="shared" si="60"/>
        <v>11.298245614035087</v>
      </c>
      <c r="AI211" t="str">
        <f t="shared" si="61"/>
        <v>PM</v>
      </c>
      <c r="AJ211" t="str">
        <f t="shared" si="62"/>
        <v>9-2021-4</v>
      </c>
      <c r="AK211">
        <f t="shared" si="63"/>
        <v>9</v>
      </c>
      <c r="AL211" s="26">
        <f>IFERROR(Table2[[#This Row],[Calories]]/Table2[[#This Row],[Splat]],"")</f>
        <v>46</v>
      </c>
      <c r="AM211">
        <f>COUNTIF(N$2:$N$938,N211)</f>
        <v>218</v>
      </c>
      <c r="AN211" t="str">
        <f>VLOOKUP(N211,'Helpful Tables'!A:D,4,FALSE)</f>
        <v>Washington, DC</v>
      </c>
      <c r="AO211" s="24">
        <f>COUNTIF(AN:AN,Table2[[#This Row],[State]])/COUNTA(AN:AN)</f>
        <v>0.54904051172707891</v>
      </c>
      <c r="AP211">
        <f>VLOOKUP(N211,'Helpful Tables'!A:B,2,FALSE)</f>
        <v>38.934710000000003</v>
      </c>
      <c r="AQ211">
        <f>VLOOKUP(N211,'Helpful Tables'!A:C,3,FALSE)</f>
        <v>-77.058222999999998</v>
      </c>
      <c r="AR211">
        <f>COUNTIF(P$2:$P$938,P211)</f>
        <v>71</v>
      </c>
      <c r="AS211" cm="1">
        <f t="array" ref="AS211">_xlfn.IFS(E211&lt;6,((E211/D211)*60)*0.5,AND(E211&gt;=6,E211&lt;9),((E211/D211)*60)*0.75,AND(E211&gt;=9,E211&lt;=11),((E211/D211)*60)*0.9,AND(E211=12),((E211/D211)*60)*1,AND(E211&gt;=13,E211&lt;=15),((E211/D211)*60)*1.2,AND(E211&gt;=16,E211&lt;=19),((E211/D211)*60)*1.5,E211&gt;=20,((E211/D211)*60)*1.8)</f>
        <v>17.684210526315788</v>
      </c>
      <c r="AT211" cm="1">
        <f t="array" ref="AT211">_xlfn.IFS(F211&lt;550,((F211/D211)*60)*0.5,AND(F211&gt;=550,F211&lt;575),((F211/D211)*60)*0.75,AND(F211&gt;=575,F211&lt;600),((F211/D211)*60)*0.9,AND(F211=600),((F211/D211)*60)*1,AND(F211&gt;=601,F211&lt;=625),((F211/D211)*60)*1.2,AND(F211&gt;=626,F211&lt;=650),((F211/D211)*60)*1.5,F211&gt;=651,((F211/D211)*60)*1.8)</f>
        <v>1016.8421052631578</v>
      </c>
      <c r="AU211">
        <f t="shared" si="70"/>
        <v>11.199999999999996</v>
      </c>
      <c r="AV211">
        <f t="shared" si="68"/>
        <v>416.05052631578945</v>
      </c>
      <c r="AW211">
        <f t="shared" si="71"/>
        <v>60.5</v>
      </c>
      <c r="AX211" t="str">
        <f t="shared" si="66"/>
        <v>Sep-2021</v>
      </c>
      <c r="AY211">
        <f>ROUNDUP(Table2[[#This Row],[Month]]/3,0)</f>
        <v>3</v>
      </c>
    </row>
    <row r="212" spans="1:51" x14ac:dyDescent="0.2">
      <c r="A212">
        <v>211</v>
      </c>
      <c r="B212">
        <f t="shared" si="53"/>
        <v>15</v>
      </c>
      <c r="C212" s="22">
        <v>44464</v>
      </c>
      <c r="D212">
        <f>SUM(Table2[[#This Row],[Gray Min]:[Red Min]])</f>
        <v>55</v>
      </c>
      <c r="E212">
        <v>16</v>
      </c>
      <c r="F212">
        <v>614</v>
      </c>
      <c r="G212">
        <v>126</v>
      </c>
      <c r="H212">
        <v>169</v>
      </c>
      <c r="I212">
        <v>15</v>
      </c>
      <c r="J212">
        <v>12</v>
      </c>
      <c r="K212">
        <v>12</v>
      </c>
      <c r="L212">
        <v>15</v>
      </c>
      <c r="M212">
        <v>1</v>
      </c>
      <c r="N212" t="s">
        <v>91</v>
      </c>
      <c r="O212" t="s">
        <v>45</v>
      </c>
      <c r="P212" t="s">
        <v>108</v>
      </c>
      <c r="Q212">
        <f t="shared" si="67"/>
        <v>2</v>
      </c>
      <c r="R212" t="str">
        <f t="shared" si="54"/>
        <v>9-2021</v>
      </c>
      <c r="S212" t="s">
        <v>104</v>
      </c>
      <c r="T212" t="str">
        <f t="shared" si="55"/>
        <v>Saturday</v>
      </c>
      <c r="U212">
        <f t="shared" si="56"/>
        <v>1</v>
      </c>
      <c r="V212" s="24">
        <f>IFERROR(Table2[[#This Row],[Gray Min]]/Table2[[#This Row],[ClassLength]],"")</f>
        <v>0.27272727272727271</v>
      </c>
      <c r="W212" s="24">
        <f>IFERROR(Table2[[#This Row],[Blue Min]]/Table2[[#This Row],[ClassLength]],"")</f>
        <v>0.21818181818181817</v>
      </c>
      <c r="X212" s="24">
        <f>IFERROR(Table2[[#This Row],[Green Min]]/Table2[[#This Row],[ClassLength]],"")</f>
        <v>0.21818181818181817</v>
      </c>
      <c r="Y212" s="24">
        <f>IFERROR(Table2[[#This Row],[Orange Min]]/Table2[[#This Row],[ClassLength]],"")</f>
        <v>0.27272727272727271</v>
      </c>
      <c r="Z212" s="24">
        <f>IFERROR(Table2[[#This Row],[Red Min]]/Table2[[#This Row],[ClassLength]],"")</f>
        <v>1.8181818181818181E-2</v>
      </c>
      <c r="AA212" s="25">
        <v>232.14</v>
      </c>
      <c r="AB212" s="25">
        <f t="shared" si="69"/>
        <v>15.475999999999999</v>
      </c>
      <c r="AC212" s="26">
        <f t="shared" si="57"/>
        <v>651.46153846153845</v>
      </c>
      <c r="AD212" s="26">
        <f t="shared" si="58"/>
        <v>14.307692307692308</v>
      </c>
      <c r="AE212">
        <f t="shared" si="59"/>
        <v>2021</v>
      </c>
      <c r="AG212">
        <v>12</v>
      </c>
      <c r="AH212" s="26">
        <f t="shared" si="60"/>
        <v>11.163636363636364</v>
      </c>
      <c r="AI212" t="str">
        <f t="shared" si="61"/>
        <v>AM</v>
      </c>
      <c r="AJ212" t="str">
        <f t="shared" si="62"/>
        <v>9-2021-4</v>
      </c>
      <c r="AK212">
        <f t="shared" si="63"/>
        <v>9</v>
      </c>
      <c r="AL212" s="26">
        <f>IFERROR(Table2[[#This Row],[Calories]]/Table2[[#This Row],[Splat]],"")</f>
        <v>38.375</v>
      </c>
      <c r="AM212">
        <f>COUNTIF(N$2:$N$938,N212)</f>
        <v>218</v>
      </c>
      <c r="AN212" t="str">
        <f>VLOOKUP(N212,'Helpful Tables'!A:D,4,FALSE)</f>
        <v>Washington, DC</v>
      </c>
      <c r="AO212" s="24">
        <f>COUNTIF(AN:AN,Table2[[#This Row],[State]])/COUNTA(AN:AN)</f>
        <v>0.54904051172707891</v>
      </c>
      <c r="AP212">
        <f>VLOOKUP(N212,'Helpful Tables'!A:B,2,FALSE)</f>
        <v>38.934710000000003</v>
      </c>
      <c r="AQ212">
        <f>VLOOKUP(N212,'Helpful Tables'!A:C,3,FALSE)</f>
        <v>-77.058222999999998</v>
      </c>
      <c r="AR212">
        <f>COUNTIF(P$2:$P$938,P212)</f>
        <v>3</v>
      </c>
      <c r="AS212" cm="1">
        <f t="array" ref="AS212">_xlfn.IFS(E212&lt;6,((E212/D212)*60)*0.5,AND(E212&gt;=6,E212&lt;9),((E212/D212)*60)*0.75,AND(E212&gt;=9,E212&lt;=11),((E212/D212)*60)*0.9,AND(E212=12),((E212/D212)*60)*1,AND(E212&gt;=13,E212&lt;=15),((E212/D212)*60)*1.2,AND(E212&gt;=16,E212&lt;=19),((E212/D212)*60)*1.5,E212&gt;=20,((E212/D212)*60)*1.8)</f>
        <v>26.18181818181818</v>
      </c>
      <c r="AT212" cm="1">
        <f t="array" ref="AT212">_xlfn.IFS(F212&lt;550,((F212/D212)*60)*0.5,AND(F212&gt;=550,F212&lt;575),((F212/D212)*60)*0.75,AND(F212&gt;=575,F212&lt;600),((F212/D212)*60)*0.9,AND(F212=600),((F212/D212)*60)*1,AND(F212&gt;=601,F212&lt;=625),((F212/D212)*60)*1.2,AND(F212&gt;=626,F212&lt;=650),((F212/D212)*60)*1.5,F212&gt;=651,((F212/D212)*60)*1.8)</f>
        <v>803.78181818181827</v>
      </c>
      <c r="AU212">
        <f t="shared" si="70"/>
        <v>4.1999999999999957</v>
      </c>
      <c r="AV212">
        <f t="shared" si="68"/>
        <v>332.82545454545459</v>
      </c>
      <c r="AW212">
        <f t="shared" si="71"/>
        <v>41.099999999999994</v>
      </c>
      <c r="AX212" t="str">
        <f t="shared" si="66"/>
        <v>Sep-2021</v>
      </c>
      <c r="AY212">
        <f>ROUNDUP(Table2[[#This Row],[Month]]/3,0)</f>
        <v>3</v>
      </c>
    </row>
    <row r="213" spans="1:51" x14ac:dyDescent="0.2">
      <c r="A213">
        <v>212</v>
      </c>
      <c r="B213">
        <f t="shared" si="53"/>
        <v>15</v>
      </c>
      <c r="C213" s="22">
        <v>44466</v>
      </c>
      <c r="D213">
        <f>SUM(Table2[[#This Row],[Gray Min]:[Red Min]])</f>
        <v>61</v>
      </c>
      <c r="E213">
        <v>9</v>
      </c>
      <c r="F213">
        <v>590</v>
      </c>
      <c r="G213">
        <v>118</v>
      </c>
      <c r="H213">
        <v>167</v>
      </c>
      <c r="I213">
        <v>23</v>
      </c>
      <c r="J213">
        <v>17</v>
      </c>
      <c r="K213">
        <v>12</v>
      </c>
      <c r="L213">
        <v>9</v>
      </c>
      <c r="M213">
        <v>0</v>
      </c>
      <c r="N213" t="s">
        <v>101</v>
      </c>
      <c r="O213" t="s">
        <v>39</v>
      </c>
      <c r="P213" t="s">
        <v>133</v>
      </c>
      <c r="Q213">
        <f t="shared" si="67"/>
        <v>2</v>
      </c>
      <c r="R213" t="str">
        <f t="shared" si="54"/>
        <v>9-2021</v>
      </c>
      <c r="S213" t="s">
        <v>104</v>
      </c>
      <c r="T213" t="str">
        <f t="shared" si="55"/>
        <v>Monday</v>
      </c>
      <c r="U213">
        <f t="shared" si="56"/>
        <v>0</v>
      </c>
      <c r="V213" s="24">
        <f>IFERROR(Table2[[#This Row],[Gray Min]]/Table2[[#This Row],[ClassLength]],"")</f>
        <v>0.37704918032786883</v>
      </c>
      <c r="W213" s="24">
        <f>IFERROR(Table2[[#This Row],[Blue Min]]/Table2[[#This Row],[ClassLength]],"")</f>
        <v>0.27868852459016391</v>
      </c>
      <c r="X213" s="24">
        <f>IFERROR(Table2[[#This Row],[Green Min]]/Table2[[#This Row],[ClassLength]],"")</f>
        <v>0.19672131147540983</v>
      </c>
      <c r="Y213" s="24">
        <f>IFERROR(Table2[[#This Row],[Orange Min]]/Table2[[#This Row],[ClassLength]],"")</f>
        <v>0.14754098360655737</v>
      </c>
      <c r="Z213" s="24">
        <f>IFERROR(Table2[[#This Row],[Red Min]]/Table2[[#This Row],[ClassLength]],"")</f>
        <v>0</v>
      </c>
      <c r="AA213" s="25">
        <v>232.14</v>
      </c>
      <c r="AB213" s="25">
        <f t="shared" si="69"/>
        <v>15.475999999999999</v>
      </c>
      <c r="AC213" s="26">
        <f t="shared" si="57"/>
        <v>651.46153846153845</v>
      </c>
      <c r="AD213" s="26">
        <f t="shared" si="58"/>
        <v>14.307692307692308</v>
      </c>
      <c r="AE213">
        <f t="shared" si="59"/>
        <v>2021</v>
      </c>
      <c r="AG213">
        <v>12</v>
      </c>
      <c r="AH213" s="26">
        <f t="shared" si="60"/>
        <v>9.6721311475409841</v>
      </c>
      <c r="AI213" t="str">
        <f t="shared" si="61"/>
        <v>PM</v>
      </c>
      <c r="AJ213" t="str">
        <f t="shared" si="62"/>
        <v>9-2021-5</v>
      </c>
      <c r="AK213">
        <f t="shared" si="63"/>
        <v>9</v>
      </c>
      <c r="AL213" s="26">
        <f>IFERROR(Table2[[#This Row],[Calories]]/Table2[[#This Row],[Splat]],"")</f>
        <v>65.555555555555557</v>
      </c>
      <c r="AM213">
        <f>COUNTIF(N$2:$N$938,N213)</f>
        <v>191</v>
      </c>
      <c r="AN213" t="str">
        <f>VLOOKUP(N213,'Helpful Tables'!A:D,4,FALSE)</f>
        <v>Washington, DC</v>
      </c>
      <c r="AO213" s="24">
        <f>COUNTIF(AN:AN,Table2[[#This Row],[State]])/COUNTA(AN:AN)</f>
        <v>0.54904051172707891</v>
      </c>
      <c r="AP213">
        <f>VLOOKUP(N213,'Helpful Tables'!A:B,2,FALSE)</f>
        <v>38.949649000000001</v>
      </c>
      <c r="AQ213">
        <f>VLOOKUP(N213,'Helpful Tables'!A:C,3,FALSE)</f>
        <v>-77.080878999999996</v>
      </c>
      <c r="AR213">
        <f>COUNTIF(P$2:$P$938,P213)</f>
        <v>25</v>
      </c>
      <c r="AS213" cm="1">
        <f t="array" ref="AS213">_xlfn.IFS(E213&lt;6,((E213/D213)*60)*0.5,AND(E213&gt;=6,E213&lt;9),((E213/D213)*60)*0.75,AND(E213&gt;=9,E213&lt;=11),((E213/D213)*60)*0.9,AND(E213=12),((E213/D213)*60)*1,AND(E213&gt;=13,E213&lt;=15),((E213/D213)*60)*1.2,AND(E213&gt;=16,E213&lt;=19),((E213/D213)*60)*1.5,E213&gt;=20,((E213/D213)*60)*1.8)</f>
        <v>7.9672131147540988</v>
      </c>
      <c r="AT213" cm="1">
        <f t="array" ref="AT213">_xlfn.IFS(F213&lt;550,((F213/D213)*60)*0.5,AND(F213&gt;=550,F213&lt;575),((F213/D213)*60)*0.75,AND(F213&gt;=575,F213&lt;600),((F213/D213)*60)*0.9,AND(F213=600),((F213/D213)*60)*1,AND(F213&gt;=601,F213&lt;=625),((F213/D213)*60)*1.2,AND(F213&gt;=626,F213&lt;=650),((F213/D213)*60)*1.5,F213&gt;=651,((F213/D213)*60)*1.8)</f>
        <v>522.29508196721315</v>
      </c>
      <c r="AU213">
        <f t="shared" si="70"/>
        <v>-20.199999999999996</v>
      </c>
      <c r="AV213">
        <f t="shared" si="68"/>
        <v>208.06491803278692</v>
      </c>
      <c r="AW213">
        <f t="shared" si="71"/>
        <v>13.600000000000001</v>
      </c>
      <c r="AX213" t="str">
        <f t="shared" si="66"/>
        <v>Sep-2021</v>
      </c>
      <c r="AY213">
        <f>ROUNDUP(Table2[[#This Row],[Month]]/3,0)</f>
        <v>3</v>
      </c>
    </row>
    <row r="214" spans="1:51" x14ac:dyDescent="0.2">
      <c r="A214">
        <v>213</v>
      </c>
      <c r="B214">
        <f t="shared" si="53"/>
        <v>15</v>
      </c>
      <c r="C214" s="22">
        <v>44468</v>
      </c>
      <c r="D214">
        <f>SUM(Table2[[#This Row],[Gray Min]:[Red Min]])</f>
        <v>58</v>
      </c>
      <c r="E214">
        <v>13</v>
      </c>
      <c r="F214">
        <v>602</v>
      </c>
      <c r="G214">
        <v>121</v>
      </c>
      <c r="H214">
        <v>168</v>
      </c>
      <c r="I214">
        <v>19</v>
      </c>
      <c r="J214">
        <v>18</v>
      </c>
      <c r="K214">
        <v>8</v>
      </c>
      <c r="L214">
        <v>11</v>
      </c>
      <c r="M214">
        <v>2</v>
      </c>
      <c r="N214" t="s">
        <v>91</v>
      </c>
      <c r="O214" t="s">
        <v>39</v>
      </c>
      <c r="P214" t="s">
        <v>96</v>
      </c>
      <c r="Q214">
        <f t="shared" si="67"/>
        <v>2</v>
      </c>
      <c r="R214" t="str">
        <f t="shared" si="54"/>
        <v>9-2021</v>
      </c>
      <c r="S214" t="s">
        <v>135</v>
      </c>
      <c r="T214" t="str">
        <f t="shared" si="55"/>
        <v>Wednesday</v>
      </c>
      <c r="U214">
        <f t="shared" si="56"/>
        <v>1</v>
      </c>
      <c r="V214" s="24">
        <f>IFERROR(Table2[[#This Row],[Gray Min]]/Table2[[#This Row],[ClassLength]],"")</f>
        <v>0.32758620689655171</v>
      </c>
      <c r="W214" s="24">
        <f>IFERROR(Table2[[#This Row],[Blue Min]]/Table2[[#This Row],[ClassLength]],"")</f>
        <v>0.31034482758620691</v>
      </c>
      <c r="X214" s="24">
        <f>IFERROR(Table2[[#This Row],[Green Min]]/Table2[[#This Row],[ClassLength]],"")</f>
        <v>0.13793103448275862</v>
      </c>
      <c r="Y214" s="24">
        <f>IFERROR(Table2[[#This Row],[Orange Min]]/Table2[[#This Row],[ClassLength]],"")</f>
        <v>0.18965517241379309</v>
      </c>
      <c r="Z214" s="24">
        <f>IFERROR(Table2[[#This Row],[Red Min]]/Table2[[#This Row],[ClassLength]],"")</f>
        <v>3.4482758620689655E-2</v>
      </c>
      <c r="AA214" s="25">
        <v>232.14</v>
      </c>
      <c r="AB214" s="25">
        <f t="shared" si="69"/>
        <v>15.475999999999999</v>
      </c>
      <c r="AC214" s="26">
        <f t="shared" si="57"/>
        <v>651.46153846153845</v>
      </c>
      <c r="AD214" s="26">
        <f t="shared" si="58"/>
        <v>14.307692307692308</v>
      </c>
      <c r="AE214">
        <f t="shared" si="59"/>
        <v>2021</v>
      </c>
      <c r="AG214">
        <v>12</v>
      </c>
      <c r="AH214" s="26">
        <f t="shared" si="60"/>
        <v>10.379310344827585</v>
      </c>
      <c r="AI214" t="str">
        <f t="shared" si="61"/>
        <v>PM</v>
      </c>
      <c r="AJ214" t="str">
        <f t="shared" si="62"/>
        <v>9-2021-5</v>
      </c>
      <c r="AK214">
        <f t="shared" si="63"/>
        <v>9</v>
      </c>
      <c r="AL214" s="26">
        <f>IFERROR(Table2[[#This Row],[Calories]]/Table2[[#This Row],[Splat]],"")</f>
        <v>46.307692307692307</v>
      </c>
      <c r="AM214">
        <f>COUNTIF(N$2:$N$938,N214)</f>
        <v>218</v>
      </c>
      <c r="AN214" t="str">
        <f>VLOOKUP(N214,'Helpful Tables'!A:D,4,FALSE)</f>
        <v>Washington, DC</v>
      </c>
      <c r="AO214" s="24">
        <f>COUNTIF(AN:AN,Table2[[#This Row],[State]])/COUNTA(AN:AN)</f>
        <v>0.54904051172707891</v>
      </c>
      <c r="AP214">
        <f>VLOOKUP(N214,'Helpful Tables'!A:B,2,FALSE)</f>
        <v>38.934710000000003</v>
      </c>
      <c r="AQ214">
        <f>VLOOKUP(N214,'Helpful Tables'!A:C,3,FALSE)</f>
        <v>-77.058222999999998</v>
      </c>
      <c r="AR214">
        <f>COUNTIF(P$2:$P$938,P214)</f>
        <v>71</v>
      </c>
      <c r="AS214" cm="1">
        <f t="array" ref="AS214">_xlfn.IFS(E214&lt;6,((E214/D214)*60)*0.5,AND(E214&gt;=6,E214&lt;9),((E214/D214)*60)*0.75,AND(E214&gt;=9,E214&lt;=11),((E214/D214)*60)*0.9,AND(E214=12),((E214/D214)*60)*1,AND(E214&gt;=13,E214&lt;=15),((E214/D214)*60)*1.2,AND(E214&gt;=16,E214&lt;=19),((E214/D214)*60)*1.5,E214&gt;=20,((E214/D214)*60)*1.8)</f>
        <v>16.137931034482758</v>
      </c>
      <c r="AT214" cm="1">
        <f t="array" ref="AT214">_xlfn.IFS(F214&lt;550,((F214/D214)*60)*0.5,AND(F214&gt;=550,F214&lt;575),((F214/D214)*60)*0.75,AND(F214&gt;=575,F214&lt;600),((F214/D214)*60)*0.9,AND(F214=600),((F214/D214)*60)*1,AND(F214&gt;=601,F214&lt;=625),((F214/D214)*60)*1.2,AND(F214&gt;=626,F214&lt;=650),((F214/D214)*60)*1.5,F214&gt;=651,((F214/D214)*60)*1.8)</f>
        <v>747.31034482758616</v>
      </c>
      <c r="AU214">
        <f t="shared" si="70"/>
        <v>-15.7</v>
      </c>
      <c r="AV214">
        <f t="shared" si="68"/>
        <v>302.23931034482757</v>
      </c>
      <c r="AW214">
        <f t="shared" si="71"/>
        <v>27.800000000000004</v>
      </c>
      <c r="AX214" t="str">
        <f t="shared" si="66"/>
        <v>Sep-2021</v>
      </c>
      <c r="AY214">
        <f>ROUNDUP(Table2[[#This Row],[Month]]/3,0)</f>
        <v>3</v>
      </c>
    </row>
    <row r="215" spans="1:51" x14ac:dyDescent="0.2">
      <c r="A215">
        <v>214</v>
      </c>
      <c r="B215">
        <f t="shared" si="53"/>
        <v>15</v>
      </c>
      <c r="C215" s="22">
        <v>44469</v>
      </c>
      <c r="D215">
        <f>SUM(Table2[[#This Row],[Gray Min]:[Red Min]])</f>
        <v>56</v>
      </c>
      <c r="E215">
        <v>12</v>
      </c>
      <c r="F215">
        <v>648</v>
      </c>
      <c r="G215">
        <v>130</v>
      </c>
      <c r="H215">
        <v>165</v>
      </c>
      <c r="I215">
        <v>6</v>
      </c>
      <c r="J215">
        <v>15</v>
      </c>
      <c r="K215">
        <v>23</v>
      </c>
      <c r="L215">
        <v>11</v>
      </c>
      <c r="M215">
        <v>1</v>
      </c>
      <c r="N215" t="s">
        <v>91</v>
      </c>
      <c r="O215" t="s">
        <v>39</v>
      </c>
      <c r="P215" t="s">
        <v>97</v>
      </c>
      <c r="Q215">
        <f t="shared" si="67"/>
        <v>1</v>
      </c>
      <c r="R215" t="str">
        <f t="shared" si="54"/>
        <v>9-2021</v>
      </c>
      <c r="S215" t="s">
        <v>135</v>
      </c>
      <c r="T215" t="str">
        <f t="shared" si="55"/>
        <v>Thursday</v>
      </c>
      <c r="U215">
        <f t="shared" si="56"/>
        <v>1</v>
      </c>
      <c r="V215" s="24">
        <f>IFERROR(Table2[[#This Row],[Gray Min]]/Table2[[#This Row],[ClassLength]],"")</f>
        <v>0.10714285714285714</v>
      </c>
      <c r="W215" s="24">
        <f>IFERROR(Table2[[#This Row],[Blue Min]]/Table2[[#This Row],[ClassLength]],"")</f>
        <v>0.26785714285714285</v>
      </c>
      <c r="X215" s="24">
        <f>IFERROR(Table2[[#This Row],[Green Min]]/Table2[[#This Row],[ClassLength]],"")</f>
        <v>0.4107142857142857</v>
      </c>
      <c r="Y215" s="24">
        <f>IFERROR(Table2[[#This Row],[Orange Min]]/Table2[[#This Row],[ClassLength]],"")</f>
        <v>0.19642857142857142</v>
      </c>
      <c r="Z215" s="24">
        <f>IFERROR(Table2[[#This Row],[Red Min]]/Table2[[#This Row],[ClassLength]],"")</f>
        <v>1.7857142857142856E-2</v>
      </c>
      <c r="AA215" s="25">
        <v>232.14</v>
      </c>
      <c r="AB215" s="25">
        <f t="shared" si="69"/>
        <v>15.475999999999999</v>
      </c>
      <c r="AC215" s="26">
        <f t="shared" si="57"/>
        <v>651.46153846153845</v>
      </c>
      <c r="AD215" s="26">
        <f t="shared" si="58"/>
        <v>14.307692307692308</v>
      </c>
      <c r="AE215">
        <f t="shared" si="59"/>
        <v>2021</v>
      </c>
      <c r="AG215">
        <v>12</v>
      </c>
      <c r="AH215" s="26">
        <f t="shared" si="60"/>
        <v>11.571428571428571</v>
      </c>
      <c r="AI215" t="str">
        <f t="shared" si="61"/>
        <v>PM</v>
      </c>
      <c r="AJ215" t="str">
        <f t="shared" si="62"/>
        <v>9-2021-5</v>
      </c>
      <c r="AK215">
        <f t="shared" si="63"/>
        <v>9</v>
      </c>
      <c r="AL215" s="26">
        <f>IFERROR(Table2[[#This Row],[Calories]]/Table2[[#This Row],[Splat]],"")</f>
        <v>54</v>
      </c>
      <c r="AM215">
        <f>COUNTIF(N$2:$N$938,N215)</f>
        <v>218</v>
      </c>
      <c r="AN215" t="str">
        <f>VLOOKUP(N215,'Helpful Tables'!A:D,4,FALSE)</f>
        <v>Washington, DC</v>
      </c>
      <c r="AO215" s="24">
        <f>COUNTIF(AN:AN,Table2[[#This Row],[State]])/COUNTA(AN:AN)</f>
        <v>0.54904051172707891</v>
      </c>
      <c r="AP215">
        <f>VLOOKUP(N215,'Helpful Tables'!A:B,2,FALSE)</f>
        <v>38.934710000000003</v>
      </c>
      <c r="AQ215">
        <f>VLOOKUP(N215,'Helpful Tables'!A:C,3,FALSE)</f>
        <v>-77.058222999999998</v>
      </c>
      <c r="AR215">
        <f>COUNTIF(P$2:$P$938,P215)</f>
        <v>14</v>
      </c>
      <c r="AS215" cm="1">
        <f t="array" ref="AS215">_xlfn.IFS(E215&lt;6,((E215/D215)*60)*0.5,AND(E215&gt;=6,E215&lt;9),((E215/D215)*60)*0.75,AND(E215&gt;=9,E215&lt;=11),((E215/D215)*60)*0.9,AND(E215=12),((E215/D215)*60)*1,AND(E215&gt;=13,E215&lt;=15),((E215/D215)*60)*1.2,AND(E215&gt;=16,E215&lt;=19),((E215/D215)*60)*1.5,E215&gt;=20,((E215/D215)*60)*1.8)</f>
        <v>12.857142857142856</v>
      </c>
      <c r="AT215" cm="1">
        <f t="array" ref="AT215">_xlfn.IFS(F215&lt;550,((F215/D215)*60)*0.5,AND(F215&gt;=550,F215&lt;575),((F215/D215)*60)*0.75,AND(F215&gt;=575,F215&lt;600),((F215/D215)*60)*0.9,AND(F215=600),((F215/D215)*60)*1,AND(F215&gt;=601,F215&lt;=625),((F215/D215)*60)*1.2,AND(F215&gt;=626,F215&lt;=650),((F215/D215)*60)*1.5,F215&gt;=651,((F215/D215)*60)*1.8)</f>
        <v>1041.4285714285713</v>
      </c>
      <c r="AU215">
        <f t="shared" si="70"/>
        <v>19.7</v>
      </c>
      <c r="AV215">
        <f t="shared" si="68"/>
        <v>425.65428571428572</v>
      </c>
      <c r="AW215">
        <f t="shared" si="71"/>
        <v>63.800000000000004</v>
      </c>
      <c r="AX215" t="str">
        <f t="shared" si="66"/>
        <v>Sep-2021</v>
      </c>
      <c r="AY215">
        <f>ROUNDUP(Table2[[#This Row],[Month]]/3,0)</f>
        <v>3</v>
      </c>
    </row>
    <row r="216" spans="1:51" x14ac:dyDescent="0.2">
      <c r="A216">
        <v>215</v>
      </c>
      <c r="B216">
        <f t="shared" si="53"/>
        <v>15</v>
      </c>
      <c r="C216" s="22">
        <v>44471</v>
      </c>
      <c r="D216">
        <f>SUM(Table2[[#This Row],[Gray Min]:[Red Min]])</f>
        <v>56</v>
      </c>
      <c r="E216">
        <v>17</v>
      </c>
      <c r="F216">
        <v>634</v>
      </c>
      <c r="G216">
        <v>129</v>
      </c>
      <c r="H216">
        <v>167</v>
      </c>
      <c r="I216">
        <v>11</v>
      </c>
      <c r="J216">
        <v>13</v>
      </c>
      <c r="K216">
        <v>15</v>
      </c>
      <c r="L216">
        <v>15</v>
      </c>
      <c r="M216">
        <v>2</v>
      </c>
      <c r="N216" t="s">
        <v>91</v>
      </c>
      <c r="O216" t="s">
        <v>81</v>
      </c>
      <c r="P216" t="s">
        <v>136</v>
      </c>
      <c r="Q216">
        <f t="shared" si="67"/>
        <v>2</v>
      </c>
      <c r="R216" t="str">
        <f t="shared" si="54"/>
        <v>10-2021</v>
      </c>
      <c r="S216" t="s">
        <v>135</v>
      </c>
      <c r="T216" t="str">
        <f t="shared" si="55"/>
        <v>Saturday</v>
      </c>
      <c r="U216">
        <f t="shared" si="56"/>
        <v>1</v>
      </c>
      <c r="V216" s="24">
        <f>IFERROR(Table2[[#This Row],[Gray Min]]/Table2[[#This Row],[ClassLength]],"")</f>
        <v>0.19642857142857142</v>
      </c>
      <c r="W216" s="24">
        <f>IFERROR(Table2[[#This Row],[Blue Min]]/Table2[[#This Row],[ClassLength]],"")</f>
        <v>0.23214285714285715</v>
      </c>
      <c r="X216" s="24">
        <f>IFERROR(Table2[[#This Row],[Green Min]]/Table2[[#This Row],[ClassLength]],"")</f>
        <v>0.26785714285714285</v>
      </c>
      <c r="Y216" s="24">
        <f>IFERROR(Table2[[#This Row],[Orange Min]]/Table2[[#This Row],[ClassLength]],"")</f>
        <v>0.26785714285714285</v>
      </c>
      <c r="Z216" s="24">
        <f>IFERROR(Table2[[#This Row],[Red Min]]/Table2[[#This Row],[ClassLength]],"")</f>
        <v>3.5714285714285712E-2</v>
      </c>
      <c r="AA216" s="25">
        <v>232.14</v>
      </c>
      <c r="AB216" s="25">
        <f t="shared" si="69"/>
        <v>15.475999999999999</v>
      </c>
      <c r="AC216" s="26">
        <f t="shared" si="57"/>
        <v>648.06666666666672</v>
      </c>
      <c r="AD216" s="26">
        <f t="shared" si="58"/>
        <v>16.133333333333333</v>
      </c>
      <c r="AE216">
        <f t="shared" si="59"/>
        <v>2021</v>
      </c>
      <c r="AG216">
        <v>12</v>
      </c>
      <c r="AH216" s="26">
        <f t="shared" si="60"/>
        <v>11.321428571428571</v>
      </c>
      <c r="AI216" t="str">
        <f t="shared" si="61"/>
        <v>AM</v>
      </c>
      <c r="AJ216" t="str">
        <f t="shared" si="62"/>
        <v>10-2021-1</v>
      </c>
      <c r="AK216">
        <f t="shared" si="63"/>
        <v>10</v>
      </c>
      <c r="AL216" s="26">
        <f>IFERROR(Table2[[#This Row],[Calories]]/Table2[[#This Row],[Splat]],"")</f>
        <v>37.294117647058826</v>
      </c>
      <c r="AM216">
        <f>COUNTIF(N$2:$N$938,N216)</f>
        <v>218</v>
      </c>
      <c r="AN216" t="str">
        <f>VLOOKUP(N216,'Helpful Tables'!A:D,4,FALSE)</f>
        <v>Washington, DC</v>
      </c>
      <c r="AO216" s="24">
        <f>COUNTIF(AN:AN,Table2[[#This Row],[State]])/COUNTA(AN:AN)</f>
        <v>0.54904051172707891</v>
      </c>
      <c r="AP216">
        <f>VLOOKUP(N216,'Helpful Tables'!A:B,2,FALSE)</f>
        <v>38.934710000000003</v>
      </c>
      <c r="AQ216">
        <f>VLOOKUP(N216,'Helpful Tables'!A:C,3,FALSE)</f>
        <v>-77.058222999999998</v>
      </c>
      <c r="AR216">
        <f>COUNTIF(P$2:$P$938,P216)</f>
        <v>2</v>
      </c>
      <c r="AS216" cm="1">
        <f t="array" ref="AS216">_xlfn.IFS(E216&lt;6,((E216/D216)*60)*0.5,AND(E216&gt;=6,E216&lt;9),((E216/D216)*60)*0.75,AND(E216&gt;=9,E216&lt;=11),((E216/D216)*60)*0.9,AND(E216=12),((E216/D216)*60)*1,AND(E216&gt;=13,E216&lt;=15),((E216/D216)*60)*1.2,AND(E216&gt;=16,E216&lt;=19),((E216/D216)*60)*1.5,E216&gt;=20,((E216/D216)*60)*1.8)</f>
        <v>27.321428571428569</v>
      </c>
      <c r="AT216" cm="1">
        <f t="array" ref="AT216">_xlfn.IFS(F216&lt;550,((F216/D216)*60)*0.5,AND(F216&gt;=550,F216&lt;575),((F216/D216)*60)*0.75,AND(F216&gt;=575,F216&lt;600),((F216/D216)*60)*0.9,AND(F216=600),((F216/D216)*60)*1,AND(F216&gt;=601,F216&lt;=625),((F216/D216)*60)*1.2,AND(F216&gt;=626,F216&lt;=650),((F216/D216)*60)*1.5,F216&gt;=651,((F216/D216)*60)*1.8)</f>
        <v>1018.9285714285713</v>
      </c>
      <c r="AU216">
        <f t="shared" si="70"/>
        <v>13</v>
      </c>
      <c r="AV216">
        <f t="shared" si="68"/>
        <v>421.1</v>
      </c>
      <c r="AW216">
        <f t="shared" si="71"/>
        <v>62</v>
      </c>
      <c r="AX216" t="str">
        <f t="shared" si="66"/>
        <v>Oct-2021</v>
      </c>
      <c r="AY216">
        <f>ROUNDUP(Table2[[#This Row],[Month]]/3,0)</f>
        <v>4</v>
      </c>
    </row>
    <row r="217" spans="1:51" x14ac:dyDescent="0.2">
      <c r="A217">
        <v>216</v>
      </c>
      <c r="B217">
        <f t="shared" si="53"/>
        <v>15</v>
      </c>
      <c r="C217" s="22">
        <v>44474</v>
      </c>
      <c r="D217">
        <f>SUM(Table2[[#This Row],[Gray Min]:[Red Min]])</f>
        <v>60</v>
      </c>
      <c r="E217">
        <v>15</v>
      </c>
      <c r="F217">
        <v>629</v>
      </c>
      <c r="G217">
        <v>123</v>
      </c>
      <c r="H217">
        <v>166</v>
      </c>
      <c r="I217">
        <v>16</v>
      </c>
      <c r="J217">
        <v>16</v>
      </c>
      <c r="K217">
        <v>13</v>
      </c>
      <c r="L217">
        <v>13</v>
      </c>
      <c r="M217">
        <v>2</v>
      </c>
      <c r="N217" t="s">
        <v>101</v>
      </c>
      <c r="O217" t="s">
        <v>39</v>
      </c>
      <c r="P217" t="s">
        <v>133</v>
      </c>
      <c r="Q217">
        <f t="shared" si="67"/>
        <v>3</v>
      </c>
      <c r="R217" t="str">
        <f t="shared" si="54"/>
        <v>10-2021</v>
      </c>
      <c r="S217" t="s">
        <v>104</v>
      </c>
      <c r="T217" t="str">
        <f t="shared" si="55"/>
        <v>Tuesday</v>
      </c>
      <c r="U217">
        <f t="shared" si="56"/>
        <v>1</v>
      </c>
      <c r="V217" s="24">
        <f>IFERROR(Table2[[#This Row],[Gray Min]]/Table2[[#This Row],[ClassLength]],"")</f>
        <v>0.26666666666666666</v>
      </c>
      <c r="W217" s="24">
        <f>IFERROR(Table2[[#This Row],[Blue Min]]/Table2[[#This Row],[ClassLength]],"")</f>
        <v>0.26666666666666666</v>
      </c>
      <c r="X217" s="24">
        <f>IFERROR(Table2[[#This Row],[Green Min]]/Table2[[#This Row],[ClassLength]],"")</f>
        <v>0.21666666666666667</v>
      </c>
      <c r="Y217" s="24">
        <f>IFERROR(Table2[[#This Row],[Orange Min]]/Table2[[#This Row],[ClassLength]],"")</f>
        <v>0.21666666666666667</v>
      </c>
      <c r="Z217" s="24">
        <f>IFERROR(Table2[[#This Row],[Red Min]]/Table2[[#This Row],[ClassLength]],"")</f>
        <v>3.3333333333333333E-2</v>
      </c>
      <c r="AA217" s="25">
        <v>232.14</v>
      </c>
      <c r="AB217" s="25">
        <f t="shared" si="69"/>
        <v>15.475999999999999</v>
      </c>
      <c r="AC217" s="26">
        <f t="shared" si="57"/>
        <v>648.06666666666672</v>
      </c>
      <c r="AD217" s="26">
        <f t="shared" si="58"/>
        <v>16.133333333333333</v>
      </c>
      <c r="AE217">
        <f t="shared" si="59"/>
        <v>2021</v>
      </c>
      <c r="AG217">
        <v>12</v>
      </c>
      <c r="AH217" s="26">
        <f t="shared" si="60"/>
        <v>10.483333333333333</v>
      </c>
      <c r="AI217" t="str">
        <f t="shared" si="61"/>
        <v>PM</v>
      </c>
      <c r="AJ217" t="str">
        <f t="shared" si="62"/>
        <v>10-2021-2</v>
      </c>
      <c r="AK217">
        <f t="shared" si="63"/>
        <v>10</v>
      </c>
      <c r="AL217" s="26">
        <f>IFERROR(Table2[[#This Row],[Calories]]/Table2[[#This Row],[Splat]],"")</f>
        <v>41.93333333333333</v>
      </c>
      <c r="AM217">
        <f>COUNTIF(N$2:$N$938,N217)</f>
        <v>191</v>
      </c>
      <c r="AN217" t="str">
        <f>VLOOKUP(N217,'Helpful Tables'!A:D,4,FALSE)</f>
        <v>Washington, DC</v>
      </c>
      <c r="AO217" s="24">
        <f>COUNTIF(AN:AN,Table2[[#This Row],[State]])/COUNTA(AN:AN)</f>
        <v>0.54904051172707891</v>
      </c>
      <c r="AP217">
        <f>VLOOKUP(N217,'Helpful Tables'!A:B,2,FALSE)</f>
        <v>38.949649000000001</v>
      </c>
      <c r="AQ217">
        <f>VLOOKUP(N217,'Helpful Tables'!A:C,3,FALSE)</f>
        <v>-77.080878999999996</v>
      </c>
      <c r="AR217">
        <f>COUNTIF(P$2:$P$938,P217)</f>
        <v>25</v>
      </c>
      <c r="AS217" cm="1">
        <f t="array" ref="AS217">_xlfn.IFS(E217&lt;6,((E217/D217)*60)*0.5,AND(E217&gt;=6,E217&lt;9),((E217/D217)*60)*0.75,AND(E217&gt;=9,E217&lt;=11),((E217/D217)*60)*0.9,AND(E217=12),((E217/D217)*60)*1,AND(E217&gt;=13,E217&lt;=15),((E217/D217)*60)*1.2,AND(E217&gt;=16,E217&lt;=19),((E217/D217)*60)*1.5,E217&gt;=20,((E217/D217)*60)*1.8)</f>
        <v>18</v>
      </c>
      <c r="AT217" cm="1">
        <f t="array" ref="AT217">_xlfn.IFS(F217&lt;550,((F217/D217)*60)*0.5,AND(F217&gt;=550,F217&lt;575),((F217/D217)*60)*0.75,AND(F217&gt;=575,F217&lt;600),((F217/D217)*60)*0.9,AND(F217=600),((F217/D217)*60)*1,AND(F217&gt;=601,F217&lt;=625),((F217/D217)*60)*1.2,AND(F217&gt;=626,F217&lt;=650),((F217/D217)*60)*1.5,F217&gt;=651,((F217/D217)*60)*1.8)</f>
        <v>943.5</v>
      </c>
      <c r="AU217">
        <f t="shared" si="70"/>
        <v>-1.2999999999999936</v>
      </c>
      <c r="AV217">
        <f t="shared" si="68"/>
        <v>384.34000000000003</v>
      </c>
      <c r="AW217">
        <f t="shared" si="71"/>
        <v>46.6</v>
      </c>
      <c r="AX217" t="str">
        <f t="shared" si="66"/>
        <v>Oct-2021</v>
      </c>
      <c r="AY217">
        <f>ROUNDUP(Table2[[#This Row],[Month]]/3,0)</f>
        <v>4</v>
      </c>
    </row>
    <row r="218" spans="1:51" x14ac:dyDescent="0.2">
      <c r="A218">
        <v>217</v>
      </c>
      <c r="B218">
        <f t="shared" si="53"/>
        <v>15</v>
      </c>
      <c r="C218" s="22">
        <v>44475</v>
      </c>
      <c r="D218">
        <f>SUM(Table2[[#This Row],[Gray Min]:[Red Min]])</f>
        <v>56</v>
      </c>
      <c r="E218">
        <v>15</v>
      </c>
      <c r="F218">
        <v>648</v>
      </c>
      <c r="G218">
        <v>129</v>
      </c>
      <c r="H218">
        <v>166</v>
      </c>
      <c r="I218">
        <v>8</v>
      </c>
      <c r="J218">
        <v>19</v>
      </c>
      <c r="K218">
        <v>14</v>
      </c>
      <c r="L218">
        <v>14</v>
      </c>
      <c r="M218">
        <v>1</v>
      </c>
      <c r="N218" t="s">
        <v>91</v>
      </c>
      <c r="O218" t="s">
        <v>39</v>
      </c>
      <c r="P218" t="s">
        <v>97</v>
      </c>
      <c r="Q218">
        <f t="shared" si="67"/>
        <v>1</v>
      </c>
      <c r="R218" t="str">
        <f t="shared" si="54"/>
        <v>10-2021</v>
      </c>
      <c r="S218" t="s">
        <v>104</v>
      </c>
      <c r="T218" t="str">
        <f t="shared" si="55"/>
        <v>Wednesday</v>
      </c>
      <c r="U218">
        <f t="shared" si="56"/>
        <v>1</v>
      </c>
      <c r="V218" s="24">
        <f>IFERROR(Table2[[#This Row],[Gray Min]]/Table2[[#This Row],[ClassLength]],"")</f>
        <v>0.14285714285714285</v>
      </c>
      <c r="W218" s="24">
        <f>IFERROR(Table2[[#This Row],[Blue Min]]/Table2[[#This Row],[ClassLength]],"")</f>
        <v>0.3392857142857143</v>
      </c>
      <c r="X218" s="24">
        <f>IFERROR(Table2[[#This Row],[Green Min]]/Table2[[#This Row],[ClassLength]],"")</f>
        <v>0.25</v>
      </c>
      <c r="Y218" s="24">
        <f>IFERROR(Table2[[#This Row],[Orange Min]]/Table2[[#This Row],[ClassLength]],"")</f>
        <v>0.25</v>
      </c>
      <c r="Z218" s="24">
        <f>IFERROR(Table2[[#This Row],[Red Min]]/Table2[[#This Row],[ClassLength]],"")</f>
        <v>1.7857142857142856E-2</v>
      </c>
      <c r="AA218" s="25">
        <v>232.14</v>
      </c>
      <c r="AB218" s="25">
        <f t="shared" si="69"/>
        <v>15.475999999999999</v>
      </c>
      <c r="AC218" s="26">
        <f t="shared" si="57"/>
        <v>648.06666666666672</v>
      </c>
      <c r="AD218" s="26">
        <f t="shared" si="58"/>
        <v>16.133333333333333</v>
      </c>
      <c r="AE218">
        <f t="shared" si="59"/>
        <v>2021</v>
      </c>
      <c r="AG218">
        <v>12</v>
      </c>
      <c r="AH218" s="26">
        <f t="shared" si="60"/>
        <v>11.571428571428571</v>
      </c>
      <c r="AI218" t="str">
        <f t="shared" si="61"/>
        <v>PM</v>
      </c>
      <c r="AJ218" t="str">
        <f t="shared" si="62"/>
        <v>10-2021-2</v>
      </c>
      <c r="AK218">
        <f t="shared" si="63"/>
        <v>10</v>
      </c>
      <c r="AL218" s="26">
        <f>IFERROR(Table2[[#This Row],[Calories]]/Table2[[#This Row],[Splat]],"")</f>
        <v>43.2</v>
      </c>
      <c r="AM218">
        <f>COUNTIF(N$2:$N$938,N218)</f>
        <v>218</v>
      </c>
      <c r="AN218" t="str">
        <f>VLOOKUP(N218,'Helpful Tables'!A:D,4,FALSE)</f>
        <v>Washington, DC</v>
      </c>
      <c r="AO218" s="24">
        <f>COUNTIF(AN:AN,Table2[[#This Row],[State]])/COUNTA(AN:AN)</f>
        <v>0.54904051172707891</v>
      </c>
      <c r="AP218">
        <f>VLOOKUP(N218,'Helpful Tables'!A:B,2,FALSE)</f>
        <v>38.934710000000003</v>
      </c>
      <c r="AQ218">
        <f>VLOOKUP(N218,'Helpful Tables'!A:C,3,FALSE)</f>
        <v>-77.058222999999998</v>
      </c>
      <c r="AR218">
        <f>COUNTIF(P$2:$P$938,P218)</f>
        <v>14</v>
      </c>
      <c r="AS218" cm="1">
        <f t="array" ref="AS218">_xlfn.IFS(E218&lt;6,((E218/D218)*60)*0.5,AND(E218&gt;=6,E218&lt;9),((E218/D218)*60)*0.75,AND(E218&gt;=9,E218&lt;=11),((E218/D218)*60)*0.9,AND(E218=12),((E218/D218)*60)*1,AND(E218&gt;=13,E218&lt;=15),((E218/D218)*60)*1.2,AND(E218&gt;=16,E218&lt;=19),((E218/D218)*60)*1.5,E218&gt;=20,((E218/D218)*60)*1.8)</f>
        <v>19.285714285714281</v>
      </c>
      <c r="AT218" cm="1">
        <f t="array" ref="AT218">_xlfn.IFS(F218&lt;550,((F218/D218)*60)*0.5,AND(F218&gt;=550,F218&lt;575),((F218/D218)*60)*0.75,AND(F218&gt;=575,F218&lt;600),((F218/D218)*60)*0.9,AND(F218=600),((F218/D218)*60)*1,AND(F218&gt;=601,F218&lt;=625),((F218/D218)*60)*1.2,AND(F218&gt;=626,F218&lt;=650),((F218/D218)*60)*1.5,F218&gt;=651,((F218/D218)*60)*1.8)</f>
        <v>1041.4285714285713</v>
      </c>
      <c r="AU218">
        <f t="shared" si="70"/>
        <v>6</v>
      </c>
      <c r="AV218">
        <f t="shared" si="68"/>
        <v>425.48571428571427</v>
      </c>
      <c r="AW218">
        <f t="shared" si="71"/>
        <v>63.6</v>
      </c>
      <c r="AX218" t="str">
        <f t="shared" si="66"/>
        <v>Oct-2021</v>
      </c>
      <c r="AY218">
        <f>ROUNDUP(Table2[[#This Row],[Month]]/3,0)</f>
        <v>4</v>
      </c>
    </row>
    <row r="219" spans="1:51" x14ac:dyDescent="0.2">
      <c r="A219">
        <v>218</v>
      </c>
      <c r="B219">
        <f t="shared" si="53"/>
        <v>15</v>
      </c>
      <c r="C219" s="22">
        <v>44477</v>
      </c>
      <c r="D219">
        <f>SUM(Table2[[#This Row],[Gray Min]:[Red Min]])</f>
        <v>55</v>
      </c>
      <c r="E219">
        <v>8</v>
      </c>
      <c r="F219">
        <v>617</v>
      </c>
      <c r="G219">
        <v>127</v>
      </c>
      <c r="H219">
        <v>162</v>
      </c>
      <c r="I219">
        <v>8</v>
      </c>
      <c r="J219">
        <v>12</v>
      </c>
      <c r="K219">
        <v>27</v>
      </c>
      <c r="L219">
        <v>8</v>
      </c>
      <c r="M219">
        <v>0</v>
      </c>
      <c r="N219" t="s">
        <v>101</v>
      </c>
      <c r="O219" t="s">
        <v>107</v>
      </c>
      <c r="P219" t="s">
        <v>118</v>
      </c>
      <c r="Q219">
        <f t="shared" si="67"/>
        <v>2</v>
      </c>
      <c r="R219" t="str">
        <f t="shared" si="54"/>
        <v>10-2021</v>
      </c>
      <c r="S219" t="s">
        <v>104</v>
      </c>
      <c r="T219" t="str">
        <f t="shared" si="55"/>
        <v>Friday</v>
      </c>
      <c r="U219">
        <f t="shared" si="56"/>
        <v>0</v>
      </c>
      <c r="V219" s="24">
        <f>IFERROR(Table2[[#This Row],[Gray Min]]/Table2[[#This Row],[ClassLength]],"")</f>
        <v>0.14545454545454545</v>
      </c>
      <c r="W219" s="24">
        <f>IFERROR(Table2[[#This Row],[Blue Min]]/Table2[[#This Row],[ClassLength]],"")</f>
        <v>0.21818181818181817</v>
      </c>
      <c r="X219" s="24">
        <f>IFERROR(Table2[[#This Row],[Green Min]]/Table2[[#This Row],[ClassLength]],"")</f>
        <v>0.49090909090909091</v>
      </c>
      <c r="Y219" s="24">
        <f>IFERROR(Table2[[#This Row],[Orange Min]]/Table2[[#This Row],[ClassLength]],"")</f>
        <v>0.14545454545454545</v>
      </c>
      <c r="Z219" s="24">
        <f>IFERROR(Table2[[#This Row],[Red Min]]/Table2[[#This Row],[ClassLength]],"")</f>
        <v>0</v>
      </c>
      <c r="AA219" s="25">
        <v>232.14</v>
      </c>
      <c r="AB219" s="25">
        <f t="shared" si="69"/>
        <v>15.475999999999999</v>
      </c>
      <c r="AC219" s="26">
        <f t="shared" si="57"/>
        <v>648.06666666666672</v>
      </c>
      <c r="AD219" s="26">
        <f t="shared" si="58"/>
        <v>16.133333333333333</v>
      </c>
      <c r="AE219">
        <f t="shared" si="59"/>
        <v>2021</v>
      </c>
      <c r="AG219">
        <v>12</v>
      </c>
      <c r="AH219" s="26">
        <f t="shared" si="60"/>
        <v>11.218181818181819</v>
      </c>
      <c r="AI219" t="str">
        <f t="shared" si="61"/>
        <v>AM</v>
      </c>
      <c r="AJ219" t="str">
        <f t="shared" si="62"/>
        <v>10-2021-2</v>
      </c>
      <c r="AK219">
        <f t="shared" si="63"/>
        <v>10</v>
      </c>
      <c r="AL219" s="26">
        <f>IFERROR(Table2[[#This Row],[Calories]]/Table2[[#This Row],[Splat]],"")</f>
        <v>77.125</v>
      </c>
      <c r="AM219">
        <f>COUNTIF(N$2:$N$938,N219)</f>
        <v>191</v>
      </c>
      <c r="AN219" t="str">
        <f>VLOOKUP(N219,'Helpful Tables'!A:D,4,FALSE)</f>
        <v>Washington, DC</v>
      </c>
      <c r="AO219" s="24">
        <f>COUNTIF(AN:AN,Table2[[#This Row],[State]])/COUNTA(AN:AN)</f>
        <v>0.54904051172707891</v>
      </c>
      <c r="AP219">
        <f>VLOOKUP(N219,'Helpful Tables'!A:B,2,FALSE)</f>
        <v>38.949649000000001</v>
      </c>
      <c r="AQ219">
        <f>VLOOKUP(N219,'Helpful Tables'!A:C,3,FALSE)</f>
        <v>-77.080878999999996</v>
      </c>
      <c r="AR219">
        <f>COUNTIF(P$2:$P$938,P219)</f>
        <v>16</v>
      </c>
      <c r="AS219" cm="1">
        <f t="array" ref="AS219">_xlfn.IFS(E219&lt;6,((E219/D219)*60)*0.5,AND(E219&gt;=6,E219&lt;9),((E219/D219)*60)*0.75,AND(E219&gt;=9,E219&lt;=11),((E219/D219)*60)*0.9,AND(E219=12),((E219/D219)*60)*1,AND(E219&gt;=13,E219&lt;=15),((E219/D219)*60)*1.2,AND(E219&gt;=16,E219&lt;=19),((E219/D219)*60)*1.5,E219&gt;=20,((E219/D219)*60)*1.8)</f>
        <v>6.545454545454545</v>
      </c>
      <c r="AT219" cm="1">
        <f t="array" ref="AT219">_xlfn.IFS(F219&lt;550,((F219/D219)*60)*0.5,AND(F219&gt;=550,F219&lt;575),((F219/D219)*60)*0.75,AND(F219&gt;=575,F219&lt;600),((F219/D219)*60)*0.9,AND(F219=600),((F219/D219)*60)*1,AND(F219&gt;=601,F219&lt;=625),((F219/D219)*60)*1.2,AND(F219&gt;=626,F219&lt;=650),((F219/D219)*60)*1.5,F219&gt;=651,((F219/D219)*60)*1.8)</f>
        <v>807.70909090909095</v>
      </c>
      <c r="AU219">
        <f t="shared" si="70"/>
        <v>20</v>
      </c>
      <c r="AV219">
        <f t="shared" si="68"/>
        <v>329.70181818181823</v>
      </c>
      <c r="AW219">
        <f t="shared" si="71"/>
        <v>40.1</v>
      </c>
      <c r="AX219" t="str">
        <f t="shared" si="66"/>
        <v>Oct-2021</v>
      </c>
      <c r="AY219">
        <f>ROUNDUP(Table2[[#This Row],[Month]]/3,0)</f>
        <v>4</v>
      </c>
    </row>
    <row r="220" spans="1:51" x14ac:dyDescent="0.2">
      <c r="A220">
        <v>219</v>
      </c>
      <c r="B220">
        <f t="shared" si="53"/>
        <v>15</v>
      </c>
      <c r="C220" s="22">
        <v>44479</v>
      </c>
      <c r="D220">
        <f>SUM(Table2[[#This Row],[Gray Min]:[Red Min]])</f>
        <v>58</v>
      </c>
      <c r="E220">
        <v>28</v>
      </c>
      <c r="F220">
        <v>732</v>
      </c>
      <c r="G220">
        <v>136</v>
      </c>
      <c r="H220">
        <v>168</v>
      </c>
      <c r="I220">
        <v>7</v>
      </c>
      <c r="J220">
        <v>13</v>
      </c>
      <c r="K220">
        <v>10</v>
      </c>
      <c r="L220">
        <v>23</v>
      </c>
      <c r="M220">
        <v>5</v>
      </c>
      <c r="N220" t="s">
        <v>91</v>
      </c>
      <c r="O220" t="s">
        <v>81</v>
      </c>
      <c r="P220" t="s">
        <v>100</v>
      </c>
      <c r="Q220">
        <f t="shared" si="67"/>
        <v>2</v>
      </c>
      <c r="R220" t="str">
        <f t="shared" si="54"/>
        <v>10-2021</v>
      </c>
      <c r="S220" t="s">
        <v>104</v>
      </c>
      <c r="T220" t="str">
        <f t="shared" si="55"/>
        <v>Sunday</v>
      </c>
      <c r="U220">
        <f t="shared" si="56"/>
        <v>1</v>
      </c>
      <c r="V220" s="24">
        <f>IFERROR(Table2[[#This Row],[Gray Min]]/Table2[[#This Row],[ClassLength]],"")</f>
        <v>0.1206896551724138</v>
      </c>
      <c r="W220" s="24">
        <f>IFERROR(Table2[[#This Row],[Blue Min]]/Table2[[#This Row],[ClassLength]],"")</f>
        <v>0.22413793103448276</v>
      </c>
      <c r="X220" s="24">
        <f>IFERROR(Table2[[#This Row],[Green Min]]/Table2[[#This Row],[ClassLength]],"")</f>
        <v>0.17241379310344829</v>
      </c>
      <c r="Y220" s="24">
        <f>IFERROR(Table2[[#This Row],[Orange Min]]/Table2[[#This Row],[ClassLength]],"")</f>
        <v>0.39655172413793105</v>
      </c>
      <c r="Z220" s="24">
        <f>IFERROR(Table2[[#This Row],[Red Min]]/Table2[[#This Row],[ClassLength]],"")</f>
        <v>8.6206896551724144E-2</v>
      </c>
      <c r="AA220" s="25">
        <v>232.14</v>
      </c>
      <c r="AB220" s="25">
        <f t="shared" si="69"/>
        <v>15.475999999999999</v>
      </c>
      <c r="AC220" s="26">
        <f t="shared" si="57"/>
        <v>648.06666666666672</v>
      </c>
      <c r="AD220" s="26">
        <f t="shared" si="58"/>
        <v>16.133333333333333</v>
      </c>
      <c r="AE220">
        <f t="shared" si="59"/>
        <v>2021</v>
      </c>
      <c r="AG220">
        <v>12</v>
      </c>
      <c r="AH220" s="26">
        <f t="shared" si="60"/>
        <v>12.620689655172415</v>
      </c>
      <c r="AI220" t="str">
        <f t="shared" si="61"/>
        <v>AM</v>
      </c>
      <c r="AJ220" t="str">
        <f t="shared" si="62"/>
        <v>10-2021-3</v>
      </c>
      <c r="AK220">
        <f t="shared" si="63"/>
        <v>10</v>
      </c>
      <c r="AL220" s="26">
        <f>IFERROR(Table2[[#This Row],[Calories]]/Table2[[#This Row],[Splat]],"")</f>
        <v>26.142857142857142</v>
      </c>
      <c r="AM220">
        <f>COUNTIF(N$2:$N$938,N220)</f>
        <v>218</v>
      </c>
      <c r="AN220" t="str">
        <f>VLOOKUP(N220,'Helpful Tables'!A:D,4,FALSE)</f>
        <v>Washington, DC</v>
      </c>
      <c r="AO220" s="24">
        <f>COUNTIF(AN:AN,Table2[[#This Row],[State]])/COUNTA(AN:AN)</f>
        <v>0.54904051172707891</v>
      </c>
      <c r="AP220">
        <f>VLOOKUP(N220,'Helpful Tables'!A:B,2,FALSE)</f>
        <v>38.934710000000003</v>
      </c>
      <c r="AQ220">
        <f>VLOOKUP(N220,'Helpful Tables'!A:C,3,FALSE)</f>
        <v>-77.058222999999998</v>
      </c>
      <c r="AR220">
        <f>COUNTIF(P$2:$P$938,P220)</f>
        <v>35</v>
      </c>
      <c r="AS220" cm="1">
        <f t="array" ref="AS220">_xlfn.IFS(E220&lt;6,((E220/D220)*60)*0.5,AND(E220&gt;=6,E220&lt;9),((E220/D220)*60)*0.75,AND(E220&gt;=9,E220&lt;=11),((E220/D220)*60)*0.9,AND(E220=12),((E220/D220)*60)*1,AND(E220&gt;=13,E220&lt;=15),((E220/D220)*60)*1.2,AND(E220&gt;=16,E220&lt;=19),((E220/D220)*60)*1.5,E220&gt;=20,((E220/D220)*60)*1.8)</f>
        <v>52.137931034482762</v>
      </c>
      <c r="AT220" cm="1">
        <f t="array" ref="AT220">_xlfn.IFS(F220&lt;550,((F220/D220)*60)*0.5,AND(F220&gt;=550,F220&lt;575),((F220/D220)*60)*0.75,AND(F220&gt;=575,F220&lt;600),((F220/D220)*60)*0.9,AND(F220=600),((F220/D220)*60)*1,AND(F220&gt;=601,F220&lt;=625),((F220/D220)*60)*1.2,AND(F220&gt;=626,F220&lt;=650),((F220/D220)*60)*1.5,F220&gt;=651,((F220/D220)*60)*1.8)</f>
        <v>1363.0344827586209</v>
      </c>
      <c r="AU220">
        <f t="shared" si="70"/>
        <v>26.7</v>
      </c>
      <c r="AV220">
        <f t="shared" si="68"/>
        <v>571.40896551724154</v>
      </c>
      <c r="AW220">
        <f t="shared" si="71"/>
        <v>99.5</v>
      </c>
      <c r="AX220" t="str">
        <f t="shared" si="66"/>
        <v>Oct-2021</v>
      </c>
      <c r="AY220">
        <f>ROUNDUP(Table2[[#This Row],[Month]]/3,0)</f>
        <v>4</v>
      </c>
    </row>
    <row r="221" spans="1:51" x14ac:dyDescent="0.2">
      <c r="A221">
        <v>220</v>
      </c>
      <c r="B221">
        <f t="shared" si="53"/>
        <v>15</v>
      </c>
      <c r="C221" s="22">
        <v>44481</v>
      </c>
      <c r="D221">
        <f>SUM(Table2[[#This Row],[Gray Min]:[Red Min]])</f>
        <v>59</v>
      </c>
      <c r="E221">
        <v>15</v>
      </c>
      <c r="F221">
        <v>695</v>
      </c>
      <c r="G221">
        <v>130</v>
      </c>
      <c r="H221">
        <v>167</v>
      </c>
      <c r="I221">
        <v>5</v>
      </c>
      <c r="J221">
        <v>22</v>
      </c>
      <c r="K221">
        <v>17</v>
      </c>
      <c r="L221">
        <v>12</v>
      </c>
      <c r="M221">
        <v>3</v>
      </c>
      <c r="N221" t="s">
        <v>101</v>
      </c>
      <c r="O221" t="s">
        <v>39</v>
      </c>
      <c r="P221" t="s">
        <v>133</v>
      </c>
      <c r="Q221">
        <f t="shared" si="67"/>
        <v>2</v>
      </c>
      <c r="R221" t="str">
        <f t="shared" si="54"/>
        <v>10-2021</v>
      </c>
      <c r="S221" t="s">
        <v>104</v>
      </c>
      <c r="T221" t="str">
        <f t="shared" si="55"/>
        <v>Tuesday</v>
      </c>
      <c r="U221">
        <f t="shared" si="56"/>
        <v>1</v>
      </c>
      <c r="V221" s="24">
        <f>IFERROR(Table2[[#This Row],[Gray Min]]/Table2[[#This Row],[ClassLength]],"")</f>
        <v>8.4745762711864403E-2</v>
      </c>
      <c r="W221" s="24">
        <f>IFERROR(Table2[[#This Row],[Blue Min]]/Table2[[#This Row],[ClassLength]],"")</f>
        <v>0.3728813559322034</v>
      </c>
      <c r="X221" s="24">
        <f>IFERROR(Table2[[#This Row],[Green Min]]/Table2[[#This Row],[ClassLength]],"")</f>
        <v>0.28813559322033899</v>
      </c>
      <c r="Y221" s="24">
        <f>IFERROR(Table2[[#This Row],[Orange Min]]/Table2[[#This Row],[ClassLength]],"")</f>
        <v>0.20338983050847459</v>
      </c>
      <c r="Z221" s="24">
        <f>IFERROR(Table2[[#This Row],[Red Min]]/Table2[[#This Row],[ClassLength]],"")</f>
        <v>5.0847457627118647E-2</v>
      </c>
      <c r="AA221" s="25">
        <v>232.14</v>
      </c>
      <c r="AB221" s="25">
        <f t="shared" si="69"/>
        <v>15.475999999999999</v>
      </c>
      <c r="AC221" s="26">
        <f t="shared" si="57"/>
        <v>648.06666666666672</v>
      </c>
      <c r="AD221" s="26">
        <f t="shared" si="58"/>
        <v>16.133333333333333</v>
      </c>
      <c r="AE221">
        <f t="shared" si="59"/>
        <v>2021</v>
      </c>
      <c r="AG221">
        <v>12</v>
      </c>
      <c r="AH221" s="26">
        <f t="shared" si="60"/>
        <v>11.779661016949152</v>
      </c>
      <c r="AI221" t="str">
        <f t="shared" si="61"/>
        <v>PM</v>
      </c>
      <c r="AJ221" t="str">
        <f t="shared" si="62"/>
        <v>10-2021-3</v>
      </c>
      <c r="AK221">
        <f t="shared" si="63"/>
        <v>10</v>
      </c>
      <c r="AL221" s="26">
        <f>IFERROR(Table2[[#This Row],[Calories]]/Table2[[#This Row],[Splat]],"")</f>
        <v>46.333333333333336</v>
      </c>
      <c r="AM221">
        <f>COUNTIF(N$2:$N$938,N221)</f>
        <v>191</v>
      </c>
      <c r="AN221" t="str">
        <f>VLOOKUP(N221,'Helpful Tables'!A:D,4,FALSE)</f>
        <v>Washington, DC</v>
      </c>
      <c r="AO221" s="24">
        <f>COUNTIF(AN:AN,Table2[[#This Row],[State]])/COUNTA(AN:AN)</f>
        <v>0.54904051172707891</v>
      </c>
      <c r="AP221">
        <f>VLOOKUP(N221,'Helpful Tables'!A:B,2,FALSE)</f>
        <v>38.949649000000001</v>
      </c>
      <c r="AQ221">
        <f>VLOOKUP(N221,'Helpful Tables'!A:C,3,FALSE)</f>
        <v>-77.080878999999996</v>
      </c>
      <c r="AR221">
        <f>COUNTIF(P$2:$P$938,P221)</f>
        <v>25</v>
      </c>
      <c r="AS221" cm="1">
        <f t="array" ref="AS221">_xlfn.IFS(E221&lt;6,((E221/D221)*60)*0.5,AND(E221&gt;=6,E221&lt;9),((E221/D221)*60)*0.75,AND(E221&gt;=9,E221&lt;=11),((E221/D221)*60)*0.9,AND(E221=12),((E221/D221)*60)*1,AND(E221&gt;=13,E221&lt;=15),((E221/D221)*60)*1.2,AND(E221&gt;=16,E221&lt;=19),((E221/D221)*60)*1.5,E221&gt;=20,((E221/D221)*60)*1.8)</f>
        <v>18.305084745762709</v>
      </c>
      <c r="AT221" cm="1">
        <f t="array" ref="AT221">_xlfn.IFS(F221&lt;550,((F221/D221)*60)*0.5,AND(F221&gt;=550,F221&lt;575),((F221/D221)*60)*0.75,AND(F221&gt;=575,F221&lt;600),((F221/D221)*60)*0.9,AND(F221=600),((F221/D221)*60)*1,AND(F221&gt;=601,F221&lt;=625),((F221/D221)*60)*1.2,AND(F221&gt;=626,F221&lt;=650),((F221/D221)*60)*1.5,F221&gt;=651,((F221/D221)*60)*1.8)</f>
        <v>1272.2033898305085</v>
      </c>
      <c r="AU221">
        <f t="shared" si="70"/>
        <v>10.299999999999997</v>
      </c>
      <c r="AV221">
        <f t="shared" si="68"/>
        <v>518.26338983050846</v>
      </c>
      <c r="AW221">
        <f t="shared" si="71"/>
        <v>89.1</v>
      </c>
      <c r="AX221" t="str">
        <f t="shared" si="66"/>
        <v>Oct-2021</v>
      </c>
      <c r="AY221">
        <f>ROUNDUP(Table2[[#This Row],[Month]]/3,0)</f>
        <v>4</v>
      </c>
    </row>
    <row r="222" spans="1:51" x14ac:dyDescent="0.2">
      <c r="A222">
        <v>221</v>
      </c>
      <c r="B222">
        <f t="shared" si="53"/>
        <v>15</v>
      </c>
      <c r="C222" s="22">
        <v>44482</v>
      </c>
      <c r="D222">
        <f>SUM(Table2[[#This Row],[Gray Min]:[Red Min]])</f>
        <v>56</v>
      </c>
      <c r="E222">
        <v>17</v>
      </c>
      <c r="F222">
        <v>629</v>
      </c>
      <c r="G222">
        <v>126</v>
      </c>
      <c r="H222">
        <v>165</v>
      </c>
      <c r="I222">
        <v>14</v>
      </c>
      <c r="J222">
        <v>18</v>
      </c>
      <c r="K222">
        <v>7</v>
      </c>
      <c r="L222">
        <v>16</v>
      </c>
      <c r="M222">
        <v>1</v>
      </c>
      <c r="N222" t="s">
        <v>91</v>
      </c>
      <c r="O222" t="s">
        <v>39</v>
      </c>
      <c r="P222" t="s">
        <v>96</v>
      </c>
      <c r="Q222">
        <f t="shared" si="67"/>
        <v>1</v>
      </c>
      <c r="R222" t="str">
        <f t="shared" si="54"/>
        <v>10-2021</v>
      </c>
      <c r="S222" t="s">
        <v>104</v>
      </c>
      <c r="T222" t="str">
        <f t="shared" si="55"/>
        <v>Wednesday</v>
      </c>
      <c r="U222">
        <f t="shared" si="56"/>
        <v>1</v>
      </c>
      <c r="V222" s="24">
        <f>IFERROR(Table2[[#This Row],[Gray Min]]/Table2[[#This Row],[ClassLength]],"")</f>
        <v>0.25</v>
      </c>
      <c r="W222" s="24">
        <f>IFERROR(Table2[[#This Row],[Blue Min]]/Table2[[#This Row],[ClassLength]],"")</f>
        <v>0.32142857142857145</v>
      </c>
      <c r="X222" s="24">
        <f>IFERROR(Table2[[#This Row],[Green Min]]/Table2[[#This Row],[ClassLength]],"")</f>
        <v>0.125</v>
      </c>
      <c r="Y222" s="24">
        <f>IFERROR(Table2[[#This Row],[Orange Min]]/Table2[[#This Row],[ClassLength]],"")</f>
        <v>0.2857142857142857</v>
      </c>
      <c r="Z222" s="24">
        <f>IFERROR(Table2[[#This Row],[Red Min]]/Table2[[#This Row],[ClassLength]],"")</f>
        <v>1.7857142857142856E-2</v>
      </c>
      <c r="AA222" s="25">
        <v>232.14</v>
      </c>
      <c r="AB222" s="25">
        <f t="shared" si="69"/>
        <v>15.475999999999999</v>
      </c>
      <c r="AC222" s="26">
        <f t="shared" si="57"/>
        <v>648.06666666666672</v>
      </c>
      <c r="AD222" s="26">
        <f t="shared" si="58"/>
        <v>16.133333333333333</v>
      </c>
      <c r="AE222">
        <f t="shared" si="59"/>
        <v>2021</v>
      </c>
      <c r="AG222">
        <v>12</v>
      </c>
      <c r="AH222" s="26">
        <f t="shared" si="60"/>
        <v>11.232142857142858</v>
      </c>
      <c r="AI222" t="str">
        <f t="shared" si="61"/>
        <v>PM</v>
      </c>
      <c r="AJ222" t="str">
        <f t="shared" si="62"/>
        <v>10-2021-3</v>
      </c>
      <c r="AK222">
        <f t="shared" si="63"/>
        <v>10</v>
      </c>
      <c r="AL222" s="26">
        <f>IFERROR(Table2[[#This Row],[Calories]]/Table2[[#This Row],[Splat]],"")</f>
        <v>37</v>
      </c>
      <c r="AM222">
        <f>COUNTIF(N$2:$N$938,N222)</f>
        <v>218</v>
      </c>
      <c r="AN222" t="str">
        <f>VLOOKUP(N222,'Helpful Tables'!A:D,4,FALSE)</f>
        <v>Washington, DC</v>
      </c>
      <c r="AO222" s="24">
        <f>COUNTIF(AN:AN,Table2[[#This Row],[State]])/COUNTA(AN:AN)</f>
        <v>0.54904051172707891</v>
      </c>
      <c r="AP222">
        <f>VLOOKUP(N222,'Helpful Tables'!A:B,2,FALSE)</f>
        <v>38.934710000000003</v>
      </c>
      <c r="AQ222">
        <f>VLOOKUP(N222,'Helpful Tables'!A:C,3,FALSE)</f>
        <v>-77.058222999999998</v>
      </c>
      <c r="AR222">
        <f>COUNTIF(P$2:$P$938,P222)</f>
        <v>71</v>
      </c>
      <c r="AS222" cm="1">
        <f t="array" ref="AS222">_xlfn.IFS(E222&lt;6,((E222/D222)*60)*0.5,AND(E222&gt;=6,E222&lt;9),((E222/D222)*60)*0.75,AND(E222&gt;=9,E222&lt;=11),((E222/D222)*60)*0.9,AND(E222=12),((E222/D222)*60)*1,AND(E222&gt;=13,E222&lt;=15),((E222/D222)*60)*1.2,AND(E222&gt;=16,E222&lt;=19),((E222/D222)*60)*1.5,E222&gt;=20,((E222/D222)*60)*1.8)</f>
        <v>27.321428571428569</v>
      </c>
      <c r="AT222" cm="1">
        <f t="array" ref="AT222">_xlfn.IFS(F222&lt;550,((F222/D222)*60)*0.5,AND(F222&gt;=550,F222&lt;575),((F222/D222)*60)*0.75,AND(F222&gt;=575,F222&lt;600),((F222/D222)*60)*0.9,AND(F222=600),((F222/D222)*60)*1,AND(F222&gt;=601,F222&lt;=625),((F222/D222)*60)*1.2,AND(F222&gt;=626,F222&lt;=650),((F222/D222)*60)*1.5,F222&gt;=651,((F222/D222)*60)*1.8)</f>
        <v>1010.8928571428571</v>
      </c>
      <c r="AU222">
        <f t="shared" si="70"/>
        <v>-5.9000000000000021</v>
      </c>
      <c r="AV222">
        <f t="shared" si="68"/>
        <v>414.10571428571433</v>
      </c>
      <c r="AW222">
        <f t="shared" si="71"/>
        <v>59.9</v>
      </c>
      <c r="AX222" t="str">
        <f t="shared" si="66"/>
        <v>Oct-2021</v>
      </c>
      <c r="AY222">
        <f>ROUNDUP(Table2[[#This Row],[Month]]/3,0)</f>
        <v>4</v>
      </c>
    </row>
    <row r="223" spans="1:51" x14ac:dyDescent="0.2">
      <c r="A223">
        <v>222</v>
      </c>
      <c r="B223">
        <f t="shared" si="53"/>
        <v>15</v>
      </c>
      <c r="C223" s="22">
        <v>44488</v>
      </c>
      <c r="D223">
        <f>SUM(Table2[[#This Row],[Gray Min]:[Red Min]])</f>
        <v>57</v>
      </c>
      <c r="E223">
        <v>15</v>
      </c>
      <c r="F223">
        <v>611</v>
      </c>
      <c r="G223">
        <v>125</v>
      </c>
      <c r="H223">
        <v>170</v>
      </c>
      <c r="I223">
        <v>17</v>
      </c>
      <c r="J223">
        <v>13</v>
      </c>
      <c r="K223">
        <v>12</v>
      </c>
      <c r="L223">
        <v>11</v>
      </c>
      <c r="M223">
        <v>4</v>
      </c>
      <c r="N223" t="s">
        <v>91</v>
      </c>
      <c r="O223" t="s">
        <v>39</v>
      </c>
      <c r="P223" t="s">
        <v>94</v>
      </c>
      <c r="Q223">
        <f t="shared" si="67"/>
        <v>6</v>
      </c>
      <c r="R223" t="str">
        <f t="shared" si="54"/>
        <v>10-2021</v>
      </c>
      <c r="S223" t="s">
        <v>104</v>
      </c>
      <c r="T223" t="str">
        <f t="shared" si="55"/>
        <v>Tuesday</v>
      </c>
      <c r="U223">
        <f t="shared" si="56"/>
        <v>1</v>
      </c>
      <c r="V223" s="24">
        <f>IFERROR(Table2[[#This Row],[Gray Min]]/Table2[[#This Row],[ClassLength]],"")</f>
        <v>0.2982456140350877</v>
      </c>
      <c r="W223" s="24">
        <f>IFERROR(Table2[[#This Row],[Blue Min]]/Table2[[#This Row],[ClassLength]],"")</f>
        <v>0.22807017543859648</v>
      </c>
      <c r="X223" s="24">
        <f>IFERROR(Table2[[#This Row],[Green Min]]/Table2[[#This Row],[ClassLength]],"")</f>
        <v>0.21052631578947367</v>
      </c>
      <c r="Y223" s="24">
        <f>IFERROR(Table2[[#This Row],[Orange Min]]/Table2[[#This Row],[ClassLength]],"")</f>
        <v>0.19298245614035087</v>
      </c>
      <c r="Z223" s="24">
        <f>IFERROR(Table2[[#This Row],[Red Min]]/Table2[[#This Row],[ClassLength]],"")</f>
        <v>7.0175438596491224E-2</v>
      </c>
      <c r="AA223" s="25">
        <v>232.14</v>
      </c>
      <c r="AB223" s="25">
        <f t="shared" si="69"/>
        <v>15.475999999999999</v>
      </c>
      <c r="AC223" s="26">
        <f t="shared" si="57"/>
        <v>648.06666666666672</v>
      </c>
      <c r="AD223" s="26">
        <f t="shared" si="58"/>
        <v>16.133333333333333</v>
      </c>
      <c r="AE223">
        <f t="shared" si="59"/>
        <v>2021</v>
      </c>
      <c r="AG223">
        <v>12</v>
      </c>
      <c r="AH223" s="26">
        <f t="shared" si="60"/>
        <v>10.719298245614034</v>
      </c>
      <c r="AI223" t="str">
        <f t="shared" si="61"/>
        <v>PM</v>
      </c>
      <c r="AJ223" t="str">
        <f t="shared" si="62"/>
        <v>10-2021-4</v>
      </c>
      <c r="AK223">
        <f t="shared" si="63"/>
        <v>10</v>
      </c>
      <c r="AL223" s="26">
        <f>IFERROR(Table2[[#This Row],[Calories]]/Table2[[#This Row],[Splat]],"")</f>
        <v>40.733333333333334</v>
      </c>
      <c r="AM223">
        <f>COUNTIF(N$2:$N$938,N223)</f>
        <v>218</v>
      </c>
      <c r="AN223" t="str">
        <f>VLOOKUP(N223,'Helpful Tables'!A:D,4,FALSE)</f>
        <v>Washington, DC</v>
      </c>
      <c r="AO223" s="24">
        <f>COUNTIF(AN:AN,Table2[[#This Row],[State]])/COUNTA(AN:AN)</f>
        <v>0.54904051172707891</v>
      </c>
      <c r="AP223">
        <f>VLOOKUP(N223,'Helpful Tables'!A:B,2,FALSE)</f>
        <v>38.934710000000003</v>
      </c>
      <c r="AQ223">
        <f>VLOOKUP(N223,'Helpful Tables'!A:C,3,FALSE)</f>
        <v>-77.058222999999998</v>
      </c>
      <c r="AR223">
        <f>COUNTIF(P$2:$P$938,P223)</f>
        <v>15</v>
      </c>
      <c r="AS223" cm="1">
        <f t="array" ref="AS223">_xlfn.IFS(E223&lt;6,((E223/D223)*60)*0.5,AND(E223&gt;=6,E223&lt;9),((E223/D223)*60)*0.75,AND(E223&gt;=9,E223&lt;=11),((E223/D223)*60)*0.9,AND(E223=12),((E223/D223)*60)*1,AND(E223&gt;=13,E223&lt;=15),((E223/D223)*60)*1.2,AND(E223&gt;=16,E223&lt;=19),((E223/D223)*60)*1.5,E223&gt;=20,((E223/D223)*60)*1.8)</f>
        <v>18.94736842105263</v>
      </c>
      <c r="AT223" cm="1">
        <f t="array" ref="AT223">_xlfn.IFS(F223&lt;550,((F223/D223)*60)*0.5,AND(F223&gt;=550,F223&lt;575),((F223/D223)*60)*0.75,AND(F223&gt;=575,F223&lt;600),((F223/D223)*60)*0.9,AND(F223=600),((F223/D223)*60)*1,AND(F223&gt;=601,F223&lt;=625),((F223/D223)*60)*1.2,AND(F223&gt;=626,F223&lt;=650),((F223/D223)*60)*1.5,F223&gt;=651,((F223/D223)*60)*1.8)</f>
        <v>771.78947368421052</v>
      </c>
      <c r="AU223">
        <f t="shared" si="70"/>
        <v>0</v>
      </c>
      <c r="AV223">
        <f t="shared" si="68"/>
        <v>316.29473684210529</v>
      </c>
      <c r="AW223">
        <f t="shared" si="71"/>
        <v>35</v>
      </c>
      <c r="AX223" t="str">
        <f t="shared" si="66"/>
        <v>Oct-2021</v>
      </c>
      <c r="AY223">
        <f>ROUNDUP(Table2[[#This Row],[Month]]/3,0)</f>
        <v>4</v>
      </c>
    </row>
    <row r="224" spans="1:51" x14ac:dyDescent="0.2">
      <c r="A224">
        <v>223</v>
      </c>
      <c r="B224">
        <f t="shared" si="53"/>
        <v>15</v>
      </c>
      <c r="C224" s="22">
        <v>44489</v>
      </c>
      <c r="D224">
        <f>SUM(Table2[[#This Row],[Gray Min]:[Red Min]])</f>
        <v>56</v>
      </c>
      <c r="E224">
        <v>13</v>
      </c>
      <c r="F224">
        <v>643</v>
      </c>
      <c r="G224">
        <v>129</v>
      </c>
      <c r="H224">
        <v>166</v>
      </c>
      <c r="I224">
        <v>9</v>
      </c>
      <c r="J224">
        <v>15</v>
      </c>
      <c r="K224">
        <v>19</v>
      </c>
      <c r="L224">
        <v>11</v>
      </c>
      <c r="M224">
        <v>2</v>
      </c>
      <c r="N224" t="s">
        <v>101</v>
      </c>
      <c r="O224" t="s">
        <v>39</v>
      </c>
      <c r="P224" t="s">
        <v>109</v>
      </c>
      <c r="Q224">
        <f t="shared" si="67"/>
        <v>1</v>
      </c>
      <c r="R224" t="str">
        <f t="shared" si="54"/>
        <v>10-2021</v>
      </c>
      <c r="S224" t="s">
        <v>104</v>
      </c>
      <c r="T224" t="str">
        <f t="shared" si="55"/>
        <v>Wednesday</v>
      </c>
      <c r="U224">
        <f t="shared" si="56"/>
        <v>1</v>
      </c>
      <c r="V224" s="24">
        <f>IFERROR(Table2[[#This Row],[Gray Min]]/Table2[[#This Row],[ClassLength]],"")</f>
        <v>0.16071428571428573</v>
      </c>
      <c r="W224" s="24">
        <f>IFERROR(Table2[[#This Row],[Blue Min]]/Table2[[#This Row],[ClassLength]],"")</f>
        <v>0.26785714285714285</v>
      </c>
      <c r="X224" s="24">
        <f>IFERROR(Table2[[#This Row],[Green Min]]/Table2[[#This Row],[ClassLength]],"")</f>
        <v>0.3392857142857143</v>
      </c>
      <c r="Y224" s="24">
        <f>IFERROR(Table2[[#This Row],[Orange Min]]/Table2[[#This Row],[ClassLength]],"")</f>
        <v>0.19642857142857142</v>
      </c>
      <c r="Z224" s="24">
        <f>IFERROR(Table2[[#This Row],[Red Min]]/Table2[[#This Row],[ClassLength]],"")</f>
        <v>3.5714285714285712E-2</v>
      </c>
      <c r="AA224" s="25">
        <v>232.14</v>
      </c>
      <c r="AB224" s="25">
        <f t="shared" si="69"/>
        <v>15.475999999999999</v>
      </c>
      <c r="AC224" s="26">
        <f t="shared" si="57"/>
        <v>648.06666666666672</v>
      </c>
      <c r="AD224" s="26">
        <f t="shared" si="58"/>
        <v>16.133333333333333</v>
      </c>
      <c r="AE224">
        <f t="shared" si="59"/>
        <v>2021</v>
      </c>
      <c r="AG224">
        <v>12</v>
      </c>
      <c r="AH224" s="26">
        <f t="shared" si="60"/>
        <v>11.482142857142858</v>
      </c>
      <c r="AI224" t="str">
        <f t="shared" si="61"/>
        <v>PM</v>
      </c>
      <c r="AJ224" t="str">
        <f t="shared" si="62"/>
        <v>10-2021-4</v>
      </c>
      <c r="AK224">
        <f t="shared" si="63"/>
        <v>10</v>
      </c>
      <c r="AL224" s="26">
        <f>IFERROR(Table2[[#This Row],[Calories]]/Table2[[#This Row],[Splat]],"")</f>
        <v>49.46153846153846</v>
      </c>
      <c r="AM224">
        <f>COUNTIF(N$2:$N$938,N224)</f>
        <v>191</v>
      </c>
      <c r="AN224" t="str">
        <f>VLOOKUP(N224,'Helpful Tables'!A:D,4,FALSE)</f>
        <v>Washington, DC</v>
      </c>
      <c r="AO224" s="24">
        <f>COUNTIF(AN:AN,Table2[[#This Row],[State]])/COUNTA(AN:AN)</f>
        <v>0.54904051172707891</v>
      </c>
      <c r="AP224">
        <f>VLOOKUP(N224,'Helpful Tables'!A:B,2,FALSE)</f>
        <v>38.949649000000001</v>
      </c>
      <c r="AQ224">
        <f>VLOOKUP(N224,'Helpful Tables'!A:C,3,FALSE)</f>
        <v>-77.080878999999996</v>
      </c>
      <c r="AR224">
        <f>COUNTIF(P$2:$P$938,P224)</f>
        <v>66</v>
      </c>
      <c r="AS224" cm="1">
        <f t="array" ref="AS224">_xlfn.IFS(E224&lt;6,((E224/D224)*60)*0.5,AND(E224&gt;=6,E224&lt;9),((E224/D224)*60)*0.75,AND(E224&gt;=9,E224&lt;=11),((E224/D224)*60)*0.9,AND(E224=12),((E224/D224)*60)*1,AND(E224&gt;=13,E224&lt;=15),((E224/D224)*60)*1.2,AND(E224&gt;=16,E224&lt;=19),((E224/D224)*60)*1.5,E224&gt;=20,((E224/D224)*60)*1.8)</f>
        <v>16.714285714285715</v>
      </c>
      <c r="AT224" cm="1">
        <f t="array" ref="AT224">_xlfn.IFS(F224&lt;550,((F224/D224)*60)*0.5,AND(F224&gt;=550,F224&lt;575),((F224/D224)*60)*0.75,AND(F224&gt;=575,F224&lt;600),((F224/D224)*60)*0.9,AND(F224=600),((F224/D224)*60)*1,AND(F224&gt;=601,F224&lt;=625),((F224/D224)*60)*1.2,AND(F224&gt;=626,F224&lt;=650),((F224/D224)*60)*1.5,F224&gt;=651,((F224/D224)*60)*1.8)</f>
        <v>1033.3928571428571</v>
      </c>
      <c r="AU224">
        <f t="shared" si="70"/>
        <v>12.800000000000004</v>
      </c>
      <c r="AV224">
        <f t="shared" si="68"/>
        <v>422.6028571428572</v>
      </c>
      <c r="AW224">
        <f t="shared" si="71"/>
        <v>62.7</v>
      </c>
      <c r="AX224" t="str">
        <f t="shared" si="66"/>
        <v>Oct-2021</v>
      </c>
      <c r="AY224">
        <f>ROUNDUP(Table2[[#This Row],[Month]]/3,0)</f>
        <v>4</v>
      </c>
    </row>
    <row r="225" spans="1:51" x14ac:dyDescent="0.2">
      <c r="A225">
        <v>224</v>
      </c>
      <c r="B225">
        <f t="shared" si="53"/>
        <v>15</v>
      </c>
      <c r="C225" s="22">
        <v>44491</v>
      </c>
      <c r="D225">
        <f>SUM(Table2[[#This Row],[Gray Min]:[Red Min]])</f>
        <v>60</v>
      </c>
      <c r="E225">
        <v>21</v>
      </c>
      <c r="F225">
        <v>703</v>
      </c>
      <c r="G225">
        <v>132</v>
      </c>
      <c r="H225">
        <v>179</v>
      </c>
      <c r="I225">
        <v>9</v>
      </c>
      <c r="J225">
        <v>18</v>
      </c>
      <c r="K225">
        <v>12</v>
      </c>
      <c r="L225">
        <v>7</v>
      </c>
      <c r="M225">
        <v>14</v>
      </c>
      <c r="N225" t="s">
        <v>101</v>
      </c>
      <c r="O225" t="s">
        <v>39</v>
      </c>
      <c r="P225" t="s">
        <v>118</v>
      </c>
      <c r="Q225">
        <f t="shared" si="67"/>
        <v>2</v>
      </c>
      <c r="R225" t="str">
        <f t="shared" si="54"/>
        <v>10-2021</v>
      </c>
      <c r="S225" t="s">
        <v>104</v>
      </c>
      <c r="T225" t="str">
        <f t="shared" si="55"/>
        <v>Friday</v>
      </c>
      <c r="U225">
        <f t="shared" si="56"/>
        <v>1</v>
      </c>
      <c r="V225" s="24">
        <f>IFERROR(Table2[[#This Row],[Gray Min]]/Table2[[#This Row],[ClassLength]],"")</f>
        <v>0.15</v>
      </c>
      <c r="W225" s="24">
        <f>IFERROR(Table2[[#This Row],[Blue Min]]/Table2[[#This Row],[ClassLength]],"")</f>
        <v>0.3</v>
      </c>
      <c r="X225" s="24">
        <f>IFERROR(Table2[[#This Row],[Green Min]]/Table2[[#This Row],[ClassLength]],"")</f>
        <v>0.2</v>
      </c>
      <c r="Y225" s="24">
        <f>IFERROR(Table2[[#This Row],[Orange Min]]/Table2[[#This Row],[ClassLength]],"")</f>
        <v>0.11666666666666667</v>
      </c>
      <c r="Z225" s="24">
        <f>IFERROR(Table2[[#This Row],[Red Min]]/Table2[[#This Row],[ClassLength]],"")</f>
        <v>0.23333333333333334</v>
      </c>
      <c r="AA225" s="25">
        <v>232.14</v>
      </c>
      <c r="AB225" s="25">
        <f t="shared" si="69"/>
        <v>15.475999999999999</v>
      </c>
      <c r="AC225" s="26">
        <f t="shared" si="57"/>
        <v>648.06666666666672</v>
      </c>
      <c r="AD225" s="26">
        <f t="shared" si="58"/>
        <v>16.133333333333333</v>
      </c>
      <c r="AE225">
        <f t="shared" si="59"/>
        <v>2021</v>
      </c>
      <c r="AG225">
        <v>12</v>
      </c>
      <c r="AH225" s="26">
        <f t="shared" si="60"/>
        <v>11.716666666666667</v>
      </c>
      <c r="AI225" t="str">
        <f t="shared" si="61"/>
        <v>PM</v>
      </c>
      <c r="AJ225" t="str">
        <f t="shared" si="62"/>
        <v>10-2021-4</v>
      </c>
      <c r="AK225">
        <f t="shared" si="63"/>
        <v>10</v>
      </c>
      <c r="AL225" s="26">
        <f>IFERROR(Table2[[#This Row],[Calories]]/Table2[[#This Row],[Splat]],"")</f>
        <v>33.476190476190474</v>
      </c>
      <c r="AM225">
        <f>COUNTIF(N$2:$N$938,N225)</f>
        <v>191</v>
      </c>
      <c r="AN225" t="str">
        <f>VLOOKUP(N225,'Helpful Tables'!A:D,4,FALSE)</f>
        <v>Washington, DC</v>
      </c>
      <c r="AO225" s="24">
        <f>COUNTIF(AN:AN,Table2[[#This Row],[State]])/COUNTA(AN:AN)</f>
        <v>0.54904051172707891</v>
      </c>
      <c r="AP225">
        <f>VLOOKUP(N225,'Helpful Tables'!A:B,2,FALSE)</f>
        <v>38.949649000000001</v>
      </c>
      <c r="AQ225">
        <f>VLOOKUP(N225,'Helpful Tables'!A:C,3,FALSE)</f>
        <v>-77.080878999999996</v>
      </c>
      <c r="AR225">
        <f>COUNTIF(P$2:$P$938,P225)</f>
        <v>16</v>
      </c>
      <c r="AS225" cm="1">
        <f t="array" ref="AS225">_xlfn.IFS(E225&lt;6,((E225/D225)*60)*0.5,AND(E225&gt;=6,E225&lt;9),((E225/D225)*60)*0.75,AND(E225&gt;=9,E225&lt;=11),((E225/D225)*60)*0.9,AND(E225=12),((E225/D225)*60)*1,AND(E225&gt;=13,E225&lt;=15),((E225/D225)*60)*1.2,AND(E225&gt;=16,E225&lt;=19),((E225/D225)*60)*1.5,E225&gt;=20,((E225/D225)*60)*1.8)</f>
        <v>37.800000000000004</v>
      </c>
      <c r="AT225" cm="1">
        <f t="array" ref="AT225">_xlfn.IFS(F225&lt;550,((F225/D225)*60)*0.5,AND(F225&gt;=550,F225&lt;575),((F225/D225)*60)*0.75,AND(F225&gt;=575,F225&lt;600),((F225/D225)*60)*0.9,AND(F225=600),((F225/D225)*60)*1,AND(F225&gt;=601,F225&lt;=625),((F225/D225)*60)*1.2,AND(F225&gt;=626,F225&lt;=650),((F225/D225)*60)*1.5,F225&gt;=651,((F225/D225)*60)*1.8)</f>
        <v>1265.4000000000001</v>
      </c>
      <c r="AU225">
        <f t="shared" si="70"/>
        <v>13.899999999999997</v>
      </c>
      <c r="AV225">
        <f t="shared" si="68"/>
        <v>524.06000000000006</v>
      </c>
      <c r="AW225">
        <f t="shared" si="71"/>
        <v>92.100000000000009</v>
      </c>
      <c r="AX225" t="str">
        <f t="shared" si="66"/>
        <v>Oct-2021</v>
      </c>
      <c r="AY225">
        <f>ROUNDUP(Table2[[#This Row],[Month]]/3,0)</f>
        <v>4</v>
      </c>
    </row>
    <row r="226" spans="1:51" x14ac:dyDescent="0.2">
      <c r="A226">
        <v>225</v>
      </c>
      <c r="B226">
        <f t="shared" si="53"/>
        <v>15</v>
      </c>
      <c r="C226" s="22">
        <v>44493</v>
      </c>
      <c r="D226">
        <f>SUM(Table2[[#This Row],[Gray Min]:[Red Min]])</f>
        <v>59</v>
      </c>
      <c r="E226">
        <v>17</v>
      </c>
      <c r="F226">
        <v>718</v>
      </c>
      <c r="G226">
        <v>134</v>
      </c>
      <c r="H226">
        <v>168</v>
      </c>
      <c r="I226">
        <v>4</v>
      </c>
      <c r="J226">
        <v>12</v>
      </c>
      <c r="K226">
        <v>26</v>
      </c>
      <c r="L226">
        <v>14</v>
      </c>
      <c r="M226">
        <v>3</v>
      </c>
      <c r="N226" t="s">
        <v>91</v>
      </c>
      <c r="O226" t="s">
        <v>45</v>
      </c>
      <c r="P226" t="s">
        <v>100</v>
      </c>
      <c r="Q226">
        <f t="shared" si="67"/>
        <v>2</v>
      </c>
      <c r="R226" t="str">
        <f t="shared" si="54"/>
        <v>10-2021</v>
      </c>
      <c r="S226" t="s">
        <v>104</v>
      </c>
      <c r="T226" t="str">
        <f t="shared" si="55"/>
        <v>Sunday</v>
      </c>
      <c r="U226">
        <f t="shared" si="56"/>
        <v>1</v>
      </c>
      <c r="V226" s="24">
        <f>IFERROR(Table2[[#This Row],[Gray Min]]/Table2[[#This Row],[ClassLength]],"")</f>
        <v>6.7796610169491525E-2</v>
      </c>
      <c r="W226" s="24">
        <f>IFERROR(Table2[[#This Row],[Blue Min]]/Table2[[#This Row],[ClassLength]],"")</f>
        <v>0.20338983050847459</v>
      </c>
      <c r="X226" s="24">
        <f>IFERROR(Table2[[#This Row],[Green Min]]/Table2[[#This Row],[ClassLength]],"")</f>
        <v>0.44067796610169491</v>
      </c>
      <c r="Y226" s="24">
        <f>IFERROR(Table2[[#This Row],[Orange Min]]/Table2[[#This Row],[ClassLength]],"")</f>
        <v>0.23728813559322035</v>
      </c>
      <c r="Z226" s="24">
        <f>IFERROR(Table2[[#This Row],[Red Min]]/Table2[[#This Row],[ClassLength]],"")</f>
        <v>5.0847457627118647E-2</v>
      </c>
      <c r="AA226" s="25">
        <v>232.14</v>
      </c>
      <c r="AB226" s="25">
        <f t="shared" si="69"/>
        <v>15.475999999999999</v>
      </c>
      <c r="AC226" s="26">
        <f t="shared" si="57"/>
        <v>648.06666666666672</v>
      </c>
      <c r="AD226" s="26">
        <f t="shared" si="58"/>
        <v>16.133333333333333</v>
      </c>
      <c r="AE226">
        <f t="shared" si="59"/>
        <v>2021</v>
      </c>
      <c r="AG226">
        <v>12</v>
      </c>
      <c r="AH226" s="26">
        <f t="shared" si="60"/>
        <v>12.169491525423728</v>
      </c>
      <c r="AI226" t="str">
        <f t="shared" si="61"/>
        <v>AM</v>
      </c>
      <c r="AJ226" t="str">
        <f t="shared" si="62"/>
        <v>10-2021-5</v>
      </c>
      <c r="AK226">
        <f t="shared" si="63"/>
        <v>10</v>
      </c>
      <c r="AL226" s="26">
        <f>IFERROR(Table2[[#This Row],[Calories]]/Table2[[#This Row],[Splat]],"")</f>
        <v>42.235294117647058</v>
      </c>
      <c r="AM226">
        <f>COUNTIF(N$2:$N$938,N226)</f>
        <v>218</v>
      </c>
      <c r="AN226" t="str">
        <f>VLOOKUP(N226,'Helpful Tables'!A:D,4,FALSE)</f>
        <v>Washington, DC</v>
      </c>
      <c r="AO226" s="24">
        <f>COUNTIF(AN:AN,Table2[[#This Row],[State]])/COUNTA(AN:AN)</f>
        <v>0.54904051172707891</v>
      </c>
      <c r="AP226">
        <f>VLOOKUP(N226,'Helpful Tables'!A:B,2,FALSE)</f>
        <v>38.934710000000003</v>
      </c>
      <c r="AQ226">
        <f>VLOOKUP(N226,'Helpful Tables'!A:C,3,FALSE)</f>
        <v>-77.058222999999998</v>
      </c>
      <c r="AR226">
        <f>COUNTIF(P$2:$P$938,P226)</f>
        <v>35</v>
      </c>
      <c r="AS226" cm="1">
        <f t="array" ref="AS226">_xlfn.IFS(E226&lt;6,((E226/D226)*60)*0.5,AND(E226&gt;=6,E226&lt;9),((E226/D226)*60)*0.75,AND(E226&gt;=9,E226&lt;=11),((E226/D226)*60)*0.9,AND(E226=12),((E226/D226)*60)*1,AND(E226&gt;=13,E226&lt;=15),((E226/D226)*60)*1.2,AND(E226&gt;=16,E226&lt;=19),((E226/D226)*60)*1.5,E226&gt;=20,((E226/D226)*60)*1.8)</f>
        <v>25.932203389830509</v>
      </c>
      <c r="AT226" cm="1">
        <f t="array" ref="AT226">_xlfn.IFS(F226&lt;550,((F226/D226)*60)*0.5,AND(F226&gt;=550,F226&lt;575),((F226/D226)*60)*0.75,AND(F226&gt;=575,F226&lt;600),((F226/D226)*60)*0.9,AND(F226=600),((F226/D226)*60)*1,AND(F226&gt;=601,F226&lt;=625),((F226/D226)*60)*1.2,AND(F226&gt;=626,F226&lt;=650),((F226/D226)*60)*1.5,F226&gt;=651,((F226/D226)*60)*1.8)</f>
        <v>1314.3050847457628</v>
      </c>
      <c r="AU226">
        <f t="shared" si="70"/>
        <v>35.9</v>
      </c>
      <c r="AV226">
        <f t="shared" si="68"/>
        <v>543.27491525423727</v>
      </c>
      <c r="AW226">
        <f t="shared" si="71"/>
        <v>96.899999999999991</v>
      </c>
      <c r="AX226" t="str">
        <f t="shared" si="66"/>
        <v>Oct-2021</v>
      </c>
      <c r="AY226">
        <f>ROUNDUP(Table2[[#This Row],[Month]]/3,0)</f>
        <v>4</v>
      </c>
    </row>
    <row r="227" spans="1:51" x14ac:dyDescent="0.2">
      <c r="A227">
        <v>226</v>
      </c>
      <c r="B227">
        <f t="shared" si="53"/>
        <v>15</v>
      </c>
      <c r="C227" s="22">
        <v>44494</v>
      </c>
      <c r="D227">
        <f>SUM(Table2[[#This Row],[Gray Min]:[Red Min]])</f>
        <v>56</v>
      </c>
      <c r="E227">
        <v>17</v>
      </c>
      <c r="F227">
        <v>586</v>
      </c>
      <c r="G227">
        <v>122</v>
      </c>
      <c r="H227">
        <v>169</v>
      </c>
      <c r="I227">
        <v>18</v>
      </c>
      <c r="J227">
        <v>9</v>
      </c>
      <c r="K227">
        <v>12</v>
      </c>
      <c r="L227">
        <v>16</v>
      </c>
      <c r="M227">
        <v>1</v>
      </c>
      <c r="N227" t="s">
        <v>91</v>
      </c>
      <c r="O227" t="s">
        <v>39</v>
      </c>
      <c r="P227" t="s">
        <v>94</v>
      </c>
      <c r="Q227">
        <f t="shared" si="67"/>
        <v>1</v>
      </c>
      <c r="R227" t="str">
        <f t="shared" si="54"/>
        <v>10-2021</v>
      </c>
      <c r="S227" t="s">
        <v>104</v>
      </c>
      <c r="T227" t="str">
        <f t="shared" si="55"/>
        <v>Monday</v>
      </c>
      <c r="U227">
        <f t="shared" si="56"/>
        <v>1</v>
      </c>
      <c r="V227" s="24">
        <f>IFERROR(Table2[[#This Row],[Gray Min]]/Table2[[#This Row],[ClassLength]],"")</f>
        <v>0.32142857142857145</v>
      </c>
      <c r="W227" s="24">
        <f>IFERROR(Table2[[#This Row],[Blue Min]]/Table2[[#This Row],[ClassLength]],"")</f>
        <v>0.16071428571428573</v>
      </c>
      <c r="X227" s="24">
        <f>IFERROR(Table2[[#This Row],[Green Min]]/Table2[[#This Row],[ClassLength]],"")</f>
        <v>0.21428571428571427</v>
      </c>
      <c r="Y227" s="24">
        <f>IFERROR(Table2[[#This Row],[Orange Min]]/Table2[[#This Row],[ClassLength]],"")</f>
        <v>0.2857142857142857</v>
      </c>
      <c r="Z227" s="24">
        <f>IFERROR(Table2[[#This Row],[Red Min]]/Table2[[#This Row],[ClassLength]],"")</f>
        <v>1.7857142857142856E-2</v>
      </c>
      <c r="AA227" s="25">
        <v>232.14</v>
      </c>
      <c r="AB227" s="25">
        <f t="shared" si="69"/>
        <v>15.475999999999999</v>
      </c>
      <c r="AC227" s="26">
        <f t="shared" si="57"/>
        <v>648.06666666666672</v>
      </c>
      <c r="AD227" s="26">
        <f t="shared" si="58"/>
        <v>16.133333333333333</v>
      </c>
      <c r="AE227">
        <f t="shared" si="59"/>
        <v>2021</v>
      </c>
      <c r="AG227">
        <v>12</v>
      </c>
      <c r="AH227" s="26">
        <f t="shared" si="60"/>
        <v>10.464285714285714</v>
      </c>
      <c r="AI227" t="str">
        <f t="shared" si="61"/>
        <v>PM</v>
      </c>
      <c r="AJ227" t="str">
        <f t="shared" si="62"/>
        <v>10-2021-5</v>
      </c>
      <c r="AK227">
        <f t="shared" si="63"/>
        <v>10</v>
      </c>
      <c r="AL227" s="26">
        <f>IFERROR(Table2[[#This Row],[Calories]]/Table2[[#This Row],[Splat]],"")</f>
        <v>34.470588235294116</v>
      </c>
      <c r="AM227">
        <f>COUNTIF(N$2:$N$938,N227)</f>
        <v>218</v>
      </c>
      <c r="AN227" t="str">
        <f>VLOOKUP(N227,'Helpful Tables'!A:D,4,FALSE)</f>
        <v>Washington, DC</v>
      </c>
      <c r="AO227" s="24">
        <f>COUNTIF(AN:AN,Table2[[#This Row],[State]])/COUNTA(AN:AN)</f>
        <v>0.54904051172707891</v>
      </c>
      <c r="AP227">
        <f>VLOOKUP(N227,'Helpful Tables'!A:B,2,FALSE)</f>
        <v>38.934710000000003</v>
      </c>
      <c r="AQ227">
        <f>VLOOKUP(N227,'Helpful Tables'!A:C,3,FALSE)</f>
        <v>-77.058222999999998</v>
      </c>
      <c r="AR227">
        <f>COUNTIF(P$2:$P$938,P227)</f>
        <v>15</v>
      </c>
      <c r="AS227" cm="1">
        <f t="array" ref="AS227">_xlfn.IFS(E227&lt;6,((E227/D227)*60)*0.5,AND(E227&gt;=6,E227&lt;9),((E227/D227)*60)*0.75,AND(E227&gt;=9,E227&lt;=11),((E227/D227)*60)*0.9,AND(E227=12),((E227/D227)*60)*1,AND(E227&gt;=13,E227&lt;=15),((E227/D227)*60)*1.2,AND(E227&gt;=16,E227&lt;=19),((E227/D227)*60)*1.5,E227&gt;=20,((E227/D227)*60)*1.8)</f>
        <v>27.321428571428569</v>
      </c>
      <c r="AT227" cm="1">
        <f t="array" ref="AT227">_xlfn.IFS(F227&lt;550,((F227/D227)*60)*0.5,AND(F227&gt;=550,F227&lt;575),((F227/D227)*60)*0.75,AND(F227&gt;=575,F227&lt;600),((F227/D227)*60)*0.9,AND(F227=600),((F227/D227)*60)*1,AND(F227&gt;=601,F227&lt;=625),((F227/D227)*60)*1.2,AND(F227&gt;=626,F227&lt;=650),((F227/D227)*60)*1.5,F227&gt;=651,((F227/D227)*60)*1.8)</f>
        <v>565.07142857142856</v>
      </c>
      <c r="AU227">
        <f t="shared" si="70"/>
        <v>5.1999999999999993</v>
      </c>
      <c r="AV227">
        <f t="shared" si="68"/>
        <v>237.99714285714285</v>
      </c>
      <c r="AW227">
        <f t="shared" si="71"/>
        <v>21.4</v>
      </c>
      <c r="AX227" t="str">
        <f t="shared" si="66"/>
        <v>Oct-2021</v>
      </c>
      <c r="AY227">
        <f>ROUNDUP(Table2[[#This Row],[Month]]/3,0)</f>
        <v>4</v>
      </c>
    </row>
    <row r="228" spans="1:51" x14ac:dyDescent="0.2">
      <c r="A228">
        <v>227</v>
      </c>
      <c r="B228">
        <f t="shared" si="53"/>
        <v>15</v>
      </c>
      <c r="C228" s="22">
        <v>44495</v>
      </c>
      <c r="D228">
        <f>SUM(Table2[[#This Row],[Gray Min]:[Red Min]])</f>
        <v>57</v>
      </c>
      <c r="E228">
        <v>12</v>
      </c>
      <c r="F228">
        <v>589</v>
      </c>
      <c r="G228">
        <v>122</v>
      </c>
      <c r="H228">
        <v>163</v>
      </c>
      <c r="I228">
        <v>18</v>
      </c>
      <c r="J228">
        <v>12</v>
      </c>
      <c r="K228">
        <v>15</v>
      </c>
      <c r="L228">
        <v>12</v>
      </c>
      <c r="M228">
        <v>0</v>
      </c>
      <c r="N228" t="s">
        <v>101</v>
      </c>
      <c r="O228" t="s">
        <v>39</v>
      </c>
      <c r="P228" t="s">
        <v>133</v>
      </c>
      <c r="Q228">
        <f t="shared" si="67"/>
        <v>1</v>
      </c>
      <c r="R228" t="str">
        <f t="shared" si="54"/>
        <v>10-2021</v>
      </c>
      <c r="S228" t="s">
        <v>104</v>
      </c>
      <c r="T228" t="str">
        <f t="shared" si="55"/>
        <v>Tuesday</v>
      </c>
      <c r="U228">
        <f t="shared" si="56"/>
        <v>1</v>
      </c>
      <c r="V228" s="24">
        <f>IFERROR(Table2[[#This Row],[Gray Min]]/Table2[[#This Row],[ClassLength]],"")</f>
        <v>0.31578947368421051</v>
      </c>
      <c r="W228" s="24">
        <f>IFERROR(Table2[[#This Row],[Blue Min]]/Table2[[#This Row],[ClassLength]],"")</f>
        <v>0.21052631578947367</v>
      </c>
      <c r="X228" s="24">
        <f>IFERROR(Table2[[#This Row],[Green Min]]/Table2[[#This Row],[ClassLength]],"")</f>
        <v>0.26315789473684209</v>
      </c>
      <c r="Y228" s="24">
        <f>IFERROR(Table2[[#This Row],[Orange Min]]/Table2[[#This Row],[ClassLength]],"")</f>
        <v>0.21052631578947367</v>
      </c>
      <c r="Z228" s="24">
        <f>IFERROR(Table2[[#This Row],[Red Min]]/Table2[[#This Row],[ClassLength]],"")</f>
        <v>0</v>
      </c>
      <c r="AA228" s="25">
        <v>232.14</v>
      </c>
      <c r="AB228" s="25">
        <f t="shared" si="69"/>
        <v>15.475999999999999</v>
      </c>
      <c r="AC228" s="26">
        <f t="shared" si="57"/>
        <v>648.06666666666672</v>
      </c>
      <c r="AD228" s="26">
        <f t="shared" si="58"/>
        <v>16.133333333333333</v>
      </c>
      <c r="AE228">
        <f t="shared" si="59"/>
        <v>2021</v>
      </c>
      <c r="AG228">
        <v>12</v>
      </c>
      <c r="AH228" s="26">
        <f t="shared" si="60"/>
        <v>10.333333333333334</v>
      </c>
      <c r="AI228" t="str">
        <f t="shared" si="61"/>
        <v>PM</v>
      </c>
      <c r="AJ228" t="str">
        <f t="shared" si="62"/>
        <v>10-2021-5</v>
      </c>
      <c r="AK228">
        <f t="shared" si="63"/>
        <v>10</v>
      </c>
      <c r="AL228" s="26">
        <f>IFERROR(Table2[[#This Row],[Calories]]/Table2[[#This Row],[Splat]],"")</f>
        <v>49.083333333333336</v>
      </c>
      <c r="AM228">
        <f>COUNTIF(N$2:$N$938,N228)</f>
        <v>191</v>
      </c>
      <c r="AN228" t="str">
        <f>VLOOKUP(N228,'Helpful Tables'!A:D,4,FALSE)</f>
        <v>Washington, DC</v>
      </c>
      <c r="AO228" s="24">
        <f>COUNTIF(AN:AN,Table2[[#This Row],[State]])/COUNTA(AN:AN)</f>
        <v>0.54904051172707891</v>
      </c>
      <c r="AP228">
        <f>VLOOKUP(N228,'Helpful Tables'!A:B,2,FALSE)</f>
        <v>38.949649000000001</v>
      </c>
      <c r="AQ228">
        <f>VLOOKUP(N228,'Helpful Tables'!A:C,3,FALSE)</f>
        <v>-77.080878999999996</v>
      </c>
      <c r="AR228">
        <f>COUNTIF(P$2:$P$938,P228)</f>
        <v>25</v>
      </c>
      <c r="AS228" cm="1">
        <f t="array" ref="AS228">_xlfn.IFS(E228&lt;6,((E228/D228)*60)*0.5,AND(E228&gt;=6,E228&lt;9),((E228/D228)*60)*0.75,AND(E228&gt;=9,E228&lt;=11),((E228/D228)*60)*0.9,AND(E228=12),((E228/D228)*60)*1,AND(E228&gt;=13,E228&lt;=15),((E228/D228)*60)*1.2,AND(E228&gt;=16,E228&lt;=19),((E228/D228)*60)*1.5,E228&gt;=20,((E228/D228)*60)*1.8)</f>
        <v>12.631578947368421</v>
      </c>
      <c r="AT228" cm="1">
        <f t="array" ref="AT228">_xlfn.IFS(F228&lt;550,((F228/D228)*60)*0.5,AND(F228&gt;=550,F228&lt;575),((F228/D228)*60)*0.75,AND(F228&gt;=575,F228&lt;600),((F228/D228)*60)*0.9,AND(F228=600),((F228/D228)*60)*1,AND(F228&gt;=601,F228&lt;=625),((F228/D228)*60)*1.2,AND(F228&gt;=626,F228&lt;=650),((F228/D228)*60)*1.5,F228&gt;=651,((F228/D228)*60)*1.8)</f>
        <v>558</v>
      </c>
      <c r="AU228">
        <f t="shared" si="70"/>
        <v>-1.1999999999999957</v>
      </c>
      <c r="AV228">
        <f t="shared" si="68"/>
        <v>228.01263157894738</v>
      </c>
      <c r="AW228">
        <f t="shared" si="71"/>
        <v>19.400000000000002</v>
      </c>
      <c r="AX228" t="str">
        <f t="shared" si="66"/>
        <v>Oct-2021</v>
      </c>
      <c r="AY228">
        <f>ROUNDUP(Table2[[#This Row],[Month]]/3,0)</f>
        <v>4</v>
      </c>
    </row>
    <row r="229" spans="1:51" x14ac:dyDescent="0.2">
      <c r="A229">
        <v>228</v>
      </c>
      <c r="B229">
        <f t="shared" si="53"/>
        <v>15</v>
      </c>
      <c r="C229" s="22">
        <v>44497</v>
      </c>
      <c r="D229">
        <f>SUM(Table2[[#This Row],[Gray Min]:[Red Min]])</f>
        <v>56</v>
      </c>
      <c r="E229">
        <v>14</v>
      </c>
      <c r="F229">
        <v>611</v>
      </c>
      <c r="G229">
        <v>125</v>
      </c>
      <c r="H229">
        <v>176</v>
      </c>
      <c r="I229">
        <v>13</v>
      </c>
      <c r="J229">
        <v>17</v>
      </c>
      <c r="K229">
        <v>12</v>
      </c>
      <c r="L229">
        <v>9</v>
      </c>
      <c r="M229">
        <v>5</v>
      </c>
      <c r="N229" t="s">
        <v>91</v>
      </c>
      <c r="O229" t="s">
        <v>39</v>
      </c>
      <c r="P229" t="s">
        <v>97</v>
      </c>
      <c r="Q229">
        <f t="shared" si="67"/>
        <v>2</v>
      </c>
      <c r="R229" t="str">
        <f t="shared" si="54"/>
        <v>10-2021</v>
      </c>
      <c r="S229" t="s">
        <v>104</v>
      </c>
      <c r="T229" t="str">
        <f t="shared" si="55"/>
        <v>Thursday</v>
      </c>
      <c r="U229">
        <f t="shared" si="56"/>
        <v>1</v>
      </c>
      <c r="V229" s="24">
        <f>IFERROR(Table2[[#This Row],[Gray Min]]/Table2[[#This Row],[ClassLength]],"")</f>
        <v>0.23214285714285715</v>
      </c>
      <c r="W229" s="24">
        <f>IFERROR(Table2[[#This Row],[Blue Min]]/Table2[[#This Row],[ClassLength]],"")</f>
        <v>0.30357142857142855</v>
      </c>
      <c r="X229" s="24">
        <f>IFERROR(Table2[[#This Row],[Green Min]]/Table2[[#This Row],[ClassLength]],"")</f>
        <v>0.21428571428571427</v>
      </c>
      <c r="Y229" s="24">
        <f>IFERROR(Table2[[#This Row],[Orange Min]]/Table2[[#This Row],[ClassLength]],"")</f>
        <v>0.16071428571428573</v>
      </c>
      <c r="Z229" s="24">
        <f>IFERROR(Table2[[#This Row],[Red Min]]/Table2[[#This Row],[ClassLength]],"")</f>
        <v>8.9285714285714288E-2</v>
      </c>
      <c r="AA229" s="25">
        <v>232.14</v>
      </c>
      <c r="AB229" s="25">
        <f t="shared" si="69"/>
        <v>15.475999999999999</v>
      </c>
      <c r="AC229" s="26">
        <f t="shared" si="57"/>
        <v>648.06666666666672</v>
      </c>
      <c r="AD229" s="26">
        <f t="shared" si="58"/>
        <v>16.133333333333333</v>
      </c>
      <c r="AE229">
        <f t="shared" si="59"/>
        <v>2021</v>
      </c>
      <c r="AG229">
        <v>12</v>
      </c>
      <c r="AH229" s="26">
        <f t="shared" si="60"/>
        <v>10.910714285714286</v>
      </c>
      <c r="AI229" t="str">
        <f t="shared" si="61"/>
        <v>PM</v>
      </c>
      <c r="AJ229" t="str">
        <f t="shared" si="62"/>
        <v>10-2021-5</v>
      </c>
      <c r="AK229">
        <f t="shared" si="63"/>
        <v>10</v>
      </c>
      <c r="AL229" s="26">
        <f>IFERROR(Table2[[#This Row],[Calories]]/Table2[[#This Row],[Splat]],"")</f>
        <v>43.642857142857146</v>
      </c>
      <c r="AM229">
        <f>COUNTIF(N$2:$N$938,N229)</f>
        <v>218</v>
      </c>
      <c r="AN229" t="str">
        <f>VLOOKUP(N229,'Helpful Tables'!A:D,4,FALSE)</f>
        <v>Washington, DC</v>
      </c>
      <c r="AO229" s="24">
        <f>COUNTIF(AN:AN,Table2[[#This Row],[State]])/COUNTA(AN:AN)</f>
        <v>0.54904051172707891</v>
      </c>
      <c r="AP229">
        <f>VLOOKUP(N229,'Helpful Tables'!A:B,2,FALSE)</f>
        <v>38.934710000000003</v>
      </c>
      <c r="AQ229">
        <f>VLOOKUP(N229,'Helpful Tables'!A:C,3,FALSE)</f>
        <v>-77.058222999999998</v>
      </c>
      <c r="AR229">
        <f>COUNTIF(P$2:$P$938,P229)</f>
        <v>14</v>
      </c>
      <c r="AS229" cm="1">
        <f t="array" ref="AS229">_xlfn.IFS(E229&lt;6,((E229/D229)*60)*0.5,AND(E229&gt;=6,E229&lt;9),((E229/D229)*60)*0.75,AND(E229&gt;=9,E229&lt;=11),((E229/D229)*60)*0.9,AND(E229=12),((E229/D229)*60)*1,AND(E229&gt;=13,E229&lt;=15),((E229/D229)*60)*1.2,AND(E229&gt;=16,E229&lt;=19),((E229/D229)*60)*1.5,E229&gt;=20,((E229/D229)*60)*1.8)</f>
        <v>18</v>
      </c>
      <c r="AT229" cm="1">
        <f t="array" ref="AT229">_xlfn.IFS(F229&lt;550,((F229/D229)*60)*0.5,AND(F229&gt;=550,F229&lt;575),((F229/D229)*60)*0.75,AND(F229&gt;=575,F229&lt;600),((F229/D229)*60)*0.9,AND(F229=600),((F229/D229)*60)*1,AND(F229&gt;=601,F229&lt;=625),((F229/D229)*60)*1.2,AND(F229&gt;=626,F229&lt;=650),((F229/D229)*60)*1.5,F229&gt;=651,((F229/D229)*60)*1.8)</f>
        <v>785.57142857142867</v>
      </c>
      <c r="AU229">
        <f t="shared" si="70"/>
        <v>-0.70000000000000462</v>
      </c>
      <c r="AV229">
        <f t="shared" si="68"/>
        <v>321.28857142857152</v>
      </c>
      <c r="AW229">
        <f t="shared" si="71"/>
        <v>37.4</v>
      </c>
      <c r="AX229" t="str">
        <f t="shared" si="66"/>
        <v>Oct-2021</v>
      </c>
      <c r="AY229">
        <f>ROUNDUP(Table2[[#This Row],[Month]]/3,0)</f>
        <v>4</v>
      </c>
    </row>
    <row r="230" spans="1:51" x14ac:dyDescent="0.2">
      <c r="A230">
        <v>229</v>
      </c>
      <c r="B230">
        <f t="shared" si="53"/>
        <v>15</v>
      </c>
      <c r="C230" s="22">
        <v>44499</v>
      </c>
      <c r="D230">
        <f>SUM(Table2[[#This Row],[Gray Min]:[Red Min]])</f>
        <v>56</v>
      </c>
      <c r="E230">
        <v>18</v>
      </c>
      <c r="F230">
        <v>676</v>
      </c>
      <c r="G230">
        <v>131</v>
      </c>
      <c r="H230">
        <v>170</v>
      </c>
      <c r="I230">
        <v>9</v>
      </c>
      <c r="J230">
        <v>16</v>
      </c>
      <c r="K230">
        <v>13</v>
      </c>
      <c r="L230">
        <v>16</v>
      </c>
      <c r="M230">
        <v>2</v>
      </c>
      <c r="N230" t="s">
        <v>91</v>
      </c>
      <c r="O230" t="s">
        <v>45</v>
      </c>
      <c r="P230" t="s">
        <v>120</v>
      </c>
      <c r="Q230">
        <f t="shared" si="67"/>
        <v>2</v>
      </c>
      <c r="R230" t="str">
        <f t="shared" si="54"/>
        <v>10-2021</v>
      </c>
      <c r="S230" t="s">
        <v>104</v>
      </c>
      <c r="T230" t="str">
        <f t="shared" si="55"/>
        <v>Saturday</v>
      </c>
      <c r="U230">
        <f t="shared" si="56"/>
        <v>1</v>
      </c>
      <c r="V230" s="24">
        <f>IFERROR(Table2[[#This Row],[Gray Min]]/Table2[[#This Row],[ClassLength]],"")</f>
        <v>0.16071428571428573</v>
      </c>
      <c r="W230" s="24">
        <f>IFERROR(Table2[[#This Row],[Blue Min]]/Table2[[#This Row],[ClassLength]],"")</f>
        <v>0.2857142857142857</v>
      </c>
      <c r="X230" s="24">
        <f>IFERROR(Table2[[#This Row],[Green Min]]/Table2[[#This Row],[ClassLength]],"")</f>
        <v>0.23214285714285715</v>
      </c>
      <c r="Y230" s="24">
        <f>IFERROR(Table2[[#This Row],[Orange Min]]/Table2[[#This Row],[ClassLength]],"")</f>
        <v>0.2857142857142857</v>
      </c>
      <c r="Z230" s="24">
        <f>IFERROR(Table2[[#This Row],[Red Min]]/Table2[[#This Row],[ClassLength]],"")</f>
        <v>3.5714285714285712E-2</v>
      </c>
      <c r="AA230" s="25">
        <v>232.14</v>
      </c>
      <c r="AB230" s="25">
        <f t="shared" si="69"/>
        <v>15.475999999999999</v>
      </c>
      <c r="AC230" s="26">
        <f t="shared" si="57"/>
        <v>648.06666666666672</v>
      </c>
      <c r="AD230" s="26">
        <f t="shared" si="58"/>
        <v>16.133333333333333</v>
      </c>
      <c r="AE230">
        <f t="shared" si="59"/>
        <v>2021</v>
      </c>
      <c r="AG230">
        <v>12</v>
      </c>
      <c r="AH230" s="26">
        <f t="shared" si="60"/>
        <v>12.071428571428571</v>
      </c>
      <c r="AI230" t="str">
        <f t="shared" si="61"/>
        <v>AM</v>
      </c>
      <c r="AJ230" t="str">
        <f t="shared" si="62"/>
        <v>10-2021-5</v>
      </c>
      <c r="AK230">
        <f t="shared" si="63"/>
        <v>10</v>
      </c>
      <c r="AL230" s="26">
        <f>IFERROR(Table2[[#This Row],[Calories]]/Table2[[#This Row],[Splat]],"")</f>
        <v>37.555555555555557</v>
      </c>
      <c r="AM230">
        <f>COUNTIF(N$2:$N$938,N230)</f>
        <v>218</v>
      </c>
      <c r="AN230" t="str">
        <f>VLOOKUP(N230,'Helpful Tables'!A:D,4,FALSE)</f>
        <v>Washington, DC</v>
      </c>
      <c r="AO230" s="24">
        <f>COUNTIF(AN:AN,Table2[[#This Row],[State]])/COUNTA(AN:AN)</f>
        <v>0.54904051172707891</v>
      </c>
      <c r="AP230">
        <f>VLOOKUP(N230,'Helpful Tables'!A:B,2,FALSE)</f>
        <v>38.934710000000003</v>
      </c>
      <c r="AQ230">
        <f>VLOOKUP(N230,'Helpful Tables'!A:C,3,FALSE)</f>
        <v>-77.058222999999998</v>
      </c>
      <c r="AR230">
        <f>COUNTIF(P$2:$P$938,P230)</f>
        <v>4</v>
      </c>
      <c r="AS230" cm="1">
        <f t="array" ref="AS230">_xlfn.IFS(E230&lt;6,((E230/D230)*60)*0.5,AND(E230&gt;=6,E230&lt;9),((E230/D230)*60)*0.75,AND(E230&gt;=9,E230&lt;=11),((E230/D230)*60)*0.9,AND(E230=12),((E230/D230)*60)*1,AND(E230&gt;=13,E230&lt;=15),((E230/D230)*60)*1.2,AND(E230&gt;=16,E230&lt;=19),((E230/D230)*60)*1.5,E230&gt;=20,((E230/D230)*60)*1.8)</f>
        <v>28.928571428571431</v>
      </c>
      <c r="AT230" cm="1">
        <f t="array" ref="AT230">_xlfn.IFS(F230&lt;550,((F230/D230)*60)*0.5,AND(F230&gt;=550,F230&lt;575),((F230/D230)*60)*0.75,AND(F230&gt;=575,F230&lt;600),((F230/D230)*60)*0.9,AND(F230=600),((F230/D230)*60)*1,AND(F230&gt;=601,F230&lt;=625),((F230/D230)*60)*1.2,AND(F230&gt;=626,F230&lt;=650),((F230/D230)*60)*1.5,F230&gt;=651,((F230/D230)*60)*1.8)</f>
        <v>1303.7142857142856</v>
      </c>
      <c r="AU230">
        <f t="shared" si="70"/>
        <v>11.000000000000002</v>
      </c>
      <c r="AV230">
        <f t="shared" si="68"/>
        <v>535.25714285714287</v>
      </c>
      <c r="AW230">
        <f t="shared" si="71"/>
        <v>95.199999999999989</v>
      </c>
      <c r="AX230" t="str">
        <f t="shared" si="66"/>
        <v>Oct-2021</v>
      </c>
      <c r="AY230">
        <f>ROUNDUP(Table2[[#This Row],[Month]]/3,0)</f>
        <v>4</v>
      </c>
    </row>
    <row r="231" spans="1:51" x14ac:dyDescent="0.2">
      <c r="A231">
        <v>230</v>
      </c>
      <c r="B231">
        <f t="shared" si="53"/>
        <v>15</v>
      </c>
      <c r="C231" s="22">
        <v>44501</v>
      </c>
      <c r="D231">
        <f>SUM(Table2[[#This Row],[Gray Min]:[Red Min]])</f>
        <v>57</v>
      </c>
      <c r="E231">
        <v>17</v>
      </c>
      <c r="F231">
        <v>650</v>
      </c>
      <c r="G231">
        <v>129</v>
      </c>
      <c r="H231">
        <v>166</v>
      </c>
      <c r="I231">
        <v>10</v>
      </c>
      <c r="J231">
        <v>20</v>
      </c>
      <c r="K231">
        <v>10</v>
      </c>
      <c r="L231">
        <v>15</v>
      </c>
      <c r="M231">
        <v>2</v>
      </c>
      <c r="N231" t="s">
        <v>101</v>
      </c>
      <c r="O231" t="s">
        <v>39</v>
      </c>
      <c r="P231" t="s">
        <v>133</v>
      </c>
      <c r="Q231">
        <f t="shared" si="67"/>
        <v>2</v>
      </c>
      <c r="R231" t="str">
        <f t="shared" si="54"/>
        <v>11-2021</v>
      </c>
      <c r="S231" t="s">
        <v>104</v>
      </c>
      <c r="T231" t="str">
        <f t="shared" si="55"/>
        <v>Monday</v>
      </c>
      <c r="U231">
        <f t="shared" si="56"/>
        <v>1</v>
      </c>
      <c r="V231" s="24">
        <f>IFERROR(Table2[[#This Row],[Gray Min]]/Table2[[#This Row],[ClassLength]],"")</f>
        <v>0.17543859649122806</v>
      </c>
      <c r="W231" s="24">
        <f>IFERROR(Table2[[#This Row],[Blue Min]]/Table2[[#This Row],[ClassLength]],"")</f>
        <v>0.35087719298245612</v>
      </c>
      <c r="X231" s="24">
        <f>IFERROR(Table2[[#This Row],[Green Min]]/Table2[[#This Row],[ClassLength]],"")</f>
        <v>0.17543859649122806</v>
      </c>
      <c r="Y231" s="24">
        <f>IFERROR(Table2[[#This Row],[Orange Min]]/Table2[[#This Row],[ClassLength]],"")</f>
        <v>0.26315789473684209</v>
      </c>
      <c r="Z231" s="24">
        <f>IFERROR(Table2[[#This Row],[Red Min]]/Table2[[#This Row],[ClassLength]],"")</f>
        <v>3.5087719298245612E-2</v>
      </c>
      <c r="AA231" s="25">
        <v>232.14</v>
      </c>
      <c r="AB231" s="25">
        <f t="shared" si="69"/>
        <v>15.475999999999999</v>
      </c>
      <c r="AC231" s="26">
        <f t="shared" si="57"/>
        <v>651.57142857142856</v>
      </c>
      <c r="AD231" s="26">
        <f t="shared" si="58"/>
        <v>14.357142857142858</v>
      </c>
      <c r="AE231">
        <f t="shared" si="59"/>
        <v>2021</v>
      </c>
      <c r="AG231">
        <v>12</v>
      </c>
      <c r="AH231" s="26">
        <f t="shared" si="60"/>
        <v>11.403508771929825</v>
      </c>
      <c r="AI231" t="str">
        <f t="shared" si="61"/>
        <v>PM</v>
      </c>
      <c r="AJ231" t="str">
        <f t="shared" si="62"/>
        <v>11-2021-1</v>
      </c>
      <c r="AK231">
        <f t="shared" si="63"/>
        <v>11</v>
      </c>
      <c r="AL231" s="26">
        <f>IFERROR(Table2[[#This Row],[Calories]]/Table2[[#This Row],[Splat]],"")</f>
        <v>38.235294117647058</v>
      </c>
      <c r="AM231">
        <f>COUNTIF(N$2:$N$938,N231)</f>
        <v>191</v>
      </c>
      <c r="AN231" t="str">
        <f>VLOOKUP(N231,'Helpful Tables'!A:D,4,FALSE)</f>
        <v>Washington, DC</v>
      </c>
      <c r="AO231" s="24">
        <f>COUNTIF(AN:AN,Table2[[#This Row],[State]])/COUNTA(AN:AN)</f>
        <v>0.54904051172707891</v>
      </c>
      <c r="AP231">
        <f>VLOOKUP(N231,'Helpful Tables'!A:B,2,FALSE)</f>
        <v>38.949649000000001</v>
      </c>
      <c r="AQ231">
        <f>VLOOKUP(N231,'Helpful Tables'!A:C,3,FALSE)</f>
        <v>-77.080878999999996</v>
      </c>
      <c r="AR231">
        <f>COUNTIF(P$2:$P$938,P231)</f>
        <v>25</v>
      </c>
      <c r="AS231" cm="1">
        <f t="array" ref="AS231">_xlfn.IFS(E231&lt;6,((E231/D231)*60)*0.5,AND(E231&gt;=6,E231&lt;9),((E231/D231)*60)*0.75,AND(E231&gt;=9,E231&lt;=11),((E231/D231)*60)*0.9,AND(E231=12),((E231/D231)*60)*1,AND(E231&gt;=13,E231&lt;=15),((E231/D231)*60)*1.2,AND(E231&gt;=16,E231&lt;=19),((E231/D231)*60)*1.5,E231&gt;=20,((E231/D231)*60)*1.8)</f>
        <v>26.842105263157897</v>
      </c>
      <c r="AT231" cm="1">
        <f t="array" ref="AT231">_xlfn.IFS(F231&lt;550,((F231/D231)*60)*0.5,AND(F231&gt;=550,F231&lt;575),((F231/D231)*60)*0.75,AND(F231&gt;=575,F231&lt;600),((F231/D231)*60)*0.9,AND(F231=600),((F231/D231)*60)*1,AND(F231&gt;=601,F231&lt;=625),((F231/D231)*60)*1.2,AND(F231&gt;=626,F231&lt;=650),((F231/D231)*60)*1.5,F231&gt;=651,((F231/D231)*60)*1.8)</f>
        <v>1026.3157894736842</v>
      </c>
      <c r="AU231">
        <f t="shared" si="70"/>
        <v>0.5</v>
      </c>
      <c r="AV231">
        <f t="shared" si="68"/>
        <v>421.3631578947369</v>
      </c>
      <c r="AW231">
        <f t="shared" si="71"/>
        <v>62.2</v>
      </c>
      <c r="AX231" t="str">
        <f t="shared" si="66"/>
        <v>Nov-2021</v>
      </c>
      <c r="AY231">
        <f>ROUNDUP(Table2[[#This Row],[Month]]/3,0)</f>
        <v>4</v>
      </c>
    </row>
    <row r="232" spans="1:51" x14ac:dyDescent="0.2">
      <c r="A232">
        <v>231</v>
      </c>
      <c r="B232">
        <f t="shared" si="53"/>
        <v>15</v>
      </c>
      <c r="C232" s="22">
        <v>44503</v>
      </c>
      <c r="D232">
        <f>SUM(Table2[[#This Row],[Gray Min]:[Red Min]])</f>
        <v>57</v>
      </c>
      <c r="E232">
        <v>13</v>
      </c>
      <c r="F232">
        <v>680</v>
      </c>
      <c r="G232">
        <v>132</v>
      </c>
      <c r="H232">
        <v>168</v>
      </c>
      <c r="I232">
        <v>5</v>
      </c>
      <c r="J232">
        <v>15</v>
      </c>
      <c r="K232">
        <v>24</v>
      </c>
      <c r="L232">
        <v>11</v>
      </c>
      <c r="M232">
        <v>2</v>
      </c>
      <c r="N232" t="s">
        <v>91</v>
      </c>
      <c r="O232" t="s">
        <v>39</v>
      </c>
      <c r="P232" t="s">
        <v>120</v>
      </c>
      <c r="Q232">
        <f t="shared" si="67"/>
        <v>2</v>
      </c>
      <c r="R232" t="str">
        <f t="shared" si="54"/>
        <v>11-2021</v>
      </c>
      <c r="S232" t="s">
        <v>104</v>
      </c>
      <c r="T232" t="str">
        <f t="shared" si="55"/>
        <v>Wednesday</v>
      </c>
      <c r="U232">
        <f t="shared" si="56"/>
        <v>1</v>
      </c>
      <c r="V232" s="24">
        <f>IFERROR(Table2[[#This Row],[Gray Min]]/Table2[[#This Row],[ClassLength]],"")</f>
        <v>8.771929824561403E-2</v>
      </c>
      <c r="W232" s="24">
        <f>IFERROR(Table2[[#This Row],[Blue Min]]/Table2[[#This Row],[ClassLength]],"")</f>
        <v>0.26315789473684209</v>
      </c>
      <c r="X232" s="24">
        <f>IFERROR(Table2[[#This Row],[Green Min]]/Table2[[#This Row],[ClassLength]],"")</f>
        <v>0.42105263157894735</v>
      </c>
      <c r="Y232" s="24">
        <f>IFERROR(Table2[[#This Row],[Orange Min]]/Table2[[#This Row],[ClassLength]],"")</f>
        <v>0.19298245614035087</v>
      </c>
      <c r="Z232" s="24">
        <f>IFERROR(Table2[[#This Row],[Red Min]]/Table2[[#This Row],[ClassLength]],"")</f>
        <v>3.5087719298245612E-2</v>
      </c>
      <c r="AA232" s="25">
        <v>232.14</v>
      </c>
      <c r="AB232" s="25">
        <f t="shared" si="69"/>
        <v>15.475999999999999</v>
      </c>
      <c r="AC232" s="26">
        <f t="shared" si="57"/>
        <v>651.57142857142856</v>
      </c>
      <c r="AD232" s="26">
        <f t="shared" si="58"/>
        <v>14.357142857142858</v>
      </c>
      <c r="AE232">
        <f t="shared" si="59"/>
        <v>2021</v>
      </c>
      <c r="AG232">
        <v>12</v>
      </c>
      <c r="AH232" s="26">
        <f t="shared" si="60"/>
        <v>11.929824561403509</v>
      </c>
      <c r="AI232" t="str">
        <f t="shared" si="61"/>
        <v>PM</v>
      </c>
      <c r="AJ232" t="str">
        <f t="shared" si="62"/>
        <v>11-2021-1</v>
      </c>
      <c r="AK232">
        <f t="shared" si="63"/>
        <v>11</v>
      </c>
      <c r="AL232" s="26">
        <f>IFERROR(Table2[[#This Row],[Calories]]/Table2[[#This Row],[Splat]],"")</f>
        <v>52.307692307692307</v>
      </c>
      <c r="AM232">
        <f>COUNTIF(N$2:$N$938,N232)</f>
        <v>218</v>
      </c>
      <c r="AN232" t="str">
        <f>VLOOKUP(N232,'Helpful Tables'!A:D,4,FALSE)</f>
        <v>Washington, DC</v>
      </c>
      <c r="AO232" s="24">
        <f>COUNTIF(AN:AN,Table2[[#This Row],[State]])/COUNTA(AN:AN)</f>
        <v>0.54904051172707891</v>
      </c>
      <c r="AP232">
        <f>VLOOKUP(N232,'Helpful Tables'!A:B,2,FALSE)</f>
        <v>38.934710000000003</v>
      </c>
      <c r="AQ232">
        <f>VLOOKUP(N232,'Helpful Tables'!A:C,3,FALSE)</f>
        <v>-77.058222999999998</v>
      </c>
      <c r="AR232">
        <f>COUNTIF(P$2:$P$938,P232)</f>
        <v>4</v>
      </c>
      <c r="AS232" cm="1">
        <f t="array" ref="AS232">_xlfn.IFS(E232&lt;6,((E232/D232)*60)*0.5,AND(E232&gt;=6,E232&lt;9),((E232/D232)*60)*0.75,AND(E232&gt;=9,E232&lt;=11),((E232/D232)*60)*0.9,AND(E232=12),((E232/D232)*60)*1,AND(E232&gt;=13,E232&lt;=15),((E232/D232)*60)*1.2,AND(E232&gt;=16,E232&lt;=19),((E232/D232)*60)*1.5,E232&gt;=20,((E232/D232)*60)*1.8)</f>
        <v>16.421052631578945</v>
      </c>
      <c r="AT232" cm="1">
        <f t="array" ref="AT232">_xlfn.IFS(F232&lt;550,((F232/D232)*60)*0.5,AND(F232&gt;=550,F232&lt;575),((F232/D232)*60)*0.75,AND(F232&gt;=575,F232&lt;600),((F232/D232)*60)*0.9,AND(F232=600),((F232/D232)*60)*1,AND(F232&gt;=601,F232&lt;=625),((F232/D232)*60)*1.2,AND(F232&gt;=626,F232&lt;=650),((F232/D232)*60)*1.5,F232&gt;=651,((F232/D232)*60)*1.8)</f>
        <v>1288.421052631579</v>
      </c>
      <c r="AU232">
        <f t="shared" si="70"/>
        <v>23.599999999999998</v>
      </c>
      <c r="AV232">
        <f t="shared" si="68"/>
        <v>526.65684210526319</v>
      </c>
      <c r="AW232">
        <f t="shared" si="71"/>
        <v>92.9</v>
      </c>
      <c r="AX232" t="str">
        <f t="shared" si="66"/>
        <v>Nov-2021</v>
      </c>
      <c r="AY232">
        <f>ROUNDUP(Table2[[#This Row],[Month]]/3,0)</f>
        <v>4</v>
      </c>
    </row>
    <row r="233" spans="1:51" x14ac:dyDescent="0.2">
      <c r="A233">
        <v>232</v>
      </c>
      <c r="B233">
        <f t="shared" si="53"/>
        <v>15</v>
      </c>
      <c r="C233" s="22">
        <v>44504</v>
      </c>
      <c r="D233">
        <f>SUM(Table2[[#This Row],[Gray Min]:[Red Min]])</f>
        <v>57</v>
      </c>
      <c r="E233">
        <v>6</v>
      </c>
      <c r="F233">
        <v>551</v>
      </c>
      <c r="G233">
        <v>116</v>
      </c>
      <c r="H233">
        <v>162</v>
      </c>
      <c r="I233">
        <v>19</v>
      </c>
      <c r="J233">
        <v>22</v>
      </c>
      <c r="K233">
        <v>10</v>
      </c>
      <c r="L233">
        <v>6</v>
      </c>
      <c r="M233">
        <v>0</v>
      </c>
      <c r="N233" t="s">
        <v>101</v>
      </c>
      <c r="O233" t="s">
        <v>39</v>
      </c>
      <c r="P233" t="s">
        <v>109</v>
      </c>
      <c r="Q233">
        <f t="shared" si="67"/>
        <v>1</v>
      </c>
      <c r="R233" t="str">
        <f t="shared" si="54"/>
        <v>11-2021</v>
      </c>
      <c r="S233" t="s">
        <v>104</v>
      </c>
      <c r="T233" t="str">
        <f t="shared" si="55"/>
        <v>Thursday</v>
      </c>
      <c r="U233">
        <f t="shared" si="56"/>
        <v>0</v>
      </c>
      <c r="V233" s="24">
        <f>IFERROR(Table2[[#This Row],[Gray Min]]/Table2[[#This Row],[ClassLength]],"")</f>
        <v>0.33333333333333331</v>
      </c>
      <c r="W233" s="24">
        <f>IFERROR(Table2[[#This Row],[Blue Min]]/Table2[[#This Row],[ClassLength]],"")</f>
        <v>0.38596491228070173</v>
      </c>
      <c r="X233" s="24">
        <f>IFERROR(Table2[[#This Row],[Green Min]]/Table2[[#This Row],[ClassLength]],"")</f>
        <v>0.17543859649122806</v>
      </c>
      <c r="Y233" s="24">
        <f>IFERROR(Table2[[#This Row],[Orange Min]]/Table2[[#This Row],[ClassLength]],"")</f>
        <v>0.10526315789473684</v>
      </c>
      <c r="Z233" s="24">
        <f>IFERROR(Table2[[#This Row],[Red Min]]/Table2[[#This Row],[ClassLength]],"")</f>
        <v>0</v>
      </c>
      <c r="AA233" s="25">
        <v>232.14</v>
      </c>
      <c r="AB233" s="25">
        <f t="shared" si="69"/>
        <v>15.475999999999999</v>
      </c>
      <c r="AC233" s="26">
        <f t="shared" si="57"/>
        <v>651.57142857142856</v>
      </c>
      <c r="AD233" s="26">
        <f t="shared" si="58"/>
        <v>14.357142857142858</v>
      </c>
      <c r="AE233">
        <f t="shared" si="59"/>
        <v>2021</v>
      </c>
      <c r="AG233">
        <v>12</v>
      </c>
      <c r="AH233" s="26">
        <f t="shared" si="60"/>
        <v>9.6666666666666661</v>
      </c>
      <c r="AI233" t="str">
        <f t="shared" si="61"/>
        <v>PM</v>
      </c>
      <c r="AJ233" t="str">
        <f t="shared" si="62"/>
        <v>11-2021-1</v>
      </c>
      <c r="AK233">
        <f t="shared" si="63"/>
        <v>11</v>
      </c>
      <c r="AL233" s="26">
        <f>IFERROR(Table2[[#This Row],[Calories]]/Table2[[#This Row],[Splat]],"")</f>
        <v>91.833333333333329</v>
      </c>
      <c r="AM233">
        <f>COUNTIF(N$2:$N$938,N233)</f>
        <v>191</v>
      </c>
      <c r="AN233" t="str">
        <f>VLOOKUP(N233,'Helpful Tables'!A:D,4,FALSE)</f>
        <v>Washington, DC</v>
      </c>
      <c r="AO233" s="24">
        <f>COUNTIF(AN:AN,Table2[[#This Row],[State]])/COUNTA(AN:AN)</f>
        <v>0.54904051172707891</v>
      </c>
      <c r="AP233">
        <f>VLOOKUP(N233,'Helpful Tables'!A:B,2,FALSE)</f>
        <v>38.949649000000001</v>
      </c>
      <c r="AQ233">
        <f>VLOOKUP(N233,'Helpful Tables'!A:C,3,FALSE)</f>
        <v>-77.080878999999996</v>
      </c>
      <c r="AR233">
        <f>COUNTIF(P$2:$P$938,P233)</f>
        <v>66</v>
      </c>
      <c r="AS233" cm="1">
        <f t="array" ref="AS233">_xlfn.IFS(E233&lt;6,((E233/D233)*60)*0.5,AND(E233&gt;=6,E233&lt;9),((E233/D233)*60)*0.75,AND(E233&gt;=9,E233&lt;=11),((E233/D233)*60)*0.9,AND(E233=12),((E233/D233)*60)*1,AND(E233&gt;=13,E233&lt;=15),((E233/D233)*60)*1.2,AND(E233&gt;=16,E233&lt;=19),((E233/D233)*60)*1.5,E233&gt;=20,((E233/D233)*60)*1.8)</f>
        <v>4.7368421052631575</v>
      </c>
      <c r="AT233" cm="1">
        <f t="array" ref="AT233">_xlfn.IFS(F233&lt;550,((F233/D233)*60)*0.5,AND(F233&gt;=550,F233&lt;575),((F233/D233)*60)*0.75,AND(F233&gt;=575,F233&lt;600),((F233/D233)*60)*0.9,AND(F233=600),((F233/D233)*60)*1,AND(F233&gt;=601,F233&lt;=625),((F233/D233)*60)*1.2,AND(F233&gt;=626,F233&lt;=650),((F233/D233)*60)*1.5,F233&gt;=651,((F233/D233)*60)*1.8)</f>
        <v>435</v>
      </c>
      <c r="AU233">
        <f t="shared" si="70"/>
        <v>-27.2</v>
      </c>
      <c r="AV233">
        <f t="shared" si="68"/>
        <v>170.45473684210526</v>
      </c>
      <c r="AW233">
        <f t="shared" si="71"/>
        <v>8.2000000000000011</v>
      </c>
      <c r="AX233" t="str">
        <f t="shared" si="66"/>
        <v>Nov-2021</v>
      </c>
      <c r="AY233">
        <f>ROUNDUP(Table2[[#This Row],[Month]]/3,0)</f>
        <v>4</v>
      </c>
    </row>
    <row r="234" spans="1:51" x14ac:dyDescent="0.2">
      <c r="A234">
        <v>233</v>
      </c>
      <c r="B234">
        <f t="shared" si="53"/>
        <v>15</v>
      </c>
      <c r="C234" s="22">
        <v>44507</v>
      </c>
      <c r="D234">
        <f>SUM(Table2[[#This Row],[Gray Min]:[Red Min]])</f>
        <v>56</v>
      </c>
      <c r="E234">
        <v>13</v>
      </c>
      <c r="F234">
        <v>609</v>
      </c>
      <c r="G234">
        <v>126</v>
      </c>
      <c r="H234">
        <v>168</v>
      </c>
      <c r="I234">
        <v>12</v>
      </c>
      <c r="J234">
        <v>17</v>
      </c>
      <c r="K234">
        <v>14</v>
      </c>
      <c r="L234">
        <v>11</v>
      </c>
      <c r="M234">
        <v>2</v>
      </c>
      <c r="N234" t="s">
        <v>91</v>
      </c>
      <c r="O234" t="s">
        <v>45</v>
      </c>
      <c r="P234" t="s">
        <v>100</v>
      </c>
      <c r="Q234">
        <f t="shared" si="67"/>
        <v>3</v>
      </c>
      <c r="R234" t="str">
        <f t="shared" si="54"/>
        <v>11-2021</v>
      </c>
      <c r="S234" t="s">
        <v>104</v>
      </c>
      <c r="T234" t="str">
        <f t="shared" si="55"/>
        <v>Sunday</v>
      </c>
      <c r="U234">
        <f t="shared" si="56"/>
        <v>1</v>
      </c>
      <c r="V234" s="24">
        <f>IFERROR(Table2[[#This Row],[Gray Min]]/Table2[[#This Row],[ClassLength]],"")</f>
        <v>0.21428571428571427</v>
      </c>
      <c r="W234" s="24">
        <f>IFERROR(Table2[[#This Row],[Blue Min]]/Table2[[#This Row],[ClassLength]],"")</f>
        <v>0.30357142857142855</v>
      </c>
      <c r="X234" s="24">
        <f>IFERROR(Table2[[#This Row],[Green Min]]/Table2[[#This Row],[ClassLength]],"")</f>
        <v>0.25</v>
      </c>
      <c r="Y234" s="24">
        <f>IFERROR(Table2[[#This Row],[Orange Min]]/Table2[[#This Row],[ClassLength]],"")</f>
        <v>0.19642857142857142</v>
      </c>
      <c r="Z234" s="24">
        <f>IFERROR(Table2[[#This Row],[Red Min]]/Table2[[#This Row],[ClassLength]],"")</f>
        <v>3.5714285714285712E-2</v>
      </c>
      <c r="AA234" s="25">
        <v>232.14</v>
      </c>
      <c r="AB234" s="25">
        <f t="shared" si="69"/>
        <v>15.475999999999999</v>
      </c>
      <c r="AC234" s="26">
        <f t="shared" si="57"/>
        <v>651.57142857142856</v>
      </c>
      <c r="AD234" s="26">
        <f t="shared" si="58"/>
        <v>14.357142857142858</v>
      </c>
      <c r="AE234">
        <f t="shared" si="59"/>
        <v>2021</v>
      </c>
      <c r="AG234">
        <v>12</v>
      </c>
      <c r="AH234" s="26">
        <f t="shared" si="60"/>
        <v>10.875</v>
      </c>
      <c r="AI234" t="str">
        <f t="shared" si="61"/>
        <v>AM</v>
      </c>
      <c r="AJ234" t="str">
        <f t="shared" si="62"/>
        <v>11-2021-2</v>
      </c>
      <c r="AK234">
        <f t="shared" si="63"/>
        <v>11</v>
      </c>
      <c r="AL234" s="26">
        <f>IFERROR(Table2[[#This Row],[Calories]]/Table2[[#This Row],[Splat]],"")</f>
        <v>46.846153846153847</v>
      </c>
      <c r="AM234">
        <f>COUNTIF(N$2:$N$938,N234)</f>
        <v>218</v>
      </c>
      <c r="AN234" t="str">
        <f>VLOOKUP(N234,'Helpful Tables'!A:D,4,FALSE)</f>
        <v>Washington, DC</v>
      </c>
      <c r="AO234" s="24">
        <f>COUNTIF(AN:AN,Table2[[#This Row],[State]])/COUNTA(AN:AN)</f>
        <v>0.54904051172707891</v>
      </c>
      <c r="AP234">
        <f>VLOOKUP(N234,'Helpful Tables'!A:B,2,FALSE)</f>
        <v>38.934710000000003</v>
      </c>
      <c r="AQ234">
        <f>VLOOKUP(N234,'Helpful Tables'!A:C,3,FALSE)</f>
        <v>-77.058222999999998</v>
      </c>
      <c r="AR234">
        <f>COUNTIF(P$2:$P$938,P234)</f>
        <v>35</v>
      </c>
      <c r="AS234" cm="1">
        <f t="array" ref="AS234">_xlfn.IFS(E234&lt;6,((E234/D234)*60)*0.5,AND(E234&gt;=6,E234&lt;9),((E234/D234)*60)*0.75,AND(E234&gt;=9,E234&lt;=11),((E234/D234)*60)*0.9,AND(E234=12),((E234/D234)*60)*1,AND(E234&gt;=13,E234&lt;=15),((E234/D234)*60)*1.2,AND(E234&gt;=16,E234&lt;=19),((E234/D234)*60)*1.5,E234&gt;=20,((E234/D234)*60)*1.8)</f>
        <v>16.714285714285715</v>
      </c>
      <c r="AT234" cm="1">
        <f t="array" ref="AT234">_xlfn.IFS(F234&lt;550,((F234/D234)*60)*0.5,AND(F234&gt;=550,F234&lt;575),((F234/D234)*60)*0.75,AND(F234&gt;=575,F234&lt;600),((F234/D234)*60)*0.9,AND(F234=600),((F234/D234)*60)*1,AND(F234&gt;=601,F234&lt;=625),((F234/D234)*60)*1.2,AND(F234&gt;=626,F234&lt;=650),((F234/D234)*60)*1.5,F234&gt;=651,((F234/D234)*60)*1.8)</f>
        <v>783</v>
      </c>
      <c r="AU234">
        <f t="shared" si="70"/>
        <v>1</v>
      </c>
      <c r="AV234">
        <f t="shared" si="68"/>
        <v>320.08571428571435</v>
      </c>
      <c r="AW234">
        <f t="shared" si="71"/>
        <v>37.1</v>
      </c>
      <c r="AX234" t="str">
        <f t="shared" si="66"/>
        <v>Nov-2021</v>
      </c>
      <c r="AY234">
        <f>ROUNDUP(Table2[[#This Row],[Month]]/3,0)</f>
        <v>4</v>
      </c>
    </row>
    <row r="235" spans="1:51" x14ac:dyDescent="0.2">
      <c r="A235">
        <v>234</v>
      </c>
      <c r="B235">
        <f t="shared" si="53"/>
        <v>15</v>
      </c>
      <c r="C235" s="22">
        <v>44508</v>
      </c>
      <c r="D235">
        <f>SUM(Table2[[#This Row],[Gray Min]:[Red Min]])</f>
        <v>59</v>
      </c>
      <c r="E235">
        <v>19</v>
      </c>
      <c r="F235">
        <v>649</v>
      </c>
      <c r="G235">
        <v>126</v>
      </c>
      <c r="H235">
        <v>163</v>
      </c>
      <c r="I235">
        <v>15</v>
      </c>
      <c r="J235">
        <v>18</v>
      </c>
      <c r="K235">
        <v>7</v>
      </c>
      <c r="L235">
        <v>18</v>
      </c>
      <c r="M235">
        <v>1</v>
      </c>
      <c r="N235" t="s">
        <v>101</v>
      </c>
      <c r="O235" t="s">
        <v>39</v>
      </c>
      <c r="P235" t="s">
        <v>133</v>
      </c>
      <c r="Q235">
        <f t="shared" si="67"/>
        <v>1</v>
      </c>
      <c r="R235" t="str">
        <f t="shared" si="54"/>
        <v>11-2021</v>
      </c>
      <c r="S235" t="s">
        <v>104</v>
      </c>
      <c r="T235" t="str">
        <f t="shared" si="55"/>
        <v>Monday</v>
      </c>
      <c r="U235">
        <f t="shared" si="56"/>
        <v>1</v>
      </c>
      <c r="V235" s="24">
        <f>IFERROR(Table2[[#This Row],[Gray Min]]/Table2[[#This Row],[ClassLength]],"")</f>
        <v>0.25423728813559321</v>
      </c>
      <c r="W235" s="24">
        <f>IFERROR(Table2[[#This Row],[Blue Min]]/Table2[[#This Row],[ClassLength]],"")</f>
        <v>0.30508474576271188</v>
      </c>
      <c r="X235" s="24">
        <f>IFERROR(Table2[[#This Row],[Green Min]]/Table2[[#This Row],[ClassLength]],"")</f>
        <v>0.11864406779661017</v>
      </c>
      <c r="Y235" s="24">
        <f>IFERROR(Table2[[#This Row],[Orange Min]]/Table2[[#This Row],[ClassLength]],"")</f>
        <v>0.30508474576271188</v>
      </c>
      <c r="Z235" s="24">
        <f>IFERROR(Table2[[#This Row],[Red Min]]/Table2[[#This Row],[ClassLength]],"")</f>
        <v>1.6949152542372881E-2</v>
      </c>
      <c r="AA235" s="25">
        <v>232.14</v>
      </c>
      <c r="AB235" s="25">
        <f t="shared" si="69"/>
        <v>15.475999999999999</v>
      </c>
      <c r="AC235" s="26">
        <f t="shared" si="57"/>
        <v>651.57142857142856</v>
      </c>
      <c r="AD235" s="26">
        <f t="shared" si="58"/>
        <v>14.357142857142858</v>
      </c>
      <c r="AE235">
        <f t="shared" si="59"/>
        <v>2021</v>
      </c>
      <c r="AG235">
        <v>12</v>
      </c>
      <c r="AH235" s="26">
        <f t="shared" si="60"/>
        <v>11</v>
      </c>
      <c r="AI235" t="str">
        <f t="shared" si="61"/>
        <v>PM</v>
      </c>
      <c r="AJ235" t="str">
        <f t="shared" si="62"/>
        <v>11-2021-2</v>
      </c>
      <c r="AK235">
        <f t="shared" si="63"/>
        <v>11</v>
      </c>
      <c r="AL235" s="26">
        <f>IFERROR(Table2[[#This Row],[Calories]]/Table2[[#This Row],[Splat]],"")</f>
        <v>34.157894736842103</v>
      </c>
      <c r="AM235">
        <f>COUNTIF(N$2:$N$938,N235)</f>
        <v>191</v>
      </c>
      <c r="AN235" t="str">
        <f>VLOOKUP(N235,'Helpful Tables'!A:D,4,FALSE)</f>
        <v>Washington, DC</v>
      </c>
      <c r="AO235" s="24">
        <f>COUNTIF(AN:AN,Table2[[#This Row],[State]])/COUNTA(AN:AN)</f>
        <v>0.54904051172707891</v>
      </c>
      <c r="AP235">
        <f>VLOOKUP(N235,'Helpful Tables'!A:B,2,FALSE)</f>
        <v>38.949649000000001</v>
      </c>
      <c r="AQ235">
        <f>VLOOKUP(N235,'Helpful Tables'!A:C,3,FALSE)</f>
        <v>-77.080878999999996</v>
      </c>
      <c r="AR235">
        <f>COUNTIF(P$2:$P$938,P235)</f>
        <v>25</v>
      </c>
      <c r="AS235" cm="1">
        <f t="array" ref="AS235">_xlfn.IFS(E235&lt;6,((E235/D235)*60)*0.5,AND(E235&gt;=6,E235&lt;9),((E235/D235)*60)*0.75,AND(E235&gt;=9,E235&lt;=11),((E235/D235)*60)*0.9,AND(E235=12),((E235/D235)*60)*1,AND(E235&gt;=13,E235&lt;=15),((E235/D235)*60)*1.2,AND(E235&gt;=16,E235&lt;=19),((E235/D235)*60)*1.5,E235&gt;=20,((E235/D235)*60)*1.8)</f>
        <v>28.983050847457626</v>
      </c>
      <c r="AT235" cm="1">
        <f t="array" ref="AT235">_xlfn.IFS(F235&lt;550,((F235/D235)*60)*0.5,AND(F235&gt;=550,F235&lt;575),((F235/D235)*60)*0.75,AND(F235&gt;=575,F235&lt;600),((F235/D235)*60)*0.9,AND(F235=600),((F235/D235)*60)*1,AND(F235&gt;=601,F235&lt;=625),((F235/D235)*60)*1.2,AND(F235&gt;=626,F235&lt;=650),((F235/D235)*60)*1.5,F235&gt;=651,((F235/D235)*60)*1.8)</f>
        <v>990</v>
      </c>
      <c r="AU235">
        <f t="shared" si="70"/>
        <v>-4.4999999999999964</v>
      </c>
      <c r="AV235">
        <f t="shared" si="68"/>
        <v>406.69322033898305</v>
      </c>
      <c r="AW235">
        <f t="shared" si="71"/>
        <v>56.899999999999991</v>
      </c>
      <c r="AX235" t="str">
        <f t="shared" si="66"/>
        <v>Nov-2021</v>
      </c>
      <c r="AY235">
        <f>ROUNDUP(Table2[[#This Row],[Month]]/3,0)</f>
        <v>4</v>
      </c>
    </row>
    <row r="236" spans="1:51" x14ac:dyDescent="0.2">
      <c r="A236">
        <v>235</v>
      </c>
      <c r="B236">
        <f t="shared" si="53"/>
        <v>15</v>
      </c>
      <c r="C236" s="22">
        <v>44510</v>
      </c>
      <c r="D236">
        <f>SUM(Table2[[#This Row],[Gray Min]:[Red Min]])</f>
        <v>58</v>
      </c>
      <c r="E236">
        <v>15</v>
      </c>
      <c r="F236">
        <v>685</v>
      </c>
      <c r="G236">
        <v>131</v>
      </c>
      <c r="H236">
        <v>167</v>
      </c>
      <c r="I236">
        <v>5</v>
      </c>
      <c r="J236">
        <v>16</v>
      </c>
      <c r="K236">
        <v>22</v>
      </c>
      <c r="L236">
        <v>13</v>
      </c>
      <c r="M236">
        <v>2</v>
      </c>
      <c r="N236" t="s">
        <v>91</v>
      </c>
      <c r="O236" t="s">
        <v>39</v>
      </c>
      <c r="P236" t="s">
        <v>96</v>
      </c>
      <c r="Q236">
        <f t="shared" si="67"/>
        <v>2</v>
      </c>
      <c r="R236" t="str">
        <f t="shared" si="54"/>
        <v>11-2021</v>
      </c>
      <c r="S236" t="s">
        <v>104</v>
      </c>
      <c r="T236" t="str">
        <f t="shared" si="55"/>
        <v>Wednesday</v>
      </c>
      <c r="U236">
        <f t="shared" si="56"/>
        <v>1</v>
      </c>
      <c r="V236" s="24">
        <f>IFERROR(Table2[[#This Row],[Gray Min]]/Table2[[#This Row],[ClassLength]],"")</f>
        <v>8.6206896551724144E-2</v>
      </c>
      <c r="W236" s="24">
        <f>IFERROR(Table2[[#This Row],[Blue Min]]/Table2[[#This Row],[ClassLength]],"")</f>
        <v>0.27586206896551724</v>
      </c>
      <c r="X236" s="24">
        <f>IFERROR(Table2[[#This Row],[Green Min]]/Table2[[#This Row],[ClassLength]],"")</f>
        <v>0.37931034482758619</v>
      </c>
      <c r="Y236" s="24">
        <f>IFERROR(Table2[[#This Row],[Orange Min]]/Table2[[#This Row],[ClassLength]],"")</f>
        <v>0.22413793103448276</v>
      </c>
      <c r="Z236" s="24">
        <f>IFERROR(Table2[[#This Row],[Red Min]]/Table2[[#This Row],[ClassLength]],"")</f>
        <v>3.4482758620689655E-2</v>
      </c>
      <c r="AA236" s="25">
        <v>232.14</v>
      </c>
      <c r="AB236" s="25">
        <f t="shared" si="69"/>
        <v>15.475999999999999</v>
      </c>
      <c r="AC236" s="26">
        <f t="shared" si="57"/>
        <v>651.57142857142856</v>
      </c>
      <c r="AD236" s="26">
        <f t="shared" si="58"/>
        <v>14.357142857142858</v>
      </c>
      <c r="AE236">
        <f t="shared" si="59"/>
        <v>2021</v>
      </c>
      <c r="AG236">
        <v>12</v>
      </c>
      <c r="AH236" s="26">
        <f t="shared" si="60"/>
        <v>11.810344827586206</v>
      </c>
      <c r="AI236" t="str">
        <f t="shared" si="61"/>
        <v>PM</v>
      </c>
      <c r="AJ236" t="str">
        <f t="shared" si="62"/>
        <v>11-2021-2</v>
      </c>
      <c r="AK236">
        <f t="shared" si="63"/>
        <v>11</v>
      </c>
      <c r="AL236" s="26">
        <f>IFERROR(Table2[[#This Row],[Calories]]/Table2[[#This Row],[Splat]],"")</f>
        <v>45.666666666666664</v>
      </c>
      <c r="AM236">
        <f>COUNTIF(N$2:$N$938,N236)</f>
        <v>218</v>
      </c>
      <c r="AN236" t="str">
        <f>VLOOKUP(N236,'Helpful Tables'!A:D,4,FALSE)</f>
        <v>Washington, DC</v>
      </c>
      <c r="AO236" s="24">
        <f>COUNTIF(AN:AN,Table2[[#This Row],[State]])/COUNTA(AN:AN)</f>
        <v>0.54904051172707891</v>
      </c>
      <c r="AP236">
        <f>VLOOKUP(N236,'Helpful Tables'!A:B,2,FALSE)</f>
        <v>38.934710000000003</v>
      </c>
      <c r="AQ236">
        <f>VLOOKUP(N236,'Helpful Tables'!A:C,3,FALSE)</f>
        <v>-77.058222999999998</v>
      </c>
      <c r="AR236">
        <f>COUNTIF(P$2:$P$938,P236)</f>
        <v>71</v>
      </c>
      <c r="AS236" cm="1">
        <f t="array" ref="AS236">_xlfn.IFS(E236&lt;6,((E236/D236)*60)*0.5,AND(E236&gt;=6,E236&lt;9),((E236/D236)*60)*0.75,AND(E236&gt;=9,E236&lt;=11),((E236/D236)*60)*0.9,AND(E236=12),((E236/D236)*60)*1,AND(E236&gt;=13,E236&lt;=15),((E236/D236)*60)*1.2,AND(E236&gt;=16,E236&lt;=19),((E236/D236)*60)*1.5,E236&gt;=20,((E236/D236)*60)*1.8)</f>
        <v>18.620689655172413</v>
      </c>
      <c r="AT236" cm="1">
        <f t="array" ref="AT236">_xlfn.IFS(F236&lt;550,((F236/D236)*60)*0.5,AND(F236&gt;=550,F236&lt;575),((F236/D236)*60)*0.75,AND(F236&gt;=575,F236&lt;600),((F236/D236)*60)*0.9,AND(F236=600),((F236/D236)*60)*1,AND(F236&gt;=601,F236&lt;=625),((F236/D236)*60)*1.2,AND(F236&gt;=626,F236&lt;=650),((F236/D236)*60)*1.5,F236&gt;=651,((F236/D236)*60)*1.8)</f>
        <v>1275.5172413793102</v>
      </c>
      <c r="AU236">
        <f t="shared" si="70"/>
        <v>22.7</v>
      </c>
      <c r="AV236">
        <f t="shared" si="68"/>
        <v>522.1951724137931</v>
      </c>
      <c r="AW236">
        <f t="shared" si="71"/>
        <v>90.9</v>
      </c>
      <c r="AX236" t="str">
        <f t="shared" si="66"/>
        <v>Nov-2021</v>
      </c>
      <c r="AY236">
        <f>ROUNDUP(Table2[[#This Row],[Month]]/3,0)</f>
        <v>4</v>
      </c>
    </row>
    <row r="237" spans="1:51" x14ac:dyDescent="0.2">
      <c r="A237">
        <v>236</v>
      </c>
      <c r="B237">
        <f t="shared" si="53"/>
        <v>15</v>
      </c>
      <c r="C237" s="22">
        <v>44512</v>
      </c>
      <c r="D237">
        <f>SUM(Table2[[#This Row],[Gray Min]:[Red Min]])</f>
        <v>0</v>
      </c>
      <c r="G237">
        <v>0</v>
      </c>
      <c r="H237">
        <v>0</v>
      </c>
      <c r="N237" t="s">
        <v>101</v>
      </c>
      <c r="O237" t="s">
        <v>39</v>
      </c>
      <c r="P237" t="s">
        <v>133</v>
      </c>
      <c r="Q237">
        <f t="shared" si="67"/>
        <v>2</v>
      </c>
      <c r="R237" t="str">
        <f t="shared" si="54"/>
        <v>11-2021</v>
      </c>
      <c r="S237" t="s">
        <v>104</v>
      </c>
      <c r="T237" t="str">
        <f t="shared" si="55"/>
        <v>Friday</v>
      </c>
      <c r="U237">
        <f t="shared" si="56"/>
        <v>0</v>
      </c>
      <c r="V237" s="24" t="str">
        <f>IFERROR(Table2[[#This Row],[Gray Min]]/Table2[[#This Row],[ClassLength]],"")</f>
        <v/>
      </c>
      <c r="W237" s="24" t="str">
        <f>IFERROR(Table2[[#This Row],[Blue Min]]/Table2[[#This Row],[ClassLength]],"")</f>
        <v/>
      </c>
      <c r="X237" s="24" t="str">
        <f>IFERROR(Table2[[#This Row],[Green Min]]/Table2[[#This Row],[ClassLength]],"")</f>
        <v/>
      </c>
      <c r="Y237" s="24" t="str">
        <f>IFERROR(Table2[[#This Row],[Orange Min]]/Table2[[#This Row],[ClassLength]],"")</f>
        <v/>
      </c>
      <c r="Z237" s="24" t="str">
        <f>IFERROR(Table2[[#This Row],[Red Min]]/Table2[[#This Row],[ClassLength]],"")</f>
        <v/>
      </c>
      <c r="AA237" s="25">
        <v>232.14</v>
      </c>
      <c r="AB237" s="25">
        <f t="shared" si="69"/>
        <v>15.475999999999999</v>
      </c>
      <c r="AC237" s="26">
        <f t="shared" si="57"/>
        <v>651.57142857142856</v>
      </c>
      <c r="AD237" s="26">
        <f t="shared" si="58"/>
        <v>14.357142857142858</v>
      </c>
      <c r="AE237">
        <f t="shared" si="59"/>
        <v>2021</v>
      </c>
      <c r="AG237">
        <v>12</v>
      </c>
      <c r="AH237" s="26" t="e">
        <f t="shared" si="60"/>
        <v>#DIV/0!</v>
      </c>
      <c r="AI237" t="str">
        <f t="shared" si="61"/>
        <v>PM</v>
      </c>
      <c r="AJ237" t="str">
        <f t="shared" si="62"/>
        <v>11-2021-2</v>
      </c>
      <c r="AK237">
        <f t="shared" si="63"/>
        <v>11</v>
      </c>
      <c r="AL237" s="26" t="str">
        <f>IFERROR(Table2[[#This Row],[Calories]]/Table2[[#This Row],[Splat]],"")</f>
        <v/>
      </c>
      <c r="AM237">
        <f>COUNTIF(N$2:$N$938,N237)</f>
        <v>191</v>
      </c>
      <c r="AN237" t="str">
        <f>VLOOKUP(N237,'Helpful Tables'!A:D,4,FALSE)</f>
        <v>Washington, DC</v>
      </c>
      <c r="AO237" s="24">
        <f>COUNTIF(AN:AN,Table2[[#This Row],[State]])/COUNTA(AN:AN)</f>
        <v>0.54904051172707891</v>
      </c>
      <c r="AP237">
        <f>VLOOKUP(N237,'Helpful Tables'!A:B,2,FALSE)</f>
        <v>38.949649000000001</v>
      </c>
      <c r="AQ237">
        <f>VLOOKUP(N237,'Helpful Tables'!A:C,3,FALSE)</f>
        <v>-77.080878999999996</v>
      </c>
      <c r="AR237">
        <f>COUNTIF(P$2:$P$938,P237)</f>
        <v>25</v>
      </c>
      <c r="AX237" t="str">
        <f t="shared" si="66"/>
        <v>Nov-2021</v>
      </c>
      <c r="AY237">
        <f>ROUNDUP(Table2[[#This Row],[Month]]/3,0)</f>
        <v>4</v>
      </c>
    </row>
    <row r="238" spans="1:51" x14ac:dyDescent="0.2">
      <c r="A238">
        <v>237</v>
      </c>
      <c r="B238">
        <f t="shared" si="53"/>
        <v>15</v>
      </c>
      <c r="C238" s="22">
        <v>44513</v>
      </c>
      <c r="D238">
        <f>SUM(Table2[[#This Row],[Gray Min]:[Red Min]])</f>
        <v>57</v>
      </c>
      <c r="E238">
        <v>19</v>
      </c>
      <c r="F238">
        <v>704</v>
      </c>
      <c r="G238">
        <v>135</v>
      </c>
      <c r="H238">
        <v>165</v>
      </c>
      <c r="I238">
        <v>4</v>
      </c>
      <c r="J238">
        <v>14</v>
      </c>
      <c r="K238">
        <v>20</v>
      </c>
      <c r="L238">
        <v>17</v>
      </c>
      <c r="M238">
        <v>2</v>
      </c>
      <c r="N238" t="s">
        <v>91</v>
      </c>
      <c r="O238" t="s">
        <v>45</v>
      </c>
      <c r="P238" t="s">
        <v>94</v>
      </c>
      <c r="Q238">
        <f t="shared" si="67"/>
        <v>1</v>
      </c>
      <c r="R238" t="str">
        <f t="shared" si="54"/>
        <v>11-2021</v>
      </c>
      <c r="S238" t="s">
        <v>104</v>
      </c>
      <c r="T238" t="str">
        <f t="shared" si="55"/>
        <v>Saturday</v>
      </c>
      <c r="U238">
        <f t="shared" si="56"/>
        <v>1</v>
      </c>
      <c r="V238" s="24">
        <f>IFERROR(Table2[[#This Row],[Gray Min]]/Table2[[#This Row],[ClassLength]],"")</f>
        <v>7.0175438596491224E-2</v>
      </c>
      <c r="W238" s="24">
        <f>IFERROR(Table2[[#This Row],[Blue Min]]/Table2[[#This Row],[ClassLength]],"")</f>
        <v>0.24561403508771928</v>
      </c>
      <c r="X238" s="24">
        <f>IFERROR(Table2[[#This Row],[Green Min]]/Table2[[#This Row],[ClassLength]],"")</f>
        <v>0.35087719298245612</v>
      </c>
      <c r="Y238" s="24">
        <f>IFERROR(Table2[[#This Row],[Orange Min]]/Table2[[#This Row],[ClassLength]],"")</f>
        <v>0.2982456140350877</v>
      </c>
      <c r="Z238" s="24">
        <f>IFERROR(Table2[[#This Row],[Red Min]]/Table2[[#This Row],[ClassLength]],"")</f>
        <v>3.5087719298245612E-2</v>
      </c>
      <c r="AA238" s="25">
        <v>232.14</v>
      </c>
      <c r="AB238" s="25">
        <f t="shared" si="69"/>
        <v>15.475999999999999</v>
      </c>
      <c r="AC238" s="26">
        <f t="shared" si="57"/>
        <v>651.57142857142856</v>
      </c>
      <c r="AD238" s="26">
        <f t="shared" si="58"/>
        <v>14.357142857142858</v>
      </c>
      <c r="AE238">
        <f t="shared" si="59"/>
        <v>2021</v>
      </c>
      <c r="AG238">
        <v>12</v>
      </c>
      <c r="AH238" s="26">
        <f t="shared" si="60"/>
        <v>12.350877192982455</v>
      </c>
      <c r="AI238" t="str">
        <f t="shared" si="61"/>
        <v>AM</v>
      </c>
      <c r="AJ238" t="str">
        <f t="shared" si="62"/>
        <v>11-2021-2</v>
      </c>
      <c r="AK238">
        <f t="shared" si="63"/>
        <v>11</v>
      </c>
      <c r="AL238" s="26">
        <f>IFERROR(Table2[[#This Row],[Calories]]/Table2[[#This Row],[Splat]],"")</f>
        <v>37.05263157894737</v>
      </c>
      <c r="AM238">
        <f>COUNTIF(N$2:$N$938,N238)</f>
        <v>218</v>
      </c>
      <c r="AN238" t="str">
        <f>VLOOKUP(N238,'Helpful Tables'!A:D,4,FALSE)</f>
        <v>Washington, DC</v>
      </c>
      <c r="AO238" s="24">
        <f>COUNTIF(AN:AN,Table2[[#This Row],[State]])/COUNTA(AN:AN)</f>
        <v>0.54904051172707891</v>
      </c>
      <c r="AP238">
        <f>VLOOKUP(N238,'Helpful Tables'!A:B,2,FALSE)</f>
        <v>38.934710000000003</v>
      </c>
      <c r="AQ238">
        <f>VLOOKUP(N238,'Helpful Tables'!A:C,3,FALSE)</f>
        <v>-77.058222999999998</v>
      </c>
      <c r="AR238">
        <f>COUNTIF(P$2:$P$938,P238)</f>
        <v>15</v>
      </c>
      <c r="AS238" cm="1">
        <f t="array" ref="AS238">_xlfn.IFS(E238&lt;6,((E238/D238)*60)*0.5,AND(E238&gt;=6,E238&lt;9),((E238/D238)*60)*0.75,AND(E238&gt;=9,E238&lt;=11),((E238/D238)*60)*0.9,AND(E238=12),((E238/D238)*60)*1,AND(E238&gt;=13,E238&lt;=15),((E238/D238)*60)*1.2,AND(E238&gt;=16,E238&lt;=19),((E238/D238)*60)*1.5,E238&gt;=20,((E238/D238)*60)*1.8)</f>
        <v>30</v>
      </c>
      <c r="AT238" cm="1">
        <f t="array" ref="AT238">_xlfn.IFS(F238&lt;550,((F238/D238)*60)*0.5,AND(F238&gt;=550,F238&lt;575),((F238/D238)*60)*0.75,AND(F238&gt;=575,F238&lt;600),((F238/D238)*60)*0.9,AND(F238=600),((F238/D238)*60)*1,AND(F238&gt;=601,F238&lt;=625),((F238/D238)*60)*1.2,AND(F238&gt;=626,F238&lt;=650),((F238/D238)*60)*1.5,F238&gt;=651,((F238/D238)*60)*1.8)</f>
        <v>1333.8947368421052</v>
      </c>
      <c r="AU238">
        <f t="shared" ref="AU238:AU301" si="72">(I238*-1.2)+(J238*-1.1)+(K238*1.2)+(L238*1.3)+(M238*1.5)</f>
        <v>28.9</v>
      </c>
      <c r="AV238">
        <f t="shared" si="68"/>
        <v>551.33789473684203</v>
      </c>
      <c r="AW238">
        <f t="shared" ref="AW238:AW301" si="73">PERCENTRANK(AV:AV,AV238)*100</f>
        <v>98.2</v>
      </c>
      <c r="AX238" t="str">
        <f t="shared" si="66"/>
        <v>Nov-2021</v>
      </c>
      <c r="AY238">
        <f>ROUNDUP(Table2[[#This Row],[Month]]/3,0)</f>
        <v>4</v>
      </c>
    </row>
    <row r="239" spans="1:51" x14ac:dyDescent="0.2">
      <c r="A239">
        <v>238</v>
      </c>
      <c r="B239">
        <f t="shared" si="53"/>
        <v>15</v>
      </c>
      <c r="C239" s="22">
        <v>44515</v>
      </c>
      <c r="D239">
        <f>SUM(Table2[[#This Row],[Gray Min]:[Red Min]])</f>
        <v>58</v>
      </c>
      <c r="E239">
        <v>11</v>
      </c>
      <c r="F239">
        <v>608</v>
      </c>
      <c r="G239">
        <v>123</v>
      </c>
      <c r="H239">
        <v>169</v>
      </c>
      <c r="I239">
        <v>11</v>
      </c>
      <c r="J239">
        <v>22</v>
      </c>
      <c r="K239">
        <v>14</v>
      </c>
      <c r="L239">
        <v>9</v>
      </c>
      <c r="M239">
        <v>2</v>
      </c>
      <c r="N239" t="s">
        <v>101</v>
      </c>
      <c r="O239" t="s">
        <v>50</v>
      </c>
      <c r="P239" t="s">
        <v>133</v>
      </c>
      <c r="Q239">
        <f t="shared" si="67"/>
        <v>2</v>
      </c>
      <c r="R239" t="str">
        <f t="shared" si="54"/>
        <v>11-2021</v>
      </c>
      <c r="S239" t="s">
        <v>104</v>
      </c>
      <c r="T239" t="str">
        <f t="shared" si="55"/>
        <v>Monday</v>
      </c>
      <c r="U239">
        <f t="shared" si="56"/>
        <v>0</v>
      </c>
      <c r="V239" s="24">
        <f>IFERROR(Table2[[#This Row],[Gray Min]]/Table2[[#This Row],[ClassLength]],"")</f>
        <v>0.18965517241379309</v>
      </c>
      <c r="W239" s="24">
        <f>IFERROR(Table2[[#This Row],[Blue Min]]/Table2[[#This Row],[ClassLength]],"")</f>
        <v>0.37931034482758619</v>
      </c>
      <c r="X239" s="24">
        <f>IFERROR(Table2[[#This Row],[Green Min]]/Table2[[#This Row],[ClassLength]],"")</f>
        <v>0.2413793103448276</v>
      </c>
      <c r="Y239" s="24">
        <f>IFERROR(Table2[[#This Row],[Orange Min]]/Table2[[#This Row],[ClassLength]],"")</f>
        <v>0.15517241379310345</v>
      </c>
      <c r="Z239" s="24">
        <f>IFERROR(Table2[[#This Row],[Red Min]]/Table2[[#This Row],[ClassLength]],"")</f>
        <v>3.4482758620689655E-2</v>
      </c>
      <c r="AA239" s="25">
        <v>232.14</v>
      </c>
      <c r="AB239" s="25">
        <f t="shared" si="69"/>
        <v>15.475999999999999</v>
      </c>
      <c r="AC239" s="26">
        <f t="shared" si="57"/>
        <v>651.57142857142856</v>
      </c>
      <c r="AD239" s="26">
        <f t="shared" si="58"/>
        <v>14.357142857142858</v>
      </c>
      <c r="AE239">
        <f t="shared" si="59"/>
        <v>2021</v>
      </c>
      <c r="AG239">
        <v>12</v>
      </c>
      <c r="AH239" s="26">
        <f t="shared" si="60"/>
        <v>10.482758620689655</v>
      </c>
      <c r="AI239" t="str">
        <f t="shared" si="61"/>
        <v>PM</v>
      </c>
      <c r="AJ239" t="str">
        <f t="shared" si="62"/>
        <v>11-2021-3</v>
      </c>
      <c r="AK239">
        <f t="shared" si="63"/>
        <v>11</v>
      </c>
      <c r="AL239" s="26">
        <f>IFERROR(Table2[[#This Row],[Calories]]/Table2[[#This Row],[Splat]],"")</f>
        <v>55.272727272727273</v>
      </c>
      <c r="AM239">
        <f>COUNTIF(N$2:$N$938,N239)</f>
        <v>191</v>
      </c>
      <c r="AN239" t="str">
        <f>VLOOKUP(N239,'Helpful Tables'!A:D,4,FALSE)</f>
        <v>Washington, DC</v>
      </c>
      <c r="AO239" s="24">
        <f>COUNTIF(AN:AN,Table2[[#This Row],[State]])/COUNTA(AN:AN)</f>
        <v>0.54904051172707891</v>
      </c>
      <c r="AP239">
        <f>VLOOKUP(N239,'Helpful Tables'!A:B,2,FALSE)</f>
        <v>38.949649000000001</v>
      </c>
      <c r="AQ239">
        <f>VLOOKUP(N239,'Helpful Tables'!A:C,3,FALSE)</f>
        <v>-77.080878999999996</v>
      </c>
      <c r="AR239">
        <f>COUNTIF(P$2:$P$938,P239)</f>
        <v>25</v>
      </c>
      <c r="AS239" cm="1">
        <f t="array" ref="AS239">_xlfn.IFS(E239&lt;6,((E239/D239)*60)*0.5,AND(E239&gt;=6,E239&lt;9),((E239/D239)*60)*0.75,AND(E239&gt;=9,E239&lt;=11),((E239/D239)*60)*0.9,AND(E239=12),((E239/D239)*60)*1,AND(E239&gt;=13,E239&lt;=15),((E239/D239)*60)*1.2,AND(E239&gt;=16,E239&lt;=19),((E239/D239)*60)*1.5,E239&gt;=20,((E239/D239)*60)*1.8)</f>
        <v>10.241379310344827</v>
      </c>
      <c r="AT239" cm="1">
        <f t="array" ref="AT239">_xlfn.IFS(F239&lt;550,((F239/D239)*60)*0.5,AND(F239&gt;=550,F239&lt;575),((F239/D239)*60)*0.75,AND(F239&gt;=575,F239&lt;600),((F239/D239)*60)*0.9,AND(F239=600),((F239/D239)*60)*1,AND(F239&gt;=601,F239&lt;=625),((F239/D239)*60)*1.2,AND(F239&gt;=626,F239&lt;=650),((F239/D239)*60)*1.5,F239&gt;=651,((F239/D239)*60)*1.8)</f>
        <v>754.75862068965512</v>
      </c>
      <c r="AU239">
        <f t="shared" si="72"/>
        <v>-5.9000000000000039</v>
      </c>
      <c r="AV239">
        <f t="shared" si="68"/>
        <v>304.82</v>
      </c>
      <c r="AW239">
        <f t="shared" si="73"/>
        <v>28.799999999999997</v>
      </c>
      <c r="AX239" t="str">
        <f t="shared" si="66"/>
        <v>Nov-2021</v>
      </c>
      <c r="AY239">
        <f>ROUNDUP(Table2[[#This Row],[Month]]/3,0)</f>
        <v>4</v>
      </c>
    </row>
    <row r="240" spans="1:51" x14ac:dyDescent="0.2">
      <c r="A240">
        <v>239</v>
      </c>
      <c r="B240">
        <f t="shared" si="53"/>
        <v>15</v>
      </c>
      <c r="C240" s="22">
        <v>44517</v>
      </c>
      <c r="D240">
        <f>SUM(Table2[[#This Row],[Gray Min]:[Red Min]])</f>
        <v>59</v>
      </c>
      <c r="E240">
        <v>14</v>
      </c>
      <c r="F240">
        <v>638</v>
      </c>
      <c r="G240">
        <v>125</v>
      </c>
      <c r="H240">
        <v>166</v>
      </c>
      <c r="I240">
        <v>13</v>
      </c>
      <c r="J240">
        <v>19</v>
      </c>
      <c r="K240">
        <v>13</v>
      </c>
      <c r="L240">
        <v>11</v>
      </c>
      <c r="M240">
        <v>3</v>
      </c>
      <c r="N240" t="s">
        <v>91</v>
      </c>
      <c r="O240" t="s">
        <v>50</v>
      </c>
      <c r="P240" t="s">
        <v>96</v>
      </c>
      <c r="Q240">
        <f t="shared" si="67"/>
        <v>2</v>
      </c>
      <c r="R240" t="str">
        <f t="shared" si="54"/>
        <v>11-2021</v>
      </c>
      <c r="S240" t="s">
        <v>104</v>
      </c>
      <c r="T240" t="str">
        <f t="shared" si="55"/>
        <v>Wednesday</v>
      </c>
      <c r="U240">
        <f t="shared" si="56"/>
        <v>1</v>
      </c>
      <c r="V240" s="24">
        <f>IFERROR(Table2[[#This Row],[Gray Min]]/Table2[[#This Row],[ClassLength]],"")</f>
        <v>0.22033898305084745</v>
      </c>
      <c r="W240" s="24">
        <f>IFERROR(Table2[[#This Row],[Blue Min]]/Table2[[#This Row],[ClassLength]],"")</f>
        <v>0.32203389830508472</v>
      </c>
      <c r="X240" s="24">
        <f>IFERROR(Table2[[#This Row],[Green Min]]/Table2[[#This Row],[ClassLength]],"")</f>
        <v>0.22033898305084745</v>
      </c>
      <c r="Y240" s="24">
        <f>IFERROR(Table2[[#This Row],[Orange Min]]/Table2[[#This Row],[ClassLength]],"")</f>
        <v>0.1864406779661017</v>
      </c>
      <c r="Z240" s="24">
        <f>IFERROR(Table2[[#This Row],[Red Min]]/Table2[[#This Row],[ClassLength]],"")</f>
        <v>5.0847457627118647E-2</v>
      </c>
      <c r="AA240" s="25">
        <v>232.14</v>
      </c>
      <c r="AB240" s="25">
        <f t="shared" si="69"/>
        <v>15.475999999999999</v>
      </c>
      <c r="AC240" s="26">
        <f t="shared" si="57"/>
        <v>651.57142857142856</v>
      </c>
      <c r="AD240" s="26">
        <f t="shared" si="58"/>
        <v>14.357142857142858</v>
      </c>
      <c r="AE240">
        <f t="shared" si="59"/>
        <v>2021</v>
      </c>
      <c r="AG240">
        <v>12</v>
      </c>
      <c r="AH240" s="26">
        <f t="shared" si="60"/>
        <v>10.813559322033898</v>
      </c>
      <c r="AI240" t="str">
        <f t="shared" si="61"/>
        <v>PM</v>
      </c>
      <c r="AJ240" t="str">
        <f t="shared" si="62"/>
        <v>11-2021-3</v>
      </c>
      <c r="AK240">
        <f t="shared" si="63"/>
        <v>11</v>
      </c>
      <c r="AL240" s="26">
        <f>IFERROR(Table2[[#This Row],[Calories]]/Table2[[#This Row],[Splat]],"")</f>
        <v>45.571428571428569</v>
      </c>
      <c r="AM240">
        <f>COUNTIF(N$2:$N$938,N240)</f>
        <v>218</v>
      </c>
      <c r="AN240" t="str">
        <f>VLOOKUP(N240,'Helpful Tables'!A:D,4,FALSE)</f>
        <v>Washington, DC</v>
      </c>
      <c r="AO240" s="24">
        <f>COUNTIF(AN:AN,Table2[[#This Row],[State]])/COUNTA(AN:AN)</f>
        <v>0.54904051172707891</v>
      </c>
      <c r="AP240">
        <f>VLOOKUP(N240,'Helpful Tables'!A:B,2,FALSE)</f>
        <v>38.934710000000003</v>
      </c>
      <c r="AQ240">
        <f>VLOOKUP(N240,'Helpful Tables'!A:C,3,FALSE)</f>
        <v>-77.058222999999998</v>
      </c>
      <c r="AR240">
        <f>COUNTIF(P$2:$P$938,P240)</f>
        <v>71</v>
      </c>
      <c r="AS240" cm="1">
        <f t="array" ref="AS240">_xlfn.IFS(E240&lt;6,((E240/D240)*60)*0.5,AND(E240&gt;=6,E240&lt;9),((E240/D240)*60)*0.75,AND(E240&gt;=9,E240&lt;=11),((E240/D240)*60)*0.9,AND(E240=12),((E240/D240)*60)*1,AND(E240&gt;=13,E240&lt;=15),((E240/D240)*60)*1.2,AND(E240&gt;=16,E240&lt;=19),((E240/D240)*60)*1.5,E240&gt;=20,((E240/D240)*60)*1.8)</f>
        <v>17.084745762711865</v>
      </c>
      <c r="AT240" cm="1">
        <f t="array" ref="AT240">_xlfn.IFS(F240&lt;550,((F240/D240)*60)*0.5,AND(F240&gt;=550,F240&lt;575),((F240/D240)*60)*0.75,AND(F240&gt;=575,F240&lt;600),((F240/D240)*60)*0.9,AND(F240=600),((F240/D240)*60)*1,AND(F240&gt;=601,F240&lt;=625),((F240/D240)*60)*1.2,AND(F240&gt;=626,F240&lt;=650),((F240/D240)*60)*1.5,F240&gt;=651,((F240/D240)*60)*1.8)</f>
        <v>973.22033898305074</v>
      </c>
      <c r="AU240">
        <f t="shared" si="72"/>
        <v>-2.0999999999999979</v>
      </c>
      <c r="AV240">
        <f t="shared" si="68"/>
        <v>395.70203389830505</v>
      </c>
      <c r="AW240">
        <f t="shared" si="73"/>
        <v>50.9</v>
      </c>
      <c r="AX240" t="str">
        <f t="shared" si="66"/>
        <v>Nov-2021</v>
      </c>
      <c r="AY240">
        <f>ROUNDUP(Table2[[#This Row],[Month]]/3,0)</f>
        <v>4</v>
      </c>
    </row>
    <row r="241" spans="1:51" x14ac:dyDescent="0.2">
      <c r="A241">
        <v>240</v>
      </c>
      <c r="B241">
        <f t="shared" si="53"/>
        <v>15</v>
      </c>
      <c r="C241" s="22">
        <v>44519</v>
      </c>
      <c r="D241">
        <f>SUM(Table2[[#This Row],[Gray Min]:[Red Min]])</f>
        <v>56</v>
      </c>
      <c r="E241">
        <v>14</v>
      </c>
      <c r="F241">
        <v>661</v>
      </c>
      <c r="G241">
        <v>131</v>
      </c>
      <c r="H241">
        <v>167</v>
      </c>
      <c r="I241">
        <v>6</v>
      </c>
      <c r="J241">
        <v>16</v>
      </c>
      <c r="K241">
        <v>20</v>
      </c>
      <c r="L241">
        <v>11</v>
      </c>
      <c r="M241">
        <v>3</v>
      </c>
      <c r="N241" t="s">
        <v>91</v>
      </c>
      <c r="O241" t="s">
        <v>113</v>
      </c>
      <c r="P241" t="s">
        <v>98</v>
      </c>
      <c r="Q241">
        <f t="shared" si="67"/>
        <v>2</v>
      </c>
      <c r="R241" t="str">
        <f t="shared" si="54"/>
        <v>11-2021</v>
      </c>
      <c r="S241" t="s">
        <v>104</v>
      </c>
      <c r="T241" t="str">
        <f t="shared" si="55"/>
        <v>Friday</v>
      </c>
      <c r="U241">
        <f t="shared" si="56"/>
        <v>1</v>
      </c>
      <c r="V241" s="24">
        <f>IFERROR(Table2[[#This Row],[Gray Min]]/Table2[[#This Row],[ClassLength]],"")</f>
        <v>0.10714285714285714</v>
      </c>
      <c r="W241" s="24">
        <f>IFERROR(Table2[[#This Row],[Blue Min]]/Table2[[#This Row],[ClassLength]],"")</f>
        <v>0.2857142857142857</v>
      </c>
      <c r="X241" s="24">
        <f>IFERROR(Table2[[#This Row],[Green Min]]/Table2[[#This Row],[ClassLength]],"")</f>
        <v>0.35714285714285715</v>
      </c>
      <c r="Y241" s="24">
        <f>IFERROR(Table2[[#This Row],[Orange Min]]/Table2[[#This Row],[ClassLength]],"")</f>
        <v>0.19642857142857142</v>
      </c>
      <c r="Z241" s="24">
        <f>IFERROR(Table2[[#This Row],[Red Min]]/Table2[[#This Row],[ClassLength]],"")</f>
        <v>5.3571428571428568E-2</v>
      </c>
      <c r="AA241" s="25">
        <v>232.14</v>
      </c>
      <c r="AB241" s="25">
        <f t="shared" si="69"/>
        <v>15.475999999999999</v>
      </c>
      <c r="AC241" s="26">
        <f t="shared" si="57"/>
        <v>651.57142857142856</v>
      </c>
      <c r="AD241" s="26">
        <f t="shared" si="58"/>
        <v>14.357142857142858</v>
      </c>
      <c r="AE241">
        <f t="shared" si="59"/>
        <v>2021</v>
      </c>
      <c r="AG241">
        <v>12</v>
      </c>
      <c r="AH241" s="26">
        <f t="shared" si="60"/>
        <v>11.803571428571429</v>
      </c>
      <c r="AI241" t="str">
        <f t="shared" si="61"/>
        <v>AM</v>
      </c>
      <c r="AJ241" t="str">
        <f t="shared" si="62"/>
        <v>11-2021-3</v>
      </c>
      <c r="AK241">
        <f t="shared" si="63"/>
        <v>11</v>
      </c>
      <c r="AL241" s="26">
        <f>IFERROR(Table2[[#This Row],[Calories]]/Table2[[#This Row],[Splat]],"")</f>
        <v>47.214285714285715</v>
      </c>
      <c r="AM241">
        <f>COUNTIF(N$2:$N$938,N241)</f>
        <v>218</v>
      </c>
      <c r="AN241" t="str">
        <f>VLOOKUP(N241,'Helpful Tables'!A:D,4,FALSE)</f>
        <v>Washington, DC</v>
      </c>
      <c r="AO241" s="24">
        <f>COUNTIF(AN:AN,Table2[[#This Row],[State]])/COUNTA(AN:AN)</f>
        <v>0.54904051172707891</v>
      </c>
      <c r="AP241">
        <f>VLOOKUP(N241,'Helpful Tables'!A:B,2,FALSE)</f>
        <v>38.934710000000003</v>
      </c>
      <c r="AQ241">
        <f>VLOOKUP(N241,'Helpful Tables'!A:C,3,FALSE)</f>
        <v>-77.058222999999998</v>
      </c>
      <c r="AR241">
        <f>COUNTIF(P$2:$P$938,P241)</f>
        <v>28</v>
      </c>
      <c r="AS241" cm="1">
        <f t="array" ref="AS241">_xlfn.IFS(E241&lt;6,((E241/D241)*60)*0.5,AND(E241&gt;=6,E241&lt;9),((E241/D241)*60)*0.75,AND(E241&gt;=9,E241&lt;=11),((E241/D241)*60)*0.9,AND(E241=12),((E241/D241)*60)*1,AND(E241&gt;=13,E241&lt;=15),((E241/D241)*60)*1.2,AND(E241&gt;=16,E241&lt;=19),((E241/D241)*60)*1.5,E241&gt;=20,((E241/D241)*60)*1.8)</f>
        <v>18</v>
      </c>
      <c r="AT241" cm="1">
        <f t="array" ref="AT241">_xlfn.IFS(F241&lt;550,((F241/D241)*60)*0.5,AND(F241&gt;=550,F241&lt;575),((F241/D241)*60)*0.75,AND(F241&gt;=575,F241&lt;600),((F241/D241)*60)*0.9,AND(F241=600),((F241/D241)*60)*1,AND(F241&gt;=601,F241&lt;=625),((F241/D241)*60)*1.2,AND(F241&gt;=626,F241&lt;=650),((F241/D241)*60)*1.5,F241&gt;=651,((F241/D241)*60)*1.8)</f>
        <v>1274.7857142857144</v>
      </c>
      <c r="AU241">
        <f t="shared" si="72"/>
        <v>18</v>
      </c>
      <c r="AV241">
        <f t="shared" si="68"/>
        <v>520.71428571428589</v>
      </c>
      <c r="AW241">
        <f t="shared" si="73"/>
        <v>90.600000000000009</v>
      </c>
      <c r="AX241" t="str">
        <f t="shared" si="66"/>
        <v>Nov-2021</v>
      </c>
      <c r="AY241">
        <f>ROUNDUP(Table2[[#This Row],[Month]]/3,0)</f>
        <v>4</v>
      </c>
    </row>
    <row r="242" spans="1:51" x14ac:dyDescent="0.2">
      <c r="A242">
        <v>241</v>
      </c>
      <c r="B242">
        <f t="shared" si="53"/>
        <v>15</v>
      </c>
      <c r="C242" s="22">
        <v>44520</v>
      </c>
      <c r="D242">
        <f>SUM(Table2[[#This Row],[Gray Min]:[Red Min]])</f>
        <v>55</v>
      </c>
      <c r="E242">
        <v>14</v>
      </c>
      <c r="F242">
        <v>659</v>
      </c>
      <c r="G242">
        <v>131</v>
      </c>
      <c r="H242">
        <v>167</v>
      </c>
      <c r="I242">
        <v>6</v>
      </c>
      <c r="J242">
        <v>12</v>
      </c>
      <c r="K242">
        <v>23</v>
      </c>
      <c r="L242">
        <v>12</v>
      </c>
      <c r="M242">
        <v>2</v>
      </c>
      <c r="N242" t="s">
        <v>101</v>
      </c>
      <c r="O242" t="s">
        <v>137</v>
      </c>
      <c r="P242" t="s">
        <v>109</v>
      </c>
      <c r="Q242">
        <f t="shared" si="67"/>
        <v>1</v>
      </c>
      <c r="R242" t="str">
        <f t="shared" si="54"/>
        <v>11-2021</v>
      </c>
      <c r="S242" t="s">
        <v>117</v>
      </c>
      <c r="T242" t="str">
        <f t="shared" si="55"/>
        <v>Saturday</v>
      </c>
      <c r="U242">
        <f t="shared" si="56"/>
        <v>1</v>
      </c>
      <c r="V242" s="24">
        <f>IFERROR(Table2[[#This Row],[Gray Min]]/Table2[[#This Row],[ClassLength]],"")</f>
        <v>0.10909090909090909</v>
      </c>
      <c r="W242" s="24">
        <f>IFERROR(Table2[[#This Row],[Blue Min]]/Table2[[#This Row],[ClassLength]],"")</f>
        <v>0.21818181818181817</v>
      </c>
      <c r="X242" s="24">
        <f>IFERROR(Table2[[#This Row],[Green Min]]/Table2[[#This Row],[ClassLength]],"")</f>
        <v>0.41818181818181815</v>
      </c>
      <c r="Y242" s="24">
        <f>IFERROR(Table2[[#This Row],[Orange Min]]/Table2[[#This Row],[ClassLength]],"")</f>
        <v>0.21818181818181817</v>
      </c>
      <c r="Z242" s="24">
        <f>IFERROR(Table2[[#This Row],[Red Min]]/Table2[[#This Row],[ClassLength]],"")</f>
        <v>3.6363636363636362E-2</v>
      </c>
      <c r="AA242" s="25">
        <v>232.14</v>
      </c>
      <c r="AB242" s="25">
        <f t="shared" si="69"/>
        <v>15.475999999999999</v>
      </c>
      <c r="AC242" s="26">
        <f t="shared" si="57"/>
        <v>651.57142857142856</v>
      </c>
      <c r="AD242" s="26">
        <f t="shared" si="58"/>
        <v>14.357142857142858</v>
      </c>
      <c r="AE242">
        <f t="shared" si="59"/>
        <v>2021</v>
      </c>
      <c r="AG242">
        <v>12</v>
      </c>
      <c r="AH242" s="26">
        <f t="shared" si="60"/>
        <v>11.981818181818182</v>
      </c>
      <c r="AI242" t="str">
        <f t="shared" si="61"/>
        <v>AM</v>
      </c>
      <c r="AJ242" t="str">
        <f t="shared" si="62"/>
        <v>11-2021-3</v>
      </c>
      <c r="AK242">
        <f t="shared" si="63"/>
        <v>11</v>
      </c>
      <c r="AL242" s="26">
        <f>IFERROR(Table2[[#This Row],[Calories]]/Table2[[#This Row],[Splat]],"")</f>
        <v>47.071428571428569</v>
      </c>
      <c r="AM242">
        <f>COUNTIF(N$2:$N$938,N242)</f>
        <v>191</v>
      </c>
      <c r="AN242" t="str">
        <f>VLOOKUP(N242,'Helpful Tables'!A:D,4,FALSE)</f>
        <v>Washington, DC</v>
      </c>
      <c r="AO242" s="24">
        <f>COUNTIF(AN:AN,Table2[[#This Row],[State]])/COUNTA(AN:AN)</f>
        <v>0.54904051172707891</v>
      </c>
      <c r="AP242">
        <f>VLOOKUP(N242,'Helpful Tables'!A:B,2,FALSE)</f>
        <v>38.949649000000001</v>
      </c>
      <c r="AQ242">
        <f>VLOOKUP(N242,'Helpful Tables'!A:C,3,FALSE)</f>
        <v>-77.080878999999996</v>
      </c>
      <c r="AR242">
        <f>COUNTIF(P$2:$P$938,P242)</f>
        <v>66</v>
      </c>
      <c r="AS242" cm="1">
        <f t="array" ref="AS242">_xlfn.IFS(E242&lt;6,((E242/D242)*60)*0.5,AND(E242&gt;=6,E242&lt;9),((E242/D242)*60)*0.75,AND(E242&gt;=9,E242&lt;=11),((E242/D242)*60)*0.9,AND(E242=12),((E242/D242)*60)*1,AND(E242&gt;=13,E242&lt;=15),((E242/D242)*60)*1.2,AND(E242&gt;=16,E242&lt;=19),((E242/D242)*60)*1.5,E242&gt;=20,((E242/D242)*60)*1.8)</f>
        <v>18.327272727272724</v>
      </c>
      <c r="AT242" cm="1">
        <f t="array" ref="AT242">_xlfn.IFS(F242&lt;550,((F242/D242)*60)*0.5,AND(F242&gt;=550,F242&lt;575),((F242/D242)*60)*0.75,AND(F242&gt;=575,F242&lt;600),((F242/D242)*60)*0.9,AND(F242=600),((F242/D242)*60)*1,AND(F242&gt;=601,F242&lt;=625),((F242/D242)*60)*1.2,AND(F242&gt;=626,F242&lt;=650),((F242/D242)*60)*1.5,F242&gt;=651,((F242/D242)*60)*1.8)</f>
        <v>1294.0363636363638</v>
      </c>
      <c r="AU242">
        <f t="shared" si="72"/>
        <v>25.8</v>
      </c>
      <c r="AV242">
        <f t="shared" si="68"/>
        <v>530.10545454545468</v>
      </c>
      <c r="AW242">
        <f t="shared" si="73"/>
        <v>93.600000000000009</v>
      </c>
      <c r="AX242" t="str">
        <f t="shared" si="66"/>
        <v>Nov-2021</v>
      </c>
      <c r="AY242">
        <f>ROUNDUP(Table2[[#This Row],[Month]]/3,0)</f>
        <v>4</v>
      </c>
    </row>
    <row r="243" spans="1:51" x14ac:dyDescent="0.2">
      <c r="A243">
        <v>242</v>
      </c>
      <c r="B243">
        <f t="shared" si="53"/>
        <v>15</v>
      </c>
      <c r="C243" s="22">
        <v>44524</v>
      </c>
      <c r="D243">
        <f>SUM(Table2[[#This Row],[Gray Min]:[Red Min]])</f>
        <v>59</v>
      </c>
      <c r="E243">
        <v>15</v>
      </c>
      <c r="F243">
        <v>665</v>
      </c>
      <c r="G243">
        <v>128</v>
      </c>
      <c r="H243">
        <v>166</v>
      </c>
      <c r="I243">
        <v>14</v>
      </c>
      <c r="J243">
        <v>13</v>
      </c>
      <c r="K243">
        <v>17</v>
      </c>
      <c r="L243">
        <v>13</v>
      </c>
      <c r="M243">
        <v>2</v>
      </c>
      <c r="N243" t="s">
        <v>138</v>
      </c>
      <c r="O243" t="s">
        <v>113</v>
      </c>
      <c r="P243" t="s">
        <v>139</v>
      </c>
      <c r="Q243">
        <f t="shared" si="67"/>
        <v>4</v>
      </c>
      <c r="R243" t="str">
        <f t="shared" si="54"/>
        <v>11-2021</v>
      </c>
      <c r="S243" t="s">
        <v>117</v>
      </c>
      <c r="T243" t="str">
        <f t="shared" si="55"/>
        <v>Wednesday</v>
      </c>
      <c r="U243">
        <f t="shared" si="56"/>
        <v>1</v>
      </c>
      <c r="V243" s="24">
        <f>IFERROR(Table2[[#This Row],[Gray Min]]/Table2[[#This Row],[ClassLength]],"")</f>
        <v>0.23728813559322035</v>
      </c>
      <c r="W243" s="24">
        <f>IFERROR(Table2[[#This Row],[Blue Min]]/Table2[[#This Row],[ClassLength]],"")</f>
        <v>0.22033898305084745</v>
      </c>
      <c r="X243" s="24">
        <f>IFERROR(Table2[[#This Row],[Green Min]]/Table2[[#This Row],[ClassLength]],"")</f>
        <v>0.28813559322033899</v>
      </c>
      <c r="Y243" s="24">
        <f>IFERROR(Table2[[#This Row],[Orange Min]]/Table2[[#This Row],[ClassLength]],"")</f>
        <v>0.22033898305084745</v>
      </c>
      <c r="Z243" s="24">
        <f>IFERROR(Table2[[#This Row],[Red Min]]/Table2[[#This Row],[ClassLength]],"")</f>
        <v>3.3898305084745763E-2</v>
      </c>
      <c r="AA243" s="25">
        <v>232.14</v>
      </c>
      <c r="AB243" s="25">
        <f t="shared" si="69"/>
        <v>15.475999999999999</v>
      </c>
      <c r="AC243" s="26">
        <f t="shared" si="57"/>
        <v>651.57142857142856</v>
      </c>
      <c r="AD243" s="26">
        <f t="shared" si="58"/>
        <v>14.357142857142858</v>
      </c>
      <c r="AE243">
        <f t="shared" si="59"/>
        <v>2021</v>
      </c>
      <c r="AG243">
        <v>12</v>
      </c>
      <c r="AH243" s="26">
        <f t="shared" si="60"/>
        <v>11.271186440677965</v>
      </c>
      <c r="AI243" t="str">
        <f t="shared" si="61"/>
        <v>AM</v>
      </c>
      <c r="AJ243" t="str">
        <f t="shared" si="62"/>
        <v>11-2021-4</v>
      </c>
      <c r="AK243">
        <f t="shared" si="63"/>
        <v>11</v>
      </c>
      <c r="AL243" s="26">
        <f>IFERROR(Table2[[#This Row],[Calories]]/Table2[[#This Row],[Splat]],"")</f>
        <v>44.333333333333336</v>
      </c>
      <c r="AM243">
        <f>COUNTIF(N$2:$N$938,N243)</f>
        <v>11</v>
      </c>
      <c r="AN243" t="str">
        <f>VLOOKUP(N243,'Helpful Tables'!A:D,4,FALSE)</f>
        <v>Massachusetts</v>
      </c>
      <c r="AO243" s="24">
        <f>COUNTIF(AN:AN,Table2[[#This Row],[State]])/COUNTA(AN:AN)</f>
        <v>1.7057569296375266E-2</v>
      </c>
      <c r="AP243">
        <f>VLOOKUP(N243,'Helpful Tables'!A:B,2,FALSE)</f>
        <v>42.350487000000001</v>
      </c>
      <c r="AQ243">
        <f>VLOOKUP(N243,'Helpful Tables'!A:C,3,FALSE)</f>
        <v>-71.152720000000002</v>
      </c>
      <c r="AR243">
        <f>COUNTIF(P$2:$P$938,P243)</f>
        <v>2</v>
      </c>
      <c r="AS243" cm="1">
        <f t="array" ref="AS243">_xlfn.IFS(E243&lt;6,((E243/D243)*60)*0.5,AND(E243&gt;=6,E243&lt;9),((E243/D243)*60)*0.75,AND(E243&gt;=9,E243&lt;=11),((E243/D243)*60)*0.9,AND(E243=12),((E243/D243)*60)*1,AND(E243&gt;=13,E243&lt;=15),((E243/D243)*60)*1.2,AND(E243&gt;=16,E243&lt;=19),((E243/D243)*60)*1.5,E243&gt;=20,((E243/D243)*60)*1.8)</f>
        <v>18.305084745762709</v>
      </c>
      <c r="AT243" cm="1">
        <f t="array" ref="AT243">_xlfn.IFS(F243&lt;550,((F243/D243)*60)*0.5,AND(F243&gt;=550,F243&lt;575),((F243/D243)*60)*0.75,AND(F243&gt;=575,F243&lt;600),((F243/D243)*60)*0.9,AND(F243=600),((F243/D243)*60)*1,AND(F243&gt;=601,F243&lt;=625),((F243/D243)*60)*1.2,AND(F243&gt;=626,F243&lt;=650),((F243/D243)*60)*1.5,F243&gt;=651,((F243/D243)*60)*1.8)</f>
        <v>1217.2881355932202</v>
      </c>
      <c r="AU243">
        <f t="shared" si="72"/>
        <v>9.1999999999999993</v>
      </c>
      <c r="AV243">
        <f t="shared" si="68"/>
        <v>496.07728813559316</v>
      </c>
      <c r="AW243">
        <f t="shared" si="73"/>
        <v>76.599999999999994</v>
      </c>
      <c r="AX243" t="str">
        <f t="shared" si="66"/>
        <v>Nov-2021</v>
      </c>
      <c r="AY243">
        <f>ROUNDUP(Table2[[#This Row],[Month]]/3,0)</f>
        <v>4</v>
      </c>
    </row>
    <row r="244" spans="1:51" x14ac:dyDescent="0.2">
      <c r="A244">
        <v>243</v>
      </c>
      <c r="B244">
        <f t="shared" si="53"/>
        <v>15</v>
      </c>
      <c r="C244" s="22">
        <v>44525</v>
      </c>
      <c r="D244">
        <f>SUM(Table2[[#This Row],[Gray Min]:[Red Min]])</f>
        <v>62</v>
      </c>
      <c r="E244">
        <v>17</v>
      </c>
      <c r="F244">
        <v>725</v>
      </c>
      <c r="G244">
        <v>132</v>
      </c>
      <c r="H244">
        <v>169</v>
      </c>
      <c r="I244">
        <v>7</v>
      </c>
      <c r="J244">
        <v>15</v>
      </c>
      <c r="K244">
        <v>23</v>
      </c>
      <c r="L244">
        <v>14</v>
      </c>
      <c r="M244">
        <v>3</v>
      </c>
      <c r="N244" t="s">
        <v>138</v>
      </c>
      <c r="O244" t="s">
        <v>81</v>
      </c>
      <c r="P244" t="s">
        <v>140</v>
      </c>
      <c r="Q244">
        <f t="shared" si="67"/>
        <v>1</v>
      </c>
      <c r="R244" t="str">
        <f t="shared" si="54"/>
        <v>11-2021</v>
      </c>
      <c r="S244" t="s">
        <v>117</v>
      </c>
      <c r="T244" t="str">
        <f t="shared" si="55"/>
        <v>Thursday</v>
      </c>
      <c r="U244">
        <f t="shared" si="56"/>
        <v>1</v>
      </c>
      <c r="V244" s="24">
        <f>IFERROR(Table2[[#This Row],[Gray Min]]/Table2[[#This Row],[ClassLength]],"")</f>
        <v>0.11290322580645161</v>
      </c>
      <c r="W244" s="24">
        <f>IFERROR(Table2[[#This Row],[Blue Min]]/Table2[[#This Row],[ClassLength]],"")</f>
        <v>0.24193548387096775</v>
      </c>
      <c r="X244" s="24">
        <f>IFERROR(Table2[[#This Row],[Green Min]]/Table2[[#This Row],[ClassLength]],"")</f>
        <v>0.37096774193548387</v>
      </c>
      <c r="Y244" s="24">
        <f>IFERROR(Table2[[#This Row],[Orange Min]]/Table2[[#This Row],[ClassLength]],"")</f>
        <v>0.22580645161290322</v>
      </c>
      <c r="Z244" s="24">
        <f>IFERROR(Table2[[#This Row],[Red Min]]/Table2[[#This Row],[ClassLength]],"")</f>
        <v>4.8387096774193547E-2</v>
      </c>
      <c r="AA244" s="25">
        <v>232.14</v>
      </c>
      <c r="AB244" s="25">
        <f t="shared" si="69"/>
        <v>15.475999999999999</v>
      </c>
      <c r="AC244" s="26">
        <f t="shared" si="57"/>
        <v>651.57142857142856</v>
      </c>
      <c r="AD244" s="26">
        <f t="shared" si="58"/>
        <v>14.357142857142858</v>
      </c>
      <c r="AE244">
        <f t="shared" si="59"/>
        <v>2021</v>
      </c>
      <c r="AG244">
        <v>12</v>
      </c>
      <c r="AH244" s="26">
        <f t="shared" si="60"/>
        <v>11.693548387096774</v>
      </c>
      <c r="AI244" t="str">
        <f t="shared" si="61"/>
        <v>AM</v>
      </c>
      <c r="AJ244" t="str">
        <f t="shared" si="62"/>
        <v>11-2021-4</v>
      </c>
      <c r="AK244">
        <f t="shared" si="63"/>
        <v>11</v>
      </c>
      <c r="AL244" s="26">
        <f>IFERROR(Table2[[#This Row],[Calories]]/Table2[[#This Row],[Splat]],"")</f>
        <v>42.647058823529413</v>
      </c>
      <c r="AM244">
        <f>COUNTIF(N$2:$N$938,N244)</f>
        <v>11</v>
      </c>
      <c r="AN244" t="str">
        <f>VLOOKUP(N244,'Helpful Tables'!A:D,4,FALSE)</f>
        <v>Massachusetts</v>
      </c>
      <c r="AO244" s="24">
        <f>COUNTIF(AN:AN,Table2[[#This Row],[State]])/COUNTA(AN:AN)</f>
        <v>1.7057569296375266E-2</v>
      </c>
      <c r="AP244">
        <f>VLOOKUP(N244,'Helpful Tables'!A:B,2,FALSE)</f>
        <v>42.350487000000001</v>
      </c>
      <c r="AQ244">
        <f>VLOOKUP(N244,'Helpful Tables'!A:C,3,FALSE)</f>
        <v>-71.152720000000002</v>
      </c>
      <c r="AR244">
        <f>COUNTIF(P$2:$P$938,P244)</f>
        <v>4</v>
      </c>
      <c r="AS244" cm="1">
        <f t="array" ref="AS244">_xlfn.IFS(E244&lt;6,((E244/D244)*60)*0.5,AND(E244&gt;=6,E244&lt;9),((E244/D244)*60)*0.75,AND(E244&gt;=9,E244&lt;=11),((E244/D244)*60)*0.9,AND(E244=12),((E244/D244)*60)*1,AND(E244&gt;=13,E244&lt;=15),((E244/D244)*60)*1.2,AND(E244&gt;=16,E244&lt;=19),((E244/D244)*60)*1.5,E244&gt;=20,((E244/D244)*60)*1.8)</f>
        <v>24.677419354838705</v>
      </c>
      <c r="AT244" cm="1">
        <f t="array" ref="AT244">_xlfn.IFS(F244&lt;550,((F244/D244)*60)*0.5,AND(F244&gt;=550,F244&lt;575),((F244/D244)*60)*0.75,AND(F244&gt;=575,F244&lt;600),((F244/D244)*60)*0.9,AND(F244=600),((F244/D244)*60)*1,AND(F244&gt;=601,F244&lt;=625),((F244/D244)*60)*1.2,AND(F244&gt;=626,F244&lt;=650),((F244/D244)*60)*1.5,F244&gt;=651,((F244/D244)*60)*1.8)</f>
        <v>1262.9032258064517</v>
      </c>
      <c r="AU244">
        <f t="shared" si="72"/>
        <v>25.4</v>
      </c>
      <c r="AV244">
        <f t="shared" si="68"/>
        <v>520.11225806451625</v>
      </c>
      <c r="AW244">
        <f t="shared" si="73"/>
        <v>90</v>
      </c>
      <c r="AX244" t="str">
        <f t="shared" si="66"/>
        <v>Nov-2021</v>
      </c>
      <c r="AY244">
        <f>ROUNDUP(Table2[[#This Row],[Month]]/3,0)</f>
        <v>4</v>
      </c>
    </row>
    <row r="245" spans="1:51" x14ac:dyDescent="0.2">
      <c r="A245">
        <v>244</v>
      </c>
      <c r="B245">
        <f t="shared" si="53"/>
        <v>15</v>
      </c>
      <c r="C245" s="22">
        <v>44528</v>
      </c>
      <c r="D245">
        <f>SUM(Table2[[#This Row],[Gray Min]:[Red Min]])</f>
        <v>53</v>
      </c>
      <c r="E245">
        <v>14</v>
      </c>
      <c r="F245">
        <v>638</v>
      </c>
      <c r="G245">
        <v>132</v>
      </c>
      <c r="H245">
        <v>165</v>
      </c>
      <c r="I245">
        <v>6</v>
      </c>
      <c r="J245">
        <v>15</v>
      </c>
      <c r="K245">
        <v>18</v>
      </c>
      <c r="L245">
        <v>12</v>
      </c>
      <c r="M245">
        <v>2</v>
      </c>
      <c r="N245" t="s">
        <v>138</v>
      </c>
      <c r="O245" t="s">
        <v>81</v>
      </c>
      <c r="P245" t="s">
        <v>141</v>
      </c>
      <c r="Q245">
        <f t="shared" si="67"/>
        <v>3</v>
      </c>
      <c r="R245" t="str">
        <f t="shared" si="54"/>
        <v>11-2021</v>
      </c>
      <c r="S245" t="s">
        <v>104</v>
      </c>
      <c r="T245" t="str">
        <f t="shared" si="55"/>
        <v>Sunday</v>
      </c>
      <c r="U245">
        <f t="shared" si="56"/>
        <v>1</v>
      </c>
      <c r="V245" s="24">
        <f>IFERROR(Table2[[#This Row],[Gray Min]]/Table2[[#This Row],[ClassLength]],"")</f>
        <v>0.11320754716981132</v>
      </c>
      <c r="W245" s="24">
        <f>IFERROR(Table2[[#This Row],[Blue Min]]/Table2[[#This Row],[ClassLength]],"")</f>
        <v>0.28301886792452829</v>
      </c>
      <c r="X245" s="24">
        <f>IFERROR(Table2[[#This Row],[Green Min]]/Table2[[#This Row],[ClassLength]],"")</f>
        <v>0.33962264150943394</v>
      </c>
      <c r="Y245" s="24">
        <f>IFERROR(Table2[[#This Row],[Orange Min]]/Table2[[#This Row],[ClassLength]],"")</f>
        <v>0.22641509433962265</v>
      </c>
      <c r="Z245" s="24">
        <f>IFERROR(Table2[[#This Row],[Red Min]]/Table2[[#This Row],[ClassLength]],"")</f>
        <v>3.7735849056603772E-2</v>
      </c>
      <c r="AA245" s="25">
        <v>232.14</v>
      </c>
      <c r="AB245" s="25">
        <f t="shared" si="69"/>
        <v>15.475999999999999</v>
      </c>
      <c r="AC245" s="26">
        <f t="shared" si="57"/>
        <v>651.57142857142856</v>
      </c>
      <c r="AD245" s="26">
        <f t="shared" si="58"/>
        <v>14.357142857142858</v>
      </c>
      <c r="AE245">
        <f t="shared" si="59"/>
        <v>2021</v>
      </c>
      <c r="AG245">
        <v>12</v>
      </c>
      <c r="AH245" s="26">
        <f t="shared" si="60"/>
        <v>12.037735849056604</v>
      </c>
      <c r="AI245" t="str">
        <f t="shared" si="61"/>
        <v>AM</v>
      </c>
      <c r="AJ245" t="str">
        <f t="shared" si="62"/>
        <v>11-2021-5</v>
      </c>
      <c r="AK245">
        <f t="shared" si="63"/>
        <v>11</v>
      </c>
      <c r="AL245" s="26">
        <f>IFERROR(Table2[[#This Row],[Calories]]/Table2[[#This Row],[Splat]],"")</f>
        <v>45.571428571428569</v>
      </c>
      <c r="AM245">
        <f>COUNTIF(N$2:$N$938,N245)</f>
        <v>11</v>
      </c>
      <c r="AN245" t="str">
        <f>VLOOKUP(N245,'Helpful Tables'!A:D,4,FALSE)</f>
        <v>Massachusetts</v>
      </c>
      <c r="AO245" s="24">
        <f>COUNTIF(AN:AN,Table2[[#This Row],[State]])/COUNTA(AN:AN)</f>
        <v>1.7057569296375266E-2</v>
      </c>
      <c r="AP245">
        <f>VLOOKUP(N245,'Helpful Tables'!A:B,2,FALSE)</f>
        <v>42.350487000000001</v>
      </c>
      <c r="AQ245">
        <f>VLOOKUP(N245,'Helpful Tables'!A:C,3,FALSE)</f>
        <v>-71.152720000000002</v>
      </c>
      <c r="AR245">
        <f>COUNTIF(P$2:$P$938,P245)</f>
        <v>2</v>
      </c>
      <c r="AS245" cm="1">
        <f t="array" ref="AS245">_xlfn.IFS(E245&lt;6,((E245/D245)*60)*0.5,AND(E245&gt;=6,E245&lt;9),((E245/D245)*60)*0.75,AND(E245&gt;=9,E245&lt;=11),((E245/D245)*60)*0.9,AND(E245=12),((E245/D245)*60)*1,AND(E245&gt;=13,E245&lt;=15),((E245/D245)*60)*1.2,AND(E245&gt;=16,E245&lt;=19),((E245/D245)*60)*1.5,E245&gt;=20,((E245/D245)*60)*1.8)</f>
        <v>19.018867924528301</v>
      </c>
      <c r="AT245" cm="1">
        <f t="array" ref="AT245">_xlfn.IFS(F245&lt;550,((F245/D245)*60)*0.5,AND(F245&gt;=550,F245&lt;575),((F245/D245)*60)*0.75,AND(F245&gt;=575,F245&lt;600),((F245/D245)*60)*0.9,AND(F245=600),((F245/D245)*60)*1,AND(F245&gt;=601,F245&lt;=625),((F245/D245)*60)*1.2,AND(F245&gt;=626,F245&lt;=650),((F245/D245)*60)*1.5,F245&gt;=651,((F245/D245)*60)*1.8)</f>
        <v>1083.3962264150944</v>
      </c>
      <c r="AU245">
        <f t="shared" si="72"/>
        <v>16.5</v>
      </c>
      <c r="AV245">
        <f t="shared" si="68"/>
        <v>444.26603773584907</v>
      </c>
      <c r="AW245">
        <f t="shared" si="73"/>
        <v>65.7</v>
      </c>
      <c r="AX245" t="str">
        <f t="shared" si="66"/>
        <v>Nov-2021</v>
      </c>
      <c r="AY245">
        <f>ROUNDUP(Table2[[#This Row],[Month]]/3,0)</f>
        <v>4</v>
      </c>
    </row>
    <row r="246" spans="1:51" x14ac:dyDescent="0.2">
      <c r="A246">
        <v>245</v>
      </c>
      <c r="B246">
        <f t="shared" si="53"/>
        <v>5</v>
      </c>
      <c r="C246" s="22">
        <v>44531</v>
      </c>
      <c r="D246">
        <f>SUM(Table2[[#This Row],[Gray Min]:[Red Min]])</f>
        <v>59</v>
      </c>
      <c r="E246">
        <v>18</v>
      </c>
      <c r="F246">
        <v>669</v>
      </c>
      <c r="G246">
        <v>129</v>
      </c>
      <c r="H246">
        <v>174</v>
      </c>
      <c r="I246">
        <v>9</v>
      </c>
      <c r="J246">
        <v>20</v>
      </c>
      <c r="K246">
        <v>12</v>
      </c>
      <c r="L246">
        <v>15</v>
      </c>
      <c r="M246">
        <v>3</v>
      </c>
      <c r="N246" t="s">
        <v>91</v>
      </c>
      <c r="O246" t="s">
        <v>39</v>
      </c>
      <c r="P246" t="s">
        <v>96</v>
      </c>
      <c r="Q246">
        <f t="shared" si="67"/>
        <v>3</v>
      </c>
      <c r="R246" t="str">
        <f t="shared" si="54"/>
        <v>12-2021</v>
      </c>
      <c r="S246" t="s">
        <v>104</v>
      </c>
      <c r="T246" t="str">
        <f t="shared" si="55"/>
        <v>Wednesday</v>
      </c>
      <c r="U246">
        <f t="shared" si="56"/>
        <v>1</v>
      </c>
      <c r="V246" s="24">
        <f>IFERROR(Table2[[#This Row],[Gray Min]]/Table2[[#This Row],[ClassLength]],"")</f>
        <v>0.15254237288135594</v>
      </c>
      <c r="W246" s="24">
        <f>IFERROR(Table2[[#This Row],[Blue Min]]/Table2[[#This Row],[ClassLength]],"")</f>
        <v>0.33898305084745761</v>
      </c>
      <c r="X246" s="24">
        <f>IFERROR(Table2[[#This Row],[Green Min]]/Table2[[#This Row],[ClassLength]],"")</f>
        <v>0.20338983050847459</v>
      </c>
      <c r="Y246" s="24">
        <f>IFERROR(Table2[[#This Row],[Orange Min]]/Table2[[#This Row],[ClassLength]],"")</f>
        <v>0.25423728813559321</v>
      </c>
      <c r="Z246" s="24">
        <f>IFERROR(Table2[[#This Row],[Red Min]]/Table2[[#This Row],[ClassLength]],"")</f>
        <v>5.0847457627118647E-2</v>
      </c>
      <c r="AA246" s="25">
        <v>232.14</v>
      </c>
      <c r="AB246" s="25">
        <f t="shared" si="69"/>
        <v>46.427999999999997</v>
      </c>
      <c r="AC246" s="26">
        <f t="shared" si="57"/>
        <v>651</v>
      </c>
      <c r="AD246" s="26">
        <f t="shared" si="58"/>
        <v>14.4</v>
      </c>
      <c r="AE246">
        <f t="shared" si="59"/>
        <v>2021</v>
      </c>
      <c r="AG246">
        <v>12</v>
      </c>
      <c r="AH246" s="26">
        <f t="shared" si="60"/>
        <v>11.338983050847459</v>
      </c>
      <c r="AI246" t="str">
        <f t="shared" si="61"/>
        <v>PM</v>
      </c>
      <c r="AJ246" t="str">
        <f t="shared" si="62"/>
        <v>12-2021-1</v>
      </c>
      <c r="AK246">
        <f t="shared" si="63"/>
        <v>12</v>
      </c>
      <c r="AL246" s="26">
        <f>IFERROR(Table2[[#This Row],[Calories]]/Table2[[#This Row],[Splat]],"")</f>
        <v>37.166666666666664</v>
      </c>
      <c r="AM246">
        <f>COUNTIF(N$2:$N$938,N246)</f>
        <v>218</v>
      </c>
      <c r="AN246" t="str">
        <f>VLOOKUP(N246,'Helpful Tables'!A:D,4,FALSE)</f>
        <v>Washington, DC</v>
      </c>
      <c r="AO246" s="24">
        <f>COUNTIF(AN:AN,Table2[[#This Row],[State]])/COUNTA(AN:AN)</f>
        <v>0.54904051172707891</v>
      </c>
      <c r="AP246">
        <f>VLOOKUP(N246,'Helpful Tables'!A:B,2,FALSE)</f>
        <v>38.934710000000003</v>
      </c>
      <c r="AQ246">
        <f>VLOOKUP(N246,'Helpful Tables'!A:C,3,FALSE)</f>
        <v>-77.058222999999998</v>
      </c>
      <c r="AR246">
        <f>COUNTIF(P$2:$P$938,P246)</f>
        <v>71</v>
      </c>
      <c r="AS246" cm="1">
        <f t="array" ref="AS246">_xlfn.IFS(E246&lt;6,((E246/D246)*60)*0.5,AND(E246&gt;=6,E246&lt;9),((E246/D246)*60)*0.75,AND(E246&gt;=9,E246&lt;=11),((E246/D246)*60)*0.9,AND(E246=12),((E246/D246)*60)*1,AND(E246&gt;=13,E246&lt;=15),((E246/D246)*60)*1.2,AND(E246&gt;=16,E246&lt;=19),((E246/D246)*60)*1.5,E246&gt;=20,((E246/D246)*60)*1.8)</f>
        <v>27.457627118644069</v>
      </c>
      <c r="AT246" cm="1">
        <f t="array" ref="AT246">_xlfn.IFS(F246&lt;550,((F246/D246)*60)*0.5,AND(F246&gt;=550,F246&lt;575),((F246/D246)*60)*0.75,AND(F246&gt;=575,F246&lt;600),((F246/D246)*60)*0.9,AND(F246=600),((F246/D246)*60)*1,AND(F246&gt;=601,F246&lt;=625),((F246/D246)*60)*1.2,AND(F246&gt;=626,F246&lt;=650),((F246/D246)*60)*1.5,F246&gt;=651,((F246/D246)*60)*1.8)</f>
        <v>1224.6101694915255</v>
      </c>
      <c r="AU246">
        <f t="shared" si="72"/>
        <v>5.6000000000000014</v>
      </c>
      <c r="AV246">
        <f t="shared" si="68"/>
        <v>501.94711864406787</v>
      </c>
      <c r="AW246">
        <f t="shared" si="73"/>
        <v>80.2</v>
      </c>
      <c r="AX246" t="str">
        <f t="shared" si="66"/>
        <v>Dec-2021</v>
      </c>
      <c r="AY246">
        <f>ROUNDUP(Table2[[#This Row],[Month]]/3,0)</f>
        <v>4</v>
      </c>
    </row>
    <row r="247" spans="1:51" x14ac:dyDescent="0.2">
      <c r="A247">
        <v>246</v>
      </c>
      <c r="B247">
        <f t="shared" si="53"/>
        <v>5</v>
      </c>
      <c r="C247" s="22">
        <v>44532</v>
      </c>
      <c r="D247">
        <f>SUM(Table2[[#This Row],[Gray Min]:[Red Min]])</f>
        <v>56</v>
      </c>
      <c r="E247">
        <v>18</v>
      </c>
      <c r="F247">
        <v>645</v>
      </c>
      <c r="G247">
        <v>130</v>
      </c>
      <c r="H247">
        <v>167</v>
      </c>
      <c r="I247">
        <v>7</v>
      </c>
      <c r="J247">
        <v>16</v>
      </c>
      <c r="K247">
        <v>15</v>
      </c>
      <c r="L247">
        <v>16</v>
      </c>
      <c r="M247">
        <v>2</v>
      </c>
      <c r="N247" t="s">
        <v>91</v>
      </c>
      <c r="O247" t="s">
        <v>113</v>
      </c>
      <c r="P247" t="s">
        <v>97</v>
      </c>
      <c r="Q247">
        <f t="shared" si="67"/>
        <v>1</v>
      </c>
      <c r="R247" t="str">
        <f t="shared" si="54"/>
        <v>12-2021</v>
      </c>
      <c r="S247" t="s">
        <v>104</v>
      </c>
      <c r="T247" t="str">
        <f t="shared" si="55"/>
        <v>Thursday</v>
      </c>
      <c r="U247">
        <f t="shared" si="56"/>
        <v>1</v>
      </c>
      <c r="V247" s="24">
        <f>IFERROR(Table2[[#This Row],[Gray Min]]/Table2[[#This Row],[ClassLength]],"")</f>
        <v>0.125</v>
      </c>
      <c r="W247" s="24">
        <f>IFERROR(Table2[[#This Row],[Blue Min]]/Table2[[#This Row],[ClassLength]],"")</f>
        <v>0.2857142857142857</v>
      </c>
      <c r="X247" s="24">
        <f>IFERROR(Table2[[#This Row],[Green Min]]/Table2[[#This Row],[ClassLength]],"")</f>
        <v>0.26785714285714285</v>
      </c>
      <c r="Y247" s="24">
        <f>IFERROR(Table2[[#This Row],[Orange Min]]/Table2[[#This Row],[ClassLength]],"")</f>
        <v>0.2857142857142857</v>
      </c>
      <c r="Z247" s="24">
        <f>IFERROR(Table2[[#This Row],[Red Min]]/Table2[[#This Row],[ClassLength]],"")</f>
        <v>3.5714285714285712E-2</v>
      </c>
      <c r="AA247" s="25">
        <v>232.14</v>
      </c>
      <c r="AB247" s="25">
        <f t="shared" si="69"/>
        <v>46.427999999999997</v>
      </c>
      <c r="AC247" s="26">
        <f t="shared" si="57"/>
        <v>651</v>
      </c>
      <c r="AD247" s="26">
        <f t="shared" si="58"/>
        <v>14.4</v>
      </c>
      <c r="AE247">
        <f t="shared" si="59"/>
        <v>2021</v>
      </c>
      <c r="AG247">
        <v>12</v>
      </c>
      <c r="AH247" s="26">
        <f t="shared" si="60"/>
        <v>11.517857142857142</v>
      </c>
      <c r="AI247" t="str">
        <f t="shared" si="61"/>
        <v>AM</v>
      </c>
      <c r="AJ247" t="str">
        <f t="shared" si="62"/>
        <v>12-2021-1</v>
      </c>
      <c r="AK247">
        <f t="shared" si="63"/>
        <v>12</v>
      </c>
      <c r="AL247" s="26">
        <f>IFERROR(Table2[[#This Row],[Calories]]/Table2[[#This Row],[Splat]],"")</f>
        <v>35.833333333333336</v>
      </c>
      <c r="AM247">
        <f>COUNTIF(N$2:$N$938,N247)</f>
        <v>218</v>
      </c>
      <c r="AN247" t="str">
        <f>VLOOKUP(N247,'Helpful Tables'!A:D,4,FALSE)</f>
        <v>Washington, DC</v>
      </c>
      <c r="AO247" s="24">
        <f>COUNTIF(AN:AN,Table2[[#This Row],[State]])/COUNTA(AN:AN)</f>
        <v>0.54904051172707891</v>
      </c>
      <c r="AP247">
        <f>VLOOKUP(N247,'Helpful Tables'!A:B,2,FALSE)</f>
        <v>38.934710000000003</v>
      </c>
      <c r="AQ247">
        <f>VLOOKUP(N247,'Helpful Tables'!A:C,3,FALSE)</f>
        <v>-77.058222999999998</v>
      </c>
      <c r="AR247">
        <f>COUNTIF(P$2:$P$938,P247)</f>
        <v>14</v>
      </c>
      <c r="AS247" cm="1">
        <f t="array" ref="AS247">_xlfn.IFS(E247&lt;6,((E247/D247)*60)*0.5,AND(E247&gt;=6,E247&lt;9),((E247/D247)*60)*0.75,AND(E247&gt;=9,E247&lt;=11),((E247/D247)*60)*0.9,AND(E247=12),((E247/D247)*60)*1,AND(E247&gt;=13,E247&lt;=15),((E247/D247)*60)*1.2,AND(E247&gt;=16,E247&lt;=19),((E247/D247)*60)*1.5,E247&gt;=20,((E247/D247)*60)*1.8)</f>
        <v>28.928571428571431</v>
      </c>
      <c r="AT247" cm="1">
        <f t="array" ref="AT247">_xlfn.IFS(F247&lt;550,((F247/D247)*60)*0.5,AND(F247&gt;=550,F247&lt;575),((F247/D247)*60)*0.75,AND(F247&gt;=575,F247&lt;600),((F247/D247)*60)*0.9,AND(F247=600),((F247/D247)*60)*1,AND(F247&gt;=601,F247&lt;=625),((F247/D247)*60)*1.2,AND(F247&gt;=626,F247&lt;=650),((F247/D247)*60)*1.5,F247&gt;=651,((F247/D247)*60)*1.8)</f>
        <v>1036.6071428571429</v>
      </c>
      <c r="AU247">
        <f t="shared" si="72"/>
        <v>15.8</v>
      </c>
      <c r="AV247">
        <f t="shared" si="68"/>
        <v>429.37428571428575</v>
      </c>
      <c r="AW247">
        <f t="shared" si="73"/>
        <v>64.600000000000009</v>
      </c>
      <c r="AX247" t="str">
        <f t="shared" si="66"/>
        <v>Dec-2021</v>
      </c>
      <c r="AY247">
        <f>ROUNDUP(Table2[[#This Row],[Month]]/3,0)</f>
        <v>4</v>
      </c>
    </row>
    <row r="248" spans="1:51" x14ac:dyDescent="0.2">
      <c r="A248">
        <v>247</v>
      </c>
      <c r="B248">
        <f t="shared" si="53"/>
        <v>5</v>
      </c>
      <c r="C248" s="22">
        <v>44535</v>
      </c>
      <c r="D248">
        <f>SUM(Table2[[#This Row],[Gray Min]:[Red Min]])</f>
        <v>58</v>
      </c>
      <c r="E248">
        <v>15</v>
      </c>
      <c r="F248">
        <v>688</v>
      </c>
      <c r="G248">
        <v>131</v>
      </c>
      <c r="H248">
        <v>168</v>
      </c>
      <c r="I248">
        <v>6</v>
      </c>
      <c r="J248">
        <v>15</v>
      </c>
      <c r="K248">
        <v>22</v>
      </c>
      <c r="L248">
        <v>13</v>
      </c>
      <c r="M248">
        <v>2</v>
      </c>
      <c r="N248" t="s">
        <v>91</v>
      </c>
      <c r="O248" t="s">
        <v>45</v>
      </c>
      <c r="P248" t="s">
        <v>100</v>
      </c>
      <c r="Q248">
        <f t="shared" si="67"/>
        <v>3</v>
      </c>
      <c r="R248" t="str">
        <f t="shared" si="54"/>
        <v>12-2021</v>
      </c>
      <c r="S248" t="s">
        <v>104</v>
      </c>
      <c r="T248" t="str">
        <f t="shared" si="55"/>
        <v>Sunday</v>
      </c>
      <c r="U248">
        <f t="shared" si="56"/>
        <v>1</v>
      </c>
      <c r="V248" s="24">
        <f>IFERROR(Table2[[#This Row],[Gray Min]]/Table2[[#This Row],[ClassLength]],"")</f>
        <v>0.10344827586206896</v>
      </c>
      <c r="W248" s="24">
        <f>IFERROR(Table2[[#This Row],[Blue Min]]/Table2[[#This Row],[ClassLength]],"")</f>
        <v>0.25862068965517243</v>
      </c>
      <c r="X248" s="24">
        <f>IFERROR(Table2[[#This Row],[Green Min]]/Table2[[#This Row],[ClassLength]],"")</f>
        <v>0.37931034482758619</v>
      </c>
      <c r="Y248" s="24">
        <f>IFERROR(Table2[[#This Row],[Orange Min]]/Table2[[#This Row],[ClassLength]],"")</f>
        <v>0.22413793103448276</v>
      </c>
      <c r="Z248" s="24">
        <f>IFERROR(Table2[[#This Row],[Red Min]]/Table2[[#This Row],[ClassLength]],"")</f>
        <v>3.4482758620689655E-2</v>
      </c>
      <c r="AA248" s="25">
        <v>232.14</v>
      </c>
      <c r="AB248" s="25">
        <f t="shared" si="69"/>
        <v>46.427999999999997</v>
      </c>
      <c r="AC248" s="26">
        <f t="shared" si="57"/>
        <v>651</v>
      </c>
      <c r="AD248" s="26">
        <f t="shared" si="58"/>
        <v>14.4</v>
      </c>
      <c r="AE248">
        <f t="shared" si="59"/>
        <v>2021</v>
      </c>
      <c r="AG248">
        <v>12</v>
      </c>
      <c r="AH248" s="26">
        <f t="shared" si="60"/>
        <v>11.862068965517242</v>
      </c>
      <c r="AI248" t="str">
        <f t="shared" si="61"/>
        <v>AM</v>
      </c>
      <c r="AJ248" t="str">
        <f t="shared" si="62"/>
        <v>12-2021-2</v>
      </c>
      <c r="AK248">
        <f t="shared" si="63"/>
        <v>12</v>
      </c>
      <c r="AL248" s="26">
        <f>IFERROR(Table2[[#This Row],[Calories]]/Table2[[#This Row],[Splat]],"")</f>
        <v>45.866666666666667</v>
      </c>
      <c r="AM248">
        <f>COUNTIF(N$2:$N$938,N248)</f>
        <v>218</v>
      </c>
      <c r="AN248" t="str">
        <f>VLOOKUP(N248,'Helpful Tables'!A:D,4,FALSE)</f>
        <v>Washington, DC</v>
      </c>
      <c r="AO248" s="24">
        <f>COUNTIF(AN:AN,Table2[[#This Row],[State]])/COUNTA(AN:AN)</f>
        <v>0.54904051172707891</v>
      </c>
      <c r="AP248">
        <f>VLOOKUP(N248,'Helpful Tables'!A:B,2,FALSE)</f>
        <v>38.934710000000003</v>
      </c>
      <c r="AQ248">
        <f>VLOOKUP(N248,'Helpful Tables'!A:C,3,FALSE)</f>
        <v>-77.058222999999998</v>
      </c>
      <c r="AR248">
        <f>COUNTIF(P$2:$P$938,P248)</f>
        <v>35</v>
      </c>
      <c r="AS248" cm="1">
        <f t="array" ref="AS248">_xlfn.IFS(E248&lt;6,((E248/D248)*60)*0.5,AND(E248&gt;=6,E248&lt;9),((E248/D248)*60)*0.75,AND(E248&gt;=9,E248&lt;=11),((E248/D248)*60)*0.9,AND(E248=12),((E248/D248)*60)*1,AND(E248&gt;=13,E248&lt;=15),((E248/D248)*60)*1.2,AND(E248&gt;=16,E248&lt;=19),((E248/D248)*60)*1.5,E248&gt;=20,((E248/D248)*60)*1.8)</f>
        <v>18.620689655172413</v>
      </c>
      <c r="AT248" cm="1">
        <f t="array" ref="AT248">_xlfn.IFS(F248&lt;550,((F248/D248)*60)*0.5,AND(F248&gt;=550,F248&lt;575),((F248/D248)*60)*0.75,AND(F248&gt;=575,F248&lt;600),((F248/D248)*60)*0.9,AND(F248=600),((F248/D248)*60)*1,AND(F248&gt;=601,F248&lt;=625),((F248/D248)*60)*1.2,AND(F248&gt;=626,F248&lt;=650),((F248/D248)*60)*1.5,F248&gt;=651,((F248/D248)*60)*1.8)</f>
        <v>1281.1034482758621</v>
      </c>
      <c r="AU248">
        <f t="shared" si="72"/>
        <v>22.6</v>
      </c>
      <c r="AV248">
        <f t="shared" si="68"/>
        <v>524.40965517241375</v>
      </c>
      <c r="AW248">
        <f t="shared" si="73"/>
        <v>92.4</v>
      </c>
      <c r="AX248" t="str">
        <f t="shared" si="66"/>
        <v>Dec-2021</v>
      </c>
      <c r="AY248">
        <f>ROUNDUP(Table2[[#This Row],[Month]]/3,0)</f>
        <v>4</v>
      </c>
    </row>
    <row r="249" spans="1:51" x14ac:dyDescent="0.2">
      <c r="A249">
        <v>248</v>
      </c>
      <c r="B249">
        <f t="shared" si="53"/>
        <v>5</v>
      </c>
      <c r="C249" s="22">
        <v>44536</v>
      </c>
      <c r="D249">
        <f>SUM(Table2[[#This Row],[Gray Min]:[Red Min]])</f>
        <v>54</v>
      </c>
      <c r="E249">
        <v>15</v>
      </c>
      <c r="F249">
        <v>658</v>
      </c>
      <c r="G249">
        <v>134</v>
      </c>
      <c r="H249">
        <v>166</v>
      </c>
      <c r="I249">
        <v>3</v>
      </c>
      <c r="J249">
        <v>13</v>
      </c>
      <c r="K249">
        <v>23</v>
      </c>
      <c r="L249">
        <v>13</v>
      </c>
      <c r="M249">
        <v>2</v>
      </c>
      <c r="N249" t="s">
        <v>91</v>
      </c>
      <c r="O249" t="s">
        <v>39</v>
      </c>
      <c r="P249" t="s">
        <v>94</v>
      </c>
      <c r="Q249">
        <f t="shared" si="67"/>
        <v>1</v>
      </c>
      <c r="R249" t="str">
        <f t="shared" si="54"/>
        <v>12-2021</v>
      </c>
      <c r="S249" t="s">
        <v>104</v>
      </c>
      <c r="T249" t="str">
        <f t="shared" si="55"/>
        <v>Monday</v>
      </c>
      <c r="U249">
        <f t="shared" si="56"/>
        <v>1</v>
      </c>
      <c r="V249" s="24">
        <f>IFERROR(Table2[[#This Row],[Gray Min]]/Table2[[#This Row],[ClassLength]],"")</f>
        <v>5.5555555555555552E-2</v>
      </c>
      <c r="W249" s="24">
        <f>IFERROR(Table2[[#This Row],[Blue Min]]/Table2[[#This Row],[ClassLength]],"")</f>
        <v>0.24074074074074073</v>
      </c>
      <c r="X249" s="24">
        <f>IFERROR(Table2[[#This Row],[Green Min]]/Table2[[#This Row],[ClassLength]],"")</f>
        <v>0.42592592592592593</v>
      </c>
      <c r="Y249" s="24">
        <f>IFERROR(Table2[[#This Row],[Orange Min]]/Table2[[#This Row],[ClassLength]],"")</f>
        <v>0.24074074074074073</v>
      </c>
      <c r="Z249" s="24">
        <f>IFERROR(Table2[[#This Row],[Red Min]]/Table2[[#This Row],[ClassLength]],"")</f>
        <v>3.7037037037037035E-2</v>
      </c>
      <c r="AA249" s="25">
        <v>232.14</v>
      </c>
      <c r="AB249" s="25">
        <f t="shared" si="69"/>
        <v>46.427999999999997</v>
      </c>
      <c r="AC249" s="26">
        <f t="shared" si="57"/>
        <v>651</v>
      </c>
      <c r="AD249" s="26">
        <f t="shared" si="58"/>
        <v>14.4</v>
      </c>
      <c r="AE249">
        <f t="shared" si="59"/>
        <v>2021</v>
      </c>
      <c r="AG249">
        <v>12</v>
      </c>
      <c r="AH249" s="26">
        <f t="shared" si="60"/>
        <v>12.185185185185185</v>
      </c>
      <c r="AI249" t="str">
        <f t="shared" si="61"/>
        <v>PM</v>
      </c>
      <c r="AJ249" t="str">
        <f t="shared" si="62"/>
        <v>12-2021-2</v>
      </c>
      <c r="AK249">
        <f t="shared" si="63"/>
        <v>12</v>
      </c>
      <c r="AL249" s="26">
        <f>IFERROR(Table2[[#This Row],[Calories]]/Table2[[#This Row],[Splat]],"")</f>
        <v>43.866666666666667</v>
      </c>
      <c r="AM249">
        <f>COUNTIF(N$2:$N$938,N249)</f>
        <v>218</v>
      </c>
      <c r="AN249" t="str">
        <f>VLOOKUP(N249,'Helpful Tables'!A:D,4,FALSE)</f>
        <v>Washington, DC</v>
      </c>
      <c r="AO249" s="24">
        <f>COUNTIF(AN:AN,Table2[[#This Row],[State]])/COUNTA(AN:AN)</f>
        <v>0.54904051172707891</v>
      </c>
      <c r="AP249">
        <f>VLOOKUP(N249,'Helpful Tables'!A:B,2,FALSE)</f>
        <v>38.934710000000003</v>
      </c>
      <c r="AQ249">
        <f>VLOOKUP(N249,'Helpful Tables'!A:C,3,FALSE)</f>
        <v>-77.058222999999998</v>
      </c>
      <c r="AR249">
        <f>COUNTIF(P$2:$P$938,P249)</f>
        <v>15</v>
      </c>
      <c r="AS249" cm="1">
        <f t="array" ref="AS249">_xlfn.IFS(E249&lt;6,((E249/D249)*60)*0.5,AND(E249&gt;=6,E249&lt;9),((E249/D249)*60)*0.75,AND(E249&gt;=9,E249&lt;=11),((E249/D249)*60)*0.9,AND(E249=12),((E249/D249)*60)*1,AND(E249&gt;=13,E249&lt;=15),((E249/D249)*60)*1.2,AND(E249&gt;=16,E249&lt;=19),((E249/D249)*60)*1.5,E249&gt;=20,((E249/D249)*60)*1.8)</f>
        <v>20</v>
      </c>
      <c r="AT249" cm="1">
        <f t="array" ref="AT249">_xlfn.IFS(F249&lt;550,((F249/D249)*60)*0.5,AND(F249&gt;=550,F249&lt;575),((F249/D249)*60)*0.75,AND(F249&gt;=575,F249&lt;600),((F249/D249)*60)*0.9,AND(F249=600),((F249/D249)*60)*1,AND(F249&gt;=601,F249&lt;=625),((F249/D249)*60)*1.2,AND(F249&gt;=626,F249&lt;=650),((F249/D249)*60)*1.5,F249&gt;=651,((F249/D249)*60)*1.8)</f>
        <v>1316</v>
      </c>
      <c r="AU249">
        <f t="shared" si="72"/>
        <v>29.6</v>
      </c>
      <c r="AV249">
        <f t="shared" si="68"/>
        <v>540.31999999999994</v>
      </c>
      <c r="AW249">
        <f t="shared" si="73"/>
        <v>96.3</v>
      </c>
      <c r="AX249" t="str">
        <f t="shared" si="66"/>
        <v>Dec-2021</v>
      </c>
      <c r="AY249">
        <f>ROUNDUP(Table2[[#This Row],[Month]]/3,0)</f>
        <v>4</v>
      </c>
    </row>
    <row r="250" spans="1:51" x14ac:dyDescent="0.2">
      <c r="A250">
        <v>249</v>
      </c>
      <c r="B250">
        <f t="shared" si="53"/>
        <v>5</v>
      </c>
      <c r="C250" s="22">
        <v>44538</v>
      </c>
      <c r="D250">
        <f>SUM(Table2[[#This Row],[Gray Min]:[Red Min]])</f>
        <v>57</v>
      </c>
      <c r="E250">
        <v>6</v>
      </c>
      <c r="F250">
        <v>595</v>
      </c>
      <c r="G250">
        <v>122</v>
      </c>
      <c r="H250">
        <v>162</v>
      </c>
      <c r="I250">
        <v>14</v>
      </c>
      <c r="J250">
        <v>17</v>
      </c>
      <c r="K250">
        <v>20</v>
      </c>
      <c r="L250">
        <v>6</v>
      </c>
      <c r="M250">
        <v>0</v>
      </c>
      <c r="N250" t="s">
        <v>91</v>
      </c>
      <c r="O250" t="s">
        <v>39</v>
      </c>
      <c r="P250" t="s">
        <v>96</v>
      </c>
      <c r="Q250">
        <f t="shared" si="67"/>
        <v>2</v>
      </c>
      <c r="R250" t="str">
        <f t="shared" si="54"/>
        <v>12-2021</v>
      </c>
      <c r="S250" t="s">
        <v>117</v>
      </c>
      <c r="T250" t="str">
        <f t="shared" si="55"/>
        <v>Wednesday</v>
      </c>
      <c r="U250">
        <f t="shared" si="56"/>
        <v>0</v>
      </c>
      <c r="V250" s="24">
        <f>IFERROR(Table2[[#This Row],[Gray Min]]/Table2[[#This Row],[ClassLength]],"")</f>
        <v>0.24561403508771928</v>
      </c>
      <c r="W250" s="24">
        <f>IFERROR(Table2[[#This Row],[Blue Min]]/Table2[[#This Row],[ClassLength]],"")</f>
        <v>0.2982456140350877</v>
      </c>
      <c r="X250" s="24">
        <f>IFERROR(Table2[[#This Row],[Green Min]]/Table2[[#This Row],[ClassLength]],"")</f>
        <v>0.35087719298245612</v>
      </c>
      <c r="Y250" s="24">
        <f>IFERROR(Table2[[#This Row],[Orange Min]]/Table2[[#This Row],[ClassLength]],"")</f>
        <v>0.10526315789473684</v>
      </c>
      <c r="Z250" s="24">
        <f>IFERROR(Table2[[#This Row],[Red Min]]/Table2[[#This Row],[ClassLength]],"")</f>
        <v>0</v>
      </c>
      <c r="AA250" s="25">
        <v>232.14</v>
      </c>
      <c r="AB250" s="25">
        <f t="shared" si="69"/>
        <v>46.427999999999997</v>
      </c>
      <c r="AC250" s="26">
        <f t="shared" si="57"/>
        <v>651</v>
      </c>
      <c r="AD250" s="26">
        <f t="shared" si="58"/>
        <v>14.4</v>
      </c>
      <c r="AE250">
        <f t="shared" si="59"/>
        <v>2021</v>
      </c>
      <c r="AG250">
        <v>12</v>
      </c>
      <c r="AH250" s="26">
        <f t="shared" si="60"/>
        <v>10.43859649122807</v>
      </c>
      <c r="AI250" t="str">
        <f t="shared" si="61"/>
        <v>PM</v>
      </c>
      <c r="AJ250" t="str">
        <f t="shared" si="62"/>
        <v>12-2021-2</v>
      </c>
      <c r="AK250">
        <f t="shared" si="63"/>
        <v>12</v>
      </c>
      <c r="AL250" s="26">
        <f>IFERROR(Table2[[#This Row],[Calories]]/Table2[[#This Row],[Splat]],"")</f>
        <v>99.166666666666671</v>
      </c>
      <c r="AM250">
        <f>COUNTIF(N$2:$N$938,N250)</f>
        <v>218</v>
      </c>
      <c r="AN250" t="str">
        <f>VLOOKUP(N250,'Helpful Tables'!A:D,4,FALSE)</f>
        <v>Washington, DC</v>
      </c>
      <c r="AO250" s="24">
        <f>COUNTIF(AN:AN,Table2[[#This Row],[State]])/COUNTA(AN:AN)</f>
        <v>0.54904051172707891</v>
      </c>
      <c r="AP250">
        <f>VLOOKUP(N250,'Helpful Tables'!A:B,2,FALSE)</f>
        <v>38.934710000000003</v>
      </c>
      <c r="AQ250">
        <f>VLOOKUP(N250,'Helpful Tables'!A:C,3,FALSE)</f>
        <v>-77.058222999999998</v>
      </c>
      <c r="AR250">
        <f>COUNTIF(P$2:$P$938,P250)</f>
        <v>71</v>
      </c>
      <c r="AS250" cm="1">
        <f t="array" ref="AS250">_xlfn.IFS(E250&lt;6,((E250/D250)*60)*0.5,AND(E250&gt;=6,E250&lt;9),((E250/D250)*60)*0.75,AND(E250&gt;=9,E250&lt;=11),((E250/D250)*60)*0.9,AND(E250=12),((E250/D250)*60)*1,AND(E250&gt;=13,E250&lt;=15),((E250/D250)*60)*1.2,AND(E250&gt;=16,E250&lt;=19),((E250/D250)*60)*1.5,E250&gt;=20,((E250/D250)*60)*1.8)</f>
        <v>4.7368421052631575</v>
      </c>
      <c r="AT250" cm="1">
        <f t="array" ref="AT250">_xlfn.IFS(F250&lt;550,((F250/D250)*60)*0.5,AND(F250&gt;=550,F250&lt;575),((F250/D250)*60)*0.75,AND(F250&gt;=575,F250&lt;600),((F250/D250)*60)*0.9,AND(F250=600),((F250/D250)*60)*1,AND(F250&gt;=601,F250&lt;=625),((F250/D250)*60)*1.2,AND(F250&gt;=626,F250&lt;=650),((F250/D250)*60)*1.5,F250&gt;=651,((F250/D250)*60)*1.8)</f>
        <v>563.68421052631572</v>
      </c>
      <c r="AU250">
        <f t="shared" si="72"/>
        <v>-3.6999999999999993</v>
      </c>
      <c r="AV250">
        <f t="shared" si="68"/>
        <v>226.62842105263155</v>
      </c>
      <c r="AW250">
        <f t="shared" si="73"/>
        <v>18.600000000000001</v>
      </c>
      <c r="AX250" t="str">
        <f t="shared" si="66"/>
        <v>Dec-2021</v>
      </c>
      <c r="AY250">
        <f>ROUNDUP(Table2[[#This Row],[Month]]/3,0)</f>
        <v>4</v>
      </c>
    </row>
    <row r="251" spans="1:51" x14ac:dyDescent="0.2">
      <c r="A251">
        <v>250</v>
      </c>
      <c r="B251">
        <f t="shared" si="53"/>
        <v>2</v>
      </c>
      <c r="C251" s="22">
        <v>44590</v>
      </c>
      <c r="D251">
        <f>SUM(Table2[[#This Row],[Gray Min]:[Red Min]])</f>
        <v>56</v>
      </c>
      <c r="E251">
        <v>20</v>
      </c>
      <c r="F251">
        <v>669</v>
      </c>
      <c r="G251">
        <v>133</v>
      </c>
      <c r="H251">
        <v>167</v>
      </c>
      <c r="I251">
        <v>5</v>
      </c>
      <c r="J251">
        <v>16</v>
      </c>
      <c r="K251">
        <v>15</v>
      </c>
      <c r="L251">
        <v>17</v>
      </c>
      <c r="M251">
        <v>3</v>
      </c>
      <c r="N251" t="s">
        <v>91</v>
      </c>
      <c r="O251" t="s">
        <v>45</v>
      </c>
      <c r="P251" t="s">
        <v>94</v>
      </c>
      <c r="Q251">
        <f t="shared" si="67"/>
        <v>52</v>
      </c>
      <c r="R251" t="str">
        <f t="shared" si="54"/>
        <v>1-2022</v>
      </c>
      <c r="S251" t="s">
        <v>104</v>
      </c>
      <c r="T251" t="str">
        <f t="shared" si="55"/>
        <v>Saturday</v>
      </c>
      <c r="U251">
        <f t="shared" si="56"/>
        <v>1</v>
      </c>
      <c r="V251" s="24">
        <f>IFERROR(Table2[[#This Row],[Gray Min]]/Table2[[#This Row],[ClassLength]],"")</f>
        <v>8.9285714285714288E-2</v>
      </c>
      <c r="W251" s="24">
        <f>IFERROR(Table2[[#This Row],[Blue Min]]/Table2[[#This Row],[ClassLength]],"")</f>
        <v>0.2857142857142857</v>
      </c>
      <c r="X251" s="24">
        <f>IFERROR(Table2[[#This Row],[Green Min]]/Table2[[#This Row],[ClassLength]],"")</f>
        <v>0.26785714285714285</v>
      </c>
      <c r="Y251" s="24">
        <f>IFERROR(Table2[[#This Row],[Orange Min]]/Table2[[#This Row],[ClassLength]],"")</f>
        <v>0.30357142857142855</v>
      </c>
      <c r="Z251" s="24">
        <f>IFERROR(Table2[[#This Row],[Red Min]]/Table2[[#This Row],[ClassLength]],"")</f>
        <v>5.3571428571428568E-2</v>
      </c>
      <c r="AA251" s="25">
        <v>22.465161290000001</v>
      </c>
      <c r="AB251" s="25">
        <f t="shared" si="69"/>
        <v>11.232580645000001</v>
      </c>
      <c r="AC251" s="26">
        <f t="shared" si="57"/>
        <v>655</v>
      </c>
      <c r="AD251" s="26">
        <f t="shared" si="58"/>
        <v>16</v>
      </c>
      <c r="AE251">
        <f t="shared" si="59"/>
        <v>2022</v>
      </c>
      <c r="AG251">
        <v>1</v>
      </c>
      <c r="AH251" s="26">
        <f t="shared" si="60"/>
        <v>11.946428571428571</v>
      </c>
      <c r="AI251" t="str">
        <f t="shared" si="61"/>
        <v>AM</v>
      </c>
      <c r="AJ251" t="str">
        <f t="shared" si="62"/>
        <v>1-2022-5</v>
      </c>
      <c r="AK251">
        <f t="shared" si="63"/>
        <v>1</v>
      </c>
      <c r="AL251" s="26">
        <f>IFERROR(Table2[[#This Row],[Calories]]/Table2[[#This Row],[Splat]],"")</f>
        <v>33.450000000000003</v>
      </c>
      <c r="AM251">
        <f>COUNTIF(N$2:$N$938,N251)</f>
        <v>218</v>
      </c>
      <c r="AN251" t="str">
        <f>VLOOKUP(N251,'Helpful Tables'!A:D,4,FALSE)</f>
        <v>Washington, DC</v>
      </c>
      <c r="AO251" s="24">
        <f>COUNTIF(AN:AN,Table2[[#This Row],[State]])/COUNTA(AN:AN)</f>
        <v>0.54904051172707891</v>
      </c>
      <c r="AP251">
        <f>VLOOKUP(N251,'Helpful Tables'!A:B,2,FALSE)</f>
        <v>38.934710000000003</v>
      </c>
      <c r="AQ251">
        <f>VLOOKUP(N251,'Helpful Tables'!A:C,3,FALSE)</f>
        <v>-77.058222999999998</v>
      </c>
      <c r="AR251">
        <f>COUNTIF(P$2:$P$938,P251)</f>
        <v>15</v>
      </c>
      <c r="AS251" cm="1">
        <f t="array" ref="AS251">_xlfn.IFS(E251&lt;6,((E251/D251)*60)*0.5,AND(E251&gt;=6,E251&lt;9),((E251/D251)*60)*0.75,AND(E251&gt;=9,E251&lt;=11),((E251/D251)*60)*0.9,AND(E251=12),((E251/D251)*60)*1,AND(E251&gt;=13,E251&lt;=15),((E251/D251)*60)*1.2,AND(E251&gt;=16,E251&lt;=19),((E251/D251)*60)*1.5,E251&gt;=20,((E251/D251)*60)*1.8)</f>
        <v>38.571428571428577</v>
      </c>
      <c r="AT251" cm="1">
        <f t="array" ref="AT251">_xlfn.IFS(F251&lt;550,((F251/D251)*60)*0.5,AND(F251&gt;=550,F251&lt;575),((F251/D251)*60)*0.75,AND(F251&gt;=575,F251&lt;600),((F251/D251)*60)*0.9,AND(F251=600),((F251/D251)*60)*1,AND(F251&gt;=601,F251&lt;=625),((F251/D251)*60)*1.2,AND(F251&gt;=626,F251&lt;=650),((F251/D251)*60)*1.5,F251&gt;=651,((F251/D251)*60)*1.8)</f>
        <v>1290.2142857142856</v>
      </c>
      <c r="AU251">
        <f t="shared" si="72"/>
        <v>21</v>
      </c>
      <c r="AV251">
        <f t="shared" si="68"/>
        <v>535.71428571428578</v>
      </c>
      <c r="AW251">
        <f t="shared" si="73"/>
        <v>95.399999999999991</v>
      </c>
      <c r="AX251" t="str">
        <f t="shared" si="66"/>
        <v>Jan-2022</v>
      </c>
      <c r="AY251">
        <f>ROUNDUP(Table2[[#This Row],[Month]]/3,0)</f>
        <v>1</v>
      </c>
    </row>
    <row r="252" spans="1:51" x14ac:dyDescent="0.2">
      <c r="A252">
        <v>251</v>
      </c>
      <c r="B252">
        <f t="shared" si="53"/>
        <v>2</v>
      </c>
      <c r="C252" s="22">
        <v>44592</v>
      </c>
      <c r="D252">
        <f>SUM(Table2[[#This Row],[Gray Min]:[Red Min]])</f>
        <v>56</v>
      </c>
      <c r="E252">
        <v>12</v>
      </c>
      <c r="F252">
        <v>641</v>
      </c>
      <c r="G252">
        <v>128</v>
      </c>
      <c r="H252">
        <v>169</v>
      </c>
      <c r="I252">
        <v>11</v>
      </c>
      <c r="J252">
        <v>11</v>
      </c>
      <c r="K252">
        <v>22</v>
      </c>
      <c r="L252">
        <v>8</v>
      </c>
      <c r="M252">
        <v>4</v>
      </c>
      <c r="N252" t="s">
        <v>91</v>
      </c>
      <c r="O252" t="s">
        <v>39</v>
      </c>
      <c r="P252" t="s">
        <v>94</v>
      </c>
      <c r="Q252">
        <f t="shared" si="67"/>
        <v>2</v>
      </c>
      <c r="R252" t="str">
        <f t="shared" si="54"/>
        <v>1-2022</v>
      </c>
      <c r="S252" t="s">
        <v>104</v>
      </c>
      <c r="T252" t="str">
        <f t="shared" si="55"/>
        <v>Monday</v>
      </c>
      <c r="U252">
        <f t="shared" si="56"/>
        <v>1</v>
      </c>
      <c r="V252" s="24">
        <f>IFERROR(Table2[[#This Row],[Gray Min]]/Table2[[#This Row],[ClassLength]],"")</f>
        <v>0.19642857142857142</v>
      </c>
      <c r="W252" s="24">
        <f>IFERROR(Table2[[#This Row],[Blue Min]]/Table2[[#This Row],[ClassLength]],"")</f>
        <v>0.19642857142857142</v>
      </c>
      <c r="X252" s="24">
        <f>IFERROR(Table2[[#This Row],[Green Min]]/Table2[[#This Row],[ClassLength]],"")</f>
        <v>0.39285714285714285</v>
      </c>
      <c r="Y252" s="24">
        <f>IFERROR(Table2[[#This Row],[Orange Min]]/Table2[[#This Row],[ClassLength]],"")</f>
        <v>0.14285714285714285</v>
      </c>
      <c r="Z252" s="24">
        <f>IFERROR(Table2[[#This Row],[Red Min]]/Table2[[#This Row],[ClassLength]],"")</f>
        <v>7.1428571428571425E-2</v>
      </c>
      <c r="AA252" s="25">
        <v>22.465161290000001</v>
      </c>
      <c r="AB252" s="25">
        <f t="shared" si="69"/>
        <v>11.232580645000001</v>
      </c>
      <c r="AC252" s="26">
        <f t="shared" si="57"/>
        <v>655</v>
      </c>
      <c r="AD252" s="26">
        <f t="shared" si="58"/>
        <v>16</v>
      </c>
      <c r="AE252">
        <f t="shared" si="59"/>
        <v>2022</v>
      </c>
      <c r="AG252">
        <v>1</v>
      </c>
      <c r="AH252" s="26">
        <f t="shared" si="60"/>
        <v>11.446428571428571</v>
      </c>
      <c r="AI252" t="str">
        <f t="shared" si="61"/>
        <v>PM</v>
      </c>
      <c r="AJ252" t="str">
        <f t="shared" si="62"/>
        <v>1-2022-6</v>
      </c>
      <c r="AK252">
        <f t="shared" si="63"/>
        <v>1</v>
      </c>
      <c r="AL252" s="26">
        <f>IFERROR(Table2[[#This Row],[Calories]]/Table2[[#This Row],[Splat]],"")</f>
        <v>53.416666666666664</v>
      </c>
      <c r="AM252">
        <f>COUNTIF(N$2:$N$938,N252)</f>
        <v>218</v>
      </c>
      <c r="AN252" t="str">
        <f>VLOOKUP(N252,'Helpful Tables'!A:D,4,FALSE)</f>
        <v>Washington, DC</v>
      </c>
      <c r="AO252" s="24">
        <f>COUNTIF(AN:AN,Table2[[#This Row],[State]])/COUNTA(AN:AN)</f>
        <v>0.54904051172707891</v>
      </c>
      <c r="AP252">
        <f>VLOOKUP(N252,'Helpful Tables'!A:B,2,FALSE)</f>
        <v>38.934710000000003</v>
      </c>
      <c r="AQ252">
        <f>VLOOKUP(N252,'Helpful Tables'!A:C,3,FALSE)</f>
        <v>-77.058222999999998</v>
      </c>
      <c r="AR252">
        <f>COUNTIF(P$2:$P$938,P252)</f>
        <v>15</v>
      </c>
      <c r="AS252" cm="1">
        <f t="array" ref="AS252">_xlfn.IFS(E252&lt;6,((E252/D252)*60)*0.5,AND(E252&gt;=6,E252&lt;9),((E252/D252)*60)*0.75,AND(E252&gt;=9,E252&lt;=11),((E252/D252)*60)*0.9,AND(E252=12),((E252/D252)*60)*1,AND(E252&gt;=13,E252&lt;=15),((E252/D252)*60)*1.2,AND(E252&gt;=16,E252&lt;=19),((E252/D252)*60)*1.5,E252&gt;=20,((E252/D252)*60)*1.8)</f>
        <v>12.857142857142856</v>
      </c>
      <c r="AT252" cm="1">
        <f t="array" ref="AT252">_xlfn.IFS(F252&lt;550,((F252/D252)*60)*0.5,AND(F252&gt;=550,F252&lt;575),((F252/D252)*60)*0.75,AND(F252&gt;=575,F252&lt;600),((F252/D252)*60)*0.9,AND(F252=600),((F252/D252)*60)*1,AND(F252&gt;=601,F252&lt;=625),((F252/D252)*60)*1.2,AND(F252&gt;=626,F252&lt;=650),((F252/D252)*60)*1.5,F252&gt;=651,((F252/D252)*60)*1.8)</f>
        <v>1030.1785714285713</v>
      </c>
      <c r="AU252">
        <f t="shared" si="72"/>
        <v>17.5</v>
      </c>
      <c r="AV252">
        <f t="shared" si="68"/>
        <v>420.71428571428572</v>
      </c>
      <c r="AW252">
        <f t="shared" si="73"/>
        <v>61.8</v>
      </c>
      <c r="AX252" t="str">
        <f t="shared" si="66"/>
        <v>Jan-2022</v>
      </c>
      <c r="AY252">
        <f>ROUNDUP(Table2[[#This Row],[Month]]/3,0)</f>
        <v>1</v>
      </c>
    </row>
    <row r="253" spans="1:51" x14ac:dyDescent="0.2">
      <c r="A253">
        <v>252</v>
      </c>
      <c r="B253">
        <f t="shared" si="53"/>
        <v>14</v>
      </c>
      <c r="C253" s="22">
        <v>44594</v>
      </c>
      <c r="D253">
        <f>SUM(Table2[[#This Row],[Gray Min]:[Red Min]])</f>
        <v>59</v>
      </c>
      <c r="E253">
        <v>10</v>
      </c>
      <c r="F253">
        <v>580</v>
      </c>
      <c r="G253">
        <v>119</v>
      </c>
      <c r="H253">
        <v>165</v>
      </c>
      <c r="I253">
        <v>19</v>
      </c>
      <c r="J253">
        <v>17</v>
      </c>
      <c r="K253">
        <v>13</v>
      </c>
      <c r="L253">
        <v>9</v>
      </c>
      <c r="M253">
        <v>1</v>
      </c>
      <c r="N253" t="s">
        <v>91</v>
      </c>
      <c r="O253" t="s">
        <v>39</v>
      </c>
      <c r="P253" t="s">
        <v>96</v>
      </c>
      <c r="Q253">
        <f t="shared" si="67"/>
        <v>2</v>
      </c>
      <c r="R253" t="str">
        <f t="shared" si="54"/>
        <v>2-2022</v>
      </c>
      <c r="S253" t="s">
        <v>117</v>
      </c>
      <c r="T253" t="str">
        <f t="shared" si="55"/>
        <v>Wednesday</v>
      </c>
      <c r="U253">
        <f t="shared" si="56"/>
        <v>0</v>
      </c>
      <c r="V253" s="24">
        <f>IFERROR(Table2[[#This Row],[Gray Min]]/Table2[[#This Row],[ClassLength]],"")</f>
        <v>0.32203389830508472</v>
      </c>
      <c r="W253" s="24">
        <f>IFERROR(Table2[[#This Row],[Blue Min]]/Table2[[#This Row],[ClassLength]],"")</f>
        <v>0.28813559322033899</v>
      </c>
      <c r="X253" s="24">
        <f>IFERROR(Table2[[#This Row],[Green Min]]/Table2[[#This Row],[ClassLength]],"")</f>
        <v>0.22033898305084745</v>
      </c>
      <c r="Y253" s="24">
        <f>IFERROR(Table2[[#This Row],[Orange Min]]/Table2[[#This Row],[ClassLength]],"")</f>
        <v>0.15254237288135594</v>
      </c>
      <c r="Z253" s="24">
        <f>IFERROR(Table2[[#This Row],[Red Min]]/Table2[[#This Row],[ClassLength]],"")</f>
        <v>1.6949152542372881E-2</v>
      </c>
      <c r="AA253" s="25">
        <v>232.14</v>
      </c>
      <c r="AB253" s="25">
        <f t="shared" si="69"/>
        <v>16.581428571428571</v>
      </c>
      <c r="AC253" s="26">
        <f t="shared" si="57"/>
        <v>653</v>
      </c>
      <c r="AD253" s="26">
        <f t="shared" si="58"/>
        <v>13.571428571428571</v>
      </c>
      <c r="AE253">
        <f t="shared" si="59"/>
        <v>2022</v>
      </c>
      <c r="AG253">
        <v>12</v>
      </c>
      <c r="AH253" s="26">
        <f t="shared" si="60"/>
        <v>9.8305084745762716</v>
      </c>
      <c r="AI253" t="str">
        <f t="shared" si="61"/>
        <v>PM</v>
      </c>
      <c r="AJ253" t="str">
        <f t="shared" si="62"/>
        <v>2-2022-1</v>
      </c>
      <c r="AK253">
        <f t="shared" si="63"/>
        <v>2</v>
      </c>
      <c r="AL253" s="26">
        <f>IFERROR(Table2[[#This Row],[Calories]]/Table2[[#This Row],[Splat]],"")</f>
        <v>58</v>
      </c>
      <c r="AM253">
        <f>COUNTIF(N$2:$N$938,N253)</f>
        <v>218</v>
      </c>
      <c r="AN253" t="str">
        <f>VLOOKUP(N253,'Helpful Tables'!A:D,4,FALSE)</f>
        <v>Washington, DC</v>
      </c>
      <c r="AO253" s="24">
        <f>COUNTIF(AN:AN,Table2[[#This Row],[State]])/COUNTA(AN:AN)</f>
        <v>0.54904051172707891</v>
      </c>
      <c r="AP253">
        <f>VLOOKUP(N253,'Helpful Tables'!A:B,2,FALSE)</f>
        <v>38.934710000000003</v>
      </c>
      <c r="AQ253">
        <f>VLOOKUP(N253,'Helpful Tables'!A:C,3,FALSE)</f>
        <v>-77.058222999999998</v>
      </c>
      <c r="AR253">
        <f>COUNTIF(P$2:$P$938,P253)</f>
        <v>71</v>
      </c>
      <c r="AS253" cm="1">
        <f t="array" ref="AS253">_xlfn.IFS(E253&lt;6,((E253/D253)*60)*0.5,AND(E253&gt;=6,E253&lt;9),((E253/D253)*60)*0.75,AND(E253&gt;=9,E253&lt;=11),((E253/D253)*60)*0.9,AND(E253=12),((E253/D253)*60)*1,AND(E253&gt;=13,E253&lt;=15),((E253/D253)*60)*1.2,AND(E253&gt;=16,E253&lt;=19),((E253/D253)*60)*1.5,E253&gt;=20,((E253/D253)*60)*1.8)</f>
        <v>9.1525423728813564</v>
      </c>
      <c r="AT253" cm="1">
        <f t="array" ref="AT253">_xlfn.IFS(F253&lt;550,((F253/D253)*60)*0.5,AND(F253&gt;=550,F253&lt;575),((F253/D253)*60)*0.75,AND(F253&gt;=575,F253&lt;600),((F253/D253)*60)*0.9,AND(F253=600),((F253/D253)*60)*1,AND(F253&gt;=601,F253&lt;=625),((F253/D253)*60)*1.2,AND(F253&gt;=626,F253&lt;=650),((F253/D253)*60)*1.5,F253&gt;=651,((F253/D253)*60)*1.8)</f>
        <v>530.84745762711862</v>
      </c>
      <c r="AU253">
        <f t="shared" si="72"/>
        <v>-12.699999999999998</v>
      </c>
      <c r="AV253">
        <f t="shared" si="68"/>
        <v>213.46</v>
      </c>
      <c r="AW253">
        <f t="shared" si="73"/>
        <v>14.799999999999999</v>
      </c>
      <c r="AX253" t="str">
        <f t="shared" si="66"/>
        <v>Feb-2022</v>
      </c>
      <c r="AY253">
        <f>ROUNDUP(Table2[[#This Row],[Month]]/3,0)</f>
        <v>1</v>
      </c>
    </row>
    <row r="254" spans="1:51" x14ac:dyDescent="0.2">
      <c r="A254">
        <v>253</v>
      </c>
      <c r="B254">
        <f t="shared" si="53"/>
        <v>14</v>
      </c>
      <c r="C254" s="22">
        <v>44595</v>
      </c>
      <c r="D254">
        <f>SUM(Table2[[#This Row],[Gray Min]:[Red Min]])</f>
        <v>56</v>
      </c>
      <c r="E254">
        <v>14</v>
      </c>
      <c r="F254">
        <v>670</v>
      </c>
      <c r="G254">
        <v>131</v>
      </c>
      <c r="H254">
        <v>170</v>
      </c>
      <c r="I254">
        <v>4</v>
      </c>
      <c r="J254">
        <v>17</v>
      </c>
      <c r="K254">
        <v>21</v>
      </c>
      <c r="L254">
        <v>12</v>
      </c>
      <c r="M254">
        <v>2</v>
      </c>
      <c r="N254" t="s">
        <v>101</v>
      </c>
      <c r="O254" t="s">
        <v>39</v>
      </c>
      <c r="P254" t="s">
        <v>109</v>
      </c>
      <c r="Q254">
        <f t="shared" si="67"/>
        <v>1</v>
      </c>
      <c r="R254" t="str">
        <f t="shared" si="54"/>
        <v>2-2022</v>
      </c>
      <c r="S254" t="s">
        <v>104</v>
      </c>
      <c r="T254" t="str">
        <f t="shared" si="55"/>
        <v>Thursday</v>
      </c>
      <c r="U254">
        <f t="shared" si="56"/>
        <v>1</v>
      </c>
      <c r="V254" s="24">
        <f>IFERROR(Table2[[#This Row],[Gray Min]]/Table2[[#This Row],[ClassLength]],"")</f>
        <v>7.1428571428571425E-2</v>
      </c>
      <c r="W254" s="24">
        <f>IFERROR(Table2[[#This Row],[Blue Min]]/Table2[[#This Row],[ClassLength]],"")</f>
        <v>0.30357142857142855</v>
      </c>
      <c r="X254" s="24">
        <f>IFERROR(Table2[[#This Row],[Green Min]]/Table2[[#This Row],[ClassLength]],"")</f>
        <v>0.375</v>
      </c>
      <c r="Y254" s="24">
        <f>IFERROR(Table2[[#This Row],[Orange Min]]/Table2[[#This Row],[ClassLength]],"")</f>
        <v>0.21428571428571427</v>
      </c>
      <c r="Z254" s="24">
        <f>IFERROR(Table2[[#This Row],[Red Min]]/Table2[[#This Row],[ClassLength]],"")</f>
        <v>3.5714285714285712E-2</v>
      </c>
      <c r="AA254" s="25">
        <v>232.14</v>
      </c>
      <c r="AB254" s="25">
        <f t="shared" si="69"/>
        <v>16.581428571428571</v>
      </c>
      <c r="AC254" s="26">
        <f t="shared" si="57"/>
        <v>653</v>
      </c>
      <c r="AD254" s="26">
        <f t="shared" si="58"/>
        <v>13.571428571428571</v>
      </c>
      <c r="AE254">
        <f t="shared" si="59"/>
        <v>2022</v>
      </c>
      <c r="AG254">
        <v>12</v>
      </c>
      <c r="AH254" s="26">
        <f t="shared" si="60"/>
        <v>11.964285714285714</v>
      </c>
      <c r="AI254" t="str">
        <f t="shared" si="61"/>
        <v>PM</v>
      </c>
      <c r="AJ254" t="str">
        <f t="shared" si="62"/>
        <v>2-2022-1</v>
      </c>
      <c r="AK254">
        <f t="shared" si="63"/>
        <v>2</v>
      </c>
      <c r="AL254" s="26">
        <f>IFERROR(Table2[[#This Row],[Calories]]/Table2[[#This Row],[Splat]],"")</f>
        <v>47.857142857142854</v>
      </c>
      <c r="AM254">
        <f>COUNTIF(N$2:$N$938,N254)</f>
        <v>191</v>
      </c>
      <c r="AN254" t="str">
        <f>VLOOKUP(N254,'Helpful Tables'!A:D,4,FALSE)</f>
        <v>Washington, DC</v>
      </c>
      <c r="AO254" s="24">
        <f>COUNTIF(AN:AN,Table2[[#This Row],[State]])/COUNTA(AN:AN)</f>
        <v>0.54904051172707891</v>
      </c>
      <c r="AP254">
        <f>VLOOKUP(N254,'Helpful Tables'!A:B,2,FALSE)</f>
        <v>38.949649000000001</v>
      </c>
      <c r="AQ254">
        <f>VLOOKUP(N254,'Helpful Tables'!A:C,3,FALSE)</f>
        <v>-77.080878999999996</v>
      </c>
      <c r="AR254">
        <f>COUNTIF(P$2:$P$938,P254)</f>
        <v>66</v>
      </c>
      <c r="AS254" cm="1">
        <f t="array" ref="AS254">_xlfn.IFS(E254&lt;6,((E254/D254)*60)*0.5,AND(E254&gt;=6,E254&lt;9),((E254/D254)*60)*0.75,AND(E254&gt;=9,E254&lt;=11),((E254/D254)*60)*0.9,AND(E254=12),((E254/D254)*60)*1,AND(E254&gt;=13,E254&lt;=15),((E254/D254)*60)*1.2,AND(E254&gt;=16,E254&lt;=19),((E254/D254)*60)*1.5,E254&gt;=20,((E254/D254)*60)*1.8)</f>
        <v>18</v>
      </c>
      <c r="AT254" cm="1">
        <f t="array" ref="AT254">_xlfn.IFS(F254&lt;550,((F254/D254)*60)*0.5,AND(F254&gt;=550,F254&lt;575),((F254/D254)*60)*0.75,AND(F254&gt;=575,F254&lt;600),((F254/D254)*60)*0.9,AND(F254=600),((F254/D254)*60)*1,AND(F254&gt;=601,F254&lt;=625),((F254/D254)*60)*1.2,AND(F254&gt;=626,F254&lt;=650),((F254/D254)*60)*1.5,F254&gt;=651,((F254/D254)*60)*1.8)</f>
        <v>1292.1428571428571</v>
      </c>
      <c r="AU254">
        <f t="shared" si="72"/>
        <v>20.299999999999997</v>
      </c>
      <c r="AV254">
        <f t="shared" si="68"/>
        <v>528.11714285714288</v>
      </c>
      <c r="AW254">
        <f t="shared" si="73"/>
        <v>93.2</v>
      </c>
      <c r="AX254" t="str">
        <f t="shared" si="66"/>
        <v>Feb-2022</v>
      </c>
      <c r="AY254">
        <f>ROUNDUP(Table2[[#This Row],[Month]]/3,0)</f>
        <v>1</v>
      </c>
    </row>
    <row r="255" spans="1:51" x14ac:dyDescent="0.2">
      <c r="A255">
        <v>254</v>
      </c>
      <c r="B255">
        <f t="shared" si="53"/>
        <v>14</v>
      </c>
      <c r="C255" s="22">
        <v>44597</v>
      </c>
      <c r="D255">
        <f>SUM(Table2[[#This Row],[Gray Min]:[Red Min]])</f>
        <v>55</v>
      </c>
      <c r="E255">
        <v>18</v>
      </c>
      <c r="F255">
        <v>625</v>
      </c>
      <c r="G255">
        <v>129</v>
      </c>
      <c r="H255">
        <v>167</v>
      </c>
      <c r="I255">
        <v>9</v>
      </c>
      <c r="J255">
        <v>14</v>
      </c>
      <c r="K255">
        <v>14</v>
      </c>
      <c r="L255">
        <v>14</v>
      </c>
      <c r="M255">
        <v>4</v>
      </c>
      <c r="N255" t="s">
        <v>101</v>
      </c>
      <c r="O255" t="s">
        <v>45</v>
      </c>
      <c r="P255" t="s">
        <v>133</v>
      </c>
      <c r="Q255">
        <f t="shared" si="67"/>
        <v>2</v>
      </c>
      <c r="R255" t="str">
        <f t="shared" si="54"/>
        <v>2-2022</v>
      </c>
      <c r="S255" t="s">
        <v>117</v>
      </c>
      <c r="T255" t="str">
        <f t="shared" si="55"/>
        <v>Saturday</v>
      </c>
      <c r="U255">
        <f t="shared" si="56"/>
        <v>1</v>
      </c>
      <c r="V255" s="24">
        <f>IFERROR(Table2[[#This Row],[Gray Min]]/Table2[[#This Row],[ClassLength]],"")</f>
        <v>0.16363636363636364</v>
      </c>
      <c r="W255" s="24">
        <f>IFERROR(Table2[[#This Row],[Blue Min]]/Table2[[#This Row],[ClassLength]],"")</f>
        <v>0.25454545454545452</v>
      </c>
      <c r="X255" s="24">
        <f>IFERROR(Table2[[#This Row],[Green Min]]/Table2[[#This Row],[ClassLength]],"")</f>
        <v>0.25454545454545452</v>
      </c>
      <c r="Y255" s="24">
        <f>IFERROR(Table2[[#This Row],[Orange Min]]/Table2[[#This Row],[ClassLength]],"")</f>
        <v>0.25454545454545452</v>
      </c>
      <c r="Z255" s="24">
        <f>IFERROR(Table2[[#This Row],[Red Min]]/Table2[[#This Row],[ClassLength]],"")</f>
        <v>7.2727272727272724E-2</v>
      </c>
      <c r="AA255" s="25">
        <v>232.14</v>
      </c>
      <c r="AB255" s="25">
        <f t="shared" si="69"/>
        <v>16.581428571428571</v>
      </c>
      <c r="AC255" s="26">
        <f t="shared" si="57"/>
        <v>653</v>
      </c>
      <c r="AD255" s="26">
        <f t="shared" si="58"/>
        <v>13.571428571428571</v>
      </c>
      <c r="AE255">
        <f t="shared" si="59"/>
        <v>2022</v>
      </c>
      <c r="AG255">
        <v>12</v>
      </c>
      <c r="AH255" s="26">
        <f t="shared" si="60"/>
        <v>11.363636363636363</v>
      </c>
      <c r="AI255" t="str">
        <f t="shared" si="61"/>
        <v>AM</v>
      </c>
      <c r="AJ255" t="str">
        <f t="shared" si="62"/>
        <v>2-2022-1</v>
      </c>
      <c r="AK255">
        <f t="shared" si="63"/>
        <v>2</v>
      </c>
      <c r="AL255" s="26">
        <f>IFERROR(Table2[[#This Row],[Calories]]/Table2[[#This Row],[Splat]],"")</f>
        <v>34.722222222222221</v>
      </c>
      <c r="AM255">
        <f>COUNTIF(N$2:$N$938,N255)</f>
        <v>191</v>
      </c>
      <c r="AN255" t="str">
        <f>VLOOKUP(N255,'Helpful Tables'!A:D,4,FALSE)</f>
        <v>Washington, DC</v>
      </c>
      <c r="AO255" s="24">
        <f>COUNTIF(AN:AN,Table2[[#This Row],[State]])/COUNTA(AN:AN)</f>
        <v>0.54904051172707891</v>
      </c>
      <c r="AP255">
        <f>VLOOKUP(N255,'Helpful Tables'!A:B,2,FALSE)</f>
        <v>38.949649000000001</v>
      </c>
      <c r="AQ255">
        <f>VLOOKUP(N255,'Helpful Tables'!A:C,3,FALSE)</f>
        <v>-77.080878999999996</v>
      </c>
      <c r="AR255">
        <f>COUNTIF(P$2:$P$938,P255)</f>
        <v>25</v>
      </c>
      <c r="AS255" cm="1">
        <f t="array" ref="AS255">_xlfn.IFS(E255&lt;6,((E255/D255)*60)*0.5,AND(E255&gt;=6,E255&lt;9),((E255/D255)*60)*0.75,AND(E255&gt;=9,E255&lt;=11),((E255/D255)*60)*0.9,AND(E255=12),((E255/D255)*60)*1,AND(E255&gt;=13,E255&lt;=15),((E255/D255)*60)*1.2,AND(E255&gt;=16,E255&lt;=19),((E255/D255)*60)*1.5,E255&gt;=20,((E255/D255)*60)*1.8)</f>
        <v>29.454545454545453</v>
      </c>
      <c r="AT255" cm="1">
        <f t="array" ref="AT255">_xlfn.IFS(F255&lt;550,((F255/D255)*60)*0.5,AND(F255&gt;=550,F255&lt;575),((F255/D255)*60)*0.75,AND(F255&gt;=575,F255&lt;600),((F255/D255)*60)*0.9,AND(F255=600),((F255/D255)*60)*1,AND(F255&gt;=601,F255&lt;=625),((F255/D255)*60)*1.2,AND(F255&gt;=626,F255&lt;=650),((F255/D255)*60)*1.5,F255&gt;=651,((F255/D255)*60)*1.8)</f>
        <v>818.18181818181813</v>
      </c>
      <c r="AU255">
        <f t="shared" si="72"/>
        <v>14.799999999999997</v>
      </c>
      <c r="AV255">
        <f t="shared" si="68"/>
        <v>342.01454545454538</v>
      </c>
      <c r="AW255">
        <f t="shared" si="73"/>
        <v>42.3</v>
      </c>
      <c r="AX255" t="str">
        <f t="shared" si="66"/>
        <v>Feb-2022</v>
      </c>
      <c r="AY255">
        <f>ROUNDUP(Table2[[#This Row],[Month]]/3,0)</f>
        <v>1</v>
      </c>
    </row>
    <row r="256" spans="1:51" x14ac:dyDescent="0.2">
      <c r="A256">
        <v>255</v>
      </c>
      <c r="B256">
        <f t="shared" si="53"/>
        <v>14</v>
      </c>
      <c r="C256" s="22">
        <v>44600</v>
      </c>
      <c r="D256">
        <f>SUM(Table2[[#This Row],[Gray Min]:[Red Min]])</f>
        <v>54</v>
      </c>
      <c r="E256">
        <v>10</v>
      </c>
      <c r="F256">
        <v>632</v>
      </c>
      <c r="G256">
        <v>131</v>
      </c>
      <c r="H256">
        <v>170</v>
      </c>
      <c r="I256">
        <v>7</v>
      </c>
      <c r="J256">
        <v>10</v>
      </c>
      <c r="K256">
        <v>27</v>
      </c>
      <c r="L256">
        <v>8</v>
      </c>
      <c r="M256">
        <v>2</v>
      </c>
      <c r="N256" t="s">
        <v>91</v>
      </c>
      <c r="O256" t="s">
        <v>39</v>
      </c>
      <c r="P256" t="s">
        <v>96</v>
      </c>
      <c r="Q256">
        <f t="shared" si="67"/>
        <v>3</v>
      </c>
      <c r="R256" t="str">
        <f t="shared" si="54"/>
        <v>2-2022</v>
      </c>
      <c r="S256" t="s">
        <v>117</v>
      </c>
      <c r="T256" t="str">
        <f t="shared" si="55"/>
        <v>Tuesday</v>
      </c>
      <c r="U256">
        <f t="shared" si="56"/>
        <v>0</v>
      </c>
      <c r="V256" s="24">
        <f>IFERROR(Table2[[#This Row],[Gray Min]]/Table2[[#This Row],[ClassLength]],"")</f>
        <v>0.12962962962962962</v>
      </c>
      <c r="W256" s="24">
        <f>IFERROR(Table2[[#This Row],[Blue Min]]/Table2[[#This Row],[ClassLength]],"")</f>
        <v>0.18518518518518517</v>
      </c>
      <c r="X256" s="24">
        <f>IFERROR(Table2[[#This Row],[Green Min]]/Table2[[#This Row],[ClassLength]],"")</f>
        <v>0.5</v>
      </c>
      <c r="Y256" s="24">
        <f>IFERROR(Table2[[#This Row],[Orange Min]]/Table2[[#This Row],[ClassLength]],"")</f>
        <v>0.14814814814814814</v>
      </c>
      <c r="Z256" s="24">
        <f>IFERROR(Table2[[#This Row],[Red Min]]/Table2[[#This Row],[ClassLength]],"")</f>
        <v>3.7037037037037035E-2</v>
      </c>
      <c r="AA256" s="25">
        <v>232.14</v>
      </c>
      <c r="AB256" s="25">
        <f t="shared" si="69"/>
        <v>16.581428571428571</v>
      </c>
      <c r="AC256" s="26">
        <f t="shared" si="57"/>
        <v>653</v>
      </c>
      <c r="AD256" s="26">
        <f t="shared" si="58"/>
        <v>13.571428571428571</v>
      </c>
      <c r="AE256">
        <f t="shared" si="59"/>
        <v>2022</v>
      </c>
      <c r="AG256">
        <v>12</v>
      </c>
      <c r="AH256" s="26">
        <f t="shared" si="60"/>
        <v>11.703703703703704</v>
      </c>
      <c r="AI256" t="str">
        <f t="shared" si="61"/>
        <v>PM</v>
      </c>
      <c r="AJ256" t="str">
        <f t="shared" si="62"/>
        <v>2-2022-2</v>
      </c>
      <c r="AK256">
        <f t="shared" si="63"/>
        <v>2</v>
      </c>
      <c r="AL256" s="26">
        <f>IFERROR(Table2[[#This Row],[Calories]]/Table2[[#This Row],[Splat]],"")</f>
        <v>63.2</v>
      </c>
      <c r="AM256">
        <f>COUNTIF(N$2:$N$938,N256)</f>
        <v>218</v>
      </c>
      <c r="AN256" t="str">
        <f>VLOOKUP(N256,'Helpful Tables'!A:D,4,FALSE)</f>
        <v>Washington, DC</v>
      </c>
      <c r="AO256" s="24">
        <f>COUNTIF(AN:AN,Table2[[#This Row],[State]])/COUNTA(AN:AN)</f>
        <v>0.54904051172707891</v>
      </c>
      <c r="AP256">
        <f>VLOOKUP(N256,'Helpful Tables'!A:B,2,FALSE)</f>
        <v>38.934710000000003</v>
      </c>
      <c r="AQ256">
        <f>VLOOKUP(N256,'Helpful Tables'!A:C,3,FALSE)</f>
        <v>-77.058222999999998</v>
      </c>
      <c r="AR256">
        <f>COUNTIF(P$2:$P$938,P256)</f>
        <v>71</v>
      </c>
      <c r="AS256" cm="1">
        <f t="array" ref="AS256">_xlfn.IFS(E256&lt;6,((E256/D256)*60)*0.5,AND(E256&gt;=6,E256&lt;9),((E256/D256)*60)*0.75,AND(E256&gt;=9,E256&lt;=11),((E256/D256)*60)*0.9,AND(E256=12),((E256/D256)*60)*1,AND(E256&gt;=13,E256&lt;=15),((E256/D256)*60)*1.2,AND(E256&gt;=16,E256&lt;=19),((E256/D256)*60)*1.5,E256&gt;=20,((E256/D256)*60)*1.8)</f>
        <v>10</v>
      </c>
      <c r="AT256" cm="1">
        <f t="array" ref="AT256">_xlfn.IFS(F256&lt;550,((F256/D256)*60)*0.5,AND(F256&gt;=550,F256&lt;575),((F256/D256)*60)*0.75,AND(F256&gt;=575,F256&lt;600),((F256/D256)*60)*0.9,AND(F256=600),((F256/D256)*60)*1,AND(F256&gt;=601,F256&lt;=625),((F256/D256)*60)*1.2,AND(F256&gt;=626,F256&lt;=650),((F256/D256)*60)*1.5,F256&gt;=651,((F256/D256)*60)*1.8)</f>
        <v>1053.3333333333335</v>
      </c>
      <c r="AU256">
        <f t="shared" si="72"/>
        <v>26.4</v>
      </c>
      <c r="AV256">
        <f t="shared" si="68"/>
        <v>430.6133333333334</v>
      </c>
      <c r="AW256">
        <f t="shared" si="73"/>
        <v>65</v>
      </c>
      <c r="AX256" t="str">
        <f t="shared" si="66"/>
        <v>Feb-2022</v>
      </c>
      <c r="AY256">
        <f>ROUNDUP(Table2[[#This Row],[Month]]/3,0)</f>
        <v>1</v>
      </c>
    </row>
    <row r="257" spans="1:51" x14ac:dyDescent="0.2">
      <c r="A257">
        <v>256</v>
      </c>
      <c r="B257">
        <f t="shared" si="53"/>
        <v>14</v>
      </c>
      <c r="C257" s="22">
        <v>44602</v>
      </c>
      <c r="D257">
        <f>SUM(Table2[[#This Row],[Gray Min]:[Red Min]])</f>
        <v>59</v>
      </c>
      <c r="E257">
        <v>18</v>
      </c>
      <c r="F257">
        <v>679</v>
      </c>
      <c r="G257">
        <v>129</v>
      </c>
      <c r="H257">
        <v>167</v>
      </c>
      <c r="I257">
        <v>9</v>
      </c>
      <c r="J257">
        <v>19</v>
      </c>
      <c r="K257">
        <v>13</v>
      </c>
      <c r="L257">
        <v>16</v>
      </c>
      <c r="M257">
        <v>2</v>
      </c>
      <c r="N257" t="s">
        <v>101</v>
      </c>
      <c r="O257" t="s">
        <v>39</v>
      </c>
      <c r="P257" t="s">
        <v>109</v>
      </c>
      <c r="Q257">
        <f t="shared" si="67"/>
        <v>2</v>
      </c>
      <c r="R257" t="str">
        <f t="shared" si="54"/>
        <v>2-2022</v>
      </c>
      <c r="S257" t="s">
        <v>104</v>
      </c>
      <c r="T257" t="str">
        <f t="shared" si="55"/>
        <v>Thursday</v>
      </c>
      <c r="U257">
        <f t="shared" si="56"/>
        <v>1</v>
      </c>
      <c r="V257" s="24">
        <f>IFERROR(Table2[[#This Row],[Gray Min]]/Table2[[#This Row],[ClassLength]],"")</f>
        <v>0.15254237288135594</v>
      </c>
      <c r="W257" s="24">
        <f>IFERROR(Table2[[#This Row],[Blue Min]]/Table2[[#This Row],[ClassLength]],"")</f>
        <v>0.32203389830508472</v>
      </c>
      <c r="X257" s="24">
        <f>IFERROR(Table2[[#This Row],[Green Min]]/Table2[[#This Row],[ClassLength]],"")</f>
        <v>0.22033898305084745</v>
      </c>
      <c r="Y257" s="24">
        <f>IFERROR(Table2[[#This Row],[Orange Min]]/Table2[[#This Row],[ClassLength]],"")</f>
        <v>0.2711864406779661</v>
      </c>
      <c r="Z257" s="24">
        <f>IFERROR(Table2[[#This Row],[Red Min]]/Table2[[#This Row],[ClassLength]],"")</f>
        <v>3.3898305084745763E-2</v>
      </c>
      <c r="AA257" s="25">
        <v>232.14</v>
      </c>
      <c r="AB257" s="25">
        <f t="shared" si="69"/>
        <v>16.581428571428571</v>
      </c>
      <c r="AC257" s="26">
        <f t="shared" si="57"/>
        <v>653</v>
      </c>
      <c r="AD257" s="26">
        <f t="shared" si="58"/>
        <v>13.571428571428571</v>
      </c>
      <c r="AE257">
        <f t="shared" si="59"/>
        <v>2022</v>
      </c>
      <c r="AG257">
        <v>12</v>
      </c>
      <c r="AH257" s="26">
        <f t="shared" si="60"/>
        <v>11.508474576271187</v>
      </c>
      <c r="AI257" t="str">
        <f t="shared" si="61"/>
        <v>PM</v>
      </c>
      <c r="AJ257" t="str">
        <f t="shared" si="62"/>
        <v>2-2022-2</v>
      </c>
      <c r="AK257">
        <f t="shared" si="63"/>
        <v>2</v>
      </c>
      <c r="AL257" s="26">
        <f>IFERROR(Table2[[#This Row],[Calories]]/Table2[[#This Row],[Splat]],"")</f>
        <v>37.722222222222221</v>
      </c>
      <c r="AM257">
        <f>COUNTIF(N$2:$N$938,N257)</f>
        <v>191</v>
      </c>
      <c r="AN257" t="str">
        <f>VLOOKUP(N257,'Helpful Tables'!A:D,4,FALSE)</f>
        <v>Washington, DC</v>
      </c>
      <c r="AO257" s="24">
        <f>COUNTIF(AN:AN,Table2[[#This Row],[State]])/COUNTA(AN:AN)</f>
        <v>0.54904051172707891</v>
      </c>
      <c r="AP257">
        <f>VLOOKUP(N257,'Helpful Tables'!A:B,2,FALSE)</f>
        <v>38.949649000000001</v>
      </c>
      <c r="AQ257">
        <f>VLOOKUP(N257,'Helpful Tables'!A:C,3,FALSE)</f>
        <v>-77.080878999999996</v>
      </c>
      <c r="AR257">
        <f>COUNTIF(P$2:$P$938,P257)</f>
        <v>66</v>
      </c>
      <c r="AS257" cm="1">
        <f t="array" ref="AS257">_xlfn.IFS(E257&lt;6,((E257/D257)*60)*0.5,AND(E257&gt;=6,E257&lt;9),((E257/D257)*60)*0.75,AND(E257&gt;=9,E257&lt;=11),((E257/D257)*60)*0.9,AND(E257=12),((E257/D257)*60)*1,AND(E257&gt;=13,E257&lt;=15),((E257/D257)*60)*1.2,AND(E257&gt;=16,E257&lt;=19),((E257/D257)*60)*1.5,E257&gt;=20,((E257/D257)*60)*1.8)</f>
        <v>27.457627118644069</v>
      </c>
      <c r="AT257" cm="1">
        <f t="array" ref="AT257">_xlfn.IFS(F257&lt;550,((F257/D257)*60)*0.5,AND(F257&gt;=550,F257&lt;575),((F257/D257)*60)*0.75,AND(F257&gt;=575,F257&lt;600),((F257/D257)*60)*0.9,AND(F257=600),((F257/D257)*60)*1,AND(F257&gt;=601,F257&lt;=625),((F257/D257)*60)*1.2,AND(F257&gt;=626,F257&lt;=650),((F257/D257)*60)*1.5,F257&gt;=651,((F257/D257)*60)*1.8)</f>
        <v>1242.9152542372881</v>
      </c>
      <c r="AU257">
        <f t="shared" si="72"/>
        <v>7.6999999999999993</v>
      </c>
      <c r="AV257">
        <f t="shared" si="68"/>
        <v>509.68915254237288</v>
      </c>
      <c r="AW257">
        <f t="shared" si="73"/>
        <v>85.399999999999991</v>
      </c>
      <c r="AX257" t="str">
        <f t="shared" si="66"/>
        <v>Feb-2022</v>
      </c>
      <c r="AY257">
        <f>ROUNDUP(Table2[[#This Row],[Month]]/3,0)</f>
        <v>1</v>
      </c>
    </row>
    <row r="258" spans="1:51" x14ac:dyDescent="0.2">
      <c r="A258">
        <v>257</v>
      </c>
      <c r="B258">
        <f t="shared" ref="B258:B321" si="74">COUNTIF(R:R,R258)</f>
        <v>14</v>
      </c>
      <c r="C258" s="22">
        <v>44604</v>
      </c>
      <c r="D258">
        <f>SUM(Table2[[#This Row],[Gray Min]:[Red Min]])</f>
        <v>61</v>
      </c>
      <c r="E258">
        <v>15</v>
      </c>
      <c r="F258">
        <v>734</v>
      </c>
      <c r="G258">
        <v>132</v>
      </c>
      <c r="H258">
        <v>172</v>
      </c>
      <c r="I258">
        <v>7</v>
      </c>
      <c r="J258">
        <v>14</v>
      </c>
      <c r="K258">
        <v>25</v>
      </c>
      <c r="L258">
        <v>8</v>
      </c>
      <c r="M258">
        <v>7</v>
      </c>
      <c r="N258" t="s">
        <v>101</v>
      </c>
      <c r="O258" t="s">
        <v>45</v>
      </c>
      <c r="P258" t="s">
        <v>109</v>
      </c>
      <c r="Q258">
        <f t="shared" si="67"/>
        <v>2</v>
      </c>
      <c r="R258" t="str">
        <f t="shared" ref="R258:R321" si="75">MONTH(C258)&amp;"-"&amp;YEAR(C258)</f>
        <v>2-2022</v>
      </c>
      <c r="S258" t="s">
        <v>117</v>
      </c>
      <c r="T258" t="str">
        <f t="shared" ref="T258:T321" si="76">IF(WEEKDAY(C258)=1,"Sunday",IF(WEEKDAY(C258)=2,"Monday",IF(WEEKDAY(C258)=3,"Tuesday",IF(WEEKDAY(C258)=4,"Wednesday",IF(WEEKDAY(C258)=5,"Thursday",IF(WEEKDAY(C258)=6,"Friday","Saturday"))))))</f>
        <v>Saturday</v>
      </c>
      <c r="U258">
        <f t="shared" ref="U258:U321" si="77">IF(E258&gt;=12,1,0)</f>
        <v>1</v>
      </c>
      <c r="V258" s="24">
        <f>IFERROR(Table2[[#This Row],[Gray Min]]/Table2[[#This Row],[ClassLength]],"")</f>
        <v>0.11475409836065574</v>
      </c>
      <c r="W258" s="24">
        <f>IFERROR(Table2[[#This Row],[Blue Min]]/Table2[[#This Row],[ClassLength]],"")</f>
        <v>0.22950819672131148</v>
      </c>
      <c r="X258" s="24">
        <f>IFERROR(Table2[[#This Row],[Green Min]]/Table2[[#This Row],[ClassLength]],"")</f>
        <v>0.4098360655737705</v>
      </c>
      <c r="Y258" s="24">
        <f>IFERROR(Table2[[#This Row],[Orange Min]]/Table2[[#This Row],[ClassLength]],"")</f>
        <v>0.13114754098360656</v>
      </c>
      <c r="Z258" s="24">
        <f>IFERROR(Table2[[#This Row],[Red Min]]/Table2[[#This Row],[ClassLength]],"")</f>
        <v>0.11475409836065574</v>
      </c>
      <c r="AA258" s="25">
        <v>232.14</v>
      </c>
      <c r="AB258" s="25">
        <f t="shared" si="69"/>
        <v>16.581428571428571</v>
      </c>
      <c r="AC258" s="26">
        <f t="shared" ref="AC258:AC321" si="78">AVERAGEIF(R:R,R258,F:F)</f>
        <v>653</v>
      </c>
      <c r="AD258" s="26">
        <f t="shared" ref="AD258:AD321" si="79">AVERAGEIF(R:R,R258,E:E)</f>
        <v>13.571428571428571</v>
      </c>
      <c r="AE258">
        <f t="shared" ref="AE258:AE321" si="80">YEAR(C258)</f>
        <v>2022</v>
      </c>
      <c r="AG258">
        <v>12</v>
      </c>
      <c r="AH258" s="26">
        <f t="shared" ref="AH258:AH321" si="81">F258/D258</f>
        <v>12.032786885245901</v>
      </c>
      <c r="AI258" t="str">
        <f t="shared" ref="AI258:AI321" si="82">RIGHT(O258,2)</f>
        <v>AM</v>
      </c>
      <c r="AJ258" t="str">
        <f t="shared" ref="AJ258:AJ321" si="83">R258&amp;"-"&amp;WEEKNUM(C258,1)-WEEKNUM(DATE(YEAR(C258),MONTH(C258),1),1)+1</f>
        <v>2-2022-2</v>
      </c>
      <c r="AK258">
        <f t="shared" ref="AK258:AK321" si="84">MONTH(C258)</f>
        <v>2</v>
      </c>
      <c r="AL258" s="26">
        <f>IFERROR(Table2[[#This Row],[Calories]]/Table2[[#This Row],[Splat]],"")</f>
        <v>48.93333333333333</v>
      </c>
      <c r="AM258">
        <f>COUNTIF(N$2:$N$938,N258)</f>
        <v>191</v>
      </c>
      <c r="AN258" t="str">
        <f>VLOOKUP(N258,'Helpful Tables'!A:D,4,FALSE)</f>
        <v>Washington, DC</v>
      </c>
      <c r="AO258" s="24">
        <f>COUNTIF(AN:AN,Table2[[#This Row],[State]])/COUNTA(AN:AN)</f>
        <v>0.54904051172707891</v>
      </c>
      <c r="AP258">
        <f>VLOOKUP(N258,'Helpful Tables'!A:B,2,FALSE)</f>
        <v>38.949649000000001</v>
      </c>
      <c r="AQ258">
        <f>VLOOKUP(N258,'Helpful Tables'!A:C,3,FALSE)</f>
        <v>-77.080878999999996</v>
      </c>
      <c r="AR258">
        <f>COUNTIF(P$2:$P$938,P258)</f>
        <v>66</v>
      </c>
      <c r="AS258" cm="1">
        <f t="array" ref="AS258">_xlfn.IFS(E258&lt;6,((E258/D258)*60)*0.5,AND(E258&gt;=6,E258&lt;9),((E258/D258)*60)*0.75,AND(E258&gt;=9,E258&lt;=11),((E258/D258)*60)*0.9,AND(E258=12),((E258/D258)*60)*1,AND(E258&gt;=13,E258&lt;=15),((E258/D258)*60)*1.2,AND(E258&gt;=16,E258&lt;=19),((E258/D258)*60)*1.5,E258&gt;=20,((E258/D258)*60)*1.8)</f>
        <v>17.704918032786885</v>
      </c>
      <c r="AT258" cm="1">
        <f t="array" ref="AT258">_xlfn.IFS(F258&lt;550,((F258/D258)*60)*0.5,AND(F258&gt;=550,F258&lt;575),((F258/D258)*60)*0.75,AND(F258&gt;=575,F258&lt;600),((F258/D258)*60)*0.9,AND(F258=600),((F258/D258)*60)*1,AND(F258&gt;=601,F258&lt;=625),((F258/D258)*60)*1.2,AND(F258&gt;=626,F258&lt;=650),((F258/D258)*60)*1.5,F258&gt;=651,((F258/D258)*60)*1.8)</f>
        <v>1299.5409836065573</v>
      </c>
      <c r="AU258">
        <f t="shared" si="72"/>
        <v>27.099999999999994</v>
      </c>
      <c r="AV258">
        <f t="shared" si="68"/>
        <v>532.31836065573771</v>
      </c>
      <c r="AW258">
        <f t="shared" si="73"/>
        <v>94.399999999999991</v>
      </c>
      <c r="AX258" t="str">
        <f t="shared" ref="AX258:AX321" si="85">_xlfn.CONCAT(TEXT(C258,"mmm"),"-",AE258)</f>
        <v>Feb-2022</v>
      </c>
      <c r="AY258">
        <f>ROUNDUP(Table2[[#This Row],[Month]]/3,0)</f>
        <v>1</v>
      </c>
    </row>
    <row r="259" spans="1:51" x14ac:dyDescent="0.2">
      <c r="A259">
        <v>258</v>
      </c>
      <c r="B259">
        <f t="shared" si="74"/>
        <v>14</v>
      </c>
      <c r="C259" s="22">
        <v>44606</v>
      </c>
      <c r="D259">
        <f>SUM(Table2[[#This Row],[Gray Min]:[Red Min]])</f>
        <v>61</v>
      </c>
      <c r="E259">
        <v>8</v>
      </c>
      <c r="F259">
        <v>610</v>
      </c>
      <c r="G259">
        <v>119</v>
      </c>
      <c r="H259">
        <v>158</v>
      </c>
      <c r="I259">
        <v>19</v>
      </c>
      <c r="J259">
        <v>18</v>
      </c>
      <c r="K259">
        <v>16</v>
      </c>
      <c r="L259">
        <v>8</v>
      </c>
      <c r="M259">
        <v>0</v>
      </c>
      <c r="N259" t="s">
        <v>101</v>
      </c>
      <c r="O259" t="s">
        <v>39</v>
      </c>
      <c r="P259" t="s">
        <v>109</v>
      </c>
      <c r="Q259">
        <f t="shared" ref="Q259:Q322" si="86">C259-C258</f>
        <v>2</v>
      </c>
      <c r="R259" t="str">
        <f t="shared" si="75"/>
        <v>2-2022</v>
      </c>
      <c r="S259" t="s">
        <v>104</v>
      </c>
      <c r="T259" t="str">
        <f t="shared" si="76"/>
        <v>Monday</v>
      </c>
      <c r="U259">
        <f t="shared" si="77"/>
        <v>0</v>
      </c>
      <c r="V259" s="24">
        <f>IFERROR(Table2[[#This Row],[Gray Min]]/Table2[[#This Row],[ClassLength]],"")</f>
        <v>0.31147540983606559</v>
      </c>
      <c r="W259" s="24">
        <f>IFERROR(Table2[[#This Row],[Blue Min]]/Table2[[#This Row],[ClassLength]],"")</f>
        <v>0.29508196721311475</v>
      </c>
      <c r="X259" s="24">
        <f>IFERROR(Table2[[#This Row],[Green Min]]/Table2[[#This Row],[ClassLength]],"")</f>
        <v>0.26229508196721313</v>
      </c>
      <c r="Y259" s="24">
        <f>IFERROR(Table2[[#This Row],[Orange Min]]/Table2[[#This Row],[ClassLength]],"")</f>
        <v>0.13114754098360656</v>
      </c>
      <c r="Z259" s="24">
        <f>IFERROR(Table2[[#This Row],[Red Min]]/Table2[[#This Row],[ClassLength]],"")</f>
        <v>0</v>
      </c>
      <c r="AA259" s="25">
        <v>232.14</v>
      </c>
      <c r="AB259" s="25">
        <f t="shared" si="69"/>
        <v>16.581428571428571</v>
      </c>
      <c r="AC259" s="26">
        <f t="shared" si="78"/>
        <v>653</v>
      </c>
      <c r="AD259" s="26">
        <f t="shared" si="79"/>
        <v>13.571428571428571</v>
      </c>
      <c r="AE259">
        <f t="shared" si="80"/>
        <v>2022</v>
      </c>
      <c r="AG259">
        <v>12</v>
      </c>
      <c r="AH259" s="26">
        <f t="shared" si="81"/>
        <v>10</v>
      </c>
      <c r="AI259" t="str">
        <f t="shared" si="82"/>
        <v>PM</v>
      </c>
      <c r="AJ259" t="str">
        <f t="shared" si="83"/>
        <v>2-2022-3</v>
      </c>
      <c r="AK259">
        <f t="shared" si="84"/>
        <v>2</v>
      </c>
      <c r="AL259" s="26">
        <f>IFERROR(Table2[[#This Row],[Calories]]/Table2[[#This Row],[Splat]],"")</f>
        <v>76.25</v>
      </c>
      <c r="AM259">
        <f>COUNTIF(N$2:$N$938,N259)</f>
        <v>191</v>
      </c>
      <c r="AN259" t="str">
        <f>VLOOKUP(N259,'Helpful Tables'!A:D,4,FALSE)</f>
        <v>Washington, DC</v>
      </c>
      <c r="AO259" s="24">
        <f>COUNTIF(AN:AN,Table2[[#This Row],[State]])/COUNTA(AN:AN)</f>
        <v>0.54904051172707891</v>
      </c>
      <c r="AP259">
        <f>VLOOKUP(N259,'Helpful Tables'!A:B,2,FALSE)</f>
        <v>38.949649000000001</v>
      </c>
      <c r="AQ259">
        <f>VLOOKUP(N259,'Helpful Tables'!A:C,3,FALSE)</f>
        <v>-77.080878999999996</v>
      </c>
      <c r="AR259">
        <f>COUNTIF(P$2:$P$938,P259)</f>
        <v>66</v>
      </c>
      <c r="AS259" cm="1">
        <f t="array" ref="AS259">_xlfn.IFS(E259&lt;6,((E259/D259)*60)*0.5,AND(E259&gt;=6,E259&lt;9),((E259/D259)*60)*0.75,AND(E259&gt;=9,E259&lt;=11),((E259/D259)*60)*0.9,AND(E259=12),((E259/D259)*60)*1,AND(E259&gt;=13,E259&lt;=15),((E259/D259)*60)*1.2,AND(E259&gt;=16,E259&lt;=19),((E259/D259)*60)*1.5,E259&gt;=20,((E259/D259)*60)*1.8)</f>
        <v>5.9016393442622954</v>
      </c>
      <c r="AT259" cm="1">
        <f t="array" ref="AT259">_xlfn.IFS(F259&lt;550,((F259/D259)*60)*0.5,AND(F259&gt;=550,F259&lt;575),((F259/D259)*60)*0.75,AND(F259&gt;=575,F259&lt;600),((F259/D259)*60)*0.9,AND(F259=600),((F259/D259)*60)*1,AND(F259&gt;=601,F259&lt;=625),((F259/D259)*60)*1.2,AND(F259&gt;=626,F259&lt;=650),((F259/D259)*60)*1.5,F259&gt;=651,((F259/D259)*60)*1.8)</f>
        <v>720</v>
      </c>
      <c r="AU259">
        <f t="shared" si="72"/>
        <v>-13.000000000000002</v>
      </c>
      <c r="AV259">
        <f t="shared" ref="AV259:AV322" si="87">(AS259*0.4)+(AT259*0.4)+(AU259*0.2)</f>
        <v>287.76065573770489</v>
      </c>
      <c r="AW259">
        <f t="shared" si="73"/>
        <v>24.3</v>
      </c>
      <c r="AX259" t="str">
        <f t="shared" si="85"/>
        <v>Feb-2022</v>
      </c>
      <c r="AY259">
        <f>ROUNDUP(Table2[[#This Row],[Month]]/3,0)</f>
        <v>1</v>
      </c>
    </row>
    <row r="260" spans="1:51" x14ac:dyDescent="0.2">
      <c r="A260">
        <v>259</v>
      </c>
      <c r="B260">
        <f t="shared" si="74"/>
        <v>14</v>
      </c>
      <c r="C260" s="22">
        <v>44608</v>
      </c>
      <c r="D260">
        <f>SUM(Table2[[#This Row],[Gray Min]:[Red Min]])</f>
        <v>59</v>
      </c>
      <c r="E260">
        <v>14</v>
      </c>
      <c r="F260">
        <v>674</v>
      </c>
      <c r="G260">
        <v>129</v>
      </c>
      <c r="H260">
        <v>166</v>
      </c>
      <c r="I260">
        <v>8</v>
      </c>
      <c r="J260">
        <v>15</v>
      </c>
      <c r="K260">
        <v>22</v>
      </c>
      <c r="L260">
        <v>13</v>
      </c>
      <c r="M260">
        <v>1</v>
      </c>
      <c r="N260" t="s">
        <v>91</v>
      </c>
      <c r="O260" t="s">
        <v>39</v>
      </c>
      <c r="P260" t="s">
        <v>96</v>
      </c>
      <c r="Q260">
        <f t="shared" si="86"/>
        <v>2</v>
      </c>
      <c r="R260" t="str">
        <f t="shared" si="75"/>
        <v>2-2022</v>
      </c>
      <c r="S260" t="s">
        <v>117</v>
      </c>
      <c r="T260" t="str">
        <f t="shared" si="76"/>
        <v>Wednesday</v>
      </c>
      <c r="U260">
        <f t="shared" si="77"/>
        <v>1</v>
      </c>
      <c r="V260" s="24">
        <f>IFERROR(Table2[[#This Row],[Gray Min]]/Table2[[#This Row],[ClassLength]],"")</f>
        <v>0.13559322033898305</v>
      </c>
      <c r="W260" s="24">
        <f>IFERROR(Table2[[#This Row],[Blue Min]]/Table2[[#This Row],[ClassLength]],"")</f>
        <v>0.25423728813559321</v>
      </c>
      <c r="X260" s="24">
        <f>IFERROR(Table2[[#This Row],[Green Min]]/Table2[[#This Row],[ClassLength]],"")</f>
        <v>0.3728813559322034</v>
      </c>
      <c r="Y260" s="24">
        <f>IFERROR(Table2[[#This Row],[Orange Min]]/Table2[[#This Row],[ClassLength]],"")</f>
        <v>0.22033898305084745</v>
      </c>
      <c r="Z260" s="24">
        <f>IFERROR(Table2[[#This Row],[Red Min]]/Table2[[#This Row],[ClassLength]],"")</f>
        <v>1.6949152542372881E-2</v>
      </c>
      <c r="AA260" s="25">
        <v>232.14</v>
      </c>
      <c r="AB260" s="25">
        <f t="shared" si="69"/>
        <v>16.581428571428571</v>
      </c>
      <c r="AC260" s="26">
        <f t="shared" si="78"/>
        <v>653</v>
      </c>
      <c r="AD260" s="26">
        <f t="shared" si="79"/>
        <v>13.571428571428571</v>
      </c>
      <c r="AE260">
        <f t="shared" si="80"/>
        <v>2022</v>
      </c>
      <c r="AG260">
        <v>12</v>
      </c>
      <c r="AH260" s="26">
        <f t="shared" si="81"/>
        <v>11.423728813559322</v>
      </c>
      <c r="AI260" t="str">
        <f t="shared" si="82"/>
        <v>PM</v>
      </c>
      <c r="AJ260" t="str">
        <f t="shared" si="83"/>
        <v>2-2022-3</v>
      </c>
      <c r="AK260">
        <f t="shared" si="84"/>
        <v>2</v>
      </c>
      <c r="AL260" s="26">
        <f>IFERROR(Table2[[#This Row],[Calories]]/Table2[[#This Row],[Splat]],"")</f>
        <v>48.142857142857146</v>
      </c>
      <c r="AM260">
        <f>COUNTIF(N$2:$N$938,N260)</f>
        <v>218</v>
      </c>
      <c r="AN260" t="str">
        <f>VLOOKUP(N260,'Helpful Tables'!A:D,4,FALSE)</f>
        <v>Washington, DC</v>
      </c>
      <c r="AO260" s="24">
        <f>COUNTIF(AN:AN,Table2[[#This Row],[State]])/COUNTA(AN:AN)</f>
        <v>0.54904051172707891</v>
      </c>
      <c r="AP260">
        <f>VLOOKUP(N260,'Helpful Tables'!A:B,2,FALSE)</f>
        <v>38.934710000000003</v>
      </c>
      <c r="AQ260">
        <f>VLOOKUP(N260,'Helpful Tables'!A:C,3,FALSE)</f>
        <v>-77.058222999999998</v>
      </c>
      <c r="AR260">
        <f>COUNTIF(P$2:$P$938,P260)</f>
        <v>71</v>
      </c>
      <c r="AS260" cm="1">
        <f t="array" ref="AS260">_xlfn.IFS(E260&lt;6,((E260/D260)*60)*0.5,AND(E260&gt;=6,E260&lt;9),((E260/D260)*60)*0.75,AND(E260&gt;=9,E260&lt;=11),((E260/D260)*60)*0.9,AND(E260=12),((E260/D260)*60)*1,AND(E260&gt;=13,E260&lt;=15),((E260/D260)*60)*1.2,AND(E260&gt;=16,E260&lt;=19),((E260/D260)*60)*1.5,E260&gt;=20,((E260/D260)*60)*1.8)</f>
        <v>17.084745762711865</v>
      </c>
      <c r="AT260" cm="1">
        <f t="array" ref="AT260">_xlfn.IFS(F260&lt;550,((F260/D260)*60)*0.5,AND(F260&gt;=550,F260&lt;575),((F260/D260)*60)*0.75,AND(F260&gt;=575,F260&lt;600),((F260/D260)*60)*0.9,AND(F260=600),((F260/D260)*60)*1,AND(F260&gt;=601,F260&lt;=625),((F260/D260)*60)*1.2,AND(F260&gt;=626,F260&lt;=650),((F260/D260)*60)*1.5,F260&gt;=651,((F260/D260)*60)*1.8)</f>
        <v>1233.7627118644068</v>
      </c>
      <c r="AU260">
        <f t="shared" si="72"/>
        <v>18.7</v>
      </c>
      <c r="AV260">
        <f t="shared" si="87"/>
        <v>504.07898305084751</v>
      </c>
      <c r="AW260">
        <f t="shared" si="73"/>
        <v>81.8</v>
      </c>
      <c r="AX260" t="str">
        <f t="shared" si="85"/>
        <v>Feb-2022</v>
      </c>
      <c r="AY260">
        <f>ROUNDUP(Table2[[#This Row],[Month]]/3,0)</f>
        <v>1</v>
      </c>
    </row>
    <row r="261" spans="1:51" x14ac:dyDescent="0.2">
      <c r="A261">
        <v>260</v>
      </c>
      <c r="B261">
        <f t="shared" si="74"/>
        <v>14</v>
      </c>
      <c r="C261" s="22">
        <v>44611</v>
      </c>
      <c r="D261">
        <f>SUM(Table2[[#This Row],[Gray Min]:[Red Min]])</f>
        <v>60</v>
      </c>
      <c r="E261">
        <v>15</v>
      </c>
      <c r="F261">
        <v>708</v>
      </c>
      <c r="G261">
        <v>131</v>
      </c>
      <c r="H261">
        <v>166</v>
      </c>
      <c r="I261">
        <v>6</v>
      </c>
      <c r="J261">
        <v>19</v>
      </c>
      <c r="K261">
        <v>20</v>
      </c>
      <c r="L261">
        <v>14</v>
      </c>
      <c r="M261">
        <v>1</v>
      </c>
      <c r="N261" t="s">
        <v>101</v>
      </c>
      <c r="O261" t="s">
        <v>45</v>
      </c>
      <c r="P261" t="s">
        <v>133</v>
      </c>
      <c r="Q261">
        <f t="shared" si="86"/>
        <v>3</v>
      </c>
      <c r="R261" t="str">
        <f t="shared" si="75"/>
        <v>2-2022</v>
      </c>
      <c r="S261" t="s">
        <v>117</v>
      </c>
      <c r="T261" t="str">
        <f t="shared" si="76"/>
        <v>Saturday</v>
      </c>
      <c r="U261">
        <f t="shared" si="77"/>
        <v>1</v>
      </c>
      <c r="V261" s="24">
        <f>IFERROR(Table2[[#This Row],[Gray Min]]/Table2[[#This Row],[ClassLength]],"")</f>
        <v>0.1</v>
      </c>
      <c r="W261" s="24">
        <f>IFERROR(Table2[[#This Row],[Blue Min]]/Table2[[#This Row],[ClassLength]],"")</f>
        <v>0.31666666666666665</v>
      </c>
      <c r="X261" s="24">
        <f>IFERROR(Table2[[#This Row],[Green Min]]/Table2[[#This Row],[ClassLength]],"")</f>
        <v>0.33333333333333331</v>
      </c>
      <c r="Y261" s="24">
        <f>IFERROR(Table2[[#This Row],[Orange Min]]/Table2[[#This Row],[ClassLength]],"")</f>
        <v>0.23333333333333334</v>
      </c>
      <c r="Z261" s="24">
        <f>IFERROR(Table2[[#This Row],[Red Min]]/Table2[[#This Row],[ClassLength]],"")</f>
        <v>1.6666666666666666E-2</v>
      </c>
      <c r="AA261" s="25">
        <v>232.14</v>
      </c>
      <c r="AB261" s="25">
        <f t="shared" si="69"/>
        <v>16.581428571428571</v>
      </c>
      <c r="AC261" s="26">
        <f t="shared" si="78"/>
        <v>653</v>
      </c>
      <c r="AD261" s="26">
        <f t="shared" si="79"/>
        <v>13.571428571428571</v>
      </c>
      <c r="AE261">
        <f t="shared" si="80"/>
        <v>2022</v>
      </c>
      <c r="AG261">
        <v>12</v>
      </c>
      <c r="AH261" s="26">
        <f t="shared" si="81"/>
        <v>11.8</v>
      </c>
      <c r="AI261" t="str">
        <f t="shared" si="82"/>
        <v>AM</v>
      </c>
      <c r="AJ261" t="str">
        <f t="shared" si="83"/>
        <v>2-2022-3</v>
      </c>
      <c r="AK261">
        <f t="shared" si="84"/>
        <v>2</v>
      </c>
      <c r="AL261" s="26">
        <f>IFERROR(Table2[[#This Row],[Calories]]/Table2[[#This Row],[Splat]],"")</f>
        <v>47.2</v>
      </c>
      <c r="AM261">
        <f>COUNTIF(N$2:$N$938,N261)</f>
        <v>191</v>
      </c>
      <c r="AN261" t="str">
        <f>VLOOKUP(N261,'Helpful Tables'!A:D,4,FALSE)</f>
        <v>Washington, DC</v>
      </c>
      <c r="AO261" s="24">
        <f>COUNTIF(AN:AN,Table2[[#This Row],[State]])/COUNTA(AN:AN)</f>
        <v>0.54904051172707891</v>
      </c>
      <c r="AP261">
        <f>VLOOKUP(N261,'Helpful Tables'!A:B,2,FALSE)</f>
        <v>38.949649000000001</v>
      </c>
      <c r="AQ261">
        <f>VLOOKUP(N261,'Helpful Tables'!A:C,3,FALSE)</f>
        <v>-77.080878999999996</v>
      </c>
      <c r="AR261">
        <f>COUNTIF(P$2:$P$938,P261)</f>
        <v>25</v>
      </c>
      <c r="AS261" cm="1">
        <f t="array" ref="AS261">_xlfn.IFS(E261&lt;6,((E261/D261)*60)*0.5,AND(E261&gt;=6,E261&lt;9),((E261/D261)*60)*0.75,AND(E261&gt;=9,E261&lt;=11),((E261/D261)*60)*0.9,AND(E261=12),((E261/D261)*60)*1,AND(E261&gt;=13,E261&lt;=15),((E261/D261)*60)*1.2,AND(E261&gt;=16,E261&lt;=19),((E261/D261)*60)*1.5,E261&gt;=20,((E261/D261)*60)*1.8)</f>
        <v>18</v>
      </c>
      <c r="AT261" cm="1">
        <f t="array" ref="AT261">_xlfn.IFS(F261&lt;550,((F261/D261)*60)*0.5,AND(F261&gt;=550,F261&lt;575),((F261/D261)*60)*0.75,AND(F261&gt;=575,F261&lt;600),((F261/D261)*60)*0.9,AND(F261=600),((F261/D261)*60)*1,AND(F261&gt;=601,F261&lt;=625),((F261/D261)*60)*1.2,AND(F261&gt;=626,F261&lt;=650),((F261/D261)*60)*1.5,F261&gt;=651,((F261/D261)*60)*1.8)</f>
        <v>1274.4000000000001</v>
      </c>
      <c r="AU261">
        <f t="shared" si="72"/>
        <v>15.599999999999998</v>
      </c>
      <c r="AV261">
        <f t="shared" si="87"/>
        <v>520.08000000000004</v>
      </c>
      <c r="AW261">
        <f t="shared" si="73"/>
        <v>89.9</v>
      </c>
      <c r="AX261" t="str">
        <f t="shared" si="85"/>
        <v>Feb-2022</v>
      </c>
      <c r="AY261">
        <f>ROUNDUP(Table2[[#This Row],[Month]]/3,0)</f>
        <v>1</v>
      </c>
    </row>
    <row r="262" spans="1:51" x14ac:dyDescent="0.2">
      <c r="A262">
        <v>261</v>
      </c>
      <c r="B262">
        <f t="shared" si="74"/>
        <v>14</v>
      </c>
      <c r="C262" s="22">
        <v>44613</v>
      </c>
      <c r="D262">
        <f>SUM(Table2[[#This Row],[Gray Min]:[Red Min]])</f>
        <v>58</v>
      </c>
      <c r="E262">
        <v>16</v>
      </c>
      <c r="F262">
        <v>679</v>
      </c>
      <c r="G262">
        <v>130</v>
      </c>
      <c r="H262">
        <v>172</v>
      </c>
      <c r="I262">
        <v>8</v>
      </c>
      <c r="J262">
        <v>17</v>
      </c>
      <c r="K262">
        <v>17</v>
      </c>
      <c r="L262">
        <v>8</v>
      </c>
      <c r="M262">
        <v>8</v>
      </c>
      <c r="N262" t="s">
        <v>30</v>
      </c>
      <c r="O262" t="s">
        <v>45</v>
      </c>
      <c r="P262" t="s">
        <v>124</v>
      </c>
      <c r="Q262">
        <f t="shared" si="86"/>
        <v>2</v>
      </c>
      <c r="R262" t="str">
        <f t="shared" si="75"/>
        <v>2-2022</v>
      </c>
      <c r="S262" t="s">
        <v>43</v>
      </c>
      <c r="T262" t="str">
        <f t="shared" si="76"/>
        <v>Monday</v>
      </c>
      <c r="U262">
        <f t="shared" si="77"/>
        <v>1</v>
      </c>
      <c r="V262" s="24">
        <f>IFERROR(Table2[[#This Row],[Gray Min]]/Table2[[#This Row],[ClassLength]],"")</f>
        <v>0.13793103448275862</v>
      </c>
      <c r="W262" s="24">
        <f>IFERROR(Table2[[#This Row],[Blue Min]]/Table2[[#This Row],[ClassLength]],"")</f>
        <v>0.29310344827586204</v>
      </c>
      <c r="X262" s="24">
        <f>IFERROR(Table2[[#This Row],[Green Min]]/Table2[[#This Row],[ClassLength]],"")</f>
        <v>0.29310344827586204</v>
      </c>
      <c r="Y262" s="24">
        <f>IFERROR(Table2[[#This Row],[Orange Min]]/Table2[[#This Row],[ClassLength]],"")</f>
        <v>0.13793103448275862</v>
      </c>
      <c r="Z262" s="24">
        <f>IFERROR(Table2[[#This Row],[Red Min]]/Table2[[#This Row],[ClassLength]],"")</f>
        <v>0.13793103448275862</v>
      </c>
      <c r="AA262" s="25">
        <v>232.14</v>
      </c>
      <c r="AB262" s="25">
        <f t="shared" si="69"/>
        <v>16.581428571428571</v>
      </c>
      <c r="AC262" s="26">
        <f t="shared" si="78"/>
        <v>653</v>
      </c>
      <c r="AD262" s="26">
        <f t="shared" si="79"/>
        <v>13.571428571428571</v>
      </c>
      <c r="AE262">
        <f t="shared" si="80"/>
        <v>2022</v>
      </c>
      <c r="AG262">
        <v>12</v>
      </c>
      <c r="AH262" s="26">
        <f t="shared" si="81"/>
        <v>11.706896551724139</v>
      </c>
      <c r="AI262" t="str">
        <f t="shared" si="82"/>
        <v>AM</v>
      </c>
      <c r="AJ262" t="str">
        <f t="shared" si="83"/>
        <v>2-2022-4</v>
      </c>
      <c r="AK262">
        <f t="shared" si="84"/>
        <v>2</v>
      </c>
      <c r="AL262" s="26">
        <f>IFERROR(Table2[[#This Row],[Calories]]/Table2[[#This Row],[Splat]],"")</f>
        <v>42.4375</v>
      </c>
      <c r="AM262">
        <f>COUNTIF(N$2:$N$938,N262)</f>
        <v>9</v>
      </c>
      <c r="AN262" t="str">
        <f>VLOOKUP(N262,'Helpful Tables'!A:D,4,FALSE)</f>
        <v>Virginia</v>
      </c>
      <c r="AO262" s="24">
        <f>COUNTIF(AN:AN,Table2[[#This Row],[State]])/COUNTA(AN:AN)</f>
        <v>5.6503198294243072E-2</v>
      </c>
      <c r="AP262">
        <f>VLOOKUP(N262,'Helpful Tables'!A:B,2,FALSE)</f>
        <v>38.894024999999999</v>
      </c>
      <c r="AQ262">
        <f>VLOOKUP(N262,'Helpful Tables'!A:C,3,FALSE)</f>
        <v>-77.078213000000005</v>
      </c>
      <c r="AR262">
        <f>COUNTIF(P$2:$P$938,P262)</f>
        <v>2</v>
      </c>
      <c r="AS262" cm="1">
        <f t="array" ref="AS262">_xlfn.IFS(E262&lt;6,((E262/D262)*60)*0.5,AND(E262&gt;=6,E262&lt;9),((E262/D262)*60)*0.75,AND(E262&gt;=9,E262&lt;=11),((E262/D262)*60)*0.9,AND(E262=12),((E262/D262)*60)*1,AND(E262&gt;=13,E262&lt;=15),((E262/D262)*60)*1.2,AND(E262&gt;=16,E262&lt;=19),((E262/D262)*60)*1.5,E262&gt;=20,((E262/D262)*60)*1.8)</f>
        <v>24.827586206896555</v>
      </c>
      <c r="AT262" cm="1">
        <f t="array" ref="AT262">_xlfn.IFS(F262&lt;550,((F262/D262)*60)*0.5,AND(F262&gt;=550,F262&lt;575),((F262/D262)*60)*0.75,AND(F262&gt;=575,F262&lt;600),((F262/D262)*60)*0.9,AND(F262=600),((F262/D262)*60)*1,AND(F262&gt;=601,F262&lt;=625),((F262/D262)*60)*1.2,AND(F262&gt;=626,F262&lt;=650),((F262/D262)*60)*1.5,F262&gt;=651,((F262/D262)*60)*1.8)</f>
        <v>1264.3448275862072</v>
      </c>
      <c r="AU262">
        <f t="shared" si="72"/>
        <v>14.499999999999995</v>
      </c>
      <c r="AV262">
        <f t="shared" si="87"/>
        <v>518.56896551724151</v>
      </c>
      <c r="AW262">
        <f t="shared" si="73"/>
        <v>89.3</v>
      </c>
      <c r="AX262" t="str">
        <f t="shared" si="85"/>
        <v>Feb-2022</v>
      </c>
      <c r="AY262">
        <f>ROUNDUP(Table2[[#This Row],[Month]]/3,0)</f>
        <v>1</v>
      </c>
    </row>
    <row r="263" spans="1:51" x14ac:dyDescent="0.2">
      <c r="A263">
        <v>262</v>
      </c>
      <c r="B263">
        <f t="shared" si="74"/>
        <v>14</v>
      </c>
      <c r="C263" s="22">
        <v>44615</v>
      </c>
      <c r="D263">
        <f>SUM(Table2[[#This Row],[Gray Min]:[Red Min]])</f>
        <v>60</v>
      </c>
      <c r="E263">
        <v>16</v>
      </c>
      <c r="F263">
        <v>682</v>
      </c>
      <c r="G263">
        <v>129</v>
      </c>
      <c r="H263">
        <v>170</v>
      </c>
      <c r="I263">
        <v>12</v>
      </c>
      <c r="J263">
        <v>11</v>
      </c>
      <c r="K263">
        <v>21</v>
      </c>
      <c r="L263">
        <v>12</v>
      </c>
      <c r="M263">
        <v>4</v>
      </c>
      <c r="N263" t="s">
        <v>101</v>
      </c>
      <c r="O263" t="s">
        <v>107</v>
      </c>
      <c r="P263" t="s">
        <v>102</v>
      </c>
      <c r="Q263">
        <f t="shared" si="86"/>
        <v>2</v>
      </c>
      <c r="R263" t="str">
        <f t="shared" si="75"/>
        <v>2-2022</v>
      </c>
      <c r="S263" t="s">
        <v>104</v>
      </c>
      <c r="T263" t="str">
        <f t="shared" si="76"/>
        <v>Wednesday</v>
      </c>
      <c r="U263">
        <f t="shared" si="77"/>
        <v>1</v>
      </c>
      <c r="V263" s="24">
        <f>IFERROR(Table2[[#This Row],[Gray Min]]/Table2[[#This Row],[ClassLength]],"")</f>
        <v>0.2</v>
      </c>
      <c r="W263" s="24">
        <f>IFERROR(Table2[[#This Row],[Blue Min]]/Table2[[#This Row],[ClassLength]],"")</f>
        <v>0.18333333333333332</v>
      </c>
      <c r="X263" s="24">
        <f>IFERROR(Table2[[#This Row],[Green Min]]/Table2[[#This Row],[ClassLength]],"")</f>
        <v>0.35</v>
      </c>
      <c r="Y263" s="24">
        <f>IFERROR(Table2[[#This Row],[Orange Min]]/Table2[[#This Row],[ClassLength]],"")</f>
        <v>0.2</v>
      </c>
      <c r="Z263" s="24">
        <f>IFERROR(Table2[[#This Row],[Red Min]]/Table2[[#This Row],[ClassLength]],"")</f>
        <v>6.6666666666666666E-2</v>
      </c>
      <c r="AA263" s="25">
        <v>232.14</v>
      </c>
      <c r="AB263" s="25">
        <f t="shared" si="69"/>
        <v>16.581428571428571</v>
      </c>
      <c r="AC263" s="26">
        <f t="shared" si="78"/>
        <v>653</v>
      </c>
      <c r="AD263" s="26">
        <f t="shared" si="79"/>
        <v>13.571428571428571</v>
      </c>
      <c r="AE263">
        <f t="shared" si="80"/>
        <v>2022</v>
      </c>
      <c r="AG263">
        <v>12</v>
      </c>
      <c r="AH263" s="26">
        <f t="shared" si="81"/>
        <v>11.366666666666667</v>
      </c>
      <c r="AI263" t="str">
        <f t="shared" si="82"/>
        <v>AM</v>
      </c>
      <c r="AJ263" t="str">
        <f t="shared" si="83"/>
        <v>2-2022-4</v>
      </c>
      <c r="AK263">
        <f t="shared" si="84"/>
        <v>2</v>
      </c>
      <c r="AL263" s="26">
        <f>IFERROR(Table2[[#This Row],[Calories]]/Table2[[#This Row],[Splat]],"")</f>
        <v>42.625</v>
      </c>
      <c r="AM263">
        <f>COUNTIF(N$2:$N$938,N263)</f>
        <v>191</v>
      </c>
      <c r="AN263" t="str">
        <f>VLOOKUP(N263,'Helpful Tables'!A:D,4,FALSE)</f>
        <v>Washington, DC</v>
      </c>
      <c r="AO263" s="24">
        <f>COUNTIF(AN:AN,Table2[[#This Row],[State]])/COUNTA(AN:AN)</f>
        <v>0.54904051172707891</v>
      </c>
      <c r="AP263">
        <f>VLOOKUP(N263,'Helpful Tables'!A:B,2,FALSE)</f>
        <v>38.949649000000001</v>
      </c>
      <c r="AQ263">
        <f>VLOOKUP(N263,'Helpful Tables'!A:C,3,FALSE)</f>
        <v>-77.080878999999996</v>
      </c>
      <c r="AR263">
        <f>COUNTIF(P$2:$P$938,P263)</f>
        <v>20</v>
      </c>
      <c r="AS263" cm="1">
        <f t="array" ref="AS263">_xlfn.IFS(E263&lt;6,((E263/D263)*60)*0.5,AND(E263&gt;=6,E263&lt;9),((E263/D263)*60)*0.75,AND(E263&gt;=9,E263&lt;=11),((E263/D263)*60)*0.9,AND(E263=12),((E263/D263)*60)*1,AND(E263&gt;=13,E263&lt;=15),((E263/D263)*60)*1.2,AND(E263&gt;=16,E263&lt;=19),((E263/D263)*60)*1.5,E263&gt;=20,((E263/D263)*60)*1.8)</f>
        <v>24</v>
      </c>
      <c r="AT263" cm="1">
        <f t="array" ref="AT263">_xlfn.IFS(F263&lt;550,((F263/D263)*60)*0.5,AND(F263&gt;=550,F263&lt;575),((F263/D263)*60)*0.75,AND(F263&gt;=575,F263&lt;600),((F263/D263)*60)*0.9,AND(F263=600),((F263/D263)*60)*1,AND(F263&gt;=601,F263&lt;=625),((F263/D263)*60)*1.2,AND(F263&gt;=626,F263&lt;=650),((F263/D263)*60)*1.5,F263&gt;=651,((F263/D263)*60)*1.8)</f>
        <v>1227.6000000000001</v>
      </c>
      <c r="AU263">
        <f t="shared" si="72"/>
        <v>20.3</v>
      </c>
      <c r="AV263">
        <f t="shared" si="87"/>
        <v>504.7000000000001</v>
      </c>
      <c r="AW263">
        <f t="shared" si="73"/>
        <v>82.199999999999989</v>
      </c>
      <c r="AX263" t="str">
        <f t="shared" si="85"/>
        <v>Feb-2022</v>
      </c>
      <c r="AY263">
        <f>ROUNDUP(Table2[[#This Row],[Month]]/3,0)</f>
        <v>1</v>
      </c>
    </row>
    <row r="264" spans="1:51" x14ac:dyDescent="0.2">
      <c r="A264">
        <v>263</v>
      </c>
      <c r="B264">
        <f t="shared" si="74"/>
        <v>14</v>
      </c>
      <c r="C264" s="22">
        <v>44616</v>
      </c>
      <c r="D264">
        <f>SUM(Table2[[#This Row],[Gray Min]:[Red Min]])</f>
        <v>57</v>
      </c>
      <c r="E264">
        <v>9</v>
      </c>
      <c r="F264">
        <v>524</v>
      </c>
      <c r="G264">
        <v>114</v>
      </c>
      <c r="H264">
        <v>164</v>
      </c>
      <c r="I264">
        <v>25</v>
      </c>
      <c r="J264">
        <v>11</v>
      </c>
      <c r="K264">
        <v>12</v>
      </c>
      <c r="L264">
        <v>8</v>
      </c>
      <c r="M264">
        <v>1</v>
      </c>
      <c r="N264" t="s">
        <v>101</v>
      </c>
      <c r="O264" t="s">
        <v>39</v>
      </c>
      <c r="P264" t="s">
        <v>109</v>
      </c>
      <c r="Q264">
        <f t="shared" si="86"/>
        <v>1</v>
      </c>
      <c r="R264" t="str">
        <f t="shared" si="75"/>
        <v>2-2022</v>
      </c>
      <c r="S264" t="s">
        <v>104</v>
      </c>
      <c r="T264" t="str">
        <f t="shared" si="76"/>
        <v>Thursday</v>
      </c>
      <c r="U264">
        <f t="shared" si="77"/>
        <v>0</v>
      </c>
      <c r="V264" s="24">
        <f>IFERROR(Table2[[#This Row],[Gray Min]]/Table2[[#This Row],[ClassLength]],"")</f>
        <v>0.43859649122807015</v>
      </c>
      <c r="W264" s="24">
        <f>IFERROR(Table2[[#This Row],[Blue Min]]/Table2[[#This Row],[ClassLength]],"")</f>
        <v>0.19298245614035087</v>
      </c>
      <c r="X264" s="24">
        <f>IFERROR(Table2[[#This Row],[Green Min]]/Table2[[#This Row],[ClassLength]],"")</f>
        <v>0.21052631578947367</v>
      </c>
      <c r="Y264" s="24">
        <f>IFERROR(Table2[[#This Row],[Orange Min]]/Table2[[#This Row],[ClassLength]],"")</f>
        <v>0.14035087719298245</v>
      </c>
      <c r="Z264" s="24">
        <f>IFERROR(Table2[[#This Row],[Red Min]]/Table2[[#This Row],[ClassLength]],"")</f>
        <v>1.7543859649122806E-2</v>
      </c>
      <c r="AA264" s="25">
        <v>232.14</v>
      </c>
      <c r="AB264" s="25">
        <f t="shared" si="69"/>
        <v>16.581428571428571</v>
      </c>
      <c r="AC264" s="26">
        <f t="shared" si="78"/>
        <v>653</v>
      </c>
      <c r="AD264" s="26">
        <f t="shared" si="79"/>
        <v>13.571428571428571</v>
      </c>
      <c r="AE264">
        <f t="shared" si="80"/>
        <v>2022</v>
      </c>
      <c r="AG264">
        <v>12</v>
      </c>
      <c r="AH264" s="26">
        <f t="shared" si="81"/>
        <v>9.192982456140351</v>
      </c>
      <c r="AI264" t="str">
        <f t="shared" si="82"/>
        <v>PM</v>
      </c>
      <c r="AJ264" t="str">
        <f t="shared" si="83"/>
        <v>2-2022-4</v>
      </c>
      <c r="AK264">
        <f t="shared" si="84"/>
        <v>2</v>
      </c>
      <c r="AL264" s="26">
        <f>IFERROR(Table2[[#This Row],[Calories]]/Table2[[#This Row],[Splat]],"")</f>
        <v>58.222222222222221</v>
      </c>
      <c r="AM264">
        <f>COUNTIF(N$2:$N$938,N264)</f>
        <v>191</v>
      </c>
      <c r="AN264" t="str">
        <f>VLOOKUP(N264,'Helpful Tables'!A:D,4,FALSE)</f>
        <v>Washington, DC</v>
      </c>
      <c r="AO264" s="24">
        <f>COUNTIF(AN:AN,Table2[[#This Row],[State]])/COUNTA(AN:AN)</f>
        <v>0.54904051172707891</v>
      </c>
      <c r="AP264">
        <f>VLOOKUP(N264,'Helpful Tables'!A:B,2,FALSE)</f>
        <v>38.949649000000001</v>
      </c>
      <c r="AQ264">
        <f>VLOOKUP(N264,'Helpful Tables'!A:C,3,FALSE)</f>
        <v>-77.080878999999996</v>
      </c>
      <c r="AR264">
        <f>COUNTIF(P$2:$P$938,P264)</f>
        <v>66</v>
      </c>
      <c r="AS264" cm="1">
        <f t="array" ref="AS264">_xlfn.IFS(E264&lt;6,((E264/D264)*60)*0.5,AND(E264&gt;=6,E264&lt;9),((E264/D264)*60)*0.75,AND(E264&gt;=9,E264&lt;=11),((E264/D264)*60)*0.9,AND(E264=12),((E264/D264)*60)*1,AND(E264&gt;=13,E264&lt;=15),((E264/D264)*60)*1.2,AND(E264&gt;=16,E264&lt;=19),((E264/D264)*60)*1.5,E264&gt;=20,((E264/D264)*60)*1.8)</f>
        <v>8.5263157894736832</v>
      </c>
      <c r="AT264" cm="1">
        <f t="array" ref="AT264">_xlfn.IFS(F264&lt;550,((F264/D264)*60)*0.5,AND(F264&gt;=550,F264&lt;575),((F264/D264)*60)*0.75,AND(F264&gt;=575,F264&lt;600),((F264/D264)*60)*0.9,AND(F264=600),((F264/D264)*60)*1,AND(F264&gt;=601,F264&lt;=625),((F264/D264)*60)*1.2,AND(F264&gt;=626,F264&lt;=650),((F264/D264)*60)*1.5,F264&gt;=651,((F264/D264)*60)*1.8)</f>
        <v>275.78947368421052</v>
      </c>
      <c r="AU264">
        <f t="shared" si="72"/>
        <v>-15.800000000000004</v>
      </c>
      <c r="AV264">
        <f t="shared" si="87"/>
        <v>110.56631578947369</v>
      </c>
      <c r="AW264">
        <f t="shared" si="73"/>
        <v>3.9</v>
      </c>
      <c r="AX264" t="str">
        <f t="shared" si="85"/>
        <v>Feb-2022</v>
      </c>
      <c r="AY264">
        <f>ROUNDUP(Table2[[#This Row],[Month]]/3,0)</f>
        <v>1</v>
      </c>
    </row>
    <row r="265" spans="1:51" x14ac:dyDescent="0.2">
      <c r="A265">
        <v>264</v>
      </c>
      <c r="B265">
        <f t="shared" si="74"/>
        <v>14</v>
      </c>
      <c r="C265" s="22">
        <v>44619</v>
      </c>
      <c r="D265">
        <f>SUM(Table2[[#This Row],[Gray Min]:[Red Min]])</f>
        <v>58</v>
      </c>
      <c r="E265">
        <v>14</v>
      </c>
      <c r="F265">
        <v>683</v>
      </c>
      <c r="G265">
        <v>131</v>
      </c>
      <c r="H265">
        <v>166</v>
      </c>
      <c r="I265">
        <v>8</v>
      </c>
      <c r="J265">
        <v>13</v>
      </c>
      <c r="K265">
        <v>23</v>
      </c>
      <c r="L265">
        <v>12</v>
      </c>
      <c r="M265">
        <v>2</v>
      </c>
      <c r="N265" t="s">
        <v>91</v>
      </c>
      <c r="O265" t="s">
        <v>45</v>
      </c>
      <c r="P265" t="s">
        <v>100</v>
      </c>
      <c r="Q265">
        <f t="shared" si="86"/>
        <v>3</v>
      </c>
      <c r="R265" t="str">
        <f t="shared" si="75"/>
        <v>2-2022</v>
      </c>
      <c r="S265" t="s">
        <v>104</v>
      </c>
      <c r="T265" t="str">
        <f t="shared" si="76"/>
        <v>Sunday</v>
      </c>
      <c r="U265">
        <f t="shared" si="77"/>
        <v>1</v>
      </c>
      <c r="V265" s="24">
        <f>IFERROR(Table2[[#This Row],[Gray Min]]/Table2[[#This Row],[ClassLength]],"")</f>
        <v>0.13793103448275862</v>
      </c>
      <c r="W265" s="24">
        <f>IFERROR(Table2[[#This Row],[Blue Min]]/Table2[[#This Row],[ClassLength]],"")</f>
        <v>0.22413793103448276</v>
      </c>
      <c r="X265" s="24">
        <f>IFERROR(Table2[[#This Row],[Green Min]]/Table2[[#This Row],[ClassLength]],"")</f>
        <v>0.39655172413793105</v>
      </c>
      <c r="Y265" s="24">
        <f>IFERROR(Table2[[#This Row],[Orange Min]]/Table2[[#This Row],[ClassLength]],"")</f>
        <v>0.20689655172413793</v>
      </c>
      <c r="Z265" s="24">
        <f>IFERROR(Table2[[#This Row],[Red Min]]/Table2[[#This Row],[ClassLength]],"")</f>
        <v>3.4482758620689655E-2</v>
      </c>
      <c r="AA265" s="25">
        <v>232.14</v>
      </c>
      <c r="AB265" s="25">
        <f t="shared" si="69"/>
        <v>16.581428571428571</v>
      </c>
      <c r="AC265" s="26">
        <f t="shared" si="78"/>
        <v>653</v>
      </c>
      <c r="AD265" s="26">
        <f t="shared" si="79"/>
        <v>13.571428571428571</v>
      </c>
      <c r="AE265">
        <f t="shared" si="80"/>
        <v>2022</v>
      </c>
      <c r="AG265">
        <v>12</v>
      </c>
      <c r="AH265" s="26">
        <f t="shared" si="81"/>
        <v>11.775862068965518</v>
      </c>
      <c r="AI265" t="str">
        <f t="shared" si="82"/>
        <v>AM</v>
      </c>
      <c r="AJ265" t="str">
        <f t="shared" si="83"/>
        <v>2-2022-5</v>
      </c>
      <c r="AK265">
        <f t="shared" si="84"/>
        <v>2</v>
      </c>
      <c r="AL265" s="26">
        <f>IFERROR(Table2[[#This Row],[Calories]]/Table2[[#This Row],[Splat]],"")</f>
        <v>48.785714285714285</v>
      </c>
      <c r="AM265">
        <f>COUNTIF(N$2:$N$938,N265)</f>
        <v>218</v>
      </c>
      <c r="AN265" t="str">
        <f>VLOOKUP(N265,'Helpful Tables'!A:D,4,FALSE)</f>
        <v>Washington, DC</v>
      </c>
      <c r="AO265" s="24">
        <f>COUNTIF(AN:AN,Table2[[#This Row],[State]])/COUNTA(AN:AN)</f>
        <v>0.54904051172707891</v>
      </c>
      <c r="AP265">
        <f>VLOOKUP(N265,'Helpful Tables'!A:B,2,FALSE)</f>
        <v>38.934710000000003</v>
      </c>
      <c r="AQ265">
        <f>VLOOKUP(N265,'Helpful Tables'!A:C,3,FALSE)</f>
        <v>-77.058222999999998</v>
      </c>
      <c r="AR265">
        <f>COUNTIF(P$2:$P$938,P265)</f>
        <v>35</v>
      </c>
      <c r="AS265" cm="1">
        <f t="array" ref="AS265">_xlfn.IFS(E265&lt;6,((E265/D265)*60)*0.5,AND(E265&gt;=6,E265&lt;9),((E265/D265)*60)*0.75,AND(E265&gt;=9,E265&lt;=11),((E265/D265)*60)*0.9,AND(E265=12),((E265/D265)*60)*1,AND(E265&gt;=13,E265&lt;=15),((E265/D265)*60)*1.2,AND(E265&gt;=16,E265&lt;=19),((E265/D265)*60)*1.5,E265&gt;=20,((E265/D265)*60)*1.8)</f>
        <v>17.379310344827587</v>
      </c>
      <c r="AT265" cm="1">
        <f t="array" ref="AT265">_xlfn.IFS(F265&lt;550,((F265/D265)*60)*0.5,AND(F265&gt;=550,F265&lt;575),((F265/D265)*60)*0.75,AND(F265&gt;=575,F265&lt;600),((F265/D265)*60)*0.9,AND(F265=600),((F265/D265)*60)*1,AND(F265&gt;=601,F265&lt;=625),((F265/D265)*60)*1.2,AND(F265&gt;=626,F265&lt;=650),((F265/D265)*60)*1.5,F265&gt;=651,((F265/D265)*60)*1.8)</f>
        <v>1271.7931034482758</v>
      </c>
      <c r="AU265">
        <f t="shared" si="72"/>
        <v>22.3</v>
      </c>
      <c r="AV265">
        <f t="shared" si="87"/>
        <v>520.12896551724145</v>
      </c>
      <c r="AW265">
        <f t="shared" si="73"/>
        <v>90.100000000000009</v>
      </c>
      <c r="AX265" t="str">
        <f t="shared" si="85"/>
        <v>Feb-2022</v>
      </c>
      <c r="AY265">
        <f>ROUNDUP(Table2[[#This Row],[Month]]/3,0)</f>
        <v>1</v>
      </c>
    </row>
    <row r="266" spans="1:51" x14ac:dyDescent="0.2">
      <c r="A266">
        <v>265</v>
      </c>
      <c r="B266">
        <f t="shared" si="74"/>
        <v>14</v>
      </c>
      <c r="C266" s="22">
        <v>44620</v>
      </c>
      <c r="D266">
        <f>SUM(Table2[[#This Row],[Gray Min]:[Red Min]])</f>
        <v>62</v>
      </c>
      <c r="E266">
        <v>13</v>
      </c>
      <c r="F266">
        <v>662</v>
      </c>
      <c r="G266">
        <v>124</v>
      </c>
      <c r="H266">
        <v>168</v>
      </c>
      <c r="I266">
        <v>12</v>
      </c>
      <c r="J266">
        <v>21</v>
      </c>
      <c r="K266">
        <v>16</v>
      </c>
      <c r="L266">
        <v>12</v>
      </c>
      <c r="M266">
        <v>1</v>
      </c>
      <c r="N266" t="s">
        <v>101</v>
      </c>
      <c r="O266" t="s">
        <v>39</v>
      </c>
      <c r="P266" t="s">
        <v>133</v>
      </c>
      <c r="Q266">
        <f t="shared" si="86"/>
        <v>1</v>
      </c>
      <c r="R266" t="str">
        <f t="shared" si="75"/>
        <v>2-2022</v>
      </c>
      <c r="S266" t="s">
        <v>104</v>
      </c>
      <c r="T266" t="str">
        <f t="shared" si="76"/>
        <v>Monday</v>
      </c>
      <c r="U266">
        <f t="shared" si="77"/>
        <v>1</v>
      </c>
      <c r="V266" s="24">
        <f>IFERROR(Table2[[#This Row],[Gray Min]]/Table2[[#This Row],[ClassLength]],"")</f>
        <v>0.19354838709677419</v>
      </c>
      <c r="W266" s="24">
        <f>IFERROR(Table2[[#This Row],[Blue Min]]/Table2[[#This Row],[ClassLength]],"")</f>
        <v>0.33870967741935482</v>
      </c>
      <c r="X266" s="24">
        <f>IFERROR(Table2[[#This Row],[Green Min]]/Table2[[#This Row],[ClassLength]],"")</f>
        <v>0.25806451612903225</v>
      </c>
      <c r="Y266" s="24">
        <f>IFERROR(Table2[[#This Row],[Orange Min]]/Table2[[#This Row],[ClassLength]],"")</f>
        <v>0.19354838709677419</v>
      </c>
      <c r="Z266" s="24">
        <f>IFERROR(Table2[[#This Row],[Red Min]]/Table2[[#This Row],[ClassLength]],"")</f>
        <v>1.6129032258064516E-2</v>
      </c>
      <c r="AA266" s="25">
        <v>232.14</v>
      </c>
      <c r="AB266" s="25">
        <f t="shared" si="69"/>
        <v>16.581428571428571</v>
      </c>
      <c r="AC266" s="26">
        <f t="shared" si="78"/>
        <v>653</v>
      </c>
      <c r="AD266" s="26">
        <f t="shared" si="79"/>
        <v>13.571428571428571</v>
      </c>
      <c r="AE266">
        <f t="shared" si="80"/>
        <v>2022</v>
      </c>
      <c r="AG266">
        <v>12</v>
      </c>
      <c r="AH266" s="26">
        <f t="shared" si="81"/>
        <v>10.67741935483871</v>
      </c>
      <c r="AI266" t="str">
        <f t="shared" si="82"/>
        <v>PM</v>
      </c>
      <c r="AJ266" t="str">
        <f t="shared" si="83"/>
        <v>2-2022-5</v>
      </c>
      <c r="AK266">
        <f t="shared" si="84"/>
        <v>2</v>
      </c>
      <c r="AL266" s="26">
        <f>IFERROR(Table2[[#This Row],[Calories]]/Table2[[#This Row],[Splat]],"")</f>
        <v>50.92307692307692</v>
      </c>
      <c r="AM266">
        <f>COUNTIF(N$2:$N$938,N266)</f>
        <v>191</v>
      </c>
      <c r="AN266" t="str">
        <f>VLOOKUP(N266,'Helpful Tables'!A:D,4,FALSE)</f>
        <v>Washington, DC</v>
      </c>
      <c r="AO266" s="24">
        <f>COUNTIF(AN:AN,Table2[[#This Row],[State]])/COUNTA(AN:AN)</f>
        <v>0.54904051172707891</v>
      </c>
      <c r="AP266">
        <f>VLOOKUP(N266,'Helpful Tables'!A:B,2,FALSE)</f>
        <v>38.949649000000001</v>
      </c>
      <c r="AQ266">
        <f>VLOOKUP(N266,'Helpful Tables'!A:C,3,FALSE)</f>
        <v>-77.080878999999996</v>
      </c>
      <c r="AR266">
        <f>COUNTIF(P$2:$P$938,P266)</f>
        <v>25</v>
      </c>
      <c r="AS266" cm="1">
        <f t="array" ref="AS266">_xlfn.IFS(E266&lt;6,((E266/D266)*60)*0.5,AND(E266&gt;=6,E266&lt;9),((E266/D266)*60)*0.75,AND(E266&gt;=9,E266&lt;=11),((E266/D266)*60)*0.9,AND(E266=12),((E266/D266)*60)*1,AND(E266&gt;=13,E266&lt;=15),((E266/D266)*60)*1.2,AND(E266&gt;=16,E266&lt;=19),((E266/D266)*60)*1.5,E266&gt;=20,((E266/D266)*60)*1.8)</f>
        <v>15.096774193548388</v>
      </c>
      <c r="AT266" cm="1">
        <f t="array" ref="AT266">_xlfn.IFS(F266&lt;550,((F266/D266)*60)*0.5,AND(F266&gt;=550,F266&lt;575),((F266/D266)*60)*0.75,AND(F266&gt;=575,F266&lt;600),((F266/D266)*60)*0.9,AND(F266=600),((F266/D266)*60)*1,AND(F266&gt;=601,F266&lt;=625),((F266/D266)*60)*1.2,AND(F266&gt;=626,F266&lt;=650),((F266/D266)*60)*1.5,F266&gt;=651,((F266/D266)*60)*1.8)</f>
        <v>1153.1612903225807</v>
      </c>
      <c r="AU266">
        <f t="shared" si="72"/>
        <v>-1.1999999999999993</v>
      </c>
      <c r="AV266">
        <f t="shared" si="87"/>
        <v>467.06322580645167</v>
      </c>
      <c r="AW266">
        <f t="shared" si="73"/>
        <v>67</v>
      </c>
      <c r="AX266" t="str">
        <f t="shared" si="85"/>
        <v>Feb-2022</v>
      </c>
      <c r="AY266">
        <f>ROUNDUP(Table2[[#This Row],[Month]]/3,0)</f>
        <v>1</v>
      </c>
    </row>
    <row r="267" spans="1:51" x14ac:dyDescent="0.2">
      <c r="A267">
        <v>266</v>
      </c>
      <c r="B267">
        <f t="shared" si="74"/>
        <v>14</v>
      </c>
      <c r="C267" s="22">
        <v>44622</v>
      </c>
      <c r="D267">
        <f>SUM(Table2[[#This Row],[Gray Min]:[Red Min]])</f>
        <v>55</v>
      </c>
      <c r="E267">
        <v>14</v>
      </c>
      <c r="F267">
        <v>554</v>
      </c>
      <c r="G267">
        <v>119</v>
      </c>
      <c r="H267">
        <v>168</v>
      </c>
      <c r="I267">
        <v>20</v>
      </c>
      <c r="J267">
        <v>8</v>
      </c>
      <c r="K267">
        <v>13</v>
      </c>
      <c r="L267">
        <v>12</v>
      </c>
      <c r="M267">
        <v>2</v>
      </c>
      <c r="N267" t="s">
        <v>91</v>
      </c>
      <c r="O267" t="s">
        <v>39</v>
      </c>
      <c r="P267" t="s">
        <v>96</v>
      </c>
      <c r="Q267">
        <f t="shared" si="86"/>
        <v>2</v>
      </c>
      <c r="R267" t="str">
        <f t="shared" si="75"/>
        <v>3-2022</v>
      </c>
      <c r="S267" t="s">
        <v>117</v>
      </c>
      <c r="T267" t="str">
        <f t="shared" si="76"/>
        <v>Wednesday</v>
      </c>
      <c r="U267">
        <f t="shared" si="77"/>
        <v>1</v>
      </c>
      <c r="V267" s="24">
        <f>IFERROR(Table2[[#This Row],[Gray Min]]/Table2[[#This Row],[ClassLength]],"")</f>
        <v>0.36363636363636365</v>
      </c>
      <c r="W267" s="24">
        <f>IFERROR(Table2[[#This Row],[Blue Min]]/Table2[[#This Row],[ClassLength]],"")</f>
        <v>0.14545454545454545</v>
      </c>
      <c r="X267" s="24">
        <f>IFERROR(Table2[[#This Row],[Green Min]]/Table2[[#This Row],[ClassLength]],"")</f>
        <v>0.23636363636363636</v>
      </c>
      <c r="Y267" s="24">
        <f>IFERROR(Table2[[#This Row],[Orange Min]]/Table2[[#This Row],[ClassLength]],"")</f>
        <v>0.21818181818181817</v>
      </c>
      <c r="Z267" s="24">
        <f>IFERROR(Table2[[#This Row],[Red Min]]/Table2[[#This Row],[ClassLength]],"")</f>
        <v>3.6363636363636362E-2</v>
      </c>
      <c r="AA267" s="25">
        <v>232.14</v>
      </c>
      <c r="AB267" s="25">
        <f t="shared" si="69"/>
        <v>16.581428571428571</v>
      </c>
      <c r="AC267" s="26">
        <f t="shared" si="78"/>
        <v>641</v>
      </c>
      <c r="AD267" s="26">
        <f t="shared" si="79"/>
        <v>14.714285714285714</v>
      </c>
      <c r="AE267">
        <f t="shared" si="80"/>
        <v>2022</v>
      </c>
      <c r="AG267">
        <v>12</v>
      </c>
      <c r="AH267" s="26">
        <f t="shared" si="81"/>
        <v>10.072727272727272</v>
      </c>
      <c r="AI267" t="str">
        <f t="shared" si="82"/>
        <v>PM</v>
      </c>
      <c r="AJ267" t="str">
        <f t="shared" si="83"/>
        <v>3-2022-1</v>
      </c>
      <c r="AK267">
        <f t="shared" si="84"/>
        <v>3</v>
      </c>
      <c r="AL267" s="26">
        <f>IFERROR(Table2[[#This Row],[Calories]]/Table2[[#This Row],[Splat]],"")</f>
        <v>39.571428571428569</v>
      </c>
      <c r="AM267">
        <f>COUNTIF(N$2:$N$938,N267)</f>
        <v>218</v>
      </c>
      <c r="AN267" t="str">
        <f>VLOOKUP(N267,'Helpful Tables'!A:D,4,FALSE)</f>
        <v>Washington, DC</v>
      </c>
      <c r="AO267" s="24">
        <f>COUNTIF(AN:AN,Table2[[#This Row],[State]])/COUNTA(AN:AN)</f>
        <v>0.54904051172707891</v>
      </c>
      <c r="AP267">
        <f>VLOOKUP(N267,'Helpful Tables'!A:B,2,FALSE)</f>
        <v>38.934710000000003</v>
      </c>
      <c r="AQ267">
        <f>VLOOKUP(N267,'Helpful Tables'!A:C,3,FALSE)</f>
        <v>-77.058222999999998</v>
      </c>
      <c r="AR267">
        <f>COUNTIF(P$2:$P$938,P267)</f>
        <v>71</v>
      </c>
      <c r="AS267" cm="1">
        <f t="array" ref="AS267">_xlfn.IFS(E267&lt;6,((E267/D267)*60)*0.5,AND(E267&gt;=6,E267&lt;9),((E267/D267)*60)*0.75,AND(E267&gt;=9,E267&lt;=11),((E267/D267)*60)*0.9,AND(E267=12),((E267/D267)*60)*1,AND(E267&gt;=13,E267&lt;=15),((E267/D267)*60)*1.2,AND(E267&gt;=16,E267&lt;=19),((E267/D267)*60)*1.5,E267&gt;=20,((E267/D267)*60)*1.8)</f>
        <v>18.327272727272724</v>
      </c>
      <c r="AT267" cm="1">
        <f t="array" ref="AT267">_xlfn.IFS(F267&lt;550,((F267/D267)*60)*0.5,AND(F267&gt;=550,F267&lt;575),((F267/D267)*60)*0.75,AND(F267&gt;=575,F267&lt;600),((F267/D267)*60)*0.9,AND(F267=600),((F267/D267)*60)*1,AND(F267&gt;=601,F267&lt;=625),((F267/D267)*60)*1.2,AND(F267&gt;=626,F267&lt;=650),((F267/D267)*60)*1.5,F267&gt;=651,((F267/D267)*60)*1.8)</f>
        <v>453.27272727272725</v>
      </c>
      <c r="AU267">
        <f t="shared" si="72"/>
        <v>1.4000000000000057</v>
      </c>
      <c r="AV267">
        <f t="shared" si="87"/>
        <v>188.92000000000002</v>
      </c>
      <c r="AW267">
        <f t="shared" si="73"/>
        <v>12.2</v>
      </c>
      <c r="AX267" t="str">
        <f t="shared" si="85"/>
        <v>Mar-2022</v>
      </c>
      <c r="AY267">
        <f>ROUNDUP(Table2[[#This Row],[Month]]/3,0)</f>
        <v>1</v>
      </c>
    </row>
    <row r="268" spans="1:51" x14ac:dyDescent="0.2">
      <c r="A268">
        <v>267</v>
      </c>
      <c r="B268">
        <f t="shared" si="74"/>
        <v>14</v>
      </c>
      <c r="C268" s="22">
        <v>44624</v>
      </c>
      <c r="D268">
        <f>SUM(Table2[[#This Row],[Gray Min]:[Red Min]])</f>
        <v>60</v>
      </c>
      <c r="E268">
        <v>9</v>
      </c>
      <c r="F268">
        <v>534</v>
      </c>
      <c r="G268">
        <v>113</v>
      </c>
      <c r="H268">
        <v>156</v>
      </c>
      <c r="I268">
        <v>26</v>
      </c>
      <c r="J268">
        <v>10</v>
      </c>
      <c r="K268">
        <v>15</v>
      </c>
      <c r="L268">
        <v>9</v>
      </c>
      <c r="M268">
        <v>0</v>
      </c>
      <c r="N268" t="s">
        <v>101</v>
      </c>
      <c r="O268" t="s">
        <v>107</v>
      </c>
      <c r="P268" t="s">
        <v>118</v>
      </c>
      <c r="Q268">
        <f t="shared" si="86"/>
        <v>2</v>
      </c>
      <c r="R268" t="str">
        <f t="shared" si="75"/>
        <v>3-2022</v>
      </c>
      <c r="S268" t="s">
        <v>104</v>
      </c>
      <c r="T268" t="str">
        <f t="shared" si="76"/>
        <v>Friday</v>
      </c>
      <c r="U268">
        <f t="shared" si="77"/>
        <v>0</v>
      </c>
      <c r="V268" s="24">
        <f>IFERROR(Table2[[#This Row],[Gray Min]]/Table2[[#This Row],[ClassLength]],"")</f>
        <v>0.43333333333333335</v>
      </c>
      <c r="W268" s="24">
        <f>IFERROR(Table2[[#This Row],[Blue Min]]/Table2[[#This Row],[ClassLength]],"")</f>
        <v>0.16666666666666666</v>
      </c>
      <c r="X268" s="24">
        <f>IFERROR(Table2[[#This Row],[Green Min]]/Table2[[#This Row],[ClassLength]],"")</f>
        <v>0.25</v>
      </c>
      <c r="Y268" s="24">
        <f>IFERROR(Table2[[#This Row],[Orange Min]]/Table2[[#This Row],[ClassLength]],"")</f>
        <v>0.15</v>
      </c>
      <c r="Z268" s="24">
        <f>IFERROR(Table2[[#This Row],[Red Min]]/Table2[[#This Row],[ClassLength]],"")</f>
        <v>0</v>
      </c>
      <c r="AA268" s="25">
        <v>232.14</v>
      </c>
      <c r="AB268" s="25">
        <f t="shared" si="69"/>
        <v>16.581428571428571</v>
      </c>
      <c r="AC268" s="26">
        <f t="shared" si="78"/>
        <v>641</v>
      </c>
      <c r="AD268" s="26">
        <f t="shared" si="79"/>
        <v>14.714285714285714</v>
      </c>
      <c r="AE268">
        <f t="shared" si="80"/>
        <v>2022</v>
      </c>
      <c r="AG268">
        <v>12</v>
      </c>
      <c r="AH268" s="26">
        <f t="shared" si="81"/>
        <v>8.9</v>
      </c>
      <c r="AI268" t="str">
        <f t="shared" si="82"/>
        <v>AM</v>
      </c>
      <c r="AJ268" t="str">
        <f t="shared" si="83"/>
        <v>3-2022-1</v>
      </c>
      <c r="AK268">
        <f t="shared" si="84"/>
        <v>3</v>
      </c>
      <c r="AL268" s="26">
        <f>IFERROR(Table2[[#This Row],[Calories]]/Table2[[#This Row],[Splat]],"")</f>
        <v>59.333333333333336</v>
      </c>
      <c r="AM268">
        <f>COUNTIF(N$2:$N$938,N268)</f>
        <v>191</v>
      </c>
      <c r="AN268" t="str">
        <f>VLOOKUP(N268,'Helpful Tables'!A:D,4,FALSE)</f>
        <v>Washington, DC</v>
      </c>
      <c r="AO268" s="24">
        <f>COUNTIF(AN:AN,Table2[[#This Row],[State]])/COUNTA(AN:AN)</f>
        <v>0.54904051172707891</v>
      </c>
      <c r="AP268">
        <f>VLOOKUP(N268,'Helpful Tables'!A:B,2,FALSE)</f>
        <v>38.949649000000001</v>
      </c>
      <c r="AQ268">
        <f>VLOOKUP(N268,'Helpful Tables'!A:C,3,FALSE)</f>
        <v>-77.080878999999996</v>
      </c>
      <c r="AR268">
        <f>COUNTIF(P$2:$P$938,P268)</f>
        <v>16</v>
      </c>
      <c r="AS268" cm="1">
        <f t="array" ref="AS268">_xlfn.IFS(E268&lt;6,((E268/D268)*60)*0.5,AND(E268&gt;=6,E268&lt;9),((E268/D268)*60)*0.75,AND(E268&gt;=9,E268&lt;=11),((E268/D268)*60)*0.9,AND(E268=12),((E268/D268)*60)*1,AND(E268&gt;=13,E268&lt;=15),((E268/D268)*60)*1.2,AND(E268&gt;=16,E268&lt;=19),((E268/D268)*60)*1.5,E268&gt;=20,((E268/D268)*60)*1.8)</f>
        <v>8.1</v>
      </c>
      <c r="AT268" cm="1">
        <f t="array" ref="AT268">_xlfn.IFS(F268&lt;550,((F268/D268)*60)*0.5,AND(F268&gt;=550,F268&lt;575),((F268/D268)*60)*0.75,AND(F268&gt;=575,F268&lt;600),((F268/D268)*60)*0.9,AND(F268=600),((F268/D268)*60)*1,AND(F268&gt;=601,F268&lt;=625),((F268/D268)*60)*1.2,AND(F268&gt;=626,F268&lt;=650),((F268/D268)*60)*1.5,F268&gt;=651,((F268/D268)*60)*1.8)</f>
        <v>267</v>
      </c>
      <c r="AU268">
        <f t="shared" si="72"/>
        <v>-12.500000000000002</v>
      </c>
      <c r="AV268">
        <f t="shared" si="87"/>
        <v>107.54</v>
      </c>
      <c r="AW268">
        <f t="shared" si="73"/>
        <v>3.1</v>
      </c>
      <c r="AX268" t="str">
        <f t="shared" si="85"/>
        <v>Mar-2022</v>
      </c>
      <c r="AY268">
        <f>ROUNDUP(Table2[[#This Row],[Month]]/3,0)</f>
        <v>1</v>
      </c>
    </row>
    <row r="269" spans="1:51" x14ac:dyDescent="0.2">
      <c r="A269">
        <v>268</v>
      </c>
      <c r="B269">
        <f t="shared" si="74"/>
        <v>14</v>
      </c>
      <c r="C269" s="22">
        <v>44625</v>
      </c>
      <c r="D269">
        <f>SUM(Table2[[#This Row],[Gray Min]:[Red Min]])</f>
        <v>59</v>
      </c>
      <c r="E269">
        <v>17</v>
      </c>
      <c r="F269">
        <v>649</v>
      </c>
      <c r="G269">
        <v>125</v>
      </c>
      <c r="H269">
        <v>165</v>
      </c>
      <c r="I269">
        <v>20</v>
      </c>
      <c r="J269">
        <v>10</v>
      </c>
      <c r="K269">
        <v>12</v>
      </c>
      <c r="L269">
        <v>15</v>
      </c>
      <c r="M269">
        <v>2</v>
      </c>
      <c r="N269" t="s">
        <v>101</v>
      </c>
      <c r="O269" t="s">
        <v>45</v>
      </c>
      <c r="P269" t="s">
        <v>109</v>
      </c>
      <c r="Q269">
        <f t="shared" si="86"/>
        <v>1</v>
      </c>
      <c r="R269" t="str">
        <f t="shared" si="75"/>
        <v>3-2022</v>
      </c>
      <c r="S269" t="s">
        <v>117</v>
      </c>
      <c r="T269" t="str">
        <f t="shared" si="76"/>
        <v>Saturday</v>
      </c>
      <c r="U269">
        <f t="shared" si="77"/>
        <v>1</v>
      </c>
      <c r="V269" s="24">
        <f>IFERROR(Table2[[#This Row],[Gray Min]]/Table2[[#This Row],[ClassLength]],"")</f>
        <v>0.33898305084745761</v>
      </c>
      <c r="W269" s="24">
        <f>IFERROR(Table2[[#This Row],[Blue Min]]/Table2[[#This Row],[ClassLength]],"")</f>
        <v>0.16949152542372881</v>
      </c>
      <c r="X269" s="24">
        <f>IFERROR(Table2[[#This Row],[Green Min]]/Table2[[#This Row],[ClassLength]],"")</f>
        <v>0.20338983050847459</v>
      </c>
      <c r="Y269" s="24">
        <f>IFERROR(Table2[[#This Row],[Orange Min]]/Table2[[#This Row],[ClassLength]],"")</f>
        <v>0.25423728813559321</v>
      </c>
      <c r="Z269" s="24">
        <f>IFERROR(Table2[[#This Row],[Red Min]]/Table2[[#This Row],[ClassLength]],"")</f>
        <v>3.3898305084745763E-2</v>
      </c>
      <c r="AA269" s="25">
        <v>232.14</v>
      </c>
      <c r="AB269" s="25">
        <f t="shared" si="69"/>
        <v>16.581428571428571</v>
      </c>
      <c r="AC269" s="26">
        <f t="shared" si="78"/>
        <v>641</v>
      </c>
      <c r="AD269" s="26">
        <f t="shared" si="79"/>
        <v>14.714285714285714</v>
      </c>
      <c r="AE269">
        <f t="shared" si="80"/>
        <v>2022</v>
      </c>
      <c r="AG269">
        <v>12</v>
      </c>
      <c r="AH269" s="26">
        <f t="shared" si="81"/>
        <v>11</v>
      </c>
      <c r="AI269" t="str">
        <f t="shared" si="82"/>
        <v>AM</v>
      </c>
      <c r="AJ269" t="str">
        <f t="shared" si="83"/>
        <v>3-2022-1</v>
      </c>
      <c r="AK269">
        <f t="shared" si="84"/>
        <v>3</v>
      </c>
      <c r="AL269" s="26">
        <f>IFERROR(Table2[[#This Row],[Calories]]/Table2[[#This Row],[Splat]],"")</f>
        <v>38.176470588235297</v>
      </c>
      <c r="AM269">
        <f>COUNTIF(N$2:$N$938,N269)</f>
        <v>191</v>
      </c>
      <c r="AN269" t="str">
        <f>VLOOKUP(N269,'Helpful Tables'!A:D,4,FALSE)</f>
        <v>Washington, DC</v>
      </c>
      <c r="AO269" s="24">
        <f>COUNTIF(AN:AN,Table2[[#This Row],[State]])/COUNTA(AN:AN)</f>
        <v>0.54904051172707891</v>
      </c>
      <c r="AP269">
        <f>VLOOKUP(N269,'Helpful Tables'!A:B,2,FALSE)</f>
        <v>38.949649000000001</v>
      </c>
      <c r="AQ269">
        <f>VLOOKUP(N269,'Helpful Tables'!A:C,3,FALSE)</f>
        <v>-77.080878999999996</v>
      </c>
      <c r="AR269">
        <f>COUNTIF(P$2:$P$938,P269)</f>
        <v>66</v>
      </c>
      <c r="AS269" cm="1">
        <f t="array" ref="AS269">_xlfn.IFS(E269&lt;6,((E269/D269)*60)*0.5,AND(E269&gt;=6,E269&lt;9),((E269/D269)*60)*0.75,AND(E269&gt;=9,E269&lt;=11),((E269/D269)*60)*0.9,AND(E269=12),((E269/D269)*60)*1,AND(E269&gt;=13,E269&lt;=15),((E269/D269)*60)*1.2,AND(E269&gt;=16,E269&lt;=19),((E269/D269)*60)*1.5,E269&gt;=20,((E269/D269)*60)*1.8)</f>
        <v>25.932203389830509</v>
      </c>
      <c r="AT269" cm="1">
        <f t="array" ref="AT269">_xlfn.IFS(F269&lt;550,((F269/D269)*60)*0.5,AND(F269&gt;=550,F269&lt;575),((F269/D269)*60)*0.75,AND(F269&gt;=575,F269&lt;600),((F269/D269)*60)*0.9,AND(F269=600),((F269/D269)*60)*1,AND(F269&gt;=601,F269&lt;=625),((F269/D269)*60)*1.2,AND(F269&gt;=626,F269&lt;=650),((F269/D269)*60)*1.5,F269&gt;=651,((F269/D269)*60)*1.8)</f>
        <v>990</v>
      </c>
      <c r="AU269">
        <f t="shared" si="72"/>
        <v>1.8999999999999986</v>
      </c>
      <c r="AV269">
        <f t="shared" si="87"/>
        <v>406.75288135593217</v>
      </c>
      <c r="AW269">
        <f t="shared" si="73"/>
        <v>56.999999999999993</v>
      </c>
      <c r="AX269" t="str">
        <f t="shared" si="85"/>
        <v>Mar-2022</v>
      </c>
      <c r="AY269">
        <f>ROUNDUP(Table2[[#This Row],[Month]]/3,0)</f>
        <v>1</v>
      </c>
    </row>
    <row r="270" spans="1:51" x14ac:dyDescent="0.2">
      <c r="A270">
        <v>268</v>
      </c>
      <c r="B270">
        <f t="shared" si="74"/>
        <v>14</v>
      </c>
      <c r="C270" s="22">
        <v>44627</v>
      </c>
      <c r="D270">
        <f>SUM(Table2[[#This Row],[Gray Min]:[Red Min]])</f>
        <v>61</v>
      </c>
      <c r="E270">
        <v>20</v>
      </c>
      <c r="F270">
        <v>703</v>
      </c>
      <c r="G270">
        <v>129</v>
      </c>
      <c r="H270">
        <v>167</v>
      </c>
      <c r="I270">
        <v>13</v>
      </c>
      <c r="J270">
        <v>14</v>
      </c>
      <c r="K270">
        <v>14</v>
      </c>
      <c r="L270">
        <v>19</v>
      </c>
      <c r="M270">
        <v>1</v>
      </c>
      <c r="N270" t="s">
        <v>101</v>
      </c>
      <c r="O270" t="s">
        <v>39</v>
      </c>
      <c r="P270" t="s">
        <v>133</v>
      </c>
      <c r="Q270">
        <f t="shared" si="86"/>
        <v>2</v>
      </c>
      <c r="R270" t="str">
        <f t="shared" si="75"/>
        <v>3-2022</v>
      </c>
      <c r="S270" t="s">
        <v>104</v>
      </c>
      <c r="T270" t="str">
        <f t="shared" si="76"/>
        <v>Monday</v>
      </c>
      <c r="U270">
        <f t="shared" si="77"/>
        <v>1</v>
      </c>
      <c r="V270" s="24">
        <f>IFERROR(Table2[[#This Row],[Gray Min]]/Table2[[#This Row],[ClassLength]],"")</f>
        <v>0.21311475409836064</v>
      </c>
      <c r="W270" s="24">
        <f>IFERROR(Table2[[#This Row],[Blue Min]]/Table2[[#This Row],[ClassLength]],"")</f>
        <v>0.22950819672131148</v>
      </c>
      <c r="X270" s="24">
        <f>IFERROR(Table2[[#This Row],[Green Min]]/Table2[[#This Row],[ClassLength]],"")</f>
        <v>0.22950819672131148</v>
      </c>
      <c r="Y270" s="24">
        <f>IFERROR(Table2[[#This Row],[Orange Min]]/Table2[[#This Row],[ClassLength]],"")</f>
        <v>0.31147540983606559</v>
      </c>
      <c r="Z270" s="24">
        <f>IFERROR(Table2[[#This Row],[Red Min]]/Table2[[#This Row],[ClassLength]],"")</f>
        <v>1.6393442622950821E-2</v>
      </c>
      <c r="AA270" s="25">
        <v>232.14</v>
      </c>
      <c r="AB270" s="25">
        <f t="shared" si="69"/>
        <v>16.581428571428571</v>
      </c>
      <c r="AC270" s="26">
        <f t="shared" si="78"/>
        <v>641</v>
      </c>
      <c r="AD270" s="26">
        <f t="shared" si="79"/>
        <v>14.714285714285714</v>
      </c>
      <c r="AE270">
        <f t="shared" si="80"/>
        <v>2022</v>
      </c>
      <c r="AG270">
        <v>12</v>
      </c>
      <c r="AH270" s="26">
        <f t="shared" si="81"/>
        <v>11.524590163934427</v>
      </c>
      <c r="AI270" t="str">
        <f t="shared" si="82"/>
        <v>PM</v>
      </c>
      <c r="AJ270" t="str">
        <f t="shared" si="83"/>
        <v>3-2022-2</v>
      </c>
      <c r="AK270">
        <f t="shared" si="84"/>
        <v>3</v>
      </c>
      <c r="AL270" s="26">
        <f>IFERROR(Table2[[#This Row],[Calories]]/Table2[[#This Row],[Splat]],"")</f>
        <v>35.15</v>
      </c>
      <c r="AM270">
        <f>COUNTIF(N$2:$N$938,N270)</f>
        <v>191</v>
      </c>
      <c r="AN270" t="str">
        <f>VLOOKUP(N270,'Helpful Tables'!A:D,4,FALSE)</f>
        <v>Washington, DC</v>
      </c>
      <c r="AO270" s="24">
        <f>COUNTIF(AN:AN,Table2[[#This Row],[State]])/COUNTA(AN:AN)</f>
        <v>0.54904051172707891</v>
      </c>
      <c r="AP270">
        <f>VLOOKUP(N270,'Helpful Tables'!A:B,2,FALSE)</f>
        <v>38.949649000000001</v>
      </c>
      <c r="AQ270">
        <f>VLOOKUP(N270,'Helpful Tables'!A:C,3,FALSE)</f>
        <v>-77.080878999999996</v>
      </c>
      <c r="AR270">
        <f>COUNTIF(P$2:$P$938,P270)</f>
        <v>25</v>
      </c>
      <c r="AS270" cm="1">
        <f t="array" ref="AS270">_xlfn.IFS(E270&lt;6,((E270/D270)*60)*0.5,AND(E270&gt;=6,E270&lt;9),((E270/D270)*60)*0.75,AND(E270&gt;=9,E270&lt;=11),((E270/D270)*60)*0.9,AND(E270=12),((E270/D270)*60)*1,AND(E270&gt;=13,E270&lt;=15),((E270/D270)*60)*1.2,AND(E270&gt;=16,E270&lt;=19),((E270/D270)*60)*1.5,E270&gt;=20,((E270/D270)*60)*1.8)</f>
        <v>35.409836065573764</v>
      </c>
      <c r="AT270" cm="1">
        <f t="array" ref="AT270">_xlfn.IFS(F270&lt;550,((F270/D270)*60)*0.5,AND(F270&gt;=550,F270&lt;575),((F270/D270)*60)*0.75,AND(F270&gt;=575,F270&lt;600),((F270/D270)*60)*0.9,AND(F270=600),((F270/D270)*60)*1,AND(F270&gt;=601,F270&lt;=625),((F270/D270)*60)*1.2,AND(F270&gt;=626,F270&lt;=650),((F270/D270)*60)*1.5,F270&gt;=651,((F270/D270)*60)*1.8)</f>
        <v>1244.6557377049182</v>
      </c>
      <c r="AU270">
        <f t="shared" si="72"/>
        <v>12</v>
      </c>
      <c r="AV270">
        <f t="shared" si="87"/>
        <v>514.4262295081968</v>
      </c>
      <c r="AW270">
        <f t="shared" si="73"/>
        <v>87.7</v>
      </c>
      <c r="AX270" t="str">
        <f t="shared" si="85"/>
        <v>Mar-2022</v>
      </c>
      <c r="AY270">
        <f>ROUNDUP(Table2[[#This Row],[Month]]/3,0)</f>
        <v>1</v>
      </c>
    </row>
    <row r="271" spans="1:51" x14ac:dyDescent="0.2">
      <c r="A271">
        <v>270</v>
      </c>
      <c r="B271">
        <f t="shared" si="74"/>
        <v>14</v>
      </c>
      <c r="C271" s="22">
        <v>44629</v>
      </c>
      <c r="D271">
        <f>SUM(Table2[[#This Row],[Gray Min]:[Red Min]])</f>
        <v>60</v>
      </c>
      <c r="E271">
        <v>12</v>
      </c>
      <c r="F271">
        <v>629</v>
      </c>
      <c r="G271">
        <v>123</v>
      </c>
      <c r="H271">
        <v>163</v>
      </c>
      <c r="I271">
        <v>16</v>
      </c>
      <c r="J271">
        <v>17</v>
      </c>
      <c r="K271">
        <v>15</v>
      </c>
      <c r="L271">
        <v>12</v>
      </c>
      <c r="M271">
        <v>0</v>
      </c>
      <c r="N271" t="s">
        <v>91</v>
      </c>
      <c r="O271" t="s">
        <v>39</v>
      </c>
      <c r="P271" t="s">
        <v>96</v>
      </c>
      <c r="Q271">
        <f t="shared" si="86"/>
        <v>2</v>
      </c>
      <c r="R271" t="str">
        <f t="shared" si="75"/>
        <v>3-2022</v>
      </c>
      <c r="S271" t="s">
        <v>117</v>
      </c>
      <c r="T271" t="str">
        <f t="shared" si="76"/>
        <v>Wednesday</v>
      </c>
      <c r="U271">
        <f t="shared" si="77"/>
        <v>1</v>
      </c>
      <c r="V271" s="24">
        <f>IFERROR(Table2[[#This Row],[Gray Min]]/Table2[[#This Row],[ClassLength]],"")</f>
        <v>0.26666666666666666</v>
      </c>
      <c r="W271" s="24">
        <f>IFERROR(Table2[[#This Row],[Blue Min]]/Table2[[#This Row],[ClassLength]],"")</f>
        <v>0.28333333333333333</v>
      </c>
      <c r="X271" s="24">
        <f>IFERROR(Table2[[#This Row],[Green Min]]/Table2[[#This Row],[ClassLength]],"")</f>
        <v>0.25</v>
      </c>
      <c r="Y271" s="24">
        <f>IFERROR(Table2[[#This Row],[Orange Min]]/Table2[[#This Row],[ClassLength]],"")</f>
        <v>0.2</v>
      </c>
      <c r="Z271" s="24">
        <f>IFERROR(Table2[[#This Row],[Red Min]]/Table2[[#This Row],[ClassLength]],"")</f>
        <v>0</v>
      </c>
      <c r="AA271" s="25">
        <v>232.14</v>
      </c>
      <c r="AB271" s="25">
        <f t="shared" si="69"/>
        <v>16.581428571428571</v>
      </c>
      <c r="AC271" s="26">
        <f t="shared" si="78"/>
        <v>641</v>
      </c>
      <c r="AD271" s="26">
        <f t="shared" si="79"/>
        <v>14.714285714285714</v>
      </c>
      <c r="AE271">
        <f t="shared" si="80"/>
        <v>2022</v>
      </c>
      <c r="AG271">
        <v>12</v>
      </c>
      <c r="AH271" s="26">
        <f t="shared" si="81"/>
        <v>10.483333333333333</v>
      </c>
      <c r="AI271" t="str">
        <f t="shared" si="82"/>
        <v>PM</v>
      </c>
      <c r="AJ271" t="str">
        <f t="shared" si="83"/>
        <v>3-2022-2</v>
      </c>
      <c r="AK271">
        <f t="shared" si="84"/>
        <v>3</v>
      </c>
      <c r="AL271" s="26">
        <f>IFERROR(Table2[[#This Row],[Calories]]/Table2[[#This Row],[Splat]],"")</f>
        <v>52.416666666666664</v>
      </c>
      <c r="AM271">
        <f>COUNTIF(N$2:$N$938,N271)</f>
        <v>218</v>
      </c>
      <c r="AN271" t="str">
        <f>VLOOKUP(N271,'Helpful Tables'!A:D,4,FALSE)</f>
        <v>Washington, DC</v>
      </c>
      <c r="AO271" s="24">
        <f>COUNTIF(AN:AN,Table2[[#This Row],[State]])/COUNTA(AN:AN)</f>
        <v>0.54904051172707891</v>
      </c>
      <c r="AP271">
        <f>VLOOKUP(N271,'Helpful Tables'!A:B,2,FALSE)</f>
        <v>38.934710000000003</v>
      </c>
      <c r="AQ271">
        <f>VLOOKUP(N271,'Helpful Tables'!A:C,3,FALSE)</f>
        <v>-77.058222999999998</v>
      </c>
      <c r="AR271">
        <f>COUNTIF(P$2:$P$938,P271)</f>
        <v>71</v>
      </c>
      <c r="AS271" cm="1">
        <f t="array" ref="AS271">_xlfn.IFS(E271&lt;6,((E271/D271)*60)*0.5,AND(E271&gt;=6,E271&lt;9),((E271/D271)*60)*0.75,AND(E271&gt;=9,E271&lt;=11),((E271/D271)*60)*0.9,AND(E271=12),((E271/D271)*60)*1,AND(E271&gt;=13,E271&lt;=15),((E271/D271)*60)*1.2,AND(E271&gt;=16,E271&lt;=19),((E271/D271)*60)*1.5,E271&gt;=20,((E271/D271)*60)*1.8)</f>
        <v>12</v>
      </c>
      <c r="AT271" cm="1">
        <f t="array" ref="AT271">_xlfn.IFS(F271&lt;550,((F271/D271)*60)*0.5,AND(F271&gt;=550,F271&lt;575),((F271/D271)*60)*0.75,AND(F271&gt;=575,F271&lt;600),((F271/D271)*60)*0.9,AND(F271=600),((F271/D271)*60)*1,AND(F271&gt;=601,F271&lt;=625),((F271/D271)*60)*1.2,AND(F271&gt;=626,F271&lt;=650),((F271/D271)*60)*1.5,F271&gt;=651,((F271/D271)*60)*1.8)</f>
        <v>943.5</v>
      </c>
      <c r="AU271">
        <f t="shared" si="72"/>
        <v>-4.3000000000000043</v>
      </c>
      <c r="AV271">
        <f t="shared" si="87"/>
        <v>381.34000000000003</v>
      </c>
      <c r="AW271">
        <f t="shared" si="73"/>
        <v>45.800000000000004</v>
      </c>
      <c r="AX271" t="str">
        <f t="shared" si="85"/>
        <v>Mar-2022</v>
      </c>
      <c r="AY271">
        <f>ROUNDUP(Table2[[#This Row],[Month]]/3,0)</f>
        <v>1</v>
      </c>
    </row>
    <row r="272" spans="1:51" x14ac:dyDescent="0.2">
      <c r="A272">
        <v>271</v>
      </c>
      <c r="B272">
        <f t="shared" si="74"/>
        <v>14</v>
      </c>
      <c r="C272" s="22">
        <v>44631</v>
      </c>
      <c r="D272">
        <f>SUM(Table2[[#This Row],[Gray Min]:[Red Min]])</f>
        <v>59</v>
      </c>
      <c r="E272">
        <v>17</v>
      </c>
      <c r="F272">
        <v>696</v>
      </c>
      <c r="G272">
        <v>131</v>
      </c>
      <c r="H272">
        <v>164</v>
      </c>
      <c r="I272">
        <v>8</v>
      </c>
      <c r="J272">
        <v>17</v>
      </c>
      <c r="K272">
        <v>17</v>
      </c>
      <c r="L272">
        <v>16</v>
      </c>
      <c r="M272">
        <v>1</v>
      </c>
      <c r="N272" t="s">
        <v>101</v>
      </c>
      <c r="O272" t="s">
        <v>107</v>
      </c>
      <c r="P272" t="s">
        <v>102</v>
      </c>
      <c r="Q272">
        <f t="shared" si="86"/>
        <v>2</v>
      </c>
      <c r="R272" t="str">
        <f t="shared" si="75"/>
        <v>3-2022</v>
      </c>
      <c r="S272" t="s">
        <v>104</v>
      </c>
      <c r="T272" t="str">
        <f t="shared" si="76"/>
        <v>Friday</v>
      </c>
      <c r="U272">
        <f t="shared" si="77"/>
        <v>1</v>
      </c>
      <c r="V272" s="24">
        <f>IFERROR(Table2[[#This Row],[Gray Min]]/Table2[[#This Row],[ClassLength]],"")</f>
        <v>0.13559322033898305</v>
      </c>
      <c r="W272" s="24">
        <f>IFERROR(Table2[[#This Row],[Blue Min]]/Table2[[#This Row],[ClassLength]],"")</f>
        <v>0.28813559322033899</v>
      </c>
      <c r="X272" s="24">
        <f>IFERROR(Table2[[#This Row],[Green Min]]/Table2[[#This Row],[ClassLength]],"")</f>
        <v>0.28813559322033899</v>
      </c>
      <c r="Y272" s="24">
        <f>IFERROR(Table2[[#This Row],[Orange Min]]/Table2[[#This Row],[ClassLength]],"")</f>
        <v>0.2711864406779661</v>
      </c>
      <c r="Z272" s="24">
        <f>IFERROR(Table2[[#This Row],[Red Min]]/Table2[[#This Row],[ClassLength]],"")</f>
        <v>1.6949152542372881E-2</v>
      </c>
      <c r="AA272" s="25">
        <v>232.14</v>
      </c>
      <c r="AB272" s="25">
        <f t="shared" ref="AB272:AB335" si="88">AA272/B272</f>
        <v>16.581428571428571</v>
      </c>
      <c r="AC272" s="26">
        <f t="shared" si="78"/>
        <v>641</v>
      </c>
      <c r="AD272" s="26">
        <f t="shared" si="79"/>
        <v>14.714285714285714</v>
      </c>
      <c r="AE272">
        <f t="shared" si="80"/>
        <v>2022</v>
      </c>
      <c r="AG272">
        <v>12</v>
      </c>
      <c r="AH272" s="26">
        <f t="shared" si="81"/>
        <v>11.796610169491526</v>
      </c>
      <c r="AI272" t="str">
        <f t="shared" si="82"/>
        <v>AM</v>
      </c>
      <c r="AJ272" t="str">
        <f t="shared" si="83"/>
        <v>3-2022-2</v>
      </c>
      <c r="AK272">
        <f t="shared" si="84"/>
        <v>3</v>
      </c>
      <c r="AL272" s="26">
        <f>IFERROR(Table2[[#This Row],[Calories]]/Table2[[#This Row],[Splat]],"")</f>
        <v>40.941176470588232</v>
      </c>
      <c r="AM272">
        <f>COUNTIF(N$2:$N$938,N272)</f>
        <v>191</v>
      </c>
      <c r="AN272" t="str">
        <f>VLOOKUP(N272,'Helpful Tables'!A:D,4,FALSE)</f>
        <v>Washington, DC</v>
      </c>
      <c r="AO272" s="24">
        <f>COUNTIF(AN:AN,Table2[[#This Row],[State]])/COUNTA(AN:AN)</f>
        <v>0.54904051172707891</v>
      </c>
      <c r="AP272">
        <f>VLOOKUP(N272,'Helpful Tables'!A:B,2,FALSE)</f>
        <v>38.949649000000001</v>
      </c>
      <c r="AQ272">
        <f>VLOOKUP(N272,'Helpful Tables'!A:C,3,FALSE)</f>
        <v>-77.080878999999996</v>
      </c>
      <c r="AR272">
        <f>COUNTIF(P$2:$P$938,P272)</f>
        <v>20</v>
      </c>
      <c r="AS272" cm="1">
        <f t="array" ref="AS272">_xlfn.IFS(E272&lt;6,((E272/D272)*60)*0.5,AND(E272&gt;=6,E272&lt;9),((E272/D272)*60)*0.75,AND(E272&gt;=9,E272&lt;=11),((E272/D272)*60)*0.9,AND(E272=12),((E272/D272)*60)*1,AND(E272&gt;=13,E272&lt;=15),((E272/D272)*60)*1.2,AND(E272&gt;=16,E272&lt;=19),((E272/D272)*60)*1.5,E272&gt;=20,((E272/D272)*60)*1.8)</f>
        <v>25.932203389830509</v>
      </c>
      <c r="AT272" cm="1">
        <f t="array" ref="AT272">_xlfn.IFS(F272&lt;550,((F272/D272)*60)*0.5,AND(F272&gt;=550,F272&lt;575),((F272/D272)*60)*0.75,AND(F272&gt;=575,F272&lt;600),((F272/D272)*60)*0.9,AND(F272=600),((F272/D272)*60)*1,AND(F272&gt;=601,F272&lt;=625),((F272/D272)*60)*1.2,AND(F272&gt;=626,F272&lt;=650),((F272/D272)*60)*1.5,F272&gt;=651,((F272/D272)*60)*1.8)</f>
        <v>1274.0338983050849</v>
      </c>
      <c r="AU272">
        <f t="shared" si="72"/>
        <v>14.399999999999995</v>
      </c>
      <c r="AV272">
        <f t="shared" si="87"/>
        <v>522.86644067796624</v>
      </c>
      <c r="AW272">
        <f t="shared" si="73"/>
        <v>91.2</v>
      </c>
      <c r="AX272" t="str">
        <f t="shared" si="85"/>
        <v>Mar-2022</v>
      </c>
      <c r="AY272">
        <f>ROUNDUP(Table2[[#This Row],[Month]]/3,0)</f>
        <v>1</v>
      </c>
    </row>
    <row r="273" spans="1:51" x14ac:dyDescent="0.2">
      <c r="A273">
        <v>272</v>
      </c>
      <c r="B273">
        <f t="shared" si="74"/>
        <v>14</v>
      </c>
      <c r="C273" s="22">
        <v>44632</v>
      </c>
      <c r="D273">
        <f>SUM(Table2[[#This Row],[Gray Min]:[Red Min]])</f>
        <v>59</v>
      </c>
      <c r="E273">
        <v>21</v>
      </c>
      <c r="F273">
        <v>732</v>
      </c>
      <c r="G273">
        <v>135</v>
      </c>
      <c r="H273">
        <v>170</v>
      </c>
      <c r="I273">
        <v>3</v>
      </c>
      <c r="J273">
        <v>15</v>
      </c>
      <c r="K273">
        <v>20</v>
      </c>
      <c r="L273">
        <v>19</v>
      </c>
      <c r="M273">
        <v>2</v>
      </c>
      <c r="N273" t="s">
        <v>91</v>
      </c>
      <c r="O273" t="s">
        <v>45</v>
      </c>
      <c r="P273" t="s">
        <v>100</v>
      </c>
      <c r="Q273">
        <f t="shared" si="86"/>
        <v>1</v>
      </c>
      <c r="R273" t="str">
        <f t="shared" si="75"/>
        <v>3-2022</v>
      </c>
      <c r="S273" t="s">
        <v>104</v>
      </c>
      <c r="T273" t="str">
        <f t="shared" si="76"/>
        <v>Saturday</v>
      </c>
      <c r="U273">
        <f t="shared" si="77"/>
        <v>1</v>
      </c>
      <c r="V273" s="24">
        <f>IFERROR(Table2[[#This Row],[Gray Min]]/Table2[[#This Row],[ClassLength]],"")</f>
        <v>5.0847457627118647E-2</v>
      </c>
      <c r="W273" s="24">
        <f>IFERROR(Table2[[#This Row],[Blue Min]]/Table2[[#This Row],[ClassLength]],"")</f>
        <v>0.25423728813559321</v>
      </c>
      <c r="X273" s="24">
        <f>IFERROR(Table2[[#This Row],[Green Min]]/Table2[[#This Row],[ClassLength]],"")</f>
        <v>0.33898305084745761</v>
      </c>
      <c r="Y273" s="24">
        <f>IFERROR(Table2[[#This Row],[Orange Min]]/Table2[[#This Row],[ClassLength]],"")</f>
        <v>0.32203389830508472</v>
      </c>
      <c r="Z273" s="24">
        <f>IFERROR(Table2[[#This Row],[Red Min]]/Table2[[#This Row],[ClassLength]],"")</f>
        <v>3.3898305084745763E-2</v>
      </c>
      <c r="AA273" s="25">
        <v>232.14</v>
      </c>
      <c r="AB273" s="25">
        <f t="shared" si="88"/>
        <v>16.581428571428571</v>
      </c>
      <c r="AC273" s="26">
        <f t="shared" si="78"/>
        <v>641</v>
      </c>
      <c r="AD273" s="26">
        <f t="shared" si="79"/>
        <v>14.714285714285714</v>
      </c>
      <c r="AE273">
        <f t="shared" si="80"/>
        <v>2022</v>
      </c>
      <c r="AG273">
        <v>12</v>
      </c>
      <c r="AH273" s="26">
        <f t="shared" si="81"/>
        <v>12.40677966101695</v>
      </c>
      <c r="AI273" t="str">
        <f t="shared" si="82"/>
        <v>AM</v>
      </c>
      <c r="AJ273" t="str">
        <f t="shared" si="83"/>
        <v>3-2022-2</v>
      </c>
      <c r="AK273">
        <f t="shared" si="84"/>
        <v>3</v>
      </c>
      <c r="AL273" s="26">
        <f>IFERROR(Table2[[#This Row],[Calories]]/Table2[[#This Row],[Splat]],"")</f>
        <v>34.857142857142854</v>
      </c>
      <c r="AM273">
        <f>COUNTIF(N$2:$N$938,N273)</f>
        <v>218</v>
      </c>
      <c r="AN273" t="str">
        <f>VLOOKUP(N273,'Helpful Tables'!A:D,4,FALSE)</f>
        <v>Washington, DC</v>
      </c>
      <c r="AO273" s="24">
        <f>COUNTIF(AN:AN,Table2[[#This Row],[State]])/COUNTA(AN:AN)</f>
        <v>0.54904051172707891</v>
      </c>
      <c r="AP273">
        <f>VLOOKUP(N273,'Helpful Tables'!A:B,2,FALSE)</f>
        <v>38.934710000000003</v>
      </c>
      <c r="AQ273">
        <f>VLOOKUP(N273,'Helpful Tables'!A:C,3,FALSE)</f>
        <v>-77.058222999999998</v>
      </c>
      <c r="AR273">
        <f>COUNTIF(P$2:$P$938,P273)</f>
        <v>35</v>
      </c>
      <c r="AS273" cm="1">
        <f t="array" ref="AS273">_xlfn.IFS(E273&lt;6,((E273/D273)*60)*0.5,AND(E273&gt;=6,E273&lt;9),((E273/D273)*60)*0.75,AND(E273&gt;=9,E273&lt;=11),((E273/D273)*60)*0.9,AND(E273=12),((E273/D273)*60)*1,AND(E273&gt;=13,E273&lt;=15),((E273/D273)*60)*1.2,AND(E273&gt;=16,E273&lt;=19),((E273/D273)*60)*1.5,E273&gt;=20,((E273/D273)*60)*1.8)</f>
        <v>38.440677966101696</v>
      </c>
      <c r="AT273" cm="1">
        <f t="array" ref="AT273">_xlfn.IFS(F273&lt;550,((F273/D273)*60)*0.5,AND(F273&gt;=550,F273&lt;575),((F273/D273)*60)*0.75,AND(F273&gt;=575,F273&lt;600),((F273/D273)*60)*0.9,AND(F273=600),((F273/D273)*60)*1,AND(F273&gt;=601,F273&lt;=625),((F273/D273)*60)*1.2,AND(F273&gt;=626,F273&lt;=650),((F273/D273)*60)*1.5,F273&gt;=651,((F273/D273)*60)*1.8)</f>
        <v>1339.9322033898306</v>
      </c>
      <c r="AU273">
        <f t="shared" si="72"/>
        <v>31.599999999999998</v>
      </c>
      <c r="AV273">
        <f t="shared" si="87"/>
        <v>557.66915254237301</v>
      </c>
      <c r="AW273">
        <f t="shared" si="73"/>
        <v>98.6</v>
      </c>
      <c r="AX273" t="str">
        <f t="shared" si="85"/>
        <v>Mar-2022</v>
      </c>
      <c r="AY273">
        <f>ROUNDUP(Table2[[#This Row],[Month]]/3,0)</f>
        <v>1</v>
      </c>
    </row>
    <row r="274" spans="1:51" x14ac:dyDescent="0.2">
      <c r="A274">
        <v>273</v>
      </c>
      <c r="B274">
        <f t="shared" si="74"/>
        <v>14</v>
      </c>
      <c r="C274" s="22">
        <v>44634</v>
      </c>
      <c r="D274">
        <f>SUM(Table2[[#This Row],[Gray Min]:[Red Min]])</f>
        <v>55</v>
      </c>
      <c r="E274">
        <v>10</v>
      </c>
      <c r="F274">
        <v>606</v>
      </c>
      <c r="G274">
        <v>125</v>
      </c>
      <c r="H274">
        <v>167</v>
      </c>
      <c r="I274">
        <v>11</v>
      </c>
      <c r="J274">
        <v>15</v>
      </c>
      <c r="K274">
        <v>19</v>
      </c>
      <c r="L274">
        <v>9</v>
      </c>
      <c r="M274">
        <v>1</v>
      </c>
      <c r="N274" t="s">
        <v>101</v>
      </c>
      <c r="O274" t="s">
        <v>39</v>
      </c>
      <c r="P274" t="s">
        <v>133</v>
      </c>
      <c r="Q274">
        <f t="shared" si="86"/>
        <v>2</v>
      </c>
      <c r="R274" t="str">
        <f t="shared" si="75"/>
        <v>3-2022</v>
      </c>
      <c r="S274" t="s">
        <v>104</v>
      </c>
      <c r="T274" t="str">
        <f t="shared" si="76"/>
        <v>Monday</v>
      </c>
      <c r="U274">
        <f t="shared" si="77"/>
        <v>0</v>
      </c>
      <c r="V274" s="24">
        <f>IFERROR(Table2[[#This Row],[Gray Min]]/Table2[[#This Row],[ClassLength]],"")</f>
        <v>0.2</v>
      </c>
      <c r="W274" s="24">
        <f>IFERROR(Table2[[#This Row],[Blue Min]]/Table2[[#This Row],[ClassLength]],"")</f>
        <v>0.27272727272727271</v>
      </c>
      <c r="X274" s="24">
        <f>IFERROR(Table2[[#This Row],[Green Min]]/Table2[[#This Row],[ClassLength]],"")</f>
        <v>0.34545454545454546</v>
      </c>
      <c r="Y274" s="24">
        <f>IFERROR(Table2[[#This Row],[Orange Min]]/Table2[[#This Row],[ClassLength]],"")</f>
        <v>0.16363636363636364</v>
      </c>
      <c r="Z274" s="24">
        <f>IFERROR(Table2[[#This Row],[Red Min]]/Table2[[#This Row],[ClassLength]],"")</f>
        <v>1.8181818181818181E-2</v>
      </c>
      <c r="AA274" s="25">
        <v>232.14</v>
      </c>
      <c r="AB274" s="25">
        <f t="shared" si="88"/>
        <v>16.581428571428571</v>
      </c>
      <c r="AC274" s="26">
        <f t="shared" si="78"/>
        <v>641</v>
      </c>
      <c r="AD274" s="26">
        <f t="shared" si="79"/>
        <v>14.714285714285714</v>
      </c>
      <c r="AE274">
        <f t="shared" si="80"/>
        <v>2022</v>
      </c>
      <c r="AG274">
        <v>12</v>
      </c>
      <c r="AH274" s="26">
        <f t="shared" si="81"/>
        <v>11.018181818181818</v>
      </c>
      <c r="AI274" t="str">
        <f t="shared" si="82"/>
        <v>PM</v>
      </c>
      <c r="AJ274" t="str">
        <f t="shared" si="83"/>
        <v>3-2022-3</v>
      </c>
      <c r="AK274">
        <f t="shared" si="84"/>
        <v>3</v>
      </c>
      <c r="AL274" s="26">
        <f>IFERROR(Table2[[#This Row],[Calories]]/Table2[[#This Row],[Splat]],"")</f>
        <v>60.6</v>
      </c>
      <c r="AM274">
        <f>COUNTIF(N$2:$N$938,N274)</f>
        <v>191</v>
      </c>
      <c r="AN274" t="str">
        <f>VLOOKUP(N274,'Helpful Tables'!A:D,4,FALSE)</f>
        <v>Washington, DC</v>
      </c>
      <c r="AO274" s="24">
        <f>COUNTIF(AN:AN,Table2[[#This Row],[State]])/COUNTA(AN:AN)</f>
        <v>0.54904051172707891</v>
      </c>
      <c r="AP274">
        <f>VLOOKUP(N274,'Helpful Tables'!A:B,2,FALSE)</f>
        <v>38.949649000000001</v>
      </c>
      <c r="AQ274">
        <f>VLOOKUP(N274,'Helpful Tables'!A:C,3,FALSE)</f>
        <v>-77.080878999999996</v>
      </c>
      <c r="AR274">
        <f>COUNTIF(P$2:$P$938,P274)</f>
        <v>25</v>
      </c>
      <c r="AS274" cm="1">
        <f t="array" ref="AS274">_xlfn.IFS(E274&lt;6,((E274/D274)*60)*0.5,AND(E274&gt;=6,E274&lt;9),((E274/D274)*60)*0.75,AND(E274&gt;=9,E274&lt;=11),((E274/D274)*60)*0.9,AND(E274=12),((E274/D274)*60)*1,AND(E274&gt;=13,E274&lt;=15),((E274/D274)*60)*1.2,AND(E274&gt;=16,E274&lt;=19),((E274/D274)*60)*1.5,E274&gt;=20,((E274/D274)*60)*1.8)</f>
        <v>9.8181818181818201</v>
      </c>
      <c r="AT274" cm="1">
        <f t="array" ref="AT274">_xlfn.IFS(F274&lt;550,((F274/D274)*60)*0.5,AND(F274&gt;=550,F274&lt;575),((F274/D274)*60)*0.75,AND(F274&gt;=575,F274&lt;600),((F274/D274)*60)*0.9,AND(F274=600),((F274/D274)*60)*1,AND(F274&gt;=601,F274&lt;=625),((F274/D274)*60)*1.2,AND(F274&gt;=626,F274&lt;=650),((F274/D274)*60)*1.5,F274&gt;=651,((F274/D274)*60)*1.8)</f>
        <v>793.30909090909074</v>
      </c>
      <c r="AU274">
        <f t="shared" si="72"/>
        <v>6.3000000000000025</v>
      </c>
      <c r="AV274">
        <f t="shared" si="87"/>
        <v>322.51090909090902</v>
      </c>
      <c r="AW274">
        <f t="shared" si="73"/>
        <v>38.1</v>
      </c>
      <c r="AX274" t="str">
        <f t="shared" si="85"/>
        <v>Mar-2022</v>
      </c>
      <c r="AY274">
        <f>ROUNDUP(Table2[[#This Row],[Month]]/3,0)</f>
        <v>1</v>
      </c>
    </row>
    <row r="275" spans="1:51" x14ac:dyDescent="0.2">
      <c r="A275">
        <v>274</v>
      </c>
      <c r="B275">
        <f t="shared" si="74"/>
        <v>14</v>
      </c>
      <c r="C275" s="22">
        <v>44636</v>
      </c>
      <c r="D275">
        <f>SUM(Table2[[#This Row],[Gray Min]:[Red Min]])</f>
        <v>57</v>
      </c>
      <c r="E275">
        <v>13</v>
      </c>
      <c r="F275">
        <v>656</v>
      </c>
      <c r="G275">
        <v>128</v>
      </c>
      <c r="H275">
        <v>161</v>
      </c>
      <c r="I275">
        <v>7</v>
      </c>
      <c r="J275">
        <v>19</v>
      </c>
      <c r="K275">
        <v>18</v>
      </c>
      <c r="L275">
        <v>13</v>
      </c>
      <c r="M275">
        <v>0</v>
      </c>
      <c r="N275" t="s">
        <v>91</v>
      </c>
      <c r="O275" t="s">
        <v>39</v>
      </c>
      <c r="P275" t="s">
        <v>96</v>
      </c>
      <c r="Q275">
        <f t="shared" si="86"/>
        <v>2</v>
      </c>
      <c r="R275" t="str">
        <f t="shared" si="75"/>
        <v>3-2022</v>
      </c>
      <c r="S275" t="s">
        <v>117</v>
      </c>
      <c r="T275" t="str">
        <f t="shared" si="76"/>
        <v>Wednesday</v>
      </c>
      <c r="U275">
        <f t="shared" si="77"/>
        <v>1</v>
      </c>
      <c r="V275" s="24">
        <f>IFERROR(Table2[[#This Row],[Gray Min]]/Table2[[#This Row],[ClassLength]],"")</f>
        <v>0.12280701754385964</v>
      </c>
      <c r="W275" s="24">
        <f>IFERROR(Table2[[#This Row],[Blue Min]]/Table2[[#This Row],[ClassLength]],"")</f>
        <v>0.33333333333333331</v>
      </c>
      <c r="X275" s="24">
        <f>IFERROR(Table2[[#This Row],[Green Min]]/Table2[[#This Row],[ClassLength]],"")</f>
        <v>0.31578947368421051</v>
      </c>
      <c r="Y275" s="24">
        <f>IFERROR(Table2[[#This Row],[Orange Min]]/Table2[[#This Row],[ClassLength]],"")</f>
        <v>0.22807017543859648</v>
      </c>
      <c r="Z275" s="24">
        <f>IFERROR(Table2[[#This Row],[Red Min]]/Table2[[#This Row],[ClassLength]],"")</f>
        <v>0</v>
      </c>
      <c r="AA275" s="25">
        <v>232.14</v>
      </c>
      <c r="AB275" s="25">
        <f t="shared" si="88"/>
        <v>16.581428571428571</v>
      </c>
      <c r="AC275" s="26">
        <f t="shared" si="78"/>
        <v>641</v>
      </c>
      <c r="AD275" s="26">
        <f t="shared" si="79"/>
        <v>14.714285714285714</v>
      </c>
      <c r="AE275">
        <f t="shared" si="80"/>
        <v>2022</v>
      </c>
      <c r="AG275">
        <v>12</v>
      </c>
      <c r="AH275" s="26">
        <f t="shared" si="81"/>
        <v>11.508771929824562</v>
      </c>
      <c r="AI275" t="str">
        <f t="shared" si="82"/>
        <v>PM</v>
      </c>
      <c r="AJ275" t="str">
        <f t="shared" si="83"/>
        <v>3-2022-3</v>
      </c>
      <c r="AK275">
        <f t="shared" si="84"/>
        <v>3</v>
      </c>
      <c r="AL275" s="26">
        <f>IFERROR(Table2[[#This Row],[Calories]]/Table2[[#This Row],[Splat]],"")</f>
        <v>50.46153846153846</v>
      </c>
      <c r="AM275">
        <f>COUNTIF(N$2:$N$938,N275)</f>
        <v>218</v>
      </c>
      <c r="AN275" t="str">
        <f>VLOOKUP(N275,'Helpful Tables'!A:D,4,FALSE)</f>
        <v>Washington, DC</v>
      </c>
      <c r="AO275" s="24">
        <f>COUNTIF(AN:AN,Table2[[#This Row],[State]])/COUNTA(AN:AN)</f>
        <v>0.54904051172707891</v>
      </c>
      <c r="AP275">
        <f>VLOOKUP(N275,'Helpful Tables'!A:B,2,FALSE)</f>
        <v>38.934710000000003</v>
      </c>
      <c r="AQ275">
        <f>VLOOKUP(N275,'Helpful Tables'!A:C,3,FALSE)</f>
        <v>-77.058222999999998</v>
      </c>
      <c r="AR275">
        <f>COUNTIF(P$2:$P$938,P275)</f>
        <v>71</v>
      </c>
      <c r="AS275" cm="1">
        <f t="array" ref="AS275">_xlfn.IFS(E275&lt;6,((E275/D275)*60)*0.5,AND(E275&gt;=6,E275&lt;9),((E275/D275)*60)*0.75,AND(E275&gt;=9,E275&lt;=11),((E275/D275)*60)*0.9,AND(E275=12),((E275/D275)*60)*1,AND(E275&gt;=13,E275&lt;=15),((E275/D275)*60)*1.2,AND(E275&gt;=16,E275&lt;=19),((E275/D275)*60)*1.5,E275&gt;=20,((E275/D275)*60)*1.8)</f>
        <v>16.421052631578945</v>
      </c>
      <c r="AT275" cm="1">
        <f t="array" ref="AT275">_xlfn.IFS(F275&lt;550,((F275/D275)*60)*0.5,AND(F275&gt;=550,F275&lt;575),((F275/D275)*60)*0.75,AND(F275&gt;=575,F275&lt;600),((F275/D275)*60)*0.9,AND(F275=600),((F275/D275)*60)*1,AND(F275&gt;=601,F275&lt;=625),((F275/D275)*60)*1.2,AND(F275&gt;=626,F275&lt;=650),((F275/D275)*60)*1.5,F275&gt;=651,((F275/D275)*60)*1.8)</f>
        <v>1242.9473684210527</v>
      </c>
      <c r="AU275">
        <f t="shared" si="72"/>
        <v>9.1999999999999957</v>
      </c>
      <c r="AV275">
        <f t="shared" si="87"/>
        <v>505.58736842105264</v>
      </c>
      <c r="AW275">
        <f t="shared" si="73"/>
        <v>82.899999999999991</v>
      </c>
      <c r="AX275" t="str">
        <f t="shared" si="85"/>
        <v>Mar-2022</v>
      </c>
      <c r="AY275">
        <f>ROUNDUP(Table2[[#This Row],[Month]]/3,0)</f>
        <v>1</v>
      </c>
    </row>
    <row r="276" spans="1:51" x14ac:dyDescent="0.2">
      <c r="A276">
        <v>275</v>
      </c>
      <c r="B276">
        <f t="shared" si="74"/>
        <v>14</v>
      </c>
      <c r="C276" s="22">
        <v>44642</v>
      </c>
      <c r="D276">
        <f>SUM(Table2[[#This Row],[Gray Min]:[Red Min]])</f>
        <v>59</v>
      </c>
      <c r="E276">
        <v>13</v>
      </c>
      <c r="F276">
        <v>668</v>
      </c>
      <c r="G276">
        <v>128</v>
      </c>
      <c r="H276">
        <v>170</v>
      </c>
      <c r="I276">
        <v>11</v>
      </c>
      <c r="J276">
        <v>15</v>
      </c>
      <c r="K276">
        <v>20</v>
      </c>
      <c r="L276">
        <v>8</v>
      </c>
      <c r="M276">
        <v>5</v>
      </c>
      <c r="N276" t="s">
        <v>101</v>
      </c>
      <c r="O276" t="s">
        <v>39</v>
      </c>
      <c r="P276" t="s">
        <v>133</v>
      </c>
      <c r="Q276">
        <f t="shared" si="86"/>
        <v>6</v>
      </c>
      <c r="R276" t="str">
        <f t="shared" si="75"/>
        <v>3-2022</v>
      </c>
      <c r="S276" t="s">
        <v>104</v>
      </c>
      <c r="T276" t="str">
        <f t="shared" si="76"/>
        <v>Tuesday</v>
      </c>
      <c r="U276">
        <f t="shared" si="77"/>
        <v>1</v>
      </c>
      <c r="V276" s="24">
        <f>IFERROR(Table2[[#This Row],[Gray Min]]/Table2[[#This Row],[ClassLength]],"")</f>
        <v>0.1864406779661017</v>
      </c>
      <c r="W276" s="24">
        <f>IFERROR(Table2[[#This Row],[Blue Min]]/Table2[[#This Row],[ClassLength]],"")</f>
        <v>0.25423728813559321</v>
      </c>
      <c r="X276" s="24">
        <f>IFERROR(Table2[[#This Row],[Green Min]]/Table2[[#This Row],[ClassLength]],"")</f>
        <v>0.33898305084745761</v>
      </c>
      <c r="Y276" s="24">
        <f>IFERROR(Table2[[#This Row],[Orange Min]]/Table2[[#This Row],[ClassLength]],"")</f>
        <v>0.13559322033898305</v>
      </c>
      <c r="Z276" s="24">
        <f>IFERROR(Table2[[#This Row],[Red Min]]/Table2[[#This Row],[ClassLength]],"")</f>
        <v>8.4745762711864403E-2</v>
      </c>
      <c r="AA276" s="25">
        <v>232.14</v>
      </c>
      <c r="AB276" s="25">
        <f t="shared" si="88"/>
        <v>16.581428571428571</v>
      </c>
      <c r="AC276" s="26">
        <f t="shared" si="78"/>
        <v>641</v>
      </c>
      <c r="AD276" s="26">
        <f t="shared" si="79"/>
        <v>14.714285714285714</v>
      </c>
      <c r="AE276">
        <f t="shared" si="80"/>
        <v>2022</v>
      </c>
      <c r="AG276">
        <v>12</v>
      </c>
      <c r="AH276" s="26">
        <f t="shared" si="81"/>
        <v>11.322033898305085</v>
      </c>
      <c r="AI276" t="str">
        <f t="shared" si="82"/>
        <v>PM</v>
      </c>
      <c r="AJ276" t="str">
        <f t="shared" si="83"/>
        <v>3-2022-4</v>
      </c>
      <c r="AK276">
        <f t="shared" si="84"/>
        <v>3</v>
      </c>
      <c r="AL276" s="26">
        <f>IFERROR(Table2[[#This Row],[Calories]]/Table2[[#This Row],[Splat]],"")</f>
        <v>51.384615384615387</v>
      </c>
      <c r="AM276">
        <f>COUNTIF(N$2:$N$938,N276)</f>
        <v>191</v>
      </c>
      <c r="AN276" t="str">
        <f>VLOOKUP(N276,'Helpful Tables'!A:D,4,FALSE)</f>
        <v>Washington, DC</v>
      </c>
      <c r="AO276" s="24">
        <f>COUNTIF(AN:AN,Table2[[#This Row],[State]])/COUNTA(AN:AN)</f>
        <v>0.54904051172707891</v>
      </c>
      <c r="AP276">
        <f>VLOOKUP(N276,'Helpful Tables'!A:B,2,FALSE)</f>
        <v>38.949649000000001</v>
      </c>
      <c r="AQ276">
        <f>VLOOKUP(N276,'Helpful Tables'!A:C,3,FALSE)</f>
        <v>-77.080878999999996</v>
      </c>
      <c r="AR276">
        <f>COUNTIF(P$2:$P$938,P276)</f>
        <v>25</v>
      </c>
      <c r="AS276" cm="1">
        <f t="array" ref="AS276">_xlfn.IFS(E276&lt;6,((E276/D276)*60)*0.5,AND(E276&gt;=6,E276&lt;9),((E276/D276)*60)*0.75,AND(E276&gt;=9,E276&lt;=11),((E276/D276)*60)*0.9,AND(E276=12),((E276/D276)*60)*1,AND(E276&gt;=13,E276&lt;=15),((E276/D276)*60)*1.2,AND(E276&gt;=16,E276&lt;=19),((E276/D276)*60)*1.5,E276&gt;=20,((E276/D276)*60)*1.8)</f>
        <v>15.864406779661017</v>
      </c>
      <c r="AT276" cm="1">
        <f t="array" ref="AT276">_xlfn.IFS(F276&lt;550,((F276/D276)*60)*0.5,AND(F276&gt;=550,F276&lt;575),((F276/D276)*60)*0.75,AND(F276&gt;=575,F276&lt;600),((F276/D276)*60)*0.9,AND(F276=600),((F276/D276)*60)*1,AND(F276&gt;=601,F276&lt;=625),((F276/D276)*60)*1.2,AND(F276&gt;=626,F276&lt;=650),((F276/D276)*60)*1.5,F276&gt;=651,((F276/D276)*60)*1.8)</f>
        <v>1222.7796610169491</v>
      </c>
      <c r="AU276">
        <f t="shared" si="72"/>
        <v>12.200000000000001</v>
      </c>
      <c r="AV276">
        <f t="shared" si="87"/>
        <v>497.89762711864404</v>
      </c>
      <c r="AW276">
        <f t="shared" si="73"/>
        <v>78</v>
      </c>
      <c r="AX276" t="str">
        <f t="shared" si="85"/>
        <v>Mar-2022</v>
      </c>
      <c r="AY276">
        <f>ROUNDUP(Table2[[#This Row],[Month]]/3,0)</f>
        <v>1</v>
      </c>
    </row>
    <row r="277" spans="1:51" x14ac:dyDescent="0.2">
      <c r="A277">
        <v>276</v>
      </c>
      <c r="B277">
        <f t="shared" si="74"/>
        <v>14</v>
      </c>
      <c r="C277" s="22">
        <v>44643</v>
      </c>
      <c r="D277">
        <f>SUM(Table2[[#This Row],[Gray Min]:[Red Min]])</f>
        <v>57</v>
      </c>
      <c r="E277">
        <v>16</v>
      </c>
      <c r="F277">
        <v>642</v>
      </c>
      <c r="G277">
        <v>126</v>
      </c>
      <c r="H277">
        <v>169</v>
      </c>
      <c r="I277">
        <v>15</v>
      </c>
      <c r="J277">
        <v>12</v>
      </c>
      <c r="K277">
        <v>14</v>
      </c>
      <c r="L277">
        <v>14</v>
      </c>
      <c r="M277">
        <v>2</v>
      </c>
      <c r="N277" t="s">
        <v>91</v>
      </c>
      <c r="O277" t="s">
        <v>39</v>
      </c>
      <c r="P277" t="s">
        <v>96</v>
      </c>
      <c r="Q277">
        <f t="shared" si="86"/>
        <v>1</v>
      </c>
      <c r="R277" t="str">
        <f t="shared" si="75"/>
        <v>3-2022</v>
      </c>
      <c r="S277" t="s">
        <v>117</v>
      </c>
      <c r="T277" t="str">
        <f t="shared" si="76"/>
        <v>Wednesday</v>
      </c>
      <c r="U277">
        <f t="shared" si="77"/>
        <v>1</v>
      </c>
      <c r="V277" s="24">
        <f>IFERROR(Table2[[#This Row],[Gray Min]]/Table2[[#This Row],[ClassLength]],"")</f>
        <v>0.26315789473684209</v>
      </c>
      <c r="W277" s="24">
        <f>IFERROR(Table2[[#This Row],[Blue Min]]/Table2[[#This Row],[ClassLength]],"")</f>
        <v>0.21052631578947367</v>
      </c>
      <c r="X277" s="24">
        <f>IFERROR(Table2[[#This Row],[Green Min]]/Table2[[#This Row],[ClassLength]],"")</f>
        <v>0.24561403508771928</v>
      </c>
      <c r="Y277" s="24">
        <f>IFERROR(Table2[[#This Row],[Orange Min]]/Table2[[#This Row],[ClassLength]],"")</f>
        <v>0.24561403508771928</v>
      </c>
      <c r="Z277" s="24">
        <f>IFERROR(Table2[[#This Row],[Red Min]]/Table2[[#This Row],[ClassLength]],"")</f>
        <v>3.5087719298245612E-2</v>
      </c>
      <c r="AA277" s="25">
        <v>232.14</v>
      </c>
      <c r="AB277" s="25">
        <f t="shared" si="88"/>
        <v>16.581428571428571</v>
      </c>
      <c r="AC277" s="26">
        <f t="shared" si="78"/>
        <v>641</v>
      </c>
      <c r="AD277" s="26">
        <f t="shared" si="79"/>
        <v>14.714285714285714</v>
      </c>
      <c r="AE277">
        <f t="shared" si="80"/>
        <v>2022</v>
      </c>
      <c r="AG277">
        <v>12</v>
      </c>
      <c r="AH277" s="26">
        <f t="shared" si="81"/>
        <v>11.263157894736842</v>
      </c>
      <c r="AI277" t="str">
        <f t="shared" si="82"/>
        <v>PM</v>
      </c>
      <c r="AJ277" t="str">
        <f t="shared" si="83"/>
        <v>3-2022-4</v>
      </c>
      <c r="AK277">
        <f t="shared" si="84"/>
        <v>3</v>
      </c>
      <c r="AL277" s="26">
        <f>IFERROR(Table2[[#This Row],[Calories]]/Table2[[#This Row],[Splat]],"")</f>
        <v>40.125</v>
      </c>
      <c r="AM277">
        <f>COUNTIF(N$2:$N$938,N277)</f>
        <v>218</v>
      </c>
      <c r="AN277" t="str">
        <f>VLOOKUP(N277,'Helpful Tables'!A:D,4,FALSE)</f>
        <v>Washington, DC</v>
      </c>
      <c r="AO277" s="24">
        <f>COUNTIF(AN:AN,Table2[[#This Row],[State]])/COUNTA(AN:AN)</f>
        <v>0.54904051172707891</v>
      </c>
      <c r="AP277">
        <f>VLOOKUP(N277,'Helpful Tables'!A:B,2,FALSE)</f>
        <v>38.934710000000003</v>
      </c>
      <c r="AQ277">
        <f>VLOOKUP(N277,'Helpful Tables'!A:C,3,FALSE)</f>
        <v>-77.058222999999998</v>
      </c>
      <c r="AR277">
        <f>COUNTIF(P$2:$P$938,P277)</f>
        <v>71</v>
      </c>
      <c r="AS277" cm="1">
        <f t="array" ref="AS277">_xlfn.IFS(E277&lt;6,((E277/D277)*60)*0.5,AND(E277&gt;=6,E277&lt;9),((E277/D277)*60)*0.75,AND(E277&gt;=9,E277&lt;=11),((E277/D277)*60)*0.9,AND(E277=12),((E277/D277)*60)*1,AND(E277&gt;=13,E277&lt;=15),((E277/D277)*60)*1.2,AND(E277&gt;=16,E277&lt;=19),((E277/D277)*60)*1.5,E277&gt;=20,((E277/D277)*60)*1.8)</f>
        <v>25.263157894736842</v>
      </c>
      <c r="AT277" cm="1">
        <f t="array" ref="AT277">_xlfn.IFS(F277&lt;550,((F277/D277)*60)*0.5,AND(F277&gt;=550,F277&lt;575),((F277/D277)*60)*0.75,AND(F277&gt;=575,F277&lt;600),((F277/D277)*60)*0.9,AND(F277=600),((F277/D277)*60)*1,AND(F277&gt;=601,F277&lt;=625),((F277/D277)*60)*1.2,AND(F277&gt;=626,F277&lt;=650),((F277/D277)*60)*1.5,F277&gt;=651,((F277/D277)*60)*1.8)</f>
        <v>1013.6842105263158</v>
      </c>
      <c r="AU277">
        <f t="shared" si="72"/>
        <v>6.7999999999999972</v>
      </c>
      <c r="AV277">
        <f t="shared" si="87"/>
        <v>416.93894736842111</v>
      </c>
      <c r="AW277">
        <f t="shared" si="73"/>
        <v>60.9</v>
      </c>
      <c r="AX277" t="str">
        <f t="shared" si="85"/>
        <v>Mar-2022</v>
      </c>
      <c r="AY277">
        <f>ROUNDUP(Table2[[#This Row],[Month]]/3,0)</f>
        <v>1</v>
      </c>
    </row>
    <row r="278" spans="1:51" x14ac:dyDescent="0.2">
      <c r="A278">
        <v>277</v>
      </c>
      <c r="B278">
        <f t="shared" si="74"/>
        <v>14</v>
      </c>
      <c r="C278" s="22">
        <v>44646</v>
      </c>
      <c r="D278">
        <f>SUM(Table2[[#This Row],[Gray Min]:[Red Min]])</f>
        <v>56</v>
      </c>
      <c r="E278">
        <v>12</v>
      </c>
      <c r="F278">
        <v>637</v>
      </c>
      <c r="G278">
        <v>128</v>
      </c>
      <c r="H278">
        <v>164</v>
      </c>
      <c r="I278">
        <v>12</v>
      </c>
      <c r="J278">
        <v>10</v>
      </c>
      <c r="K278">
        <v>22</v>
      </c>
      <c r="L278">
        <v>11</v>
      </c>
      <c r="M278">
        <v>1</v>
      </c>
      <c r="N278" t="s">
        <v>91</v>
      </c>
      <c r="O278" t="s">
        <v>79</v>
      </c>
      <c r="P278" t="s">
        <v>98</v>
      </c>
      <c r="Q278">
        <f t="shared" si="86"/>
        <v>3</v>
      </c>
      <c r="R278" t="str">
        <f t="shared" si="75"/>
        <v>3-2022</v>
      </c>
      <c r="S278" t="s">
        <v>104</v>
      </c>
      <c r="T278" t="str">
        <f t="shared" si="76"/>
        <v>Saturday</v>
      </c>
      <c r="U278">
        <f t="shared" si="77"/>
        <v>1</v>
      </c>
      <c r="V278" s="24">
        <f>IFERROR(Table2[[#This Row],[Gray Min]]/Table2[[#This Row],[ClassLength]],"")</f>
        <v>0.21428571428571427</v>
      </c>
      <c r="W278" s="24">
        <f>IFERROR(Table2[[#This Row],[Blue Min]]/Table2[[#This Row],[ClassLength]],"")</f>
        <v>0.17857142857142858</v>
      </c>
      <c r="X278" s="24">
        <f>IFERROR(Table2[[#This Row],[Green Min]]/Table2[[#This Row],[ClassLength]],"")</f>
        <v>0.39285714285714285</v>
      </c>
      <c r="Y278" s="24">
        <f>IFERROR(Table2[[#This Row],[Orange Min]]/Table2[[#This Row],[ClassLength]],"")</f>
        <v>0.19642857142857142</v>
      </c>
      <c r="Z278" s="24">
        <f>IFERROR(Table2[[#This Row],[Red Min]]/Table2[[#This Row],[ClassLength]],"")</f>
        <v>1.7857142857142856E-2</v>
      </c>
      <c r="AA278" s="25">
        <v>232.14</v>
      </c>
      <c r="AB278" s="25">
        <f t="shared" si="88"/>
        <v>16.581428571428571</v>
      </c>
      <c r="AC278" s="26">
        <f t="shared" si="78"/>
        <v>641</v>
      </c>
      <c r="AD278" s="26">
        <f t="shared" si="79"/>
        <v>14.714285714285714</v>
      </c>
      <c r="AE278">
        <f t="shared" si="80"/>
        <v>2022</v>
      </c>
      <c r="AG278">
        <v>12</v>
      </c>
      <c r="AH278" s="26">
        <f t="shared" si="81"/>
        <v>11.375</v>
      </c>
      <c r="AI278" t="str">
        <f t="shared" si="82"/>
        <v>AM</v>
      </c>
      <c r="AJ278" t="str">
        <f t="shared" si="83"/>
        <v>3-2022-4</v>
      </c>
      <c r="AK278">
        <f t="shared" si="84"/>
        <v>3</v>
      </c>
      <c r="AL278" s="26">
        <f>IFERROR(Table2[[#This Row],[Calories]]/Table2[[#This Row],[Splat]],"")</f>
        <v>53.083333333333336</v>
      </c>
      <c r="AM278">
        <f>COUNTIF(N$2:$N$938,N278)</f>
        <v>218</v>
      </c>
      <c r="AN278" t="str">
        <f>VLOOKUP(N278,'Helpful Tables'!A:D,4,FALSE)</f>
        <v>Washington, DC</v>
      </c>
      <c r="AO278" s="24">
        <f>COUNTIF(AN:AN,Table2[[#This Row],[State]])/COUNTA(AN:AN)</f>
        <v>0.54904051172707891</v>
      </c>
      <c r="AP278">
        <f>VLOOKUP(N278,'Helpful Tables'!A:B,2,FALSE)</f>
        <v>38.934710000000003</v>
      </c>
      <c r="AQ278">
        <f>VLOOKUP(N278,'Helpful Tables'!A:C,3,FALSE)</f>
        <v>-77.058222999999998</v>
      </c>
      <c r="AR278">
        <f>COUNTIF(P$2:$P$938,P278)</f>
        <v>28</v>
      </c>
      <c r="AS278" cm="1">
        <f t="array" ref="AS278">_xlfn.IFS(E278&lt;6,((E278/D278)*60)*0.5,AND(E278&gt;=6,E278&lt;9),((E278/D278)*60)*0.75,AND(E278&gt;=9,E278&lt;=11),((E278/D278)*60)*0.9,AND(E278=12),((E278/D278)*60)*1,AND(E278&gt;=13,E278&lt;=15),((E278/D278)*60)*1.2,AND(E278&gt;=16,E278&lt;=19),((E278/D278)*60)*1.5,E278&gt;=20,((E278/D278)*60)*1.8)</f>
        <v>12.857142857142856</v>
      </c>
      <c r="AT278" cm="1">
        <f t="array" ref="AT278">_xlfn.IFS(F278&lt;550,((F278/D278)*60)*0.5,AND(F278&gt;=550,F278&lt;575),((F278/D278)*60)*0.75,AND(F278&gt;=575,F278&lt;600),((F278/D278)*60)*0.9,AND(F278=600),((F278/D278)*60)*1,AND(F278&gt;=601,F278&lt;=625),((F278/D278)*60)*1.2,AND(F278&gt;=626,F278&lt;=650),((F278/D278)*60)*1.5,F278&gt;=651,((F278/D278)*60)*1.8)</f>
        <v>1023.75</v>
      </c>
      <c r="AU278">
        <f t="shared" si="72"/>
        <v>16.8</v>
      </c>
      <c r="AV278">
        <f t="shared" si="87"/>
        <v>418.00285714285718</v>
      </c>
      <c r="AW278">
        <f t="shared" si="73"/>
        <v>61.1</v>
      </c>
      <c r="AX278" t="str">
        <f t="shared" si="85"/>
        <v>Mar-2022</v>
      </c>
      <c r="AY278">
        <f>ROUNDUP(Table2[[#This Row],[Month]]/3,0)</f>
        <v>1</v>
      </c>
    </row>
    <row r="279" spans="1:51" x14ac:dyDescent="0.2">
      <c r="A279">
        <v>278</v>
      </c>
      <c r="B279">
        <f t="shared" si="74"/>
        <v>14</v>
      </c>
      <c r="C279" s="22">
        <v>44648</v>
      </c>
      <c r="D279">
        <f>SUM(Table2[[#This Row],[Gray Min]:[Red Min]])</f>
        <v>56</v>
      </c>
      <c r="E279">
        <v>18</v>
      </c>
      <c r="F279">
        <v>651</v>
      </c>
      <c r="G279">
        <v>131</v>
      </c>
      <c r="H279">
        <v>169</v>
      </c>
      <c r="I279">
        <v>8</v>
      </c>
      <c r="J279">
        <v>18</v>
      </c>
      <c r="K279">
        <v>12</v>
      </c>
      <c r="L279">
        <v>16</v>
      </c>
      <c r="M279">
        <v>2</v>
      </c>
      <c r="N279" t="s">
        <v>101</v>
      </c>
      <c r="O279" t="s">
        <v>39</v>
      </c>
      <c r="P279" t="s">
        <v>133</v>
      </c>
      <c r="Q279">
        <f t="shared" si="86"/>
        <v>2</v>
      </c>
      <c r="R279" t="str">
        <f t="shared" si="75"/>
        <v>3-2022</v>
      </c>
      <c r="S279" t="s">
        <v>104</v>
      </c>
      <c r="T279" t="str">
        <f t="shared" si="76"/>
        <v>Monday</v>
      </c>
      <c r="U279">
        <f t="shared" si="77"/>
        <v>1</v>
      </c>
      <c r="V279" s="24">
        <f>IFERROR(Table2[[#This Row],[Gray Min]]/Table2[[#This Row],[ClassLength]],"")</f>
        <v>0.14285714285714285</v>
      </c>
      <c r="W279" s="24">
        <f>IFERROR(Table2[[#This Row],[Blue Min]]/Table2[[#This Row],[ClassLength]],"")</f>
        <v>0.32142857142857145</v>
      </c>
      <c r="X279" s="24">
        <f>IFERROR(Table2[[#This Row],[Green Min]]/Table2[[#This Row],[ClassLength]],"")</f>
        <v>0.21428571428571427</v>
      </c>
      <c r="Y279" s="24">
        <f>IFERROR(Table2[[#This Row],[Orange Min]]/Table2[[#This Row],[ClassLength]],"")</f>
        <v>0.2857142857142857</v>
      </c>
      <c r="Z279" s="24">
        <f>IFERROR(Table2[[#This Row],[Red Min]]/Table2[[#This Row],[ClassLength]],"")</f>
        <v>3.5714285714285712E-2</v>
      </c>
      <c r="AA279" s="25">
        <v>232.14</v>
      </c>
      <c r="AB279" s="25">
        <f t="shared" si="88"/>
        <v>16.581428571428571</v>
      </c>
      <c r="AC279" s="26">
        <f t="shared" si="78"/>
        <v>641</v>
      </c>
      <c r="AD279" s="26">
        <f t="shared" si="79"/>
        <v>14.714285714285714</v>
      </c>
      <c r="AE279">
        <f t="shared" si="80"/>
        <v>2022</v>
      </c>
      <c r="AG279">
        <v>12</v>
      </c>
      <c r="AH279" s="26">
        <f t="shared" si="81"/>
        <v>11.625</v>
      </c>
      <c r="AI279" t="str">
        <f t="shared" si="82"/>
        <v>PM</v>
      </c>
      <c r="AJ279" t="str">
        <f t="shared" si="83"/>
        <v>3-2022-5</v>
      </c>
      <c r="AK279">
        <f t="shared" si="84"/>
        <v>3</v>
      </c>
      <c r="AL279" s="26">
        <f>IFERROR(Table2[[#This Row],[Calories]]/Table2[[#This Row],[Splat]],"")</f>
        <v>36.166666666666664</v>
      </c>
      <c r="AM279">
        <f>COUNTIF(N$2:$N$938,N279)</f>
        <v>191</v>
      </c>
      <c r="AN279" t="str">
        <f>VLOOKUP(N279,'Helpful Tables'!A:D,4,FALSE)</f>
        <v>Washington, DC</v>
      </c>
      <c r="AO279" s="24">
        <f>COUNTIF(AN:AN,Table2[[#This Row],[State]])/COUNTA(AN:AN)</f>
        <v>0.54904051172707891</v>
      </c>
      <c r="AP279">
        <f>VLOOKUP(N279,'Helpful Tables'!A:B,2,FALSE)</f>
        <v>38.949649000000001</v>
      </c>
      <c r="AQ279">
        <f>VLOOKUP(N279,'Helpful Tables'!A:C,3,FALSE)</f>
        <v>-77.080878999999996</v>
      </c>
      <c r="AR279">
        <f>COUNTIF(P$2:$P$938,P279)</f>
        <v>25</v>
      </c>
      <c r="AS279" cm="1">
        <f t="array" ref="AS279">_xlfn.IFS(E279&lt;6,((E279/D279)*60)*0.5,AND(E279&gt;=6,E279&lt;9),((E279/D279)*60)*0.75,AND(E279&gt;=9,E279&lt;=11),((E279/D279)*60)*0.9,AND(E279=12),((E279/D279)*60)*1,AND(E279&gt;=13,E279&lt;=15),((E279/D279)*60)*1.2,AND(E279&gt;=16,E279&lt;=19),((E279/D279)*60)*1.5,E279&gt;=20,((E279/D279)*60)*1.8)</f>
        <v>28.928571428571431</v>
      </c>
      <c r="AT279" cm="1">
        <f t="array" ref="AT279">_xlfn.IFS(F279&lt;550,((F279/D279)*60)*0.5,AND(F279&gt;=550,F279&lt;575),((F279/D279)*60)*0.75,AND(F279&gt;=575,F279&lt;600),((F279/D279)*60)*0.9,AND(F279=600),((F279/D279)*60)*1,AND(F279&gt;=601,F279&lt;=625),((F279/D279)*60)*1.2,AND(F279&gt;=626,F279&lt;=650),((F279/D279)*60)*1.5,F279&gt;=651,((F279/D279)*60)*1.8)</f>
        <v>1255.5</v>
      </c>
      <c r="AU279">
        <f t="shared" si="72"/>
        <v>8.8000000000000007</v>
      </c>
      <c r="AV279">
        <f t="shared" si="87"/>
        <v>515.53142857142859</v>
      </c>
      <c r="AW279">
        <f t="shared" si="73"/>
        <v>88.3</v>
      </c>
      <c r="AX279" t="str">
        <f t="shared" si="85"/>
        <v>Mar-2022</v>
      </c>
      <c r="AY279">
        <f>ROUNDUP(Table2[[#This Row],[Month]]/3,0)</f>
        <v>1</v>
      </c>
    </row>
    <row r="280" spans="1:51" x14ac:dyDescent="0.2">
      <c r="A280">
        <v>279</v>
      </c>
      <c r="B280">
        <f t="shared" si="74"/>
        <v>14</v>
      </c>
      <c r="C280" s="22">
        <v>44650</v>
      </c>
      <c r="D280">
        <f>SUM(Table2[[#This Row],[Gray Min]:[Red Min]])</f>
        <v>58</v>
      </c>
      <c r="E280">
        <v>14</v>
      </c>
      <c r="F280">
        <v>617</v>
      </c>
      <c r="G280">
        <v>125</v>
      </c>
      <c r="H280">
        <v>168</v>
      </c>
      <c r="I280">
        <v>13</v>
      </c>
      <c r="J280">
        <v>19</v>
      </c>
      <c r="K280">
        <v>12</v>
      </c>
      <c r="L280">
        <v>12</v>
      </c>
      <c r="M280">
        <v>2</v>
      </c>
      <c r="N280" t="s">
        <v>91</v>
      </c>
      <c r="O280" t="s">
        <v>39</v>
      </c>
      <c r="P280" t="s">
        <v>96</v>
      </c>
      <c r="Q280">
        <f t="shared" si="86"/>
        <v>2</v>
      </c>
      <c r="R280" t="str">
        <f t="shared" si="75"/>
        <v>3-2022</v>
      </c>
      <c r="S280" t="s">
        <v>117</v>
      </c>
      <c r="T280" t="str">
        <f t="shared" si="76"/>
        <v>Wednesday</v>
      </c>
      <c r="U280">
        <f t="shared" si="77"/>
        <v>1</v>
      </c>
      <c r="V280" s="24">
        <f>IFERROR(Table2[[#This Row],[Gray Min]]/Table2[[#This Row],[ClassLength]],"")</f>
        <v>0.22413793103448276</v>
      </c>
      <c r="W280" s="24">
        <f>IFERROR(Table2[[#This Row],[Blue Min]]/Table2[[#This Row],[ClassLength]],"")</f>
        <v>0.32758620689655171</v>
      </c>
      <c r="X280" s="24">
        <f>IFERROR(Table2[[#This Row],[Green Min]]/Table2[[#This Row],[ClassLength]],"")</f>
        <v>0.20689655172413793</v>
      </c>
      <c r="Y280" s="24">
        <f>IFERROR(Table2[[#This Row],[Orange Min]]/Table2[[#This Row],[ClassLength]],"")</f>
        <v>0.20689655172413793</v>
      </c>
      <c r="Z280" s="24">
        <f>IFERROR(Table2[[#This Row],[Red Min]]/Table2[[#This Row],[ClassLength]],"")</f>
        <v>3.4482758620689655E-2</v>
      </c>
      <c r="AA280" s="25">
        <v>232.14</v>
      </c>
      <c r="AB280" s="25">
        <f t="shared" si="88"/>
        <v>16.581428571428571</v>
      </c>
      <c r="AC280" s="26">
        <f t="shared" si="78"/>
        <v>641</v>
      </c>
      <c r="AD280" s="26">
        <f t="shared" si="79"/>
        <v>14.714285714285714</v>
      </c>
      <c r="AE280">
        <f t="shared" si="80"/>
        <v>2022</v>
      </c>
      <c r="AG280">
        <v>12</v>
      </c>
      <c r="AH280" s="26">
        <f t="shared" si="81"/>
        <v>10.637931034482758</v>
      </c>
      <c r="AI280" t="str">
        <f t="shared" si="82"/>
        <v>PM</v>
      </c>
      <c r="AJ280" t="str">
        <f t="shared" si="83"/>
        <v>3-2022-5</v>
      </c>
      <c r="AK280">
        <f t="shared" si="84"/>
        <v>3</v>
      </c>
      <c r="AL280" s="26">
        <f>IFERROR(Table2[[#This Row],[Calories]]/Table2[[#This Row],[Splat]],"")</f>
        <v>44.071428571428569</v>
      </c>
      <c r="AM280">
        <f>COUNTIF(N$2:$N$938,N280)</f>
        <v>218</v>
      </c>
      <c r="AN280" t="str">
        <f>VLOOKUP(N280,'Helpful Tables'!A:D,4,FALSE)</f>
        <v>Washington, DC</v>
      </c>
      <c r="AO280" s="24">
        <f>COUNTIF(AN:AN,Table2[[#This Row],[State]])/COUNTA(AN:AN)</f>
        <v>0.54904051172707891</v>
      </c>
      <c r="AP280">
        <f>VLOOKUP(N280,'Helpful Tables'!A:B,2,FALSE)</f>
        <v>38.934710000000003</v>
      </c>
      <c r="AQ280">
        <f>VLOOKUP(N280,'Helpful Tables'!A:C,3,FALSE)</f>
        <v>-77.058222999999998</v>
      </c>
      <c r="AR280">
        <f>COUNTIF(P$2:$P$938,P280)</f>
        <v>71</v>
      </c>
      <c r="AS280" cm="1">
        <f t="array" ref="AS280">_xlfn.IFS(E280&lt;6,((E280/D280)*60)*0.5,AND(E280&gt;=6,E280&lt;9),((E280/D280)*60)*0.75,AND(E280&gt;=9,E280&lt;=11),((E280/D280)*60)*0.9,AND(E280=12),((E280/D280)*60)*1,AND(E280&gt;=13,E280&lt;=15),((E280/D280)*60)*1.2,AND(E280&gt;=16,E280&lt;=19),((E280/D280)*60)*1.5,E280&gt;=20,((E280/D280)*60)*1.8)</f>
        <v>17.379310344827587</v>
      </c>
      <c r="AT280" cm="1">
        <f t="array" ref="AT280">_xlfn.IFS(F280&lt;550,((F280/D280)*60)*0.5,AND(F280&gt;=550,F280&lt;575),((F280/D280)*60)*0.75,AND(F280&gt;=575,F280&lt;600),((F280/D280)*60)*0.9,AND(F280=600),((F280/D280)*60)*1,AND(F280&gt;=601,F280&lt;=625),((F280/D280)*60)*1.2,AND(F280&gt;=626,F280&lt;=650),((F280/D280)*60)*1.5,F280&gt;=651,((F280/D280)*60)*1.8)</f>
        <v>765.93103448275849</v>
      </c>
      <c r="AU280">
        <f t="shared" si="72"/>
        <v>-3.5</v>
      </c>
      <c r="AV280">
        <f t="shared" si="87"/>
        <v>312.62413793103445</v>
      </c>
      <c r="AW280">
        <f t="shared" si="73"/>
        <v>32.6</v>
      </c>
      <c r="AX280" t="str">
        <f t="shared" si="85"/>
        <v>Mar-2022</v>
      </c>
      <c r="AY280">
        <f>ROUNDUP(Table2[[#This Row],[Month]]/3,0)</f>
        <v>1</v>
      </c>
    </row>
    <row r="281" spans="1:51" x14ac:dyDescent="0.2">
      <c r="A281">
        <v>280</v>
      </c>
      <c r="B281">
        <f t="shared" si="74"/>
        <v>15</v>
      </c>
      <c r="C281" s="22">
        <v>44652</v>
      </c>
      <c r="D281">
        <f>SUM(Table2[[#This Row],[Gray Min]:[Red Min]])</f>
        <v>61</v>
      </c>
      <c r="E281">
        <v>16</v>
      </c>
      <c r="F281">
        <v>698</v>
      </c>
      <c r="G281">
        <v>129</v>
      </c>
      <c r="H281">
        <v>167</v>
      </c>
      <c r="I281">
        <v>8</v>
      </c>
      <c r="J281">
        <v>16</v>
      </c>
      <c r="K281">
        <v>21</v>
      </c>
      <c r="L281">
        <v>15</v>
      </c>
      <c r="M281">
        <v>1</v>
      </c>
      <c r="N281" t="s">
        <v>101</v>
      </c>
      <c r="O281" t="s">
        <v>107</v>
      </c>
      <c r="P281" t="s">
        <v>118</v>
      </c>
      <c r="Q281">
        <f t="shared" si="86"/>
        <v>2</v>
      </c>
      <c r="R281" t="str">
        <f t="shared" si="75"/>
        <v>4-2022</v>
      </c>
      <c r="S281" t="s">
        <v>104</v>
      </c>
      <c r="T281" t="str">
        <f t="shared" si="76"/>
        <v>Friday</v>
      </c>
      <c r="U281">
        <f t="shared" si="77"/>
        <v>1</v>
      </c>
      <c r="V281" s="24">
        <f>IFERROR(Table2[[#This Row],[Gray Min]]/Table2[[#This Row],[ClassLength]],"")</f>
        <v>0.13114754098360656</v>
      </c>
      <c r="W281" s="24">
        <f>IFERROR(Table2[[#This Row],[Blue Min]]/Table2[[#This Row],[ClassLength]],"")</f>
        <v>0.26229508196721313</v>
      </c>
      <c r="X281" s="24">
        <f>IFERROR(Table2[[#This Row],[Green Min]]/Table2[[#This Row],[ClassLength]],"")</f>
        <v>0.34426229508196721</v>
      </c>
      <c r="Y281" s="24">
        <f>IFERROR(Table2[[#This Row],[Orange Min]]/Table2[[#This Row],[ClassLength]],"")</f>
        <v>0.24590163934426229</v>
      </c>
      <c r="Z281" s="24">
        <f>IFERROR(Table2[[#This Row],[Red Min]]/Table2[[#This Row],[ClassLength]],"")</f>
        <v>1.6393442622950821E-2</v>
      </c>
      <c r="AA281" s="25">
        <v>232.14</v>
      </c>
      <c r="AB281" s="25">
        <f t="shared" si="88"/>
        <v>15.475999999999999</v>
      </c>
      <c r="AC281" s="26">
        <f t="shared" si="78"/>
        <v>627.13333333333333</v>
      </c>
      <c r="AD281" s="26">
        <f t="shared" si="79"/>
        <v>11.866666666666667</v>
      </c>
      <c r="AE281">
        <f t="shared" si="80"/>
        <v>2022</v>
      </c>
      <c r="AG281">
        <v>12</v>
      </c>
      <c r="AH281" s="26">
        <f t="shared" si="81"/>
        <v>11.442622950819672</v>
      </c>
      <c r="AI281" t="str">
        <f t="shared" si="82"/>
        <v>AM</v>
      </c>
      <c r="AJ281" t="str">
        <f t="shared" si="83"/>
        <v>4-2022-1</v>
      </c>
      <c r="AK281">
        <f t="shared" si="84"/>
        <v>4</v>
      </c>
      <c r="AL281" s="26">
        <f>IFERROR(Table2[[#This Row],[Calories]]/Table2[[#This Row],[Splat]],"")</f>
        <v>43.625</v>
      </c>
      <c r="AM281">
        <f>COUNTIF(N$2:$N$938,N281)</f>
        <v>191</v>
      </c>
      <c r="AN281" t="str">
        <f>VLOOKUP(N281,'Helpful Tables'!A:D,4,FALSE)</f>
        <v>Washington, DC</v>
      </c>
      <c r="AO281" s="24">
        <f>COUNTIF(AN:AN,Table2[[#This Row],[State]])/COUNTA(AN:AN)</f>
        <v>0.54904051172707891</v>
      </c>
      <c r="AP281">
        <f>VLOOKUP(N281,'Helpful Tables'!A:B,2,FALSE)</f>
        <v>38.949649000000001</v>
      </c>
      <c r="AQ281">
        <f>VLOOKUP(N281,'Helpful Tables'!A:C,3,FALSE)</f>
        <v>-77.080878999999996</v>
      </c>
      <c r="AR281">
        <f>COUNTIF(P$2:$P$938,P281)</f>
        <v>16</v>
      </c>
      <c r="AS281" cm="1">
        <f t="array" ref="AS281">_xlfn.IFS(E281&lt;6,((E281/D281)*60)*0.5,AND(E281&gt;=6,E281&lt;9),((E281/D281)*60)*0.75,AND(E281&gt;=9,E281&lt;=11),((E281/D281)*60)*0.9,AND(E281=12),((E281/D281)*60)*1,AND(E281&gt;=13,E281&lt;=15),((E281/D281)*60)*1.2,AND(E281&gt;=16,E281&lt;=19),((E281/D281)*60)*1.5,E281&gt;=20,((E281/D281)*60)*1.8)</f>
        <v>23.606557377049182</v>
      </c>
      <c r="AT281" cm="1">
        <f t="array" ref="AT281">_xlfn.IFS(F281&lt;550,((F281/D281)*60)*0.5,AND(F281&gt;=550,F281&lt;575),((F281/D281)*60)*0.75,AND(F281&gt;=575,F281&lt;600),((F281/D281)*60)*0.9,AND(F281=600),((F281/D281)*60)*1,AND(F281&gt;=601,F281&lt;=625),((F281/D281)*60)*1.2,AND(F281&gt;=626,F281&lt;=650),((F281/D281)*60)*1.5,F281&gt;=651,((F281/D281)*60)*1.8)</f>
        <v>1235.8032786885246</v>
      </c>
      <c r="AU281">
        <f t="shared" si="72"/>
        <v>18.999999999999996</v>
      </c>
      <c r="AV281">
        <f t="shared" si="87"/>
        <v>507.56393442622954</v>
      </c>
      <c r="AW281">
        <f t="shared" si="73"/>
        <v>84.3</v>
      </c>
      <c r="AX281" t="str">
        <f t="shared" si="85"/>
        <v>Apr-2022</v>
      </c>
      <c r="AY281">
        <f>ROUNDUP(Table2[[#This Row],[Month]]/3,0)</f>
        <v>2</v>
      </c>
    </row>
    <row r="282" spans="1:51" x14ac:dyDescent="0.2">
      <c r="A282">
        <v>281</v>
      </c>
      <c r="B282">
        <f t="shared" si="74"/>
        <v>15</v>
      </c>
      <c r="C282" s="22">
        <v>44653</v>
      </c>
      <c r="D282">
        <f>SUM(Table2[[#This Row],[Gray Min]:[Red Min]])</f>
        <v>59</v>
      </c>
      <c r="E282">
        <v>13</v>
      </c>
      <c r="F282">
        <v>650</v>
      </c>
      <c r="G282">
        <v>126</v>
      </c>
      <c r="H282">
        <v>164</v>
      </c>
      <c r="I282">
        <v>13</v>
      </c>
      <c r="J282">
        <v>16</v>
      </c>
      <c r="K282">
        <v>17</v>
      </c>
      <c r="L282">
        <v>12</v>
      </c>
      <c r="M282">
        <v>1</v>
      </c>
      <c r="N282" t="s">
        <v>101</v>
      </c>
      <c r="O282" t="s">
        <v>45</v>
      </c>
      <c r="P282" t="s">
        <v>109</v>
      </c>
      <c r="Q282">
        <f t="shared" si="86"/>
        <v>1</v>
      </c>
      <c r="R282" t="str">
        <f t="shared" si="75"/>
        <v>4-2022</v>
      </c>
      <c r="S282" t="s">
        <v>117</v>
      </c>
      <c r="T282" t="str">
        <f t="shared" si="76"/>
        <v>Saturday</v>
      </c>
      <c r="U282">
        <f t="shared" si="77"/>
        <v>1</v>
      </c>
      <c r="V282" s="24">
        <f>IFERROR(Table2[[#This Row],[Gray Min]]/Table2[[#This Row],[ClassLength]],"")</f>
        <v>0.22033898305084745</v>
      </c>
      <c r="W282" s="24">
        <f>IFERROR(Table2[[#This Row],[Blue Min]]/Table2[[#This Row],[ClassLength]],"")</f>
        <v>0.2711864406779661</v>
      </c>
      <c r="X282" s="24">
        <f>IFERROR(Table2[[#This Row],[Green Min]]/Table2[[#This Row],[ClassLength]],"")</f>
        <v>0.28813559322033899</v>
      </c>
      <c r="Y282" s="24">
        <f>IFERROR(Table2[[#This Row],[Orange Min]]/Table2[[#This Row],[ClassLength]],"")</f>
        <v>0.20338983050847459</v>
      </c>
      <c r="Z282" s="24">
        <f>IFERROR(Table2[[#This Row],[Red Min]]/Table2[[#This Row],[ClassLength]],"")</f>
        <v>1.6949152542372881E-2</v>
      </c>
      <c r="AA282" s="25">
        <v>232.14</v>
      </c>
      <c r="AB282" s="25">
        <f t="shared" si="88"/>
        <v>15.475999999999999</v>
      </c>
      <c r="AC282" s="26">
        <f t="shared" si="78"/>
        <v>627.13333333333333</v>
      </c>
      <c r="AD282" s="26">
        <f t="shared" si="79"/>
        <v>11.866666666666667</v>
      </c>
      <c r="AE282">
        <f t="shared" si="80"/>
        <v>2022</v>
      </c>
      <c r="AG282">
        <v>12</v>
      </c>
      <c r="AH282" s="26">
        <f t="shared" si="81"/>
        <v>11.016949152542374</v>
      </c>
      <c r="AI282" t="str">
        <f t="shared" si="82"/>
        <v>AM</v>
      </c>
      <c r="AJ282" t="str">
        <f t="shared" si="83"/>
        <v>4-2022-1</v>
      </c>
      <c r="AK282">
        <f t="shared" si="84"/>
        <v>4</v>
      </c>
      <c r="AL282" s="26">
        <f>IFERROR(Table2[[#This Row],[Calories]]/Table2[[#This Row],[Splat]],"")</f>
        <v>50</v>
      </c>
      <c r="AM282">
        <f>COUNTIF(N$2:$N$938,N282)</f>
        <v>191</v>
      </c>
      <c r="AN282" t="str">
        <f>VLOOKUP(N282,'Helpful Tables'!A:D,4,FALSE)</f>
        <v>Washington, DC</v>
      </c>
      <c r="AO282" s="24">
        <f>COUNTIF(AN:AN,Table2[[#This Row],[State]])/COUNTA(AN:AN)</f>
        <v>0.54904051172707891</v>
      </c>
      <c r="AP282">
        <f>VLOOKUP(N282,'Helpful Tables'!A:B,2,FALSE)</f>
        <v>38.949649000000001</v>
      </c>
      <c r="AQ282">
        <f>VLOOKUP(N282,'Helpful Tables'!A:C,3,FALSE)</f>
        <v>-77.080878999999996</v>
      </c>
      <c r="AR282">
        <f>COUNTIF(P$2:$P$938,P282)</f>
        <v>66</v>
      </c>
      <c r="AS282" cm="1">
        <f t="array" ref="AS282">_xlfn.IFS(E282&lt;6,((E282/D282)*60)*0.5,AND(E282&gt;=6,E282&lt;9),((E282/D282)*60)*0.75,AND(E282&gt;=9,E282&lt;=11),((E282/D282)*60)*0.9,AND(E282=12),((E282/D282)*60)*1,AND(E282&gt;=13,E282&lt;=15),((E282/D282)*60)*1.2,AND(E282&gt;=16,E282&lt;=19),((E282/D282)*60)*1.5,E282&gt;=20,((E282/D282)*60)*1.8)</f>
        <v>15.864406779661017</v>
      </c>
      <c r="AT282" cm="1">
        <f t="array" ref="AT282">_xlfn.IFS(F282&lt;550,((F282/D282)*60)*0.5,AND(F282&gt;=550,F282&lt;575),((F282/D282)*60)*0.75,AND(F282&gt;=575,F282&lt;600),((F282/D282)*60)*0.9,AND(F282=600),((F282/D282)*60)*1,AND(F282&gt;=601,F282&lt;=625),((F282/D282)*60)*1.2,AND(F282&gt;=626,F282&lt;=650),((F282/D282)*60)*1.5,F282&gt;=651,((F282/D282)*60)*1.8)</f>
        <v>991.52542372881362</v>
      </c>
      <c r="AU282">
        <f t="shared" si="72"/>
        <v>4.2999999999999972</v>
      </c>
      <c r="AV282">
        <f t="shared" si="87"/>
        <v>403.81593220338988</v>
      </c>
      <c r="AW282">
        <f t="shared" si="73"/>
        <v>55.500000000000007</v>
      </c>
      <c r="AX282" t="str">
        <f t="shared" si="85"/>
        <v>Apr-2022</v>
      </c>
      <c r="AY282">
        <f>ROUNDUP(Table2[[#This Row],[Month]]/3,0)</f>
        <v>2</v>
      </c>
    </row>
    <row r="283" spans="1:51" x14ac:dyDescent="0.2">
      <c r="A283">
        <v>282</v>
      </c>
      <c r="B283">
        <f t="shared" si="74"/>
        <v>15</v>
      </c>
      <c r="C283" s="22">
        <v>44655</v>
      </c>
      <c r="D283">
        <f>SUM(Table2[[#This Row],[Gray Min]:[Red Min]])</f>
        <v>57</v>
      </c>
      <c r="E283">
        <v>12</v>
      </c>
      <c r="F283">
        <v>606</v>
      </c>
      <c r="G283">
        <v>124</v>
      </c>
      <c r="H283">
        <v>162</v>
      </c>
      <c r="I283">
        <v>11</v>
      </c>
      <c r="J283">
        <v>24</v>
      </c>
      <c r="K283">
        <v>10</v>
      </c>
      <c r="L283">
        <v>12</v>
      </c>
      <c r="M283">
        <v>0</v>
      </c>
      <c r="N283" t="s">
        <v>101</v>
      </c>
      <c r="O283" t="s">
        <v>39</v>
      </c>
      <c r="P283" t="s">
        <v>133</v>
      </c>
      <c r="Q283">
        <f t="shared" si="86"/>
        <v>2</v>
      </c>
      <c r="R283" t="str">
        <f t="shared" si="75"/>
        <v>4-2022</v>
      </c>
      <c r="S283" t="s">
        <v>104</v>
      </c>
      <c r="T283" t="str">
        <f t="shared" si="76"/>
        <v>Monday</v>
      </c>
      <c r="U283">
        <f t="shared" si="77"/>
        <v>1</v>
      </c>
      <c r="V283" s="24">
        <f>IFERROR(Table2[[#This Row],[Gray Min]]/Table2[[#This Row],[ClassLength]],"")</f>
        <v>0.19298245614035087</v>
      </c>
      <c r="W283" s="24">
        <f>IFERROR(Table2[[#This Row],[Blue Min]]/Table2[[#This Row],[ClassLength]],"")</f>
        <v>0.42105263157894735</v>
      </c>
      <c r="X283" s="24">
        <f>IFERROR(Table2[[#This Row],[Green Min]]/Table2[[#This Row],[ClassLength]],"")</f>
        <v>0.17543859649122806</v>
      </c>
      <c r="Y283" s="24">
        <f>IFERROR(Table2[[#This Row],[Orange Min]]/Table2[[#This Row],[ClassLength]],"")</f>
        <v>0.21052631578947367</v>
      </c>
      <c r="Z283" s="24">
        <f>IFERROR(Table2[[#This Row],[Red Min]]/Table2[[#This Row],[ClassLength]],"")</f>
        <v>0</v>
      </c>
      <c r="AA283" s="25">
        <v>232.14</v>
      </c>
      <c r="AB283" s="25">
        <f t="shared" si="88"/>
        <v>15.475999999999999</v>
      </c>
      <c r="AC283" s="26">
        <f t="shared" si="78"/>
        <v>627.13333333333333</v>
      </c>
      <c r="AD283" s="26">
        <f t="shared" si="79"/>
        <v>11.866666666666667</v>
      </c>
      <c r="AE283">
        <f t="shared" si="80"/>
        <v>2022</v>
      </c>
      <c r="AG283">
        <v>12</v>
      </c>
      <c r="AH283" s="26">
        <f t="shared" si="81"/>
        <v>10.631578947368421</v>
      </c>
      <c r="AI283" t="str">
        <f t="shared" si="82"/>
        <v>PM</v>
      </c>
      <c r="AJ283" t="str">
        <f t="shared" si="83"/>
        <v>4-2022-2</v>
      </c>
      <c r="AK283">
        <f t="shared" si="84"/>
        <v>4</v>
      </c>
      <c r="AL283" s="26">
        <f>IFERROR(Table2[[#This Row],[Calories]]/Table2[[#This Row],[Splat]],"")</f>
        <v>50.5</v>
      </c>
      <c r="AM283">
        <f>COUNTIF(N$2:$N$938,N283)</f>
        <v>191</v>
      </c>
      <c r="AN283" t="str">
        <f>VLOOKUP(N283,'Helpful Tables'!A:D,4,FALSE)</f>
        <v>Washington, DC</v>
      </c>
      <c r="AO283" s="24">
        <f>COUNTIF(AN:AN,Table2[[#This Row],[State]])/COUNTA(AN:AN)</f>
        <v>0.54904051172707891</v>
      </c>
      <c r="AP283">
        <f>VLOOKUP(N283,'Helpful Tables'!A:B,2,FALSE)</f>
        <v>38.949649000000001</v>
      </c>
      <c r="AQ283">
        <f>VLOOKUP(N283,'Helpful Tables'!A:C,3,FALSE)</f>
        <v>-77.080878999999996</v>
      </c>
      <c r="AR283">
        <f>COUNTIF(P$2:$P$938,P283)</f>
        <v>25</v>
      </c>
      <c r="AS283" cm="1">
        <f t="array" ref="AS283">_xlfn.IFS(E283&lt;6,((E283/D283)*60)*0.5,AND(E283&gt;=6,E283&lt;9),((E283/D283)*60)*0.75,AND(E283&gt;=9,E283&lt;=11),((E283/D283)*60)*0.9,AND(E283=12),((E283/D283)*60)*1,AND(E283&gt;=13,E283&lt;=15),((E283/D283)*60)*1.2,AND(E283&gt;=16,E283&lt;=19),((E283/D283)*60)*1.5,E283&gt;=20,((E283/D283)*60)*1.8)</f>
        <v>12.631578947368421</v>
      </c>
      <c r="AT283" cm="1">
        <f t="array" ref="AT283">_xlfn.IFS(F283&lt;550,((F283/D283)*60)*0.5,AND(F283&gt;=550,F283&lt;575),((F283/D283)*60)*0.75,AND(F283&gt;=575,F283&lt;600),((F283/D283)*60)*0.9,AND(F283=600),((F283/D283)*60)*1,AND(F283&gt;=601,F283&lt;=625),((F283/D283)*60)*1.2,AND(F283&gt;=626,F283&lt;=650),((F283/D283)*60)*1.5,F283&gt;=651,((F283/D283)*60)*1.8)</f>
        <v>765.47368421052636</v>
      </c>
      <c r="AU283">
        <f t="shared" si="72"/>
        <v>-12</v>
      </c>
      <c r="AV283">
        <f t="shared" si="87"/>
        <v>308.84210526315792</v>
      </c>
      <c r="AW283">
        <f t="shared" si="73"/>
        <v>31.1</v>
      </c>
      <c r="AX283" t="str">
        <f t="shared" si="85"/>
        <v>Apr-2022</v>
      </c>
      <c r="AY283">
        <f>ROUNDUP(Table2[[#This Row],[Month]]/3,0)</f>
        <v>2</v>
      </c>
    </row>
    <row r="284" spans="1:51" x14ac:dyDescent="0.2">
      <c r="A284">
        <v>283</v>
      </c>
      <c r="B284">
        <f t="shared" si="74"/>
        <v>15</v>
      </c>
      <c r="C284" s="22">
        <v>44657</v>
      </c>
      <c r="D284">
        <f>SUM(Table2[[#This Row],[Gray Min]:[Red Min]])</f>
        <v>58</v>
      </c>
      <c r="E284">
        <v>10</v>
      </c>
      <c r="F284">
        <v>602</v>
      </c>
      <c r="G284">
        <v>122</v>
      </c>
      <c r="H284">
        <v>165</v>
      </c>
      <c r="I284">
        <v>17</v>
      </c>
      <c r="J284">
        <v>18</v>
      </c>
      <c r="K284">
        <v>13</v>
      </c>
      <c r="L284">
        <v>9</v>
      </c>
      <c r="M284">
        <v>1</v>
      </c>
      <c r="N284" t="s">
        <v>91</v>
      </c>
      <c r="O284" t="s">
        <v>39</v>
      </c>
      <c r="P284" t="s">
        <v>96</v>
      </c>
      <c r="Q284">
        <f t="shared" si="86"/>
        <v>2</v>
      </c>
      <c r="R284" t="str">
        <f t="shared" si="75"/>
        <v>4-2022</v>
      </c>
      <c r="S284" t="s">
        <v>117</v>
      </c>
      <c r="T284" t="str">
        <f t="shared" si="76"/>
        <v>Wednesday</v>
      </c>
      <c r="U284">
        <f t="shared" si="77"/>
        <v>0</v>
      </c>
      <c r="V284" s="24">
        <f>IFERROR(Table2[[#This Row],[Gray Min]]/Table2[[#This Row],[ClassLength]],"")</f>
        <v>0.29310344827586204</v>
      </c>
      <c r="W284" s="24">
        <f>IFERROR(Table2[[#This Row],[Blue Min]]/Table2[[#This Row],[ClassLength]],"")</f>
        <v>0.31034482758620691</v>
      </c>
      <c r="X284" s="24">
        <f>IFERROR(Table2[[#This Row],[Green Min]]/Table2[[#This Row],[ClassLength]],"")</f>
        <v>0.22413793103448276</v>
      </c>
      <c r="Y284" s="24">
        <f>IFERROR(Table2[[#This Row],[Orange Min]]/Table2[[#This Row],[ClassLength]],"")</f>
        <v>0.15517241379310345</v>
      </c>
      <c r="Z284" s="24">
        <f>IFERROR(Table2[[#This Row],[Red Min]]/Table2[[#This Row],[ClassLength]],"")</f>
        <v>1.7241379310344827E-2</v>
      </c>
      <c r="AA284" s="25">
        <v>232.14</v>
      </c>
      <c r="AB284" s="25">
        <f t="shared" si="88"/>
        <v>15.475999999999999</v>
      </c>
      <c r="AC284" s="26">
        <f t="shared" si="78"/>
        <v>627.13333333333333</v>
      </c>
      <c r="AD284" s="26">
        <f t="shared" si="79"/>
        <v>11.866666666666667</v>
      </c>
      <c r="AE284">
        <f t="shared" si="80"/>
        <v>2022</v>
      </c>
      <c r="AG284">
        <v>12</v>
      </c>
      <c r="AH284" s="26">
        <f t="shared" si="81"/>
        <v>10.379310344827585</v>
      </c>
      <c r="AI284" t="str">
        <f t="shared" si="82"/>
        <v>PM</v>
      </c>
      <c r="AJ284" t="str">
        <f t="shared" si="83"/>
        <v>4-2022-2</v>
      </c>
      <c r="AK284">
        <f t="shared" si="84"/>
        <v>4</v>
      </c>
      <c r="AL284" s="26">
        <f>IFERROR(Table2[[#This Row],[Calories]]/Table2[[#This Row],[Splat]],"")</f>
        <v>60.2</v>
      </c>
      <c r="AM284">
        <f>COUNTIF(N$2:$N$938,N284)</f>
        <v>218</v>
      </c>
      <c r="AN284" t="str">
        <f>VLOOKUP(N284,'Helpful Tables'!A:D,4,FALSE)</f>
        <v>Washington, DC</v>
      </c>
      <c r="AO284" s="24">
        <f>COUNTIF(AN:AN,Table2[[#This Row],[State]])/COUNTA(AN:AN)</f>
        <v>0.54904051172707891</v>
      </c>
      <c r="AP284">
        <f>VLOOKUP(N284,'Helpful Tables'!A:B,2,FALSE)</f>
        <v>38.934710000000003</v>
      </c>
      <c r="AQ284">
        <f>VLOOKUP(N284,'Helpful Tables'!A:C,3,FALSE)</f>
        <v>-77.058222999999998</v>
      </c>
      <c r="AR284">
        <f>COUNTIF(P$2:$P$938,P284)</f>
        <v>71</v>
      </c>
      <c r="AS284" cm="1">
        <f t="array" ref="AS284">_xlfn.IFS(E284&lt;6,((E284/D284)*60)*0.5,AND(E284&gt;=6,E284&lt;9),((E284/D284)*60)*0.75,AND(E284&gt;=9,E284&lt;=11),((E284/D284)*60)*0.9,AND(E284=12),((E284/D284)*60)*1,AND(E284&gt;=13,E284&lt;=15),((E284/D284)*60)*1.2,AND(E284&gt;=16,E284&lt;=19),((E284/D284)*60)*1.5,E284&gt;=20,((E284/D284)*60)*1.8)</f>
        <v>9.3103448275862082</v>
      </c>
      <c r="AT284" cm="1">
        <f t="array" ref="AT284">_xlfn.IFS(F284&lt;550,((F284/D284)*60)*0.5,AND(F284&gt;=550,F284&lt;575),((F284/D284)*60)*0.75,AND(F284&gt;=575,F284&lt;600),((F284/D284)*60)*0.9,AND(F284=600),((F284/D284)*60)*1,AND(F284&gt;=601,F284&lt;=625),((F284/D284)*60)*1.2,AND(F284&gt;=626,F284&lt;=650),((F284/D284)*60)*1.5,F284&gt;=651,((F284/D284)*60)*1.8)</f>
        <v>747.31034482758616</v>
      </c>
      <c r="AU284">
        <f t="shared" si="72"/>
        <v>-11.4</v>
      </c>
      <c r="AV284">
        <f t="shared" si="87"/>
        <v>300.36827586206897</v>
      </c>
      <c r="AW284">
        <f t="shared" si="73"/>
        <v>26.8</v>
      </c>
      <c r="AX284" t="str">
        <f t="shared" si="85"/>
        <v>Apr-2022</v>
      </c>
      <c r="AY284">
        <f>ROUNDUP(Table2[[#This Row],[Month]]/3,0)</f>
        <v>2</v>
      </c>
    </row>
    <row r="285" spans="1:51" x14ac:dyDescent="0.2">
      <c r="A285">
        <v>284</v>
      </c>
      <c r="B285">
        <f t="shared" si="74"/>
        <v>15</v>
      </c>
      <c r="C285" s="22">
        <v>44658</v>
      </c>
      <c r="D285">
        <f>SUM(Table2[[#This Row],[Gray Min]:[Red Min]])</f>
        <v>59</v>
      </c>
      <c r="E285">
        <v>16</v>
      </c>
      <c r="F285">
        <v>619</v>
      </c>
      <c r="G285">
        <v>123</v>
      </c>
      <c r="H285">
        <v>165</v>
      </c>
      <c r="I285">
        <v>16</v>
      </c>
      <c r="J285">
        <v>16</v>
      </c>
      <c r="K285">
        <v>11</v>
      </c>
      <c r="L285">
        <v>15</v>
      </c>
      <c r="M285">
        <v>1</v>
      </c>
      <c r="N285" t="s">
        <v>101</v>
      </c>
      <c r="O285" t="s">
        <v>39</v>
      </c>
      <c r="P285" t="s">
        <v>109</v>
      </c>
      <c r="Q285">
        <f t="shared" si="86"/>
        <v>1</v>
      </c>
      <c r="R285" t="str">
        <f t="shared" si="75"/>
        <v>4-2022</v>
      </c>
      <c r="S285" t="s">
        <v>104</v>
      </c>
      <c r="T285" t="str">
        <f t="shared" si="76"/>
        <v>Thursday</v>
      </c>
      <c r="U285">
        <f t="shared" si="77"/>
        <v>1</v>
      </c>
      <c r="V285" s="24">
        <f>IFERROR(Table2[[#This Row],[Gray Min]]/Table2[[#This Row],[ClassLength]],"")</f>
        <v>0.2711864406779661</v>
      </c>
      <c r="W285" s="24">
        <f>IFERROR(Table2[[#This Row],[Blue Min]]/Table2[[#This Row],[ClassLength]],"")</f>
        <v>0.2711864406779661</v>
      </c>
      <c r="X285" s="24">
        <f>IFERROR(Table2[[#This Row],[Green Min]]/Table2[[#This Row],[ClassLength]],"")</f>
        <v>0.1864406779661017</v>
      </c>
      <c r="Y285" s="24">
        <f>IFERROR(Table2[[#This Row],[Orange Min]]/Table2[[#This Row],[ClassLength]],"")</f>
        <v>0.25423728813559321</v>
      </c>
      <c r="Z285" s="24">
        <f>IFERROR(Table2[[#This Row],[Red Min]]/Table2[[#This Row],[ClassLength]],"")</f>
        <v>1.6949152542372881E-2</v>
      </c>
      <c r="AA285" s="25">
        <v>232.14</v>
      </c>
      <c r="AB285" s="25">
        <f t="shared" si="88"/>
        <v>15.475999999999999</v>
      </c>
      <c r="AC285" s="26">
        <f t="shared" si="78"/>
        <v>627.13333333333333</v>
      </c>
      <c r="AD285" s="26">
        <f t="shared" si="79"/>
        <v>11.866666666666667</v>
      </c>
      <c r="AE285">
        <f t="shared" si="80"/>
        <v>2022</v>
      </c>
      <c r="AG285">
        <v>12</v>
      </c>
      <c r="AH285" s="26">
        <f t="shared" si="81"/>
        <v>10.491525423728813</v>
      </c>
      <c r="AI285" t="str">
        <f t="shared" si="82"/>
        <v>PM</v>
      </c>
      <c r="AJ285" t="str">
        <f t="shared" si="83"/>
        <v>4-2022-2</v>
      </c>
      <c r="AK285">
        <f t="shared" si="84"/>
        <v>4</v>
      </c>
      <c r="AL285" s="26">
        <f>IFERROR(Table2[[#This Row],[Calories]]/Table2[[#This Row],[Splat]],"")</f>
        <v>38.6875</v>
      </c>
      <c r="AM285">
        <f>COUNTIF(N$2:$N$938,N285)</f>
        <v>191</v>
      </c>
      <c r="AN285" t="str">
        <f>VLOOKUP(N285,'Helpful Tables'!A:D,4,FALSE)</f>
        <v>Washington, DC</v>
      </c>
      <c r="AO285" s="24">
        <f>COUNTIF(AN:AN,Table2[[#This Row],[State]])/COUNTA(AN:AN)</f>
        <v>0.54904051172707891</v>
      </c>
      <c r="AP285">
        <f>VLOOKUP(N285,'Helpful Tables'!A:B,2,FALSE)</f>
        <v>38.949649000000001</v>
      </c>
      <c r="AQ285">
        <f>VLOOKUP(N285,'Helpful Tables'!A:C,3,FALSE)</f>
        <v>-77.080878999999996</v>
      </c>
      <c r="AR285">
        <f>COUNTIF(P$2:$P$938,P285)</f>
        <v>66</v>
      </c>
      <c r="AS285" cm="1">
        <f t="array" ref="AS285">_xlfn.IFS(E285&lt;6,((E285/D285)*60)*0.5,AND(E285&gt;=6,E285&lt;9),((E285/D285)*60)*0.75,AND(E285&gt;=9,E285&lt;=11),((E285/D285)*60)*0.9,AND(E285=12),((E285/D285)*60)*1,AND(E285&gt;=13,E285&lt;=15),((E285/D285)*60)*1.2,AND(E285&gt;=16,E285&lt;=19),((E285/D285)*60)*1.5,E285&gt;=20,((E285/D285)*60)*1.8)</f>
        <v>24.406779661016948</v>
      </c>
      <c r="AT285" cm="1">
        <f t="array" ref="AT285">_xlfn.IFS(F285&lt;550,((F285/D285)*60)*0.5,AND(F285&gt;=550,F285&lt;575),((F285/D285)*60)*0.75,AND(F285&gt;=575,F285&lt;600),((F285/D285)*60)*0.9,AND(F285=600),((F285/D285)*60)*1,AND(F285&gt;=601,F285&lt;=625),((F285/D285)*60)*1.2,AND(F285&gt;=626,F285&lt;=650),((F285/D285)*60)*1.5,F285&gt;=651,((F285/D285)*60)*1.8)</f>
        <v>755.38983050847457</v>
      </c>
      <c r="AU285">
        <f t="shared" si="72"/>
        <v>-2.5999999999999979</v>
      </c>
      <c r="AV285">
        <f t="shared" si="87"/>
        <v>311.39864406779662</v>
      </c>
      <c r="AW285">
        <f t="shared" si="73"/>
        <v>32</v>
      </c>
      <c r="AX285" t="str">
        <f t="shared" si="85"/>
        <v>Apr-2022</v>
      </c>
      <c r="AY285">
        <f>ROUNDUP(Table2[[#This Row],[Month]]/3,0)</f>
        <v>2</v>
      </c>
    </row>
    <row r="286" spans="1:51" x14ac:dyDescent="0.2">
      <c r="A286">
        <v>285</v>
      </c>
      <c r="B286">
        <f t="shared" si="74"/>
        <v>15</v>
      </c>
      <c r="C286" s="22">
        <v>44661</v>
      </c>
      <c r="D286">
        <f>SUM(Table2[[#This Row],[Gray Min]:[Red Min]])</f>
        <v>61</v>
      </c>
      <c r="E286">
        <v>13</v>
      </c>
      <c r="F286">
        <v>632</v>
      </c>
      <c r="G286">
        <v>122</v>
      </c>
      <c r="H286">
        <v>164</v>
      </c>
      <c r="I286">
        <v>17</v>
      </c>
      <c r="J286">
        <v>18</v>
      </c>
      <c r="K286">
        <v>13</v>
      </c>
      <c r="L286">
        <v>11</v>
      </c>
      <c r="M286">
        <v>2</v>
      </c>
      <c r="N286" t="s">
        <v>101</v>
      </c>
      <c r="O286" t="s">
        <v>45</v>
      </c>
      <c r="P286" t="s">
        <v>102</v>
      </c>
      <c r="Q286">
        <f t="shared" si="86"/>
        <v>3</v>
      </c>
      <c r="R286" t="str">
        <f t="shared" si="75"/>
        <v>4-2022</v>
      </c>
      <c r="S286" t="s">
        <v>104</v>
      </c>
      <c r="T286" t="str">
        <f t="shared" si="76"/>
        <v>Sunday</v>
      </c>
      <c r="U286">
        <f t="shared" si="77"/>
        <v>1</v>
      </c>
      <c r="V286" s="24">
        <f>IFERROR(Table2[[#This Row],[Gray Min]]/Table2[[#This Row],[ClassLength]],"")</f>
        <v>0.27868852459016391</v>
      </c>
      <c r="W286" s="24">
        <f>IFERROR(Table2[[#This Row],[Blue Min]]/Table2[[#This Row],[ClassLength]],"")</f>
        <v>0.29508196721311475</v>
      </c>
      <c r="X286" s="24">
        <f>IFERROR(Table2[[#This Row],[Green Min]]/Table2[[#This Row],[ClassLength]],"")</f>
        <v>0.21311475409836064</v>
      </c>
      <c r="Y286" s="24">
        <f>IFERROR(Table2[[#This Row],[Orange Min]]/Table2[[#This Row],[ClassLength]],"")</f>
        <v>0.18032786885245902</v>
      </c>
      <c r="Z286" s="24">
        <f>IFERROR(Table2[[#This Row],[Red Min]]/Table2[[#This Row],[ClassLength]],"")</f>
        <v>3.2786885245901641E-2</v>
      </c>
      <c r="AA286" s="25">
        <v>232.14</v>
      </c>
      <c r="AB286" s="25">
        <f t="shared" si="88"/>
        <v>15.475999999999999</v>
      </c>
      <c r="AC286" s="26">
        <f t="shared" si="78"/>
        <v>627.13333333333333</v>
      </c>
      <c r="AD286" s="26">
        <f t="shared" si="79"/>
        <v>11.866666666666667</v>
      </c>
      <c r="AE286">
        <f t="shared" si="80"/>
        <v>2022</v>
      </c>
      <c r="AG286">
        <v>12</v>
      </c>
      <c r="AH286" s="26">
        <f t="shared" si="81"/>
        <v>10.360655737704919</v>
      </c>
      <c r="AI286" t="str">
        <f t="shared" si="82"/>
        <v>AM</v>
      </c>
      <c r="AJ286" t="str">
        <f t="shared" si="83"/>
        <v>4-2022-3</v>
      </c>
      <c r="AK286">
        <f t="shared" si="84"/>
        <v>4</v>
      </c>
      <c r="AL286" s="26">
        <f>IFERROR(Table2[[#This Row],[Calories]]/Table2[[#This Row],[Splat]],"")</f>
        <v>48.615384615384613</v>
      </c>
      <c r="AM286">
        <f>COUNTIF(N$2:$N$938,N286)</f>
        <v>191</v>
      </c>
      <c r="AN286" t="str">
        <f>VLOOKUP(N286,'Helpful Tables'!A:D,4,FALSE)</f>
        <v>Washington, DC</v>
      </c>
      <c r="AO286" s="24">
        <f>COUNTIF(AN:AN,Table2[[#This Row],[State]])/COUNTA(AN:AN)</f>
        <v>0.54904051172707891</v>
      </c>
      <c r="AP286">
        <f>VLOOKUP(N286,'Helpful Tables'!A:B,2,FALSE)</f>
        <v>38.949649000000001</v>
      </c>
      <c r="AQ286">
        <f>VLOOKUP(N286,'Helpful Tables'!A:C,3,FALSE)</f>
        <v>-77.080878999999996</v>
      </c>
      <c r="AR286">
        <f>COUNTIF(P$2:$P$938,P286)</f>
        <v>20</v>
      </c>
      <c r="AS286" cm="1">
        <f t="array" ref="AS286">_xlfn.IFS(E286&lt;6,((E286/D286)*60)*0.5,AND(E286&gt;=6,E286&lt;9),((E286/D286)*60)*0.75,AND(E286&gt;=9,E286&lt;=11),((E286/D286)*60)*0.9,AND(E286=12),((E286/D286)*60)*1,AND(E286&gt;=13,E286&lt;=15),((E286/D286)*60)*1.2,AND(E286&gt;=16,E286&lt;=19),((E286/D286)*60)*1.5,E286&gt;=20,((E286/D286)*60)*1.8)</f>
        <v>15.344262295081965</v>
      </c>
      <c r="AT286" cm="1">
        <f t="array" ref="AT286">_xlfn.IFS(F286&lt;550,((F286/D286)*60)*0.5,AND(F286&gt;=550,F286&lt;575),((F286/D286)*60)*0.75,AND(F286&gt;=575,F286&lt;600),((F286/D286)*60)*0.9,AND(F286=600),((F286/D286)*60)*1,AND(F286&gt;=601,F286&lt;=625),((F286/D286)*60)*1.2,AND(F286&gt;=626,F286&lt;=650),((F286/D286)*60)*1.5,F286&gt;=651,((F286/D286)*60)*1.8)</f>
        <v>932.45901639344265</v>
      </c>
      <c r="AU286">
        <f t="shared" si="72"/>
        <v>-7.3000000000000007</v>
      </c>
      <c r="AV286">
        <f t="shared" si="87"/>
        <v>377.66131147540989</v>
      </c>
      <c r="AW286">
        <f t="shared" si="73"/>
        <v>44.3</v>
      </c>
      <c r="AX286" t="str">
        <f t="shared" si="85"/>
        <v>Apr-2022</v>
      </c>
      <c r="AY286">
        <f>ROUNDUP(Table2[[#This Row],[Month]]/3,0)</f>
        <v>2</v>
      </c>
    </row>
    <row r="287" spans="1:51" x14ac:dyDescent="0.2">
      <c r="A287">
        <v>286</v>
      </c>
      <c r="B287">
        <f t="shared" si="74"/>
        <v>15</v>
      </c>
      <c r="C287" s="22">
        <v>44662</v>
      </c>
      <c r="D287">
        <f>SUM(Table2[[#This Row],[Gray Min]:[Red Min]])</f>
        <v>59</v>
      </c>
      <c r="E287">
        <v>12</v>
      </c>
      <c r="F287">
        <v>631</v>
      </c>
      <c r="G287">
        <v>124</v>
      </c>
      <c r="H287">
        <v>165</v>
      </c>
      <c r="I287">
        <v>16</v>
      </c>
      <c r="J287">
        <v>17</v>
      </c>
      <c r="K287">
        <v>14</v>
      </c>
      <c r="L287">
        <v>12</v>
      </c>
      <c r="M287">
        <v>0</v>
      </c>
      <c r="N287" t="s">
        <v>101</v>
      </c>
      <c r="O287" t="s">
        <v>39</v>
      </c>
      <c r="P287" t="s">
        <v>133</v>
      </c>
      <c r="Q287">
        <f t="shared" si="86"/>
        <v>1</v>
      </c>
      <c r="R287" t="str">
        <f t="shared" si="75"/>
        <v>4-2022</v>
      </c>
      <c r="S287" t="s">
        <v>104</v>
      </c>
      <c r="T287" t="str">
        <f t="shared" si="76"/>
        <v>Monday</v>
      </c>
      <c r="U287">
        <f t="shared" si="77"/>
        <v>1</v>
      </c>
      <c r="V287" s="24">
        <f>IFERROR(Table2[[#This Row],[Gray Min]]/Table2[[#This Row],[ClassLength]],"")</f>
        <v>0.2711864406779661</v>
      </c>
      <c r="W287" s="24">
        <f>IFERROR(Table2[[#This Row],[Blue Min]]/Table2[[#This Row],[ClassLength]],"")</f>
        <v>0.28813559322033899</v>
      </c>
      <c r="X287" s="24">
        <f>IFERROR(Table2[[#This Row],[Green Min]]/Table2[[#This Row],[ClassLength]],"")</f>
        <v>0.23728813559322035</v>
      </c>
      <c r="Y287" s="24">
        <f>IFERROR(Table2[[#This Row],[Orange Min]]/Table2[[#This Row],[ClassLength]],"")</f>
        <v>0.20338983050847459</v>
      </c>
      <c r="Z287" s="24">
        <f>IFERROR(Table2[[#This Row],[Red Min]]/Table2[[#This Row],[ClassLength]],"")</f>
        <v>0</v>
      </c>
      <c r="AA287" s="25">
        <v>232.14</v>
      </c>
      <c r="AB287" s="25">
        <f t="shared" si="88"/>
        <v>15.475999999999999</v>
      </c>
      <c r="AC287" s="26">
        <f t="shared" si="78"/>
        <v>627.13333333333333</v>
      </c>
      <c r="AD287" s="26">
        <f t="shared" si="79"/>
        <v>11.866666666666667</v>
      </c>
      <c r="AE287">
        <f t="shared" si="80"/>
        <v>2022</v>
      </c>
      <c r="AG287">
        <v>12</v>
      </c>
      <c r="AH287" s="26">
        <f t="shared" si="81"/>
        <v>10.694915254237289</v>
      </c>
      <c r="AI287" t="str">
        <f t="shared" si="82"/>
        <v>PM</v>
      </c>
      <c r="AJ287" t="str">
        <f t="shared" si="83"/>
        <v>4-2022-3</v>
      </c>
      <c r="AK287">
        <f t="shared" si="84"/>
        <v>4</v>
      </c>
      <c r="AL287" s="26">
        <f>IFERROR(Table2[[#This Row],[Calories]]/Table2[[#This Row],[Splat]],"")</f>
        <v>52.583333333333336</v>
      </c>
      <c r="AM287">
        <f>COUNTIF(N$2:$N$938,N287)</f>
        <v>191</v>
      </c>
      <c r="AN287" t="str">
        <f>VLOOKUP(N287,'Helpful Tables'!A:D,4,FALSE)</f>
        <v>Washington, DC</v>
      </c>
      <c r="AO287" s="24">
        <f>COUNTIF(AN:AN,Table2[[#This Row],[State]])/COUNTA(AN:AN)</f>
        <v>0.54904051172707891</v>
      </c>
      <c r="AP287">
        <f>VLOOKUP(N287,'Helpful Tables'!A:B,2,FALSE)</f>
        <v>38.949649000000001</v>
      </c>
      <c r="AQ287">
        <f>VLOOKUP(N287,'Helpful Tables'!A:C,3,FALSE)</f>
        <v>-77.080878999999996</v>
      </c>
      <c r="AR287">
        <f>COUNTIF(P$2:$P$938,P287)</f>
        <v>25</v>
      </c>
      <c r="AS287" cm="1">
        <f t="array" ref="AS287">_xlfn.IFS(E287&lt;6,((E287/D287)*60)*0.5,AND(E287&gt;=6,E287&lt;9),((E287/D287)*60)*0.75,AND(E287&gt;=9,E287&lt;=11),((E287/D287)*60)*0.9,AND(E287=12),((E287/D287)*60)*1,AND(E287&gt;=13,E287&lt;=15),((E287/D287)*60)*1.2,AND(E287&gt;=16,E287&lt;=19),((E287/D287)*60)*1.5,E287&gt;=20,((E287/D287)*60)*1.8)</f>
        <v>12.203389830508476</v>
      </c>
      <c r="AT287" cm="1">
        <f t="array" ref="AT287">_xlfn.IFS(F287&lt;550,((F287/D287)*60)*0.5,AND(F287&gt;=550,F287&lt;575),((F287/D287)*60)*0.75,AND(F287&gt;=575,F287&lt;600),((F287/D287)*60)*0.9,AND(F287=600),((F287/D287)*60)*1,AND(F287&gt;=601,F287&lt;=625),((F287/D287)*60)*1.2,AND(F287&gt;=626,F287&lt;=650),((F287/D287)*60)*1.5,F287&gt;=651,((F287/D287)*60)*1.8)</f>
        <v>962.54237288135596</v>
      </c>
      <c r="AU287">
        <f t="shared" si="72"/>
        <v>-5.5000000000000036</v>
      </c>
      <c r="AV287">
        <f t="shared" si="87"/>
        <v>388.79830508474578</v>
      </c>
      <c r="AW287">
        <f t="shared" si="73"/>
        <v>47.9</v>
      </c>
      <c r="AX287" t="str">
        <f t="shared" si="85"/>
        <v>Apr-2022</v>
      </c>
      <c r="AY287">
        <f>ROUNDUP(Table2[[#This Row],[Month]]/3,0)</f>
        <v>2</v>
      </c>
    </row>
    <row r="288" spans="1:51" x14ac:dyDescent="0.2">
      <c r="A288">
        <v>287</v>
      </c>
      <c r="B288">
        <f t="shared" si="74"/>
        <v>15</v>
      </c>
      <c r="C288" s="22">
        <v>44663</v>
      </c>
      <c r="D288">
        <f>SUM(Table2[[#This Row],[Gray Min]:[Red Min]])</f>
        <v>58</v>
      </c>
      <c r="E288">
        <v>5</v>
      </c>
      <c r="F288">
        <v>605</v>
      </c>
      <c r="G288">
        <v>122</v>
      </c>
      <c r="H288">
        <v>164</v>
      </c>
      <c r="I288">
        <v>14</v>
      </c>
      <c r="J288">
        <v>17</v>
      </c>
      <c r="K288">
        <v>22</v>
      </c>
      <c r="L288">
        <v>5</v>
      </c>
      <c r="M288">
        <v>0</v>
      </c>
      <c r="N288" t="s">
        <v>30</v>
      </c>
      <c r="O288" t="s">
        <v>143</v>
      </c>
      <c r="P288" t="s">
        <v>142</v>
      </c>
      <c r="Q288">
        <f t="shared" si="86"/>
        <v>1</v>
      </c>
      <c r="R288" t="str">
        <f t="shared" si="75"/>
        <v>4-2022</v>
      </c>
      <c r="S288" t="s">
        <v>117</v>
      </c>
      <c r="T288" t="str">
        <f t="shared" si="76"/>
        <v>Tuesday</v>
      </c>
      <c r="U288">
        <f t="shared" si="77"/>
        <v>0</v>
      </c>
      <c r="V288" s="24">
        <f>IFERROR(Table2[[#This Row],[Gray Min]]/Table2[[#This Row],[ClassLength]],"")</f>
        <v>0.2413793103448276</v>
      </c>
      <c r="W288" s="24">
        <f>IFERROR(Table2[[#This Row],[Blue Min]]/Table2[[#This Row],[ClassLength]],"")</f>
        <v>0.29310344827586204</v>
      </c>
      <c r="X288" s="24">
        <f>IFERROR(Table2[[#This Row],[Green Min]]/Table2[[#This Row],[ClassLength]],"")</f>
        <v>0.37931034482758619</v>
      </c>
      <c r="Y288" s="24">
        <f>IFERROR(Table2[[#This Row],[Orange Min]]/Table2[[#This Row],[ClassLength]],"")</f>
        <v>8.6206896551724144E-2</v>
      </c>
      <c r="Z288" s="24">
        <f>IFERROR(Table2[[#This Row],[Red Min]]/Table2[[#This Row],[ClassLength]],"")</f>
        <v>0</v>
      </c>
      <c r="AA288" s="25">
        <v>232.14</v>
      </c>
      <c r="AB288" s="25">
        <f t="shared" si="88"/>
        <v>15.475999999999999</v>
      </c>
      <c r="AC288" s="26">
        <f t="shared" si="78"/>
        <v>627.13333333333333</v>
      </c>
      <c r="AD288" s="26">
        <f t="shared" si="79"/>
        <v>11.866666666666667</v>
      </c>
      <c r="AE288">
        <f t="shared" si="80"/>
        <v>2022</v>
      </c>
      <c r="AG288">
        <v>12</v>
      </c>
      <c r="AH288" s="26">
        <f t="shared" si="81"/>
        <v>10.431034482758621</v>
      </c>
      <c r="AI288" t="str">
        <f t="shared" si="82"/>
        <v>PM</v>
      </c>
      <c r="AJ288" t="str">
        <f t="shared" si="83"/>
        <v>4-2022-3</v>
      </c>
      <c r="AK288">
        <f t="shared" si="84"/>
        <v>4</v>
      </c>
      <c r="AL288" s="26">
        <f>IFERROR(Table2[[#This Row],[Calories]]/Table2[[#This Row],[Splat]],"")</f>
        <v>121</v>
      </c>
      <c r="AM288">
        <f>COUNTIF(N$2:$N$938,N288)</f>
        <v>9</v>
      </c>
      <c r="AN288" t="str">
        <f>VLOOKUP(N288,'Helpful Tables'!A:D,4,FALSE)</f>
        <v>Virginia</v>
      </c>
      <c r="AO288" s="24">
        <f>COUNTIF(AN:AN,Table2[[#This Row],[State]])/COUNTA(AN:AN)</f>
        <v>5.6503198294243072E-2</v>
      </c>
      <c r="AP288">
        <f>VLOOKUP(N288,'Helpful Tables'!A:B,2,FALSE)</f>
        <v>38.894024999999999</v>
      </c>
      <c r="AQ288">
        <f>VLOOKUP(N288,'Helpful Tables'!A:C,3,FALSE)</f>
        <v>-77.078213000000005</v>
      </c>
      <c r="AR288">
        <f>COUNTIF(P$2:$P$938,P288)</f>
        <v>2</v>
      </c>
      <c r="AS288" cm="1">
        <f t="array" ref="AS288">_xlfn.IFS(E288&lt;6,((E288/D288)*60)*0.5,AND(E288&gt;=6,E288&lt;9),((E288/D288)*60)*0.75,AND(E288&gt;=9,E288&lt;=11),((E288/D288)*60)*0.9,AND(E288=12),((E288/D288)*60)*1,AND(E288&gt;=13,E288&lt;=15),((E288/D288)*60)*1.2,AND(E288&gt;=16,E288&lt;=19),((E288/D288)*60)*1.5,E288&gt;=20,((E288/D288)*60)*1.8)</f>
        <v>2.5862068965517242</v>
      </c>
      <c r="AT288" cm="1">
        <f t="array" ref="AT288">_xlfn.IFS(F288&lt;550,((F288/D288)*60)*0.5,AND(F288&gt;=550,F288&lt;575),((F288/D288)*60)*0.75,AND(F288&gt;=575,F288&lt;600),((F288/D288)*60)*0.9,AND(F288=600),((F288/D288)*60)*1,AND(F288&gt;=601,F288&lt;=625),((F288/D288)*60)*1.2,AND(F288&gt;=626,F288&lt;=650),((F288/D288)*60)*1.5,F288&gt;=651,((F288/D288)*60)*1.8)</f>
        <v>751.03448275862058</v>
      </c>
      <c r="AU288">
        <f t="shared" si="72"/>
        <v>-2.6000000000000014</v>
      </c>
      <c r="AV288">
        <f t="shared" si="87"/>
        <v>300.92827586206897</v>
      </c>
      <c r="AW288">
        <f t="shared" si="73"/>
        <v>26.900000000000002</v>
      </c>
      <c r="AX288" t="str">
        <f t="shared" si="85"/>
        <v>Apr-2022</v>
      </c>
      <c r="AY288">
        <f>ROUNDUP(Table2[[#This Row],[Month]]/3,0)</f>
        <v>2</v>
      </c>
    </row>
    <row r="289" spans="1:51" x14ac:dyDescent="0.2">
      <c r="A289">
        <v>288</v>
      </c>
      <c r="B289">
        <f t="shared" si="74"/>
        <v>15</v>
      </c>
      <c r="C289" s="22">
        <v>44665</v>
      </c>
      <c r="D289">
        <f>SUM(Table2[[#This Row],[Gray Min]:[Red Min]])</f>
        <v>56</v>
      </c>
      <c r="E289">
        <v>13</v>
      </c>
      <c r="F289">
        <v>665</v>
      </c>
      <c r="G289">
        <v>130</v>
      </c>
      <c r="H289">
        <v>163</v>
      </c>
      <c r="I289">
        <v>7</v>
      </c>
      <c r="J289">
        <v>15</v>
      </c>
      <c r="K289">
        <v>21</v>
      </c>
      <c r="L289">
        <v>13</v>
      </c>
      <c r="M289">
        <v>0</v>
      </c>
      <c r="N289" t="s">
        <v>101</v>
      </c>
      <c r="O289" t="s">
        <v>39</v>
      </c>
      <c r="P289" t="s">
        <v>109</v>
      </c>
      <c r="Q289">
        <f t="shared" si="86"/>
        <v>2</v>
      </c>
      <c r="R289" t="str">
        <f t="shared" si="75"/>
        <v>4-2022</v>
      </c>
      <c r="S289" t="s">
        <v>104</v>
      </c>
      <c r="T289" t="str">
        <f t="shared" si="76"/>
        <v>Thursday</v>
      </c>
      <c r="U289">
        <f t="shared" si="77"/>
        <v>1</v>
      </c>
      <c r="V289" s="24">
        <f>IFERROR(Table2[[#This Row],[Gray Min]]/Table2[[#This Row],[ClassLength]],"")</f>
        <v>0.125</v>
      </c>
      <c r="W289" s="24">
        <f>IFERROR(Table2[[#This Row],[Blue Min]]/Table2[[#This Row],[ClassLength]],"")</f>
        <v>0.26785714285714285</v>
      </c>
      <c r="X289" s="24">
        <f>IFERROR(Table2[[#This Row],[Green Min]]/Table2[[#This Row],[ClassLength]],"")</f>
        <v>0.375</v>
      </c>
      <c r="Y289" s="24">
        <f>IFERROR(Table2[[#This Row],[Orange Min]]/Table2[[#This Row],[ClassLength]],"")</f>
        <v>0.23214285714285715</v>
      </c>
      <c r="Z289" s="24">
        <f>IFERROR(Table2[[#This Row],[Red Min]]/Table2[[#This Row],[ClassLength]],"")</f>
        <v>0</v>
      </c>
      <c r="AA289" s="25">
        <v>232.14</v>
      </c>
      <c r="AB289" s="25">
        <f t="shared" si="88"/>
        <v>15.475999999999999</v>
      </c>
      <c r="AC289" s="26">
        <f t="shared" si="78"/>
        <v>627.13333333333333</v>
      </c>
      <c r="AD289" s="26">
        <f t="shared" si="79"/>
        <v>11.866666666666667</v>
      </c>
      <c r="AE289">
        <f t="shared" si="80"/>
        <v>2022</v>
      </c>
      <c r="AG289">
        <v>12</v>
      </c>
      <c r="AH289" s="26">
        <f t="shared" si="81"/>
        <v>11.875</v>
      </c>
      <c r="AI289" t="str">
        <f t="shared" si="82"/>
        <v>PM</v>
      </c>
      <c r="AJ289" t="str">
        <f t="shared" si="83"/>
        <v>4-2022-3</v>
      </c>
      <c r="AK289">
        <f t="shared" si="84"/>
        <v>4</v>
      </c>
      <c r="AL289" s="26">
        <f>IFERROR(Table2[[#This Row],[Calories]]/Table2[[#This Row],[Splat]],"")</f>
        <v>51.153846153846153</v>
      </c>
      <c r="AM289">
        <f>COUNTIF(N$2:$N$938,N289)</f>
        <v>191</v>
      </c>
      <c r="AN289" t="str">
        <f>VLOOKUP(N289,'Helpful Tables'!A:D,4,FALSE)</f>
        <v>Washington, DC</v>
      </c>
      <c r="AO289" s="24">
        <f>COUNTIF(AN:AN,Table2[[#This Row],[State]])/COUNTA(AN:AN)</f>
        <v>0.54904051172707891</v>
      </c>
      <c r="AP289">
        <f>VLOOKUP(N289,'Helpful Tables'!A:B,2,FALSE)</f>
        <v>38.949649000000001</v>
      </c>
      <c r="AQ289">
        <f>VLOOKUP(N289,'Helpful Tables'!A:C,3,FALSE)</f>
        <v>-77.080878999999996</v>
      </c>
      <c r="AR289">
        <f>COUNTIF(P$2:$P$938,P289)</f>
        <v>66</v>
      </c>
      <c r="AS289" cm="1">
        <f t="array" ref="AS289">_xlfn.IFS(E289&lt;6,((E289/D289)*60)*0.5,AND(E289&gt;=6,E289&lt;9),((E289/D289)*60)*0.75,AND(E289&gt;=9,E289&lt;=11),((E289/D289)*60)*0.9,AND(E289=12),((E289/D289)*60)*1,AND(E289&gt;=13,E289&lt;=15),((E289/D289)*60)*1.2,AND(E289&gt;=16,E289&lt;=19),((E289/D289)*60)*1.5,E289&gt;=20,((E289/D289)*60)*1.8)</f>
        <v>16.714285714285715</v>
      </c>
      <c r="AT289" cm="1">
        <f t="array" ref="AT289">_xlfn.IFS(F289&lt;550,((F289/D289)*60)*0.5,AND(F289&gt;=550,F289&lt;575),((F289/D289)*60)*0.75,AND(F289&gt;=575,F289&lt;600),((F289/D289)*60)*0.9,AND(F289=600),((F289/D289)*60)*1,AND(F289&gt;=601,F289&lt;=625),((F289/D289)*60)*1.2,AND(F289&gt;=626,F289&lt;=650),((F289/D289)*60)*1.5,F289&gt;=651,((F289/D289)*60)*1.8)</f>
        <v>1282.5</v>
      </c>
      <c r="AU289">
        <f t="shared" si="72"/>
        <v>17.200000000000003</v>
      </c>
      <c r="AV289">
        <f t="shared" si="87"/>
        <v>523.12571428571437</v>
      </c>
      <c r="AW289">
        <f t="shared" si="73"/>
        <v>91.600000000000009</v>
      </c>
      <c r="AX289" t="str">
        <f t="shared" si="85"/>
        <v>Apr-2022</v>
      </c>
      <c r="AY289">
        <f>ROUNDUP(Table2[[#This Row],[Month]]/3,0)</f>
        <v>2</v>
      </c>
    </row>
    <row r="290" spans="1:51" x14ac:dyDescent="0.2">
      <c r="A290">
        <v>289</v>
      </c>
      <c r="B290">
        <f t="shared" si="74"/>
        <v>15</v>
      </c>
      <c r="C290" s="22">
        <v>44667</v>
      </c>
      <c r="D290">
        <f>SUM(Table2[[#This Row],[Gray Min]:[Red Min]])</f>
        <v>58</v>
      </c>
      <c r="E290">
        <v>13</v>
      </c>
      <c r="F290">
        <v>694</v>
      </c>
      <c r="G290">
        <v>133</v>
      </c>
      <c r="H290">
        <v>165</v>
      </c>
      <c r="I290">
        <v>6</v>
      </c>
      <c r="J290">
        <v>10</v>
      </c>
      <c r="K290">
        <v>29</v>
      </c>
      <c r="L290">
        <v>9</v>
      </c>
      <c r="M290">
        <v>4</v>
      </c>
      <c r="N290" t="s">
        <v>91</v>
      </c>
      <c r="O290" t="s">
        <v>79</v>
      </c>
      <c r="P290" t="s">
        <v>98</v>
      </c>
      <c r="Q290">
        <f t="shared" si="86"/>
        <v>2</v>
      </c>
      <c r="R290" t="str">
        <f t="shared" si="75"/>
        <v>4-2022</v>
      </c>
      <c r="S290" t="s">
        <v>104</v>
      </c>
      <c r="T290" t="str">
        <f t="shared" si="76"/>
        <v>Saturday</v>
      </c>
      <c r="U290">
        <f t="shared" si="77"/>
        <v>1</v>
      </c>
      <c r="V290" s="24">
        <f>IFERROR(Table2[[#This Row],[Gray Min]]/Table2[[#This Row],[ClassLength]],"")</f>
        <v>0.10344827586206896</v>
      </c>
      <c r="W290" s="24">
        <f>IFERROR(Table2[[#This Row],[Blue Min]]/Table2[[#This Row],[ClassLength]],"")</f>
        <v>0.17241379310344829</v>
      </c>
      <c r="X290" s="24">
        <f>IFERROR(Table2[[#This Row],[Green Min]]/Table2[[#This Row],[ClassLength]],"")</f>
        <v>0.5</v>
      </c>
      <c r="Y290" s="24">
        <f>IFERROR(Table2[[#This Row],[Orange Min]]/Table2[[#This Row],[ClassLength]],"")</f>
        <v>0.15517241379310345</v>
      </c>
      <c r="Z290" s="24">
        <f>IFERROR(Table2[[#This Row],[Red Min]]/Table2[[#This Row],[ClassLength]],"")</f>
        <v>6.8965517241379309E-2</v>
      </c>
      <c r="AA290" s="25">
        <v>232.14</v>
      </c>
      <c r="AB290" s="25">
        <f t="shared" si="88"/>
        <v>15.475999999999999</v>
      </c>
      <c r="AC290" s="26">
        <f t="shared" si="78"/>
        <v>627.13333333333333</v>
      </c>
      <c r="AD290" s="26">
        <f t="shared" si="79"/>
        <v>11.866666666666667</v>
      </c>
      <c r="AE290">
        <f t="shared" si="80"/>
        <v>2022</v>
      </c>
      <c r="AG290">
        <v>12</v>
      </c>
      <c r="AH290" s="26">
        <f t="shared" si="81"/>
        <v>11.96551724137931</v>
      </c>
      <c r="AI290" t="str">
        <f t="shared" si="82"/>
        <v>AM</v>
      </c>
      <c r="AJ290" t="str">
        <f t="shared" si="83"/>
        <v>4-2022-3</v>
      </c>
      <c r="AK290">
        <f t="shared" si="84"/>
        <v>4</v>
      </c>
      <c r="AL290" s="26">
        <f>IFERROR(Table2[[#This Row],[Calories]]/Table2[[#This Row],[Splat]],"")</f>
        <v>53.384615384615387</v>
      </c>
      <c r="AM290">
        <f>COUNTIF(N$2:$N$938,N290)</f>
        <v>218</v>
      </c>
      <c r="AN290" t="str">
        <f>VLOOKUP(N290,'Helpful Tables'!A:D,4,FALSE)</f>
        <v>Washington, DC</v>
      </c>
      <c r="AO290" s="24">
        <f>COUNTIF(AN:AN,Table2[[#This Row],[State]])/COUNTA(AN:AN)</f>
        <v>0.54904051172707891</v>
      </c>
      <c r="AP290">
        <f>VLOOKUP(N290,'Helpful Tables'!A:B,2,FALSE)</f>
        <v>38.934710000000003</v>
      </c>
      <c r="AQ290">
        <f>VLOOKUP(N290,'Helpful Tables'!A:C,3,FALSE)</f>
        <v>-77.058222999999998</v>
      </c>
      <c r="AR290">
        <f>COUNTIF(P$2:$P$938,P290)</f>
        <v>28</v>
      </c>
      <c r="AS290" cm="1">
        <f t="array" ref="AS290">_xlfn.IFS(E290&lt;6,((E290/D290)*60)*0.5,AND(E290&gt;=6,E290&lt;9),((E290/D290)*60)*0.75,AND(E290&gt;=9,E290&lt;=11),((E290/D290)*60)*0.9,AND(E290=12),((E290/D290)*60)*1,AND(E290&gt;=13,E290&lt;=15),((E290/D290)*60)*1.2,AND(E290&gt;=16,E290&lt;=19),((E290/D290)*60)*1.5,E290&gt;=20,((E290/D290)*60)*1.8)</f>
        <v>16.137931034482758</v>
      </c>
      <c r="AT290" cm="1">
        <f t="array" ref="AT290">_xlfn.IFS(F290&lt;550,((F290/D290)*60)*0.5,AND(F290&gt;=550,F290&lt;575),((F290/D290)*60)*0.75,AND(F290&gt;=575,F290&lt;600),((F290/D290)*60)*0.9,AND(F290=600),((F290/D290)*60)*1,AND(F290&gt;=601,F290&lt;=625),((F290/D290)*60)*1.2,AND(F290&gt;=626,F290&lt;=650),((F290/D290)*60)*1.5,F290&gt;=651,((F290/D290)*60)*1.8)</f>
        <v>1292.2758620689656</v>
      </c>
      <c r="AU290">
        <f t="shared" si="72"/>
        <v>34.299999999999997</v>
      </c>
      <c r="AV290">
        <f t="shared" si="87"/>
        <v>530.22551724137941</v>
      </c>
      <c r="AW290">
        <f t="shared" si="73"/>
        <v>93.7</v>
      </c>
      <c r="AX290" t="str">
        <f t="shared" si="85"/>
        <v>Apr-2022</v>
      </c>
      <c r="AY290">
        <f>ROUNDUP(Table2[[#This Row],[Month]]/3,0)</f>
        <v>2</v>
      </c>
    </row>
    <row r="291" spans="1:51" x14ac:dyDescent="0.2">
      <c r="A291">
        <v>290</v>
      </c>
      <c r="B291">
        <f t="shared" si="74"/>
        <v>15</v>
      </c>
      <c r="C291" s="22">
        <v>44669</v>
      </c>
      <c r="D291">
        <f>SUM(Table2[[#This Row],[Gray Min]:[Red Min]])</f>
        <v>58</v>
      </c>
      <c r="E291">
        <v>15</v>
      </c>
      <c r="F291">
        <v>659</v>
      </c>
      <c r="G291">
        <v>127</v>
      </c>
      <c r="H291">
        <v>166</v>
      </c>
      <c r="I291">
        <v>13</v>
      </c>
      <c r="J291">
        <v>15</v>
      </c>
      <c r="K291">
        <v>15</v>
      </c>
      <c r="L291">
        <v>13</v>
      </c>
      <c r="M291">
        <v>2</v>
      </c>
      <c r="N291" t="s">
        <v>101</v>
      </c>
      <c r="O291" t="s">
        <v>39</v>
      </c>
      <c r="P291" t="s">
        <v>109</v>
      </c>
      <c r="Q291">
        <f t="shared" si="86"/>
        <v>2</v>
      </c>
      <c r="R291" t="str">
        <f t="shared" si="75"/>
        <v>4-2022</v>
      </c>
      <c r="S291" t="s">
        <v>104</v>
      </c>
      <c r="T291" t="str">
        <f t="shared" si="76"/>
        <v>Monday</v>
      </c>
      <c r="U291">
        <f t="shared" si="77"/>
        <v>1</v>
      </c>
      <c r="V291" s="24">
        <f>IFERROR(Table2[[#This Row],[Gray Min]]/Table2[[#This Row],[ClassLength]],"")</f>
        <v>0.22413793103448276</v>
      </c>
      <c r="W291" s="24">
        <f>IFERROR(Table2[[#This Row],[Blue Min]]/Table2[[#This Row],[ClassLength]],"")</f>
        <v>0.25862068965517243</v>
      </c>
      <c r="X291" s="24">
        <f>IFERROR(Table2[[#This Row],[Green Min]]/Table2[[#This Row],[ClassLength]],"")</f>
        <v>0.25862068965517243</v>
      </c>
      <c r="Y291" s="24">
        <f>IFERROR(Table2[[#This Row],[Orange Min]]/Table2[[#This Row],[ClassLength]],"")</f>
        <v>0.22413793103448276</v>
      </c>
      <c r="Z291" s="24">
        <f>IFERROR(Table2[[#This Row],[Red Min]]/Table2[[#This Row],[ClassLength]],"")</f>
        <v>3.4482758620689655E-2</v>
      </c>
      <c r="AA291" s="25">
        <v>232.14</v>
      </c>
      <c r="AB291" s="25">
        <f t="shared" si="88"/>
        <v>15.475999999999999</v>
      </c>
      <c r="AC291" s="26">
        <f t="shared" si="78"/>
        <v>627.13333333333333</v>
      </c>
      <c r="AD291" s="26">
        <f t="shared" si="79"/>
        <v>11.866666666666667</v>
      </c>
      <c r="AE291">
        <f t="shared" si="80"/>
        <v>2022</v>
      </c>
      <c r="AG291">
        <v>12</v>
      </c>
      <c r="AH291" s="26">
        <f t="shared" si="81"/>
        <v>11.362068965517242</v>
      </c>
      <c r="AI291" t="str">
        <f t="shared" si="82"/>
        <v>PM</v>
      </c>
      <c r="AJ291" t="str">
        <f t="shared" si="83"/>
        <v>4-2022-4</v>
      </c>
      <c r="AK291">
        <f t="shared" si="84"/>
        <v>4</v>
      </c>
      <c r="AL291" s="26">
        <f>IFERROR(Table2[[#This Row],[Calories]]/Table2[[#This Row],[Splat]],"")</f>
        <v>43.93333333333333</v>
      </c>
      <c r="AM291">
        <f>COUNTIF(N$2:$N$938,N291)</f>
        <v>191</v>
      </c>
      <c r="AN291" t="str">
        <f>VLOOKUP(N291,'Helpful Tables'!A:D,4,FALSE)</f>
        <v>Washington, DC</v>
      </c>
      <c r="AO291" s="24">
        <f>COUNTIF(AN:AN,Table2[[#This Row],[State]])/COUNTA(AN:AN)</f>
        <v>0.54904051172707891</v>
      </c>
      <c r="AP291">
        <f>VLOOKUP(N291,'Helpful Tables'!A:B,2,FALSE)</f>
        <v>38.949649000000001</v>
      </c>
      <c r="AQ291">
        <f>VLOOKUP(N291,'Helpful Tables'!A:C,3,FALSE)</f>
        <v>-77.080878999999996</v>
      </c>
      <c r="AR291">
        <f>COUNTIF(P$2:$P$938,P291)</f>
        <v>66</v>
      </c>
      <c r="AS291" cm="1">
        <f t="array" ref="AS291">_xlfn.IFS(E291&lt;6,((E291/D291)*60)*0.5,AND(E291&gt;=6,E291&lt;9),((E291/D291)*60)*0.75,AND(E291&gt;=9,E291&lt;=11),((E291/D291)*60)*0.9,AND(E291=12),((E291/D291)*60)*1,AND(E291&gt;=13,E291&lt;=15),((E291/D291)*60)*1.2,AND(E291&gt;=16,E291&lt;=19),((E291/D291)*60)*1.5,E291&gt;=20,((E291/D291)*60)*1.8)</f>
        <v>18.620689655172413</v>
      </c>
      <c r="AT291" cm="1">
        <f t="array" ref="AT291">_xlfn.IFS(F291&lt;550,((F291/D291)*60)*0.5,AND(F291&gt;=550,F291&lt;575),((F291/D291)*60)*0.75,AND(F291&gt;=575,F291&lt;600),((F291/D291)*60)*0.9,AND(F291=600),((F291/D291)*60)*1,AND(F291&gt;=601,F291&lt;=625),((F291/D291)*60)*1.2,AND(F291&gt;=626,F291&lt;=650),((F291/D291)*60)*1.5,F291&gt;=651,((F291/D291)*60)*1.8)</f>
        <v>1227.1034482758621</v>
      </c>
      <c r="AU291">
        <f t="shared" si="72"/>
        <v>5.8000000000000007</v>
      </c>
      <c r="AV291">
        <f t="shared" si="87"/>
        <v>499.44965517241383</v>
      </c>
      <c r="AW291">
        <f t="shared" si="73"/>
        <v>78.7</v>
      </c>
      <c r="AX291" t="str">
        <f t="shared" si="85"/>
        <v>Apr-2022</v>
      </c>
      <c r="AY291">
        <f>ROUNDUP(Table2[[#This Row],[Month]]/3,0)</f>
        <v>2</v>
      </c>
    </row>
    <row r="292" spans="1:51" x14ac:dyDescent="0.2">
      <c r="A292">
        <v>291</v>
      </c>
      <c r="B292">
        <f t="shared" si="74"/>
        <v>15</v>
      </c>
      <c r="C292" s="22">
        <v>44671</v>
      </c>
      <c r="D292">
        <f>SUM(Table2[[#This Row],[Gray Min]:[Red Min]])</f>
        <v>57</v>
      </c>
      <c r="E292">
        <v>7</v>
      </c>
      <c r="F292">
        <v>626</v>
      </c>
      <c r="G292">
        <v>125</v>
      </c>
      <c r="H292">
        <v>167</v>
      </c>
      <c r="I292">
        <v>9</v>
      </c>
      <c r="J292">
        <v>17</v>
      </c>
      <c r="K292">
        <v>24</v>
      </c>
      <c r="L292">
        <v>6</v>
      </c>
      <c r="M292">
        <v>1</v>
      </c>
      <c r="N292" t="s">
        <v>91</v>
      </c>
      <c r="O292" t="s">
        <v>39</v>
      </c>
      <c r="P292" t="s">
        <v>118</v>
      </c>
      <c r="Q292">
        <f t="shared" si="86"/>
        <v>2</v>
      </c>
      <c r="R292" t="str">
        <f t="shared" si="75"/>
        <v>4-2022</v>
      </c>
      <c r="S292" t="s">
        <v>117</v>
      </c>
      <c r="T292" t="str">
        <f t="shared" si="76"/>
        <v>Wednesday</v>
      </c>
      <c r="U292">
        <f t="shared" si="77"/>
        <v>0</v>
      </c>
      <c r="V292" s="24">
        <f>IFERROR(Table2[[#This Row],[Gray Min]]/Table2[[#This Row],[ClassLength]],"")</f>
        <v>0.15789473684210525</v>
      </c>
      <c r="W292" s="24">
        <f>IFERROR(Table2[[#This Row],[Blue Min]]/Table2[[#This Row],[ClassLength]],"")</f>
        <v>0.2982456140350877</v>
      </c>
      <c r="X292" s="24">
        <f>IFERROR(Table2[[#This Row],[Green Min]]/Table2[[#This Row],[ClassLength]],"")</f>
        <v>0.42105263157894735</v>
      </c>
      <c r="Y292" s="24">
        <f>IFERROR(Table2[[#This Row],[Orange Min]]/Table2[[#This Row],[ClassLength]],"")</f>
        <v>0.10526315789473684</v>
      </c>
      <c r="Z292" s="24">
        <f>IFERROR(Table2[[#This Row],[Red Min]]/Table2[[#This Row],[ClassLength]],"")</f>
        <v>1.7543859649122806E-2</v>
      </c>
      <c r="AA292" s="25">
        <v>232.14</v>
      </c>
      <c r="AB292" s="25">
        <f t="shared" si="88"/>
        <v>15.475999999999999</v>
      </c>
      <c r="AC292" s="26">
        <f t="shared" si="78"/>
        <v>627.13333333333333</v>
      </c>
      <c r="AD292" s="26">
        <f t="shared" si="79"/>
        <v>11.866666666666667</v>
      </c>
      <c r="AE292">
        <f t="shared" si="80"/>
        <v>2022</v>
      </c>
      <c r="AG292">
        <v>12</v>
      </c>
      <c r="AH292" s="26">
        <f t="shared" si="81"/>
        <v>10.982456140350877</v>
      </c>
      <c r="AI292" t="str">
        <f t="shared" si="82"/>
        <v>PM</v>
      </c>
      <c r="AJ292" t="str">
        <f t="shared" si="83"/>
        <v>4-2022-4</v>
      </c>
      <c r="AK292">
        <f t="shared" si="84"/>
        <v>4</v>
      </c>
      <c r="AL292" s="26">
        <f>IFERROR(Table2[[#This Row],[Calories]]/Table2[[#This Row],[Splat]],"")</f>
        <v>89.428571428571431</v>
      </c>
      <c r="AM292">
        <f>COUNTIF(N$2:$N$938,N292)</f>
        <v>218</v>
      </c>
      <c r="AN292" t="str">
        <f>VLOOKUP(N292,'Helpful Tables'!A:D,4,FALSE)</f>
        <v>Washington, DC</v>
      </c>
      <c r="AO292" s="24">
        <f>COUNTIF(AN:AN,Table2[[#This Row],[State]])/COUNTA(AN:AN)</f>
        <v>0.54904051172707891</v>
      </c>
      <c r="AP292">
        <f>VLOOKUP(N292,'Helpful Tables'!A:B,2,FALSE)</f>
        <v>38.934710000000003</v>
      </c>
      <c r="AQ292">
        <f>VLOOKUP(N292,'Helpful Tables'!A:C,3,FALSE)</f>
        <v>-77.058222999999998</v>
      </c>
      <c r="AR292">
        <f>COUNTIF(P$2:$P$938,P292)</f>
        <v>16</v>
      </c>
      <c r="AS292" cm="1">
        <f t="array" ref="AS292">_xlfn.IFS(E292&lt;6,((E292/D292)*60)*0.5,AND(E292&gt;=6,E292&lt;9),((E292/D292)*60)*0.75,AND(E292&gt;=9,E292&lt;=11),((E292/D292)*60)*0.9,AND(E292=12),((E292/D292)*60)*1,AND(E292&gt;=13,E292&lt;=15),((E292/D292)*60)*1.2,AND(E292&gt;=16,E292&lt;=19),((E292/D292)*60)*1.5,E292&gt;=20,((E292/D292)*60)*1.8)</f>
        <v>5.5263157894736841</v>
      </c>
      <c r="AT292" cm="1">
        <f t="array" ref="AT292">_xlfn.IFS(F292&lt;550,((F292/D292)*60)*0.5,AND(F292&gt;=550,F292&lt;575),((F292/D292)*60)*0.75,AND(F292&gt;=575,F292&lt;600),((F292/D292)*60)*0.9,AND(F292=600),((F292/D292)*60)*1,AND(F292&gt;=601,F292&lt;=625),((F292/D292)*60)*1.2,AND(F292&gt;=626,F292&lt;=650),((F292/D292)*60)*1.5,F292&gt;=651,((F292/D292)*60)*1.8)</f>
        <v>988.42105263157896</v>
      </c>
      <c r="AU292">
        <f t="shared" si="72"/>
        <v>8.5999999999999979</v>
      </c>
      <c r="AV292">
        <f t="shared" si="87"/>
        <v>399.29894736842112</v>
      </c>
      <c r="AW292">
        <f t="shared" si="73"/>
        <v>52.800000000000004</v>
      </c>
      <c r="AX292" t="str">
        <f t="shared" si="85"/>
        <v>Apr-2022</v>
      </c>
      <c r="AY292">
        <f>ROUNDUP(Table2[[#This Row],[Month]]/3,0)</f>
        <v>2</v>
      </c>
    </row>
    <row r="293" spans="1:51" x14ac:dyDescent="0.2">
      <c r="A293">
        <v>292</v>
      </c>
      <c r="B293">
        <f t="shared" si="74"/>
        <v>15</v>
      </c>
      <c r="C293" s="22">
        <v>44678</v>
      </c>
      <c r="D293">
        <f>SUM(Table2[[#This Row],[Gray Min]:[Red Min]])</f>
        <v>57</v>
      </c>
      <c r="E293">
        <v>4</v>
      </c>
      <c r="F293">
        <v>498</v>
      </c>
      <c r="G293">
        <v>110</v>
      </c>
      <c r="H293">
        <v>161</v>
      </c>
      <c r="I293">
        <v>27</v>
      </c>
      <c r="J293">
        <v>15</v>
      </c>
      <c r="K293">
        <v>11</v>
      </c>
      <c r="L293">
        <v>4</v>
      </c>
      <c r="M293">
        <v>0</v>
      </c>
      <c r="N293" t="s">
        <v>91</v>
      </c>
      <c r="O293" t="s">
        <v>39</v>
      </c>
      <c r="P293" t="s">
        <v>96</v>
      </c>
      <c r="Q293">
        <f t="shared" si="86"/>
        <v>7</v>
      </c>
      <c r="R293" t="str">
        <f t="shared" si="75"/>
        <v>4-2022</v>
      </c>
      <c r="S293" t="s">
        <v>117</v>
      </c>
      <c r="T293" t="str">
        <f t="shared" si="76"/>
        <v>Wednesday</v>
      </c>
      <c r="U293">
        <f t="shared" si="77"/>
        <v>0</v>
      </c>
      <c r="V293" s="24">
        <f>IFERROR(Table2[[#This Row],[Gray Min]]/Table2[[#This Row],[ClassLength]],"")</f>
        <v>0.47368421052631576</v>
      </c>
      <c r="W293" s="24">
        <f>IFERROR(Table2[[#This Row],[Blue Min]]/Table2[[#This Row],[ClassLength]],"")</f>
        <v>0.26315789473684209</v>
      </c>
      <c r="X293" s="24">
        <f>IFERROR(Table2[[#This Row],[Green Min]]/Table2[[#This Row],[ClassLength]],"")</f>
        <v>0.19298245614035087</v>
      </c>
      <c r="Y293" s="24">
        <f>IFERROR(Table2[[#This Row],[Orange Min]]/Table2[[#This Row],[ClassLength]],"")</f>
        <v>7.0175438596491224E-2</v>
      </c>
      <c r="Z293" s="24">
        <f>IFERROR(Table2[[#This Row],[Red Min]]/Table2[[#This Row],[ClassLength]],"")</f>
        <v>0</v>
      </c>
      <c r="AA293" s="25">
        <v>232.14</v>
      </c>
      <c r="AB293" s="25">
        <f t="shared" si="88"/>
        <v>15.475999999999999</v>
      </c>
      <c r="AC293" s="26">
        <f t="shared" si="78"/>
        <v>627.13333333333333</v>
      </c>
      <c r="AD293" s="26">
        <f t="shared" si="79"/>
        <v>11.866666666666667</v>
      </c>
      <c r="AE293">
        <f t="shared" si="80"/>
        <v>2022</v>
      </c>
      <c r="AG293">
        <v>12</v>
      </c>
      <c r="AH293" s="26">
        <f t="shared" si="81"/>
        <v>8.7368421052631575</v>
      </c>
      <c r="AI293" t="str">
        <f t="shared" si="82"/>
        <v>PM</v>
      </c>
      <c r="AJ293" t="str">
        <f t="shared" si="83"/>
        <v>4-2022-5</v>
      </c>
      <c r="AK293">
        <f t="shared" si="84"/>
        <v>4</v>
      </c>
      <c r="AL293" s="26">
        <f>IFERROR(Table2[[#This Row],[Calories]]/Table2[[#This Row],[Splat]],"")</f>
        <v>124.5</v>
      </c>
      <c r="AM293">
        <f>COUNTIF(N$2:$N$938,N293)</f>
        <v>218</v>
      </c>
      <c r="AN293" t="str">
        <f>VLOOKUP(N293,'Helpful Tables'!A:D,4,FALSE)</f>
        <v>Washington, DC</v>
      </c>
      <c r="AO293" s="24">
        <f>COUNTIF(AN:AN,Table2[[#This Row],[State]])/COUNTA(AN:AN)</f>
        <v>0.54904051172707891</v>
      </c>
      <c r="AP293">
        <f>VLOOKUP(N293,'Helpful Tables'!A:B,2,FALSE)</f>
        <v>38.934710000000003</v>
      </c>
      <c r="AQ293">
        <f>VLOOKUP(N293,'Helpful Tables'!A:C,3,FALSE)</f>
        <v>-77.058222999999998</v>
      </c>
      <c r="AR293">
        <f>COUNTIF(P$2:$P$938,P293)</f>
        <v>71</v>
      </c>
      <c r="AS293" cm="1">
        <f t="array" ref="AS293">_xlfn.IFS(E293&lt;6,((E293/D293)*60)*0.5,AND(E293&gt;=6,E293&lt;9),((E293/D293)*60)*0.75,AND(E293&gt;=9,E293&lt;=11),((E293/D293)*60)*0.9,AND(E293=12),((E293/D293)*60)*1,AND(E293&gt;=13,E293&lt;=15),((E293/D293)*60)*1.2,AND(E293&gt;=16,E293&lt;=19),((E293/D293)*60)*1.5,E293&gt;=20,((E293/D293)*60)*1.8)</f>
        <v>2.1052631578947367</v>
      </c>
      <c r="AT293" cm="1">
        <f t="array" ref="AT293">_xlfn.IFS(F293&lt;550,((F293/D293)*60)*0.5,AND(F293&gt;=550,F293&lt;575),((F293/D293)*60)*0.75,AND(F293&gt;=575,F293&lt;600),((F293/D293)*60)*0.9,AND(F293=600),((F293/D293)*60)*1,AND(F293&gt;=601,F293&lt;=625),((F293/D293)*60)*1.2,AND(F293&gt;=626,F293&lt;=650),((F293/D293)*60)*1.5,F293&gt;=651,((F293/D293)*60)*1.8)</f>
        <v>262.10526315789474</v>
      </c>
      <c r="AU293">
        <f t="shared" si="72"/>
        <v>-30.500000000000004</v>
      </c>
      <c r="AV293">
        <f t="shared" si="87"/>
        <v>99.584210526315786</v>
      </c>
      <c r="AW293">
        <f t="shared" si="73"/>
        <v>0.8</v>
      </c>
      <c r="AX293" t="str">
        <f t="shared" si="85"/>
        <v>Apr-2022</v>
      </c>
      <c r="AY293">
        <f>ROUNDUP(Table2[[#This Row],[Month]]/3,0)</f>
        <v>2</v>
      </c>
    </row>
    <row r="294" spans="1:51" x14ac:dyDescent="0.2">
      <c r="A294">
        <v>293</v>
      </c>
      <c r="B294">
        <f t="shared" si="74"/>
        <v>15</v>
      </c>
      <c r="C294" s="22">
        <v>44679</v>
      </c>
      <c r="D294">
        <f>SUM(Table2[[#This Row],[Gray Min]:[Red Min]])</f>
        <v>56</v>
      </c>
      <c r="E294">
        <v>15</v>
      </c>
      <c r="F294">
        <v>613</v>
      </c>
      <c r="G294">
        <v>125</v>
      </c>
      <c r="H294">
        <v>165</v>
      </c>
      <c r="I294">
        <v>12</v>
      </c>
      <c r="J294">
        <v>20</v>
      </c>
      <c r="K294">
        <v>9</v>
      </c>
      <c r="L294">
        <v>14</v>
      </c>
      <c r="M294">
        <v>1</v>
      </c>
      <c r="N294" t="s">
        <v>101</v>
      </c>
      <c r="O294" t="s">
        <v>39</v>
      </c>
      <c r="P294" t="s">
        <v>109</v>
      </c>
      <c r="Q294">
        <f t="shared" si="86"/>
        <v>1</v>
      </c>
      <c r="R294" t="str">
        <f t="shared" si="75"/>
        <v>4-2022</v>
      </c>
      <c r="S294" t="s">
        <v>104</v>
      </c>
      <c r="T294" t="str">
        <f t="shared" si="76"/>
        <v>Thursday</v>
      </c>
      <c r="U294">
        <f t="shared" si="77"/>
        <v>1</v>
      </c>
      <c r="V294" s="24">
        <f>IFERROR(Table2[[#This Row],[Gray Min]]/Table2[[#This Row],[ClassLength]],"")</f>
        <v>0.21428571428571427</v>
      </c>
      <c r="W294" s="24">
        <f>IFERROR(Table2[[#This Row],[Blue Min]]/Table2[[#This Row],[ClassLength]],"")</f>
        <v>0.35714285714285715</v>
      </c>
      <c r="X294" s="24">
        <f>IFERROR(Table2[[#This Row],[Green Min]]/Table2[[#This Row],[ClassLength]],"")</f>
        <v>0.16071428571428573</v>
      </c>
      <c r="Y294" s="24">
        <f>IFERROR(Table2[[#This Row],[Orange Min]]/Table2[[#This Row],[ClassLength]],"")</f>
        <v>0.25</v>
      </c>
      <c r="Z294" s="24">
        <f>IFERROR(Table2[[#This Row],[Red Min]]/Table2[[#This Row],[ClassLength]],"")</f>
        <v>1.7857142857142856E-2</v>
      </c>
      <c r="AA294" s="25">
        <v>232.14</v>
      </c>
      <c r="AB294" s="25">
        <f t="shared" si="88"/>
        <v>15.475999999999999</v>
      </c>
      <c r="AC294" s="26">
        <f t="shared" si="78"/>
        <v>627.13333333333333</v>
      </c>
      <c r="AD294" s="26">
        <f t="shared" si="79"/>
        <v>11.866666666666667</v>
      </c>
      <c r="AE294">
        <f t="shared" si="80"/>
        <v>2022</v>
      </c>
      <c r="AG294">
        <v>12</v>
      </c>
      <c r="AH294" s="26">
        <f t="shared" si="81"/>
        <v>10.946428571428571</v>
      </c>
      <c r="AI294" t="str">
        <f t="shared" si="82"/>
        <v>PM</v>
      </c>
      <c r="AJ294" t="str">
        <f t="shared" si="83"/>
        <v>4-2022-5</v>
      </c>
      <c r="AK294">
        <f t="shared" si="84"/>
        <v>4</v>
      </c>
      <c r="AL294" s="26">
        <f>IFERROR(Table2[[#This Row],[Calories]]/Table2[[#This Row],[Splat]],"")</f>
        <v>40.866666666666667</v>
      </c>
      <c r="AM294">
        <f>COUNTIF(N$2:$N$938,N294)</f>
        <v>191</v>
      </c>
      <c r="AN294" t="str">
        <f>VLOOKUP(N294,'Helpful Tables'!A:D,4,FALSE)</f>
        <v>Washington, DC</v>
      </c>
      <c r="AO294" s="24">
        <f>COUNTIF(AN:AN,Table2[[#This Row],[State]])/COUNTA(AN:AN)</f>
        <v>0.54904051172707891</v>
      </c>
      <c r="AP294">
        <f>VLOOKUP(N294,'Helpful Tables'!A:B,2,FALSE)</f>
        <v>38.949649000000001</v>
      </c>
      <c r="AQ294">
        <f>VLOOKUP(N294,'Helpful Tables'!A:C,3,FALSE)</f>
        <v>-77.080878999999996</v>
      </c>
      <c r="AR294">
        <f>COUNTIF(P$2:$P$938,P294)</f>
        <v>66</v>
      </c>
      <c r="AS294" cm="1">
        <f t="array" ref="AS294">_xlfn.IFS(E294&lt;6,((E294/D294)*60)*0.5,AND(E294&gt;=6,E294&lt;9),((E294/D294)*60)*0.75,AND(E294&gt;=9,E294&lt;=11),((E294/D294)*60)*0.9,AND(E294=12),((E294/D294)*60)*1,AND(E294&gt;=13,E294&lt;=15),((E294/D294)*60)*1.2,AND(E294&gt;=16,E294&lt;=19),((E294/D294)*60)*1.5,E294&gt;=20,((E294/D294)*60)*1.8)</f>
        <v>19.285714285714281</v>
      </c>
      <c r="AT294" cm="1">
        <f t="array" ref="AT294">_xlfn.IFS(F294&lt;550,((F294/D294)*60)*0.5,AND(F294&gt;=550,F294&lt;575),((F294/D294)*60)*0.75,AND(F294&gt;=575,F294&lt;600),((F294/D294)*60)*0.9,AND(F294=600),((F294/D294)*60)*1,AND(F294&gt;=601,F294&lt;=625),((F294/D294)*60)*1.2,AND(F294&gt;=626,F294&lt;=650),((F294/D294)*60)*1.5,F294&gt;=651,((F294/D294)*60)*1.8)</f>
        <v>788.142857142857</v>
      </c>
      <c r="AU294">
        <f t="shared" si="72"/>
        <v>-5.9000000000000021</v>
      </c>
      <c r="AV294">
        <f t="shared" si="87"/>
        <v>321.79142857142853</v>
      </c>
      <c r="AW294">
        <f t="shared" si="73"/>
        <v>37.9</v>
      </c>
      <c r="AX294" t="str">
        <f t="shared" si="85"/>
        <v>Apr-2022</v>
      </c>
      <c r="AY294">
        <f>ROUNDUP(Table2[[#This Row],[Month]]/3,0)</f>
        <v>2</v>
      </c>
    </row>
    <row r="295" spans="1:51" x14ac:dyDescent="0.2">
      <c r="A295">
        <v>294</v>
      </c>
      <c r="B295">
        <f t="shared" si="74"/>
        <v>15</v>
      </c>
      <c r="C295" s="22">
        <v>44681</v>
      </c>
      <c r="D295">
        <f>SUM(Table2[[#This Row],[Gray Min]:[Red Min]])</f>
        <v>59</v>
      </c>
      <c r="E295">
        <v>14</v>
      </c>
      <c r="F295">
        <v>609</v>
      </c>
      <c r="G295">
        <v>122</v>
      </c>
      <c r="H295">
        <v>170</v>
      </c>
      <c r="I295">
        <v>19</v>
      </c>
      <c r="J295">
        <v>13</v>
      </c>
      <c r="K295">
        <v>13</v>
      </c>
      <c r="L295">
        <v>9</v>
      </c>
      <c r="M295">
        <v>5</v>
      </c>
      <c r="N295" t="s">
        <v>101</v>
      </c>
      <c r="O295" t="s">
        <v>45</v>
      </c>
      <c r="P295" t="s">
        <v>109</v>
      </c>
      <c r="Q295">
        <f t="shared" si="86"/>
        <v>2</v>
      </c>
      <c r="R295" t="str">
        <f t="shared" si="75"/>
        <v>4-2022</v>
      </c>
      <c r="S295" t="s">
        <v>117</v>
      </c>
      <c r="T295" t="str">
        <f t="shared" si="76"/>
        <v>Saturday</v>
      </c>
      <c r="U295">
        <f t="shared" si="77"/>
        <v>1</v>
      </c>
      <c r="V295" s="24">
        <f>IFERROR(Table2[[#This Row],[Gray Min]]/Table2[[#This Row],[ClassLength]],"")</f>
        <v>0.32203389830508472</v>
      </c>
      <c r="W295" s="24">
        <f>IFERROR(Table2[[#This Row],[Blue Min]]/Table2[[#This Row],[ClassLength]],"")</f>
        <v>0.22033898305084745</v>
      </c>
      <c r="X295" s="24">
        <f>IFERROR(Table2[[#This Row],[Green Min]]/Table2[[#This Row],[ClassLength]],"")</f>
        <v>0.22033898305084745</v>
      </c>
      <c r="Y295" s="24">
        <f>IFERROR(Table2[[#This Row],[Orange Min]]/Table2[[#This Row],[ClassLength]],"")</f>
        <v>0.15254237288135594</v>
      </c>
      <c r="Z295" s="24">
        <f>IFERROR(Table2[[#This Row],[Red Min]]/Table2[[#This Row],[ClassLength]],"")</f>
        <v>8.4745762711864403E-2</v>
      </c>
      <c r="AA295" s="25">
        <v>232.14</v>
      </c>
      <c r="AB295" s="25">
        <f t="shared" si="88"/>
        <v>15.475999999999999</v>
      </c>
      <c r="AC295" s="26">
        <f t="shared" si="78"/>
        <v>627.13333333333333</v>
      </c>
      <c r="AD295" s="26">
        <f t="shared" si="79"/>
        <v>11.866666666666667</v>
      </c>
      <c r="AE295">
        <f t="shared" si="80"/>
        <v>2022</v>
      </c>
      <c r="AG295">
        <v>12</v>
      </c>
      <c r="AH295" s="26">
        <f t="shared" si="81"/>
        <v>10.322033898305085</v>
      </c>
      <c r="AI295" t="str">
        <f t="shared" si="82"/>
        <v>AM</v>
      </c>
      <c r="AJ295" t="str">
        <f t="shared" si="83"/>
        <v>4-2022-5</v>
      </c>
      <c r="AK295">
        <f t="shared" si="84"/>
        <v>4</v>
      </c>
      <c r="AL295" s="26">
        <f>IFERROR(Table2[[#This Row],[Calories]]/Table2[[#This Row],[Splat]],"")</f>
        <v>43.5</v>
      </c>
      <c r="AM295">
        <f>COUNTIF(N$2:$N$938,N295)</f>
        <v>191</v>
      </c>
      <c r="AN295" t="str">
        <f>VLOOKUP(N295,'Helpful Tables'!A:D,4,FALSE)</f>
        <v>Washington, DC</v>
      </c>
      <c r="AO295" s="24">
        <f>COUNTIF(AN:AN,Table2[[#This Row],[State]])/COUNTA(AN:AN)</f>
        <v>0.54904051172707891</v>
      </c>
      <c r="AP295">
        <f>VLOOKUP(N295,'Helpful Tables'!A:B,2,FALSE)</f>
        <v>38.949649000000001</v>
      </c>
      <c r="AQ295">
        <f>VLOOKUP(N295,'Helpful Tables'!A:C,3,FALSE)</f>
        <v>-77.080878999999996</v>
      </c>
      <c r="AR295">
        <f>COUNTIF(P$2:$P$938,P295)</f>
        <v>66</v>
      </c>
      <c r="AS295" cm="1">
        <f t="array" ref="AS295">_xlfn.IFS(E295&lt;6,((E295/D295)*60)*0.5,AND(E295&gt;=6,E295&lt;9),((E295/D295)*60)*0.75,AND(E295&gt;=9,E295&lt;=11),((E295/D295)*60)*0.9,AND(E295=12),((E295/D295)*60)*1,AND(E295&gt;=13,E295&lt;=15),((E295/D295)*60)*1.2,AND(E295&gt;=16,E295&lt;=19),((E295/D295)*60)*1.5,E295&gt;=20,((E295/D295)*60)*1.8)</f>
        <v>17.084745762711865</v>
      </c>
      <c r="AT295" cm="1">
        <f t="array" ref="AT295">_xlfn.IFS(F295&lt;550,((F295/D295)*60)*0.5,AND(F295&gt;=550,F295&lt;575),((F295/D295)*60)*0.75,AND(F295&gt;=575,F295&lt;600),((F295/D295)*60)*0.9,AND(F295=600),((F295/D295)*60)*1,AND(F295&gt;=601,F295&lt;=625),((F295/D295)*60)*1.2,AND(F295&gt;=626,F295&lt;=650),((F295/D295)*60)*1.5,F295&gt;=651,((F295/D295)*60)*1.8)</f>
        <v>743.18644067796606</v>
      </c>
      <c r="AU295">
        <f t="shared" si="72"/>
        <v>-2.2999999999999989</v>
      </c>
      <c r="AV295">
        <f t="shared" si="87"/>
        <v>303.64847457627121</v>
      </c>
      <c r="AW295">
        <f t="shared" si="73"/>
        <v>28.199999999999996</v>
      </c>
      <c r="AX295" t="str">
        <f t="shared" si="85"/>
        <v>Apr-2022</v>
      </c>
      <c r="AY295">
        <f>ROUNDUP(Table2[[#This Row],[Month]]/3,0)</f>
        <v>2</v>
      </c>
    </row>
    <row r="296" spans="1:51" x14ac:dyDescent="0.2">
      <c r="A296">
        <v>295</v>
      </c>
      <c r="B296">
        <f t="shared" si="74"/>
        <v>14</v>
      </c>
      <c r="C296" s="22">
        <v>44684</v>
      </c>
      <c r="D296">
        <f>SUM(Table2[[#This Row],[Gray Min]:[Red Min]])</f>
        <v>60</v>
      </c>
      <c r="E296">
        <v>16</v>
      </c>
      <c r="F296">
        <v>676</v>
      </c>
      <c r="G296">
        <v>129</v>
      </c>
      <c r="H296">
        <v>167</v>
      </c>
      <c r="I296">
        <v>14</v>
      </c>
      <c r="J296">
        <v>10</v>
      </c>
      <c r="K296">
        <v>20</v>
      </c>
      <c r="L296">
        <v>14</v>
      </c>
      <c r="M296">
        <v>2</v>
      </c>
      <c r="N296" t="s">
        <v>91</v>
      </c>
      <c r="O296" t="s">
        <v>39</v>
      </c>
      <c r="P296" t="s">
        <v>94</v>
      </c>
      <c r="Q296">
        <f t="shared" si="86"/>
        <v>3</v>
      </c>
      <c r="R296" t="str">
        <f t="shared" si="75"/>
        <v>5-2022</v>
      </c>
      <c r="S296" t="s">
        <v>104</v>
      </c>
      <c r="T296" t="str">
        <f t="shared" si="76"/>
        <v>Tuesday</v>
      </c>
      <c r="U296">
        <f t="shared" si="77"/>
        <v>1</v>
      </c>
      <c r="V296" s="24">
        <f>IFERROR(Table2[[#This Row],[Gray Min]]/Table2[[#This Row],[ClassLength]],"")</f>
        <v>0.23333333333333334</v>
      </c>
      <c r="W296" s="24">
        <f>IFERROR(Table2[[#This Row],[Blue Min]]/Table2[[#This Row],[ClassLength]],"")</f>
        <v>0.16666666666666666</v>
      </c>
      <c r="X296" s="24">
        <f>IFERROR(Table2[[#This Row],[Green Min]]/Table2[[#This Row],[ClassLength]],"")</f>
        <v>0.33333333333333331</v>
      </c>
      <c r="Y296" s="24">
        <f>IFERROR(Table2[[#This Row],[Orange Min]]/Table2[[#This Row],[ClassLength]],"")</f>
        <v>0.23333333333333334</v>
      </c>
      <c r="Z296" s="24">
        <f>IFERROR(Table2[[#This Row],[Red Min]]/Table2[[#This Row],[ClassLength]],"")</f>
        <v>3.3333333333333333E-2</v>
      </c>
      <c r="AA296" s="25">
        <v>232.14</v>
      </c>
      <c r="AB296" s="25">
        <f t="shared" si="88"/>
        <v>16.581428571428571</v>
      </c>
      <c r="AC296" s="26">
        <f t="shared" si="78"/>
        <v>631.5</v>
      </c>
      <c r="AD296" s="26">
        <f t="shared" si="79"/>
        <v>13.857142857142858</v>
      </c>
      <c r="AE296">
        <f t="shared" si="80"/>
        <v>2022</v>
      </c>
      <c r="AG296">
        <v>12</v>
      </c>
      <c r="AH296" s="26">
        <f t="shared" si="81"/>
        <v>11.266666666666667</v>
      </c>
      <c r="AI296" t="str">
        <f t="shared" si="82"/>
        <v>PM</v>
      </c>
      <c r="AJ296" t="str">
        <f t="shared" si="83"/>
        <v>5-2022-1</v>
      </c>
      <c r="AK296">
        <f t="shared" si="84"/>
        <v>5</v>
      </c>
      <c r="AL296" s="26">
        <f>IFERROR(Table2[[#This Row],[Calories]]/Table2[[#This Row],[Splat]],"")</f>
        <v>42.25</v>
      </c>
      <c r="AM296">
        <f>COUNTIF(N$2:$N$938,N296)</f>
        <v>218</v>
      </c>
      <c r="AN296" t="str">
        <f>VLOOKUP(N296,'Helpful Tables'!A:D,4,FALSE)</f>
        <v>Washington, DC</v>
      </c>
      <c r="AO296" s="24">
        <f>COUNTIF(AN:AN,Table2[[#This Row],[State]])/COUNTA(AN:AN)</f>
        <v>0.54904051172707891</v>
      </c>
      <c r="AP296">
        <f>VLOOKUP(N296,'Helpful Tables'!A:B,2,FALSE)</f>
        <v>38.934710000000003</v>
      </c>
      <c r="AQ296">
        <f>VLOOKUP(N296,'Helpful Tables'!A:C,3,FALSE)</f>
        <v>-77.058222999999998</v>
      </c>
      <c r="AR296">
        <f>COUNTIF(P$2:$P$938,P296)</f>
        <v>15</v>
      </c>
      <c r="AS296" cm="1">
        <f t="array" ref="AS296">_xlfn.IFS(E296&lt;6,((E296/D296)*60)*0.5,AND(E296&gt;=6,E296&lt;9),((E296/D296)*60)*0.75,AND(E296&gt;=9,E296&lt;=11),((E296/D296)*60)*0.9,AND(E296=12),((E296/D296)*60)*1,AND(E296&gt;=13,E296&lt;=15),((E296/D296)*60)*1.2,AND(E296&gt;=16,E296&lt;=19),((E296/D296)*60)*1.5,E296&gt;=20,((E296/D296)*60)*1.8)</f>
        <v>24</v>
      </c>
      <c r="AT296" cm="1">
        <f t="array" ref="AT296">_xlfn.IFS(F296&lt;550,((F296/D296)*60)*0.5,AND(F296&gt;=550,F296&lt;575),((F296/D296)*60)*0.75,AND(F296&gt;=575,F296&lt;600),((F296/D296)*60)*0.9,AND(F296=600),((F296/D296)*60)*1,AND(F296&gt;=601,F296&lt;=625),((F296/D296)*60)*1.2,AND(F296&gt;=626,F296&lt;=650),((F296/D296)*60)*1.5,F296&gt;=651,((F296/D296)*60)*1.8)</f>
        <v>1216.8</v>
      </c>
      <c r="AU296">
        <f t="shared" si="72"/>
        <v>17.399999999999999</v>
      </c>
      <c r="AV296">
        <f t="shared" si="87"/>
        <v>499.80000000000007</v>
      </c>
      <c r="AW296">
        <f t="shared" si="73"/>
        <v>78.900000000000006</v>
      </c>
      <c r="AX296" t="str">
        <f t="shared" si="85"/>
        <v>May-2022</v>
      </c>
      <c r="AY296">
        <f>ROUNDUP(Table2[[#This Row],[Month]]/3,0)</f>
        <v>2</v>
      </c>
    </row>
    <row r="297" spans="1:51" x14ac:dyDescent="0.2">
      <c r="A297">
        <v>296</v>
      </c>
      <c r="B297">
        <f t="shared" si="74"/>
        <v>14</v>
      </c>
      <c r="C297" s="22">
        <v>44686</v>
      </c>
      <c r="D297">
        <f>SUM(Table2[[#This Row],[Gray Min]:[Red Min]])</f>
        <v>55</v>
      </c>
      <c r="E297">
        <v>13</v>
      </c>
      <c r="F297">
        <v>622</v>
      </c>
      <c r="G297">
        <v>128</v>
      </c>
      <c r="H297">
        <v>168</v>
      </c>
      <c r="I297">
        <v>9</v>
      </c>
      <c r="J297">
        <v>18</v>
      </c>
      <c r="K297">
        <v>15</v>
      </c>
      <c r="L297">
        <v>12</v>
      </c>
      <c r="M297">
        <v>1</v>
      </c>
      <c r="N297" t="s">
        <v>101</v>
      </c>
      <c r="O297" t="s">
        <v>39</v>
      </c>
      <c r="P297" t="s">
        <v>109</v>
      </c>
      <c r="Q297">
        <f t="shared" si="86"/>
        <v>2</v>
      </c>
      <c r="R297" t="str">
        <f t="shared" si="75"/>
        <v>5-2022</v>
      </c>
      <c r="S297" t="s">
        <v>104</v>
      </c>
      <c r="T297" t="str">
        <f t="shared" si="76"/>
        <v>Thursday</v>
      </c>
      <c r="U297">
        <f t="shared" si="77"/>
        <v>1</v>
      </c>
      <c r="V297" s="24">
        <f>IFERROR(Table2[[#This Row],[Gray Min]]/Table2[[#This Row],[ClassLength]],"")</f>
        <v>0.16363636363636364</v>
      </c>
      <c r="W297" s="24">
        <f>IFERROR(Table2[[#This Row],[Blue Min]]/Table2[[#This Row],[ClassLength]],"")</f>
        <v>0.32727272727272727</v>
      </c>
      <c r="X297" s="24">
        <f>IFERROR(Table2[[#This Row],[Green Min]]/Table2[[#This Row],[ClassLength]],"")</f>
        <v>0.27272727272727271</v>
      </c>
      <c r="Y297" s="24">
        <f>IFERROR(Table2[[#This Row],[Orange Min]]/Table2[[#This Row],[ClassLength]],"")</f>
        <v>0.21818181818181817</v>
      </c>
      <c r="Z297" s="24">
        <f>IFERROR(Table2[[#This Row],[Red Min]]/Table2[[#This Row],[ClassLength]],"")</f>
        <v>1.8181818181818181E-2</v>
      </c>
      <c r="AA297" s="25">
        <v>232.14</v>
      </c>
      <c r="AB297" s="25">
        <f t="shared" si="88"/>
        <v>16.581428571428571</v>
      </c>
      <c r="AC297" s="26">
        <f t="shared" si="78"/>
        <v>631.5</v>
      </c>
      <c r="AD297" s="26">
        <f t="shared" si="79"/>
        <v>13.857142857142858</v>
      </c>
      <c r="AE297">
        <f t="shared" si="80"/>
        <v>2022</v>
      </c>
      <c r="AG297">
        <v>12</v>
      </c>
      <c r="AH297" s="26">
        <f t="shared" si="81"/>
        <v>11.309090909090909</v>
      </c>
      <c r="AI297" t="str">
        <f t="shared" si="82"/>
        <v>PM</v>
      </c>
      <c r="AJ297" t="str">
        <f t="shared" si="83"/>
        <v>5-2022-1</v>
      </c>
      <c r="AK297">
        <f t="shared" si="84"/>
        <v>5</v>
      </c>
      <c r="AL297" s="26">
        <f>IFERROR(Table2[[#This Row],[Calories]]/Table2[[#This Row],[Splat]],"")</f>
        <v>47.846153846153847</v>
      </c>
      <c r="AM297">
        <f>COUNTIF(N$2:$N$938,N297)</f>
        <v>191</v>
      </c>
      <c r="AN297" t="str">
        <f>VLOOKUP(N297,'Helpful Tables'!A:D,4,FALSE)</f>
        <v>Washington, DC</v>
      </c>
      <c r="AO297" s="24">
        <f>COUNTIF(AN:AN,Table2[[#This Row],[State]])/COUNTA(AN:AN)</f>
        <v>0.54904051172707891</v>
      </c>
      <c r="AP297">
        <f>VLOOKUP(N297,'Helpful Tables'!A:B,2,FALSE)</f>
        <v>38.949649000000001</v>
      </c>
      <c r="AQ297">
        <f>VLOOKUP(N297,'Helpful Tables'!A:C,3,FALSE)</f>
        <v>-77.080878999999996</v>
      </c>
      <c r="AR297">
        <f>COUNTIF(P$2:$P$938,P297)</f>
        <v>66</v>
      </c>
      <c r="AS297" cm="1">
        <f t="array" ref="AS297">_xlfn.IFS(E297&lt;6,((E297/D297)*60)*0.5,AND(E297&gt;=6,E297&lt;9),((E297/D297)*60)*0.75,AND(E297&gt;=9,E297&lt;=11),((E297/D297)*60)*0.9,AND(E297=12),((E297/D297)*60)*1,AND(E297&gt;=13,E297&lt;=15),((E297/D297)*60)*1.2,AND(E297&gt;=16,E297&lt;=19),((E297/D297)*60)*1.5,E297&gt;=20,((E297/D297)*60)*1.8)</f>
        <v>17.018181818181816</v>
      </c>
      <c r="AT297" cm="1">
        <f t="array" ref="AT297">_xlfn.IFS(F297&lt;550,((F297/D297)*60)*0.5,AND(F297&gt;=550,F297&lt;575),((F297/D297)*60)*0.75,AND(F297&gt;=575,F297&lt;600),((F297/D297)*60)*0.9,AND(F297=600),((F297/D297)*60)*1,AND(F297&gt;=601,F297&lt;=625),((F297/D297)*60)*1.2,AND(F297&gt;=626,F297&lt;=650),((F297/D297)*60)*1.5,F297&gt;=651,((F297/D297)*60)*1.8)</f>
        <v>814.25454545454534</v>
      </c>
      <c r="AU297">
        <f t="shared" si="72"/>
        <v>4.5</v>
      </c>
      <c r="AV297">
        <f t="shared" si="87"/>
        <v>333.40909090909088</v>
      </c>
      <c r="AW297">
        <f t="shared" si="73"/>
        <v>41.4</v>
      </c>
      <c r="AX297" t="str">
        <f t="shared" si="85"/>
        <v>May-2022</v>
      </c>
      <c r="AY297">
        <f>ROUNDUP(Table2[[#This Row],[Month]]/3,0)</f>
        <v>2</v>
      </c>
    </row>
    <row r="298" spans="1:51" x14ac:dyDescent="0.2">
      <c r="A298">
        <v>297</v>
      </c>
      <c r="B298">
        <f t="shared" si="74"/>
        <v>14</v>
      </c>
      <c r="C298" s="22">
        <v>44687</v>
      </c>
      <c r="D298">
        <f>SUM(Table2[[#This Row],[Gray Min]:[Red Min]])</f>
        <v>57</v>
      </c>
      <c r="E298">
        <v>7</v>
      </c>
      <c r="F298">
        <v>579</v>
      </c>
      <c r="G298">
        <v>120</v>
      </c>
      <c r="H298">
        <v>166</v>
      </c>
      <c r="I298">
        <v>18</v>
      </c>
      <c r="J298">
        <v>15</v>
      </c>
      <c r="K298">
        <v>17</v>
      </c>
      <c r="L298">
        <v>6</v>
      </c>
      <c r="M298">
        <v>1</v>
      </c>
      <c r="N298" t="s">
        <v>101</v>
      </c>
      <c r="O298" t="s">
        <v>39</v>
      </c>
      <c r="P298" t="s">
        <v>133</v>
      </c>
      <c r="Q298">
        <f t="shared" si="86"/>
        <v>1</v>
      </c>
      <c r="R298" t="str">
        <f t="shared" si="75"/>
        <v>5-2022</v>
      </c>
      <c r="S298" t="s">
        <v>104</v>
      </c>
      <c r="T298" t="str">
        <f t="shared" si="76"/>
        <v>Friday</v>
      </c>
      <c r="U298">
        <f t="shared" si="77"/>
        <v>0</v>
      </c>
      <c r="V298" s="24">
        <f>IFERROR(Table2[[#This Row],[Gray Min]]/Table2[[#This Row],[ClassLength]],"")</f>
        <v>0.31578947368421051</v>
      </c>
      <c r="W298" s="24">
        <f>IFERROR(Table2[[#This Row],[Blue Min]]/Table2[[#This Row],[ClassLength]],"")</f>
        <v>0.26315789473684209</v>
      </c>
      <c r="X298" s="24">
        <f>IFERROR(Table2[[#This Row],[Green Min]]/Table2[[#This Row],[ClassLength]],"")</f>
        <v>0.2982456140350877</v>
      </c>
      <c r="Y298" s="24">
        <f>IFERROR(Table2[[#This Row],[Orange Min]]/Table2[[#This Row],[ClassLength]],"")</f>
        <v>0.10526315789473684</v>
      </c>
      <c r="Z298" s="24">
        <f>IFERROR(Table2[[#This Row],[Red Min]]/Table2[[#This Row],[ClassLength]],"")</f>
        <v>1.7543859649122806E-2</v>
      </c>
      <c r="AA298" s="25">
        <v>232.14</v>
      </c>
      <c r="AB298" s="25">
        <f t="shared" si="88"/>
        <v>16.581428571428571</v>
      </c>
      <c r="AC298" s="26">
        <f t="shared" si="78"/>
        <v>631.5</v>
      </c>
      <c r="AD298" s="26">
        <f t="shared" si="79"/>
        <v>13.857142857142858</v>
      </c>
      <c r="AE298">
        <f t="shared" si="80"/>
        <v>2022</v>
      </c>
      <c r="AG298">
        <v>12</v>
      </c>
      <c r="AH298" s="26">
        <f t="shared" si="81"/>
        <v>10.157894736842104</v>
      </c>
      <c r="AI298" t="str">
        <f t="shared" si="82"/>
        <v>PM</v>
      </c>
      <c r="AJ298" t="str">
        <f t="shared" si="83"/>
        <v>5-2022-1</v>
      </c>
      <c r="AK298">
        <f t="shared" si="84"/>
        <v>5</v>
      </c>
      <c r="AL298" s="26">
        <f>IFERROR(Table2[[#This Row],[Calories]]/Table2[[#This Row],[Splat]],"")</f>
        <v>82.714285714285708</v>
      </c>
      <c r="AM298">
        <f>COUNTIF(N$2:$N$938,N298)</f>
        <v>191</v>
      </c>
      <c r="AN298" t="str">
        <f>VLOOKUP(N298,'Helpful Tables'!A:D,4,FALSE)</f>
        <v>Washington, DC</v>
      </c>
      <c r="AO298" s="24">
        <f>COUNTIF(AN:AN,Table2[[#This Row],[State]])/COUNTA(AN:AN)</f>
        <v>0.54904051172707891</v>
      </c>
      <c r="AP298">
        <f>VLOOKUP(N298,'Helpful Tables'!A:B,2,FALSE)</f>
        <v>38.949649000000001</v>
      </c>
      <c r="AQ298">
        <f>VLOOKUP(N298,'Helpful Tables'!A:C,3,FALSE)</f>
        <v>-77.080878999999996</v>
      </c>
      <c r="AR298">
        <f>COUNTIF(P$2:$P$938,P298)</f>
        <v>25</v>
      </c>
      <c r="AS298" cm="1">
        <f t="array" ref="AS298">_xlfn.IFS(E298&lt;6,((E298/D298)*60)*0.5,AND(E298&gt;=6,E298&lt;9),((E298/D298)*60)*0.75,AND(E298&gt;=9,E298&lt;=11),((E298/D298)*60)*0.9,AND(E298=12),((E298/D298)*60)*1,AND(E298&gt;=13,E298&lt;=15),((E298/D298)*60)*1.2,AND(E298&gt;=16,E298&lt;=19),((E298/D298)*60)*1.5,E298&gt;=20,((E298/D298)*60)*1.8)</f>
        <v>5.5263157894736841</v>
      </c>
      <c r="AT298" cm="1">
        <f t="array" ref="AT298">_xlfn.IFS(F298&lt;550,((F298/D298)*60)*0.5,AND(F298&gt;=550,F298&lt;575),((F298/D298)*60)*0.75,AND(F298&gt;=575,F298&lt;600),((F298/D298)*60)*0.9,AND(F298=600),((F298/D298)*60)*1,AND(F298&gt;=601,F298&lt;=625),((F298/D298)*60)*1.2,AND(F298&gt;=626,F298&lt;=650),((F298/D298)*60)*1.5,F298&gt;=651,((F298/D298)*60)*1.8)</f>
        <v>548.52631578947364</v>
      </c>
      <c r="AU298">
        <f t="shared" si="72"/>
        <v>-8.399999999999995</v>
      </c>
      <c r="AV298">
        <f t="shared" si="87"/>
        <v>219.94105263157894</v>
      </c>
      <c r="AW298">
        <f t="shared" si="73"/>
        <v>16.8</v>
      </c>
      <c r="AX298" t="str">
        <f t="shared" si="85"/>
        <v>May-2022</v>
      </c>
      <c r="AY298">
        <f>ROUNDUP(Table2[[#This Row],[Month]]/3,0)</f>
        <v>2</v>
      </c>
    </row>
    <row r="299" spans="1:51" x14ac:dyDescent="0.2">
      <c r="A299">
        <v>298</v>
      </c>
      <c r="B299">
        <f t="shared" si="74"/>
        <v>14</v>
      </c>
      <c r="C299" s="22">
        <v>44689</v>
      </c>
      <c r="D299">
        <f>SUM(Table2[[#This Row],[Gray Min]:[Red Min]])</f>
        <v>61</v>
      </c>
      <c r="E299">
        <v>16</v>
      </c>
      <c r="F299">
        <v>621</v>
      </c>
      <c r="G299">
        <v>121</v>
      </c>
      <c r="H299">
        <v>171</v>
      </c>
      <c r="I299">
        <v>24</v>
      </c>
      <c r="J299">
        <v>10</v>
      </c>
      <c r="K299">
        <v>11</v>
      </c>
      <c r="L299">
        <v>10</v>
      </c>
      <c r="M299">
        <v>6</v>
      </c>
      <c r="N299" t="s">
        <v>101</v>
      </c>
      <c r="O299" t="s">
        <v>45</v>
      </c>
      <c r="P299" t="s">
        <v>102</v>
      </c>
      <c r="Q299">
        <f t="shared" si="86"/>
        <v>2</v>
      </c>
      <c r="R299" t="str">
        <f t="shared" si="75"/>
        <v>5-2022</v>
      </c>
      <c r="S299" t="s">
        <v>104</v>
      </c>
      <c r="T299" t="str">
        <f t="shared" si="76"/>
        <v>Sunday</v>
      </c>
      <c r="U299">
        <f t="shared" si="77"/>
        <v>1</v>
      </c>
      <c r="V299" s="24">
        <f>IFERROR(Table2[[#This Row],[Gray Min]]/Table2[[#This Row],[ClassLength]],"")</f>
        <v>0.39344262295081966</v>
      </c>
      <c r="W299" s="24">
        <f>IFERROR(Table2[[#This Row],[Blue Min]]/Table2[[#This Row],[ClassLength]],"")</f>
        <v>0.16393442622950818</v>
      </c>
      <c r="X299" s="24">
        <f>IFERROR(Table2[[#This Row],[Green Min]]/Table2[[#This Row],[ClassLength]],"")</f>
        <v>0.18032786885245902</v>
      </c>
      <c r="Y299" s="24">
        <f>IFERROR(Table2[[#This Row],[Orange Min]]/Table2[[#This Row],[ClassLength]],"")</f>
        <v>0.16393442622950818</v>
      </c>
      <c r="Z299" s="24">
        <f>IFERROR(Table2[[#This Row],[Red Min]]/Table2[[#This Row],[ClassLength]],"")</f>
        <v>9.8360655737704916E-2</v>
      </c>
      <c r="AA299" s="25">
        <v>232.14</v>
      </c>
      <c r="AB299" s="25">
        <f t="shared" si="88"/>
        <v>16.581428571428571</v>
      </c>
      <c r="AC299" s="26">
        <f t="shared" si="78"/>
        <v>631.5</v>
      </c>
      <c r="AD299" s="26">
        <f t="shared" si="79"/>
        <v>13.857142857142858</v>
      </c>
      <c r="AE299">
        <f t="shared" si="80"/>
        <v>2022</v>
      </c>
      <c r="AG299">
        <v>12</v>
      </c>
      <c r="AH299" s="26">
        <f t="shared" si="81"/>
        <v>10.180327868852459</v>
      </c>
      <c r="AI299" t="str">
        <f t="shared" si="82"/>
        <v>AM</v>
      </c>
      <c r="AJ299" t="str">
        <f t="shared" si="83"/>
        <v>5-2022-2</v>
      </c>
      <c r="AK299">
        <f t="shared" si="84"/>
        <v>5</v>
      </c>
      <c r="AL299" s="26">
        <f>IFERROR(Table2[[#This Row],[Calories]]/Table2[[#This Row],[Splat]],"")</f>
        <v>38.8125</v>
      </c>
      <c r="AM299">
        <f>COUNTIF(N$2:$N$938,N299)</f>
        <v>191</v>
      </c>
      <c r="AN299" t="str">
        <f>VLOOKUP(N299,'Helpful Tables'!A:D,4,FALSE)</f>
        <v>Washington, DC</v>
      </c>
      <c r="AO299" s="24">
        <f>COUNTIF(AN:AN,Table2[[#This Row],[State]])/COUNTA(AN:AN)</f>
        <v>0.54904051172707891</v>
      </c>
      <c r="AP299">
        <f>VLOOKUP(N299,'Helpful Tables'!A:B,2,FALSE)</f>
        <v>38.949649000000001</v>
      </c>
      <c r="AQ299">
        <f>VLOOKUP(N299,'Helpful Tables'!A:C,3,FALSE)</f>
        <v>-77.080878999999996</v>
      </c>
      <c r="AR299">
        <f>COUNTIF(P$2:$P$938,P299)</f>
        <v>20</v>
      </c>
      <c r="AS299" cm="1">
        <f t="array" ref="AS299">_xlfn.IFS(E299&lt;6,((E299/D299)*60)*0.5,AND(E299&gt;=6,E299&lt;9),((E299/D299)*60)*0.75,AND(E299&gt;=9,E299&lt;=11),((E299/D299)*60)*0.9,AND(E299=12),((E299/D299)*60)*1,AND(E299&gt;=13,E299&lt;=15),((E299/D299)*60)*1.2,AND(E299&gt;=16,E299&lt;=19),((E299/D299)*60)*1.5,E299&gt;=20,((E299/D299)*60)*1.8)</f>
        <v>23.606557377049182</v>
      </c>
      <c r="AT299" cm="1">
        <f t="array" ref="AT299">_xlfn.IFS(F299&lt;550,((F299/D299)*60)*0.5,AND(F299&gt;=550,F299&lt;575),((F299/D299)*60)*0.75,AND(F299&gt;=575,F299&lt;600),((F299/D299)*60)*0.9,AND(F299=600),((F299/D299)*60)*1,AND(F299&gt;=601,F299&lt;=625),((F299/D299)*60)*1.2,AND(F299&gt;=626,F299&lt;=650),((F299/D299)*60)*1.5,F299&gt;=651,((F299/D299)*60)*1.8)</f>
        <v>732.98360655737702</v>
      </c>
      <c r="AU299">
        <f t="shared" si="72"/>
        <v>-4.5999999999999979</v>
      </c>
      <c r="AV299">
        <f t="shared" si="87"/>
        <v>301.71606557377049</v>
      </c>
      <c r="AW299">
        <f t="shared" si="73"/>
        <v>27.200000000000003</v>
      </c>
      <c r="AX299" t="str">
        <f t="shared" si="85"/>
        <v>May-2022</v>
      </c>
      <c r="AY299">
        <f>ROUNDUP(Table2[[#This Row],[Month]]/3,0)</f>
        <v>2</v>
      </c>
    </row>
    <row r="300" spans="1:51" x14ac:dyDescent="0.2">
      <c r="A300">
        <v>299</v>
      </c>
      <c r="B300">
        <f t="shared" si="74"/>
        <v>14</v>
      </c>
      <c r="C300" s="22">
        <v>44690</v>
      </c>
      <c r="D300">
        <f>SUM(Table2[[#This Row],[Gray Min]:[Red Min]])</f>
        <v>58</v>
      </c>
      <c r="E300">
        <v>17</v>
      </c>
      <c r="F300">
        <v>622</v>
      </c>
      <c r="G300">
        <v>125</v>
      </c>
      <c r="H300">
        <v>172</v>
      </c>
      <c r="I300">
        <v>20</v>
      </c>
      <c r="J300">
        <v>11</v>
      </c>
      <c r="K300">
        <v>10</v>
      </c>
      <c r="L300">
        <v>16</v>
      </c>
      <c r="M300">
        <v>1</v>
      </c>
      <c r="N300" t="s">
        <v>91</v>
      </c>
      <c r="O300" t="s">
        <v>89</v>
      </c>
      <c r="P300" t="s">
        <v>97</v>
      </c>
      <c r="Q300">
        <f t="shared" si="86"/>
        <v>1</v>
      </c>
      <c r="R300" t="str">
        <f t="shared" si="75"/>
        <v>5-2022</v>
      </c>
      <c r="S300" t="s">
        <v>104</v>
      </c>
      <c r="T300" t="str">
        <f t="shared" si="76"/>
        <v>Monday</v>
      </c>
      <c r="U300">
        <f t="shared" si="77"/>
        <v>1</v>
      </c>
      <c r="V300" s="24">
        <f>IFERROR(Table2[[#This Row],[Gray Min]]/Table2[[#This Row],[ClassLength]],"")</f>
        <v>0.34482758620689657</v>
      </c>
      <c r="W300" s="24">
        <f>IFERROR(Table2[[#This Row],[Blue Min]]/Table2[[#This Row],[ClassLength]],"")</f>
        <v>0.18965517241379309</v>
      </c>
      <c r="X300" s="24">
        <f>IFERROR(Table2[[#This Row],[Green Min]]/Table2[[#This Row],[ClassLength]],"")</f>
        <v>0.17241379310344829</v>
      </c>
      <c r="Y300" s="24">
        <f>IFERROR(Table2[[#This Row],[Orange Min]]/Table2[[#This Row],[ClassLength]],"")</f>
        <v>0.27586206896551724</v>
      </c>
      <c r="Z300" s="24">
        <f>IFERROR(Table2[[#This Row],[Red Min]]/Table2[[#This Row],[ClassLength]],"")</f>
        <v>1.7241379310344827E-2</v>
      </c>
      <c r="AA300" s="25">
        <v>232.14</v>
      </c>
      <c r="AB300" s="25">
        <f t="shared" si="88"/>
        <v>16.581428571428571</v>
      </c>
      <c r="AC300" s="26">
        <f t="shared" si="78"/>
        <v>631.5</v>
      </c>
      <c r="AD300" s="26">
        <f t="shared" si="79"/>
        <v>13.857142857142858</v>
      </c>
      <c r="AE300">
        <f t="shared" si="80"/>
        <v>2022</v>
      </c>
      <c r="AG300">
        <v>12</v>
      </c>
      <c r="AH300" s="26">
        <f t="shared" si="81"/>
        <v>10.724137931034482</v>
      </c>
      <c r="AI300" t="str">
        <f t="shared" si="82"/>
        <v>AM</v>
      </c>
      <c r="AJ300" t="str">
        <f t="shared" si="83"/>
        <v>5-2022-2</v>
      </c>
      <c r="AK300">
        <f t="shared" si="84"/>
        <v>5</v>
      </c>
      <c r="AL300" s="26">
        <f>IFERROR(Table2[[#This Row],[Calories]]/Table2[[#This Row],[Splat]],"")</f>
        <v>36.588235294117645</v>
      </c>
      <c r="AM300">
        <f>COUNTIF(N$2:$N$938,N300)</f>
        <v>218</v>
      </c>
      <c r="AN300" t="str">
        <f>VLOOKUP(N300,'Helpful Tables'!A:D,4,FALSE)</f>
        <v>Washington, DC</v>
      </c>
      <c r="AO300" s="24">
        <f>COUNTIF(AN:AN,Table2[[#This Row],[State]])/COUNTA(AN:AN)</f>
        <v>0.54904051172707891</v>
      </c>
      <c r="AP300">
        <f>VLOOKUP(N300,'Helpful Tables'!A:B,2,FALSE)</f>
        <v>38.934710000000003</v>
      </c>
      <c r="AQ300">
        <f>VLOOKUP(N300,'Helpful Tables'!A:C,3,FALSE)</f>
        <v>-77.058222999999998</v>
      </c>
      <c r="AR300">
        <f>COUNTIF(P$2:$P$938,P300)</f>
        <v>14</v>
      </c>
      <c r="AS300" cm="1">
        <f t="array" ref="AS300">_xlfn.IFS(E300&lt;6,((E300/D300)*60)*0.5,AND(E300&gt;=6,E300&lt;9),((E300/D300)*60)*0.75,AND(E300&gt;=9,E300&lt;=11),((E300/D300)*60)*0.9,AND(E300=12),((E300/D300)*60)*1,AND(E300&gt;=13,E300&lt;=15),((E300/D300)*60)*1.2,AND(E300&gt;=16,E300&lt;=19),((E300/D300)*60)*1.5,E300&gt;=20,((E300/D300)*60)*1.8)</f>
        <v>26.379310344827584</v>
      </c>
      <c r="AT300" cm="1">
        <f t="array" ref="AT300">_xlfn.IFS(F300&lt;550,((F300/D300)*60)*0.5,AND(F300&gt;=550,F300&lt;575),((F300/D300)*60)*0.75,AND(F300&gt;=575,F300&lt;600),((F300/D300)*60)*0.9,AND(F300=600),((F300/D300)*60)*1,AND(F300&gt;=601,F300&lt;=625),((F300/D300)*60)*1.2,AND(F300&gt;=626,F300&lt;=650),((F300/D300)*60)*1.5,F300&gt;=651,((F300/D300)*60)*1.8)</f>
        <v>772.13793103448268</v>
      </c>
      <c r="AU300">
        <f t="shared" si="72"/>
        <v>-1.8000000000000007</v>
      </c>
      <c r="AV300">
        <f t="shared" si="87"/>
        <v>319.0468965517241</v>
      </c>
      <c r="AW300">
        <f t="shared" si="73"/>
        <v>36.700000000000003</v>
      </c>
      <c r="AX300" t="str">
        <f t="shared" si="85"/>
        <v>May-2022</v>
      </c>
      <c r="AY300">
        <f>ROUNDUP(Table2[[#This Row],[Month]]/3,0)</f>
        <v>2</v>
      </c>
    </row>
    <row r="301" spans="1:51" x14ac:dyDescent="0.2">
      <c r="A301">
        <v>300</v>
      </c>
      <c r="B301">
        <f t="shared" si="74"/>
        <v>14</v>
      </c>
      <c r="C301" s="22">
        <v>44692</v>
      </c>
      <c r="D301">
        <f>SUM(Table2[[#This Row],[Gray Min]:[Red Min]])</f>
        <v>57</v>
      </c>
      <c r="E301">
        <v>15</v>
      </c>
      <c r="F301">
        <v>631</v>
      </c>
      <c r="G301">
        <v>126</v>
      </c>
      <c r="H301">
        <v>168</v>
      </c>
      <c r="I301">
        <v>15</v>
      </c>
      <c r="J301">
        <v>10</v>
      </c>
      <c r="K301">
        <v>17</v>
      </c>
      <c r="L301">
        <v>13</v>
      </c>
      <c r="M301">
        <v>2</v>
      </c>
      <c r="N301" t="s">
        <v>91</v>
      </c>
      <c r="O301" t="s">
        <v>39</v>
      </c>
      <c r="P301" t="s">
        <v>96</v>
      </c>
      <c r="Q301">
        <f t="shared" si="86"/>
        <v>2</v>
      </c>
      <c r="R301" t="str">
        <f t="shared" si="75"/>
        <v>5-2022</v>
      </c>
      <c r="S301" t="s">
        <v>117</v>
      </c>
      <c r="T301" t="str">
        <f t="shared" si="76"/>
        <v>Wednesday</v>
      </c>
      <c r="U301">
        <f t="shared" si="77"/>
        <v>1</v>
      </c>
      <c r="V301" s="24">
        <f>IFERROR(Table2[[#This Row],[Gray Min]]/Table2[[#This Row],[ClassLength]],"")</f>
        <v>0.26315789473684209</v>
      </c>
      <c r="W301" s="24">
        <f>IFERROR(Table2[[#This Row],[Blue Min]]/Table2[[#This Row],[ClassLength]],"")</f>
        <v>0.17543859649122806</v>
      </c>
      <c r="X301" s="24">
        <f>IFERROR(Table2[[#This Row],[Green Min]]/Table2[[#This Row],[ClassLength]],"")</f>
        <v>0.2982456140350877</v>
      </c>
      <c r="Y301" s="24">
        <f>IFERROR(Table2[[#This Row],[Orange Min]]/Table2[[#This Row],[ClassLength]],"")</f>
        <v>0.22807017543859648</v>
      </c>
      <c r="Z301" s="24">
        <f>IFERROR(Table2[[#This Row],[Red Min]]/Table2[[#This Row],[ClassLength]],"")</f>
        <v>3.5087719298245612E-2</v>
      </c>
      <c r="AA301" s="25">
        <v>232.14</v>
      </c>
      <c r="AB301" s="25">
        <f t="shared" si="88"/>
        <v>16.581428571428571</v>
      </c>
      <c r="AC301" s="26">
        <f t="shared" si="78"/>
        <v>631.5</v>
      </c>
      <c r="AD301" s="26">
        <f t="shared" si="79"/>
        <v>13.857142857142858</v>
      </c>
      <c r="AE301">
        <f t="shared" si="80"/>
        <v>2022</v>
      </c>
      <c r="AG301">
        <v>12</v>
      </c>
      <c r="AH301" s="26">
        <f t="shared" si="81"/>
        <v>11.070175438596491</v>
      </c>
      <c r="AI301" t="str">
        <f t="shared" si="82"/>
        <v>PM</v>
      </c>
      <c r="AJ301" t="str">
        <f t="shared" si="83"/>
        <v>5-2022-2</v>
      </c>
      <c r="AK301">
        <f t="shared" si="84"/>
        <v>5</v>
      </c>
      <c r="AL301" s="26">
        <f>IFERROR(Table2[[#This Row],[Calories]]/Table2[[#This Row],[Splat]],"")</f>
        <v>42.06666666666667</v>
      </c>
      <c r="AM301">
        <f>COUNTIF(N$2:$N$938,N301)</f>
        <v>218</v>
      </c>
      <c r="AN301" t="str">
        <f>VLOOKUP(N301,'Helpful Tables'!A:D,4,FALSE)</f>
        <v>Washington, DC</v>
      </c>
      <c r="AO301" s="24">
        <f>COUNTIF(AN:AN,Table2[[#This Row],[State]])/COUNTA(AN:AN)</f>
        <v>0.54904051172707891</v>
      </c>
      <c r="AP301">
        <f>VLOOKUP(N301,'Helpful Tables'!A:B,2,FALSE)</f>
        <v>38.934710000000003</v>
      </c>
      <c r="AQ301">
        <f>VLOOKUP(N301,'Helpful Tables'!A:C,3,FALSE)</f>
        <v>-77.058222999999998</v>
      </c>
      <c r="AR301">
        <f>COUNTIF(P$2:$P$938,P301)</f>
        <v>71</v>
      </c>
      <c r="AS301" cm="1">
        <f t="array" ref="AS301">_xlfn.IFS(E301&lt;6,((E301/D301)*60)*0.5,AND(E301&gt;=6,E301&lt;9),((E301/D301)*60)*0.75,AND(E301&gt;=9,E301&lt;=11),((E301/D301)*60)*0.9,AND(E301=12),((E301/D301)*60)*1,AND(E301&gt;=13,E301&lt;=15),((E301/D301)*60)*1.2,AND(E301&gt;=16,E301&lt;=19),((E301/D301)*60)*1.5,E301&gt;=20,((E301/D301)*60)*1.8)</f>
        <v>18.94736842105263</v>
      </c>
      <c r="AT301" cm="1">
        <f t="array" ref="AT301">_xlfn.IFS(F301&lt;550,((F301/D301)*60)*0.5,AND(F301&gt;=550,F301&lt;575),((F301/D301)*60)*0.75,AND(F301&gt;=575,F301&lt;600),((F301/D301)*60)*0.9,AND(F301=600),((F301/D301)*60)*1,AND(F301&gt;=601,F301&lt;=625),((F301/D301)*60)*1.2,AND(F301&gt;=626,F301&lt;=650),((F301/D301)*60)*1.5,F301&gt;=651,((F301/D301)*60)*1.8)</f>
        <v>996.31578947368416</v>
      </c>
      <c r="AU301">
        <f t="shared" si="72"/>
        <v>11.3</v>
      </c>
      <c r="AV301">
        <f t="shared" si="87"/>
        <v>408.36526315789473</v>
      </c>
      <c r="AW301">
        <f t="shared" si="73"/>
        <v>57.8</v>
      </c>
      <c r="AX301" t="str">
        <f t="shared" si="85"/>
        <v>May-2022</v>
      </c>
      <c r="AY301">
        <f>ROUNDUP(Table2[[#This Row],[Month]]/3,0)</f>
        <v>2</v>
      </c>
    </row>
    <row r="302" spans="1:51" x14ac:dyDescent="0.2">
      <c r="A302">
        <v>301</v>
      </c>
      <c r="B302">
        <f t="shared" si="74"/>
        <v>14</v>
      </c>
      <c r="C302" s="22">
        <v>44693</v>
      </c>
      <c r="D302">
        <f>SUM(Table2[[#This Row],[Gray Min]:[Red Min]])</f>
        <v>59</v>
      </c>
      <c r="E302">
        <v>13</v>
      </c>
      <c r="F302">
        <v>617</v>
      </c>
      <c r="G302">
        <v>123</v>
      </c>
      <c r="H302">
        <v>167</v>
      </c>
      <c r="I302">
        <v>21</v>
      </c>
      <c r="J302">
        <v>11</v>
      </c>
      <c r="K302">
        <v>14</v>
      </c>
      <c r="L302">
        <v>12</v>
      </c>
      <c r="M302">
        <v>1</v>
      </c>
      <c r="N302" t="s">
        <v>101</v>
      </c>
      <c r="O302" t="s">
        <v>107</v>
      </c>
      <c r="P302" t="s">
        <v>134</v>
      </c>
      <c r="Q302">
        <f t="shared" si="86"/>
        <v>1</v>
      </c>
      <c r="R302" t="str">
        <f t="shared" si="75"/>
        <v>5-2022</v>
      </c>
      <c r="S302" t="s">
        <v>104</v>
      </c>
      <c r="T302" t="str">
        <f t="shared" si="76"/>
        <v>Thursday</v>
      </c>
      <c r="U302">
        <f t="shared" si="77"/>
        <v>1</v>
      </c>
      <c r="V302" s="24">
        <f>IFERROR(Table2[[#This Row],[Gray Min]]/Table2[[#This Row],[ClassLength]],"")</f>
        <v>0.3559322033898305</v>
      </c>
      <c r="W302" s="24">
        <f>IFERROR(Table2[[#This Row],[Blue Min]]/Table2[[#This Row],[ClassLength]],"")</f>
        <v>0.1864406779661017</v>
      </c>
      <c r="X302" s="24">
        <f>IFERROR(Table2[[#This Row],[Green Min]]/Table2[[#This Row],[ClassLength]],"")</f>
        <v>0.23728813559322035</v>
      </c>
      <c r="Y302" s="24">
        <f>IFERROR(Table2[[#This Row],[Orange Min]]/Table2[[#This Row],[ClassLength]],"")</f>
        <v>0.20338983050847459</v>
      </c>
      <c r="Z302" s="24">
        <f>IFERROR(Table2[[#This Row],[Red Min]]/Table2[[#This Row],[ClassLength]],"")</f>
        <v>1.6949152542372881E-2</v>
      </c>
      <c r="AA302" s="25">
        <v>232.14</v>
      </c>
      <c r="AB302" s="25">
        <f t="shared" si="88"/>
        <v>16.581428571428571</v>
      </c>
      <c r="AC302" s="26">
        <f t="shared" si="78"/>
        <v>631.5</v>
      </c>
      <c r="AD302" s="26">
        <f t="shared" si="79"/>
        <v>13.857142857142858</v>
      </c>
      <c r="AE302">
        <f t="shared" si="80"/>
        <v>2022</v>
      </c>
      <c r="AG302">
        <v>12</v>
      </c>
      <c r="AH302" s="26">
        <f t="shared" si="81"/>
        <v>10.457627118644067</v>
      </c>
      <c r="AI302" t="str">
        <f t="shared" si="82"/>
        <v>AM</v>
      </c>
      <c r="AJ302" t="str">
        <f t="shared" si="83"/>
        <v>5-2022-2</v>
      </c>
      <c r="AK302">
        <f t="shared" si="84"/>
        <v>5</v>
      </c>
      <c r="AL302" s="26">
        <f>IFERROR(Table2[[#This Row],[Calories]]/Table2[[#This Row],[Splat]],"")</f>
        <v>47.46153846153846</v>
      </c>
      <c r="AM302">
        <f>COUNTIF(N$2:$N$938,N302)</f>
        <v>191</v>
      </c>
      <c r="AN302" t="str">
        <f>VLOOKUP(N302,'Helpful Tables'!A:D,4,FALSE)</f>
        <v>Washington, DC</v>
      </c>
      <c r="AO302" s="24">
        <f>COUNTIF(AN:AN,Table2[[#This Row],[State]])/COUNTA(AN:AN)</f>
        <v>0.54904051172707891</v>
      </c>
      <c r="AP302">
        <f>VLOOKUP(N302,'Helpful Tables'!A:B,2,FALSE)</f>
        <v>38.949649000000001</v>
      </c>
      <c r="AQ302">
        <f>VLOOKUP(N302,'Helpful Tables'!A:C,3,FALSE)</f>
        <v>-77.080878999999996</v>
      </c>
      <c r="AR302">
        <f>COUNTIF(P$2:$P$938,P302)</f>
        <v>9</v>
      </c>
      <c r="AS302" cm="1">
        <f t="array" ref="AS302">_xlfn.IFS(E302&lt;6,((E302/D302)*60)*0.5,AND(E302&gt;=6,E302&lt;9),((E302/D302)*60)*0.75,AND(E302&gt;=9,E302&lt;=11),((E302/D302)*60)*0.9,AND(E302=12),((E302/D302)*60)*1,AND(E302&gt;=13,E302&lt;=15),((E302/D302)*60)*1.2,AND(E302&gt;=16,E302&lt;=19),((E302/D302)*60)*1.5,E302&gt;=20,((E302/D302)*60)*1.8)</f>
        <v>15.864406779661017</v>
      </c>
      <c r="AT302" cm="1">
        <f t="array" ref="AT302">_xlfn.IFS(F302&lt;550,((F302/D302)*60)*0.5,AND(F302&gt;=550,F302&lt;575),((F302/D302)*60)*0.75,AND(F302&gt;=575,F302&lt;600),((F302/D302)*60)*0.9,AND(F302=600),((F302/D302)*60)*1,AND(F302&gt;=601,F302&lt;=625),((F302/D302)*60)*1.2,AND(F302&gt;=626,F302&lt;=650),((F302/D302)*60)*1.5,F302&gt;=651,((F302/D302)*60)*1.8)</f>
        <v>752.94915254237287</v>
      </c>
      <c r="AU302">
        <f t="shared" ref="AU302:AU365" si="89">(I302*-1.2)+(J302*-1.1)+(K302*1.2)+(L302*1.3)+(M302*1.5)</f>
        <v>-3.399999999999995</v>
      </c>
      <c r="AV302">
        <f t="shared" si="87"/>
        <v>306.84542372881356</v>
      </c>
      <c r="AW302">
        <f t="shared" ref="AW302:AW365" si="90">PERCENTRANK(AV:AV,AV302)*100</f>
        <v>29.799999999999997</v>
      </c>
      <c r="AX302" t="str">
        <f t="shared" si="85"/>
        <v>May-2022</v>
      </c>
      <c r="AY302">
        <f>ROUNDUP(Table2[[#This Row],[Month]]/3,0)</f>
        <v>2</v>
      </c>
    </row>
    <row r="303" spans="1:51" x14ac:dyDescent="0.2">
      <c r="A303">
        <v>302</v>
      </c>
      <c r="B303">
        <f t="shared" si="74"/>
        <v>14</v>
      </c>
      <c r="C303" s="22">
        <v>44697</v>
      </c>
      <c r="D303">
        <f>SUM(Table2[[#This Row],[Gray Min]:[Red Min]])</f>
        <v>58</v>
      </c>
      <c r="E303">
        <v>9</v>
      </c>
      <c r="F303">
        <v>581</v>
      </c>
      <c r="G303">
        <v>120</v>
      </c>
      <c r="H303">
        <v>159</v>
      </c>
      <c r="I303">
        <v>20</v>
      </c>
      <c r="J303">
        <v>14</v>
      </c>
      <c r="K303">
        <v>15</v>
      </c>
      <c r="L303">
        <v>9</v>
      </c>
      <c r="M303">
        <v>0</v>
      </c>
      <c r="N303" t="s">
        <v>101</v>
      </c>
      <c r="O303" t="s">
        <v>39</v>
      </c>
      <c r="P303" t="s">
        <v>109</v>
      </c>
      <c r="Q303">
        <f t="shared" si="86"/>
        <v>4</v>
      </c>
      <c r="R303" t="str">
        <f t="shared" si="75"/>
        <v>5-2022</v>
      </c>
      <c r="S303" t="s">
        <v>104</v>
      </c>
      <c r="T303" t="str">
        <f t="shared" si="76"/>
        <v>Monday</v>
      </c>
      <c r="U303">
        <f t="shared" si="77"/>
        <v>0</v>
      </c>
      <c r="V303" s="24">
        <f>IFERROR(Table2[[#This Row],[Gray Min]]/Table2[[#This Row],[ClassLength]],"")</f>
        <v>0.34482758620689657</v>
      </c>
      <c r="W303" s="24">
        <f>IFERROR(Table2[[#This Row],[Blue Min]]/Table2[[#This Row],[ClassLength]],"")</f>
        <v>0.2413793103448276</v>
      </c>
      <c r="X303" s="24">
        <f>IFERROR(Table2[[#This Row],[Green Min]]/Table2[[#This Row],[ClassLength]],"")</f>
        <v>0.25862068965517243</v>
      </c>
      <c r="Y303" s="24">
        <f>IFERROR(Table2[[#This Row],[Orange Min]]/Table2[[#This Row],[ClassLength]],"")</f>
        <v>0.15517241379310345</v>
      </c>
      <c r="Z303" s="24">
        <f>IFERROR(Table2[[#This Row],[Red Min]]/Table2[[#This Row],[ClassLength]],"")</f>
        <v>0</v>
      </c>
      <c r="AA303" s="25">
        <v>232.14</v>
      </c>
      <c r="AB303" s="25">
        <f t="shared" si="88"/>
        <v>16.581428571428571</v>
      </c>
      <c r="AC303" s="26">
        <f t="shared" si="78"/>
        <v>631.5</v>
      </c>
      <c r="AD303" s="26">
        <f t="shared" si="79"/>
        <v>13.857142857142858</v>
      </c>
      <c r="AE303">
        <f t="shared" si="80"/>
        <v>2022</v>
      </c>
      <c r="AG303">
        <v>12</v>
      </c>
      <c r="AH303" s="26">
        <f t="shared" si="81"/>
        <v>10.017241379310345</v>
      </c>
      <c r="AI303" t="str">
        <f t="shared" si="82"/>
        <v>PM</v>
      </c>
      <c r="AJ303" t="str">
        <f t="shared" si="83"/>
        <v>5-2022-3</v>
      </c>
      <c r="AK303">
        <f t="shared" si="84"/>
        <v>5</v>
      </c>
      <c r="AL303" s="26">
        <f>IFERROR(Table2[[#This Row],[Calories]]/Table2[[#This Row],[Splat]],"")</f>
        <v>64.555555555555557</v>
      </c>
      <c r="AM303">
        <f>COUNTIF(N$2:$N$938,N303)</f>
        <v>191</v>
      </c>
      <c r="AN303" t="str">
        <f>VLOOKUP(N303,'Helpful Tables'!A:D,4,FALSE)</f>
        <v>Washington, DC</v>
      </c>
      <c r="AO303" s="24">
        <f>COUNTIF(AN:AN,Table2[[#This Row],[State]])/COUNTA(AN:AN)</f>
        <v>0.54904051172707891</v>
      </c>
      <c r="AP303">
        <f>VLOOKUP(N303,'Helpful Tables'!A:B,2,FALSE)</f>
        <v>38.949649000000001</v>
      </c>
      <c r="AQ303">
        <f>VLOOKUP(N303,'Helpful Tables'!A:C,3,FALSE)</f>
        <v>-77.080878999999996</v>
      </c>
      <c r="AR303">
        <f>COUNTIF(P$2:$P$938,P303)</f>
        <v>66</v>
      </c>
      <c r="AS303" cm="1">
        <f t="array" ref="AS303">_xlfn.IFS(E303&lt;6,((E303/D303)*60)*0.5,AND(E303&gt;=6,E303&lt;9),((E303/D303)*60)*0.75,AND(E303&gt;=9,E303&lt;=11),((E303/D303)*60)*0.9,AND(E303=12),((E303/D303)*60)*1,AND(E303&gt;=13,E303&lt;=15),((E303/D303)*60)*1.2,AND(E303&gt;=16,E303&lt;=19),((E303/D303)*60)*1.5,E303&gt;=20,((E303/D303)*60)*1.8)</f>
        <v>8.3793103448275854</v>
      </c>
      <c r="AT303" cm="1">
        <f t="array" ref="AT303">_xlfn.IFS(F303&lt;550,((F303/D303)*60)*0.5,AND(F303&gt;=550,F303&lt;575),((F303/D303)*60)*0.75,AND(F303&gt;=575,F303&lt;600),((F303/D303)*60)*0.9,AND(F303=600),((F303/D303)*60)*1,AND(F303&gt;=601,F303&lt;=625),((F303/D303)*60)*1.2,AND(F303&gt;=626,F303&lt;=650),((F303/D303)*60)*1.5,F303&gt;=651,((F303/D303)*60)*1.8)</f>
        <v>540.93103448275861</v>
      </c>
      <c r="AU303">
        <f t="shared" si="89"/>
        <v>-9.7000000000000046</v>
      </c>
      <c r="AV303">
        <f t="shared" si="87"/>
        <v>217.78413793103448</v>
      </c>
      <c r="AW303">
        <f t="shared" si="90"/>
        <v>16.3</v>
      </c>
      <c r="AX303" t="str">
        <f t="shared" si="85"/>
        <v>May-2022</v>
      </c>
      <c r="AY303">
        <f>ROUNDUP(Table2[[#This Row],[Month]]/3,0)</f>
        <v>2</v>
      </c>
    </row>
    <row r="304" spans="1:51" x14ac:dyDescent="0.2">
      <c r="A304">
        <v>303</v>
      </c>
      <c r="B304">
        <f t="shared" si="74"/>
        <v>14</v>
      </c>
      <c r="C304" s="22">
        <v>44698</v>
      </c>
      <c r="D304">
        <f>SUM(Table2[[#This Row],[Gray Min]:[Red Min]])</f>
        <v>57</v>
      </c>
      <c r="E304">
        <v>10</v>
      </c>
      <c r="F304">
        <v>534</v>
      </c>
      <c r="G304">
        <v>115</v>
      </c>
      <c r="H304">
        <v>165</v>
      </c>
      <c r="I304">
        <v>24</v>
      </c>
      <c r="J304">
        <v>13</v>
      </c>
      <c r="K304">
        <v>10</v>
      </c>
      <c r="L304">
        <v>9</v>
      </c>
      <c r="M304">
        <v>1</v>
      </c>
      <c r="N304" t="s">
        <v>91</v>
      </c>
      <c r="O304" t="s">
        <v>39</v>
      </c>
      <c r="P304" t="s">
        <v>94</v>
      </c>
      <c r="Q304">
        <f t="shared" si="86"/>
        <v>1</v>
      </c>
      <c r="R304" t="str">
        <f t="shared" si="75"/>
        <v>5-2022</v>
      </c>
      <c r="S304" t="s">
        <v>104</v>
      </c>
      <c r="T304" t="str">
        <f t="shared" si="76"/>
        <v>Tuesday</v>
      </c>
      <c r="U304">
        <f t="shared" si="77"/>
        <v>0</v>
      </c>
      <c r="V304" s="24">
        <f>IFERROR(Table2[[#This Row],[Gray Min]]/Table2[[#This Row],[ClassLength]],"")</f>
        <v>0.42105263157894735</v>
      </c>
      <c r="W304" s="24">
        <f>IFERROR(Table2[[#This Row],[Blue Min]]/Table2[[#This Row],[ClassLength]],"")</f>
        <v>0.22807017543859648</v>
      </c>
      <c r="X304" s="24">
        <f>IFERROR(Table2[[#This Row],[Green Min]]/Table2[[#This Row],[ClassLength]],"")</f>
        <v>0.17543859649122806</v>
      </c>
      <c r="Y304" s="24">
        <f>IFERROR(Table2[[#This Row],[Orange Min]]/Table2[[#This Row],[ClassLength]],"")</f>
        <v>0.15789473684210525</v>
      </c>
      <c r="Z304" s="24">
        <f>IFERROR(Table2[[#This Row],[Red Min]]/Table2[[#This Row],[ClassLength]],"")</f>
        <v>1.7543859649122806E-2</v>
      </c>
      <c r="AA304" s="25">
        <v>232.14</v>
      </c>
      <c r="AB304" s="25">
        <f t="shared" si="88"/>
        <v>16.581428571428571</v>
      </c>
      <c r="AC304" s="26">
        <f t="shared" si="78"/>
        <v>631.5</v>
      </c>
      <c r="AD304" s="26">
        <f t="shared" si="79"/>
        <v>13.857142857142858</v>
      </c>
      <c r="AE304">
        <f t="shared" si="80"/>
        <v>2022</v>
      </c>
      <c r="AG304">
        <v>12</v>
      </c>
      <c r="AH304" s="26">
        <f t="shared" si="81"/>
        <v>9.3684210526315788</v>
      </c>
      <c r="AI304" t="str">
        <f t="shared" si="82"/>
        <v>PM</v>
      </c>
      <c r="AJ304" t="str">
        <f t="shared" si="83"/>
        <v>5-2022-3</v>
      </c>
      <c r="AK304">
        <f t="shared" si="84"/>
        <v>5</v>
      </c>
      <c r="AL304" s="26">
        <f>IFERROR(Table2[[#This Row],[Calories]]/Table2[[#This Row],[Splat]],"")</f>
        <v>53.4</v>
      </c>
      <c r="AM304">
        <f>COUNTIF(N$2:$N$938,N304)</f>
        <v>218</v>
      </c>
      <c r="AN304" t="str">
        <f>VLOOKUP(N304,'Helpful Tables'!A:D,4,FALSE)</f>
        <v>Washington, DC</v>
      </c>
      <c r="AO304" s="24">
        <f>COUNTIF(AN:AN,Table2[[#This Row],[State]])/COUNTA(AN:AN)</f>
        <v>0.54904051172707891</v>
      </c>
      <c r="AP304">
        <f>VLOOKUP(N304,'Helpful Tables'!A:B,2,FALSE)</f>
        <v>38.934710000000003</v>
      </c>
      <c r="AQ304">
        <f>VLOOKUP(N304,'Helpful Tables'!A:C,3,FALSE)</f>
        <v>-77.058222999999998</v>
      </c>
      <c r="AR304">
        <f>COUNTIF(P$2:$P$938,P304)</f>
        <v>15</v>
      </c>
      <c r="AS304" cm="1">
        <f t="array" ref="AS304">_xlfn.IFS(E304&lt;6,((E304/D304)*60)*0.5,AND(E304&gt;=6,E304&lt;9),((E304/D304)*60)*0.75,AND(E304&gt;=9,E304&lt;=11),((E304/D304)*60)*0.9,AND(E304=12),((E304/D304)*60)*1,AND(E304&gt;=13,E304&lt;=15),((E304/D304)*60)*1.2,AND(E304&gt;=16,E304&lt;=19),((E304/D304)*60)*1.5,E304&gt;=20,((E304/D304)*60)*1.8)</f>
        <v>9.473684210526315</v>
      </c>
      <c r="AT304" cm="1">
        <f t="array" ref="AT304">_xlfn.IFS(F304&lt;550,((F304/D304)*60)*0.5,AND(F304&gt;=550,F304&lt;575),((F304/D304)*60)*0.75,AND(F304&gt;=575,F304&lt;600),((F304/D304)*60)*0.9,AND(F304=600),((F304/D304)*60)*1,AND(F304&gt;=601,F304&lt;=625),((F304/D304)*60)*1.2,AND(F304&gt;=626,F304&lt;=650),((F304/D304)*60)*1.5,F304&gt;=651,((F304/D304)*60)*1.8)</f>
        <v>281.05263157894734</v>
      </c>
      <c r="AU304">
        <f t="shared" si="89"/>
        <v>-17.899999999999991</v>
      </c>
      <c r="AV304">
        <f t="shared" si="87"/>
        <v>112.63052631578947</v>
      </c>
      <c r="AW304">
        <f t="shared" si="90"/>
        <v>4.8</v>
      </c>
      <c r="AX304" t="str">
        <f t="shared" si="85"/>
        <v>May-2022</v>
      </c>
      <c r="AY304">
        <f>ROUNDUP(Table2[[#This Row],[Month]]/3,0)</f>
        <v>2</v>
      </c>
    </row>
    <row r="305" spans="1:51" x14ac:dyDescent="0.2">
      <c r="A305">
        <v>304</v>
      </c>
      <c r="B305">
        <f t="shared" si="74"/>
        <v>14</v>
      </c>
      <c r="C305" s="22">
        <v>44701</v>
      </c>
      <c r="D305">
        <f>SUM(Table2[[#This Row],[Gray Min]:[Red Min]])</f>
        <v>58</v>
      </c>
      <c r="E305">
        <v>13</v>
      </c>
      <c r="F305">
        <v>658</v>
      </c>
      <c r="G305">
        <v>128</v>
      </c>
      <c r="H305">
        <v>168</v>
      </c>
      <c r="I305">
        <v>11</v>
      </c>
      <c r="J305">
        <v>17</v>
      </c>
      <c r="K305">
        <v>17</v>
      </c>
      <c r="L305">
        <v>11</v>
      </c>
      <c r="M305">
        <v>2</v>
      </c>
      <c r="N305" t="s">
        <v>91</v>
      </c>
      <c r="O305" t="s">
        <v>89</v>
      </c>
      <c r="P305" t="s">
        <v>98</v>
      </c>
      <c r="Q305">
        <f t="shared" si="86"/>
        <v>3</v>
      </c>
      <c r="R305" t="str">
        <f t="shared" si="75"/>
        <v>5-2022</v>
      </c>
      <c r="S305" t="s">
        <v>104</v>
      </c>
      <c r="T305" t="str">
        <f t="shared" si="76"/>
        <v>Friday</v>
      </c>
      <c r="U305">
        <f t="shared" si="77"/>
        <v>1</v>
      </c>
      <c r="V305" s="24">
        <f>IFERROR(Table2[[#This Row],[Gray Min]]/Table2[[#This Row],[ClassLength]],"")</f>
        <v>0.18965517241379309</v>
      </c>
      <c r="W305" s="24">
        <f>IFERROR(Table2[[#This Row],[Blue Min]]/Table2[[#This Row],[ClassLength]],"")</f>
        <v>0.29310344827586204</v>
      </c>
      <c r="X305" s="24">
        <f>IFERROR(Table2[[#This Row],[Green Min]]/Table2[[#This Row],[ClassLength]],"")</f>
        <v>0.29310344827586204</v>
      </c>
      <c r="Y305" s="24">
        <f>IFERROR(Table2[[#This Row],[Orange Min]]/Table2[[#This Row],[ClassLength]],"")</f>
        <v>0.18965517241379309</v>
      </c>
      <c r="Z305" s="24">
        <f>IFERROR(Table2[[#This Row],[Red Min]]/Table2[[#This Row],[ClassLength]],"")</f>
        <v>3.4482758620689655E-2</v>
      </c>
      <c r="AA305" s="25">
        <v>232.14</v>
      </c>
      <c r="AB305" s="25">
        <f t="shared" si="88"/>
        <v>16.581428571428571</v>
      </c>
      <c r="AC305" s="26">
        <f t="shared" si="78"/>
        <v>631.5</v>
      </c>
      <c r="AD305" s="26">
        <f t="shared" si="79"/>
        <v>13.857142857142858</v>
      </c>
      <c r="AE305">
        <f t="shared" si="80"/>
        <v>2022</v>
      </c>
      <c r="AG305">
        <v>12</v>
      </c>
      <c r="AH305" s="26">
        <f t="shared" si="81"/>
        <v>11.344827586206897</v>
      </c>
      <c r="AI305" t="str">
        <f t="shared" si="82"/>
        <v>AM</v>
      </c>
      <c r="AJ305" t="str">
        <f t="shared" si="83"/>
        <v>5-2022-3</v>
      </c>
      <c r="AK305">
        <f t="shared" si="84"/>
        <v>5</v>
      </c>
      <c r="AL305" s="26">
        <f>IFERROR(Table2[[#This Row],[Calories]]/Table2[[#This Row],[Splat]],"")</f>
        <v>50.615384615384613</v>
      </c>
      <c r="AM305">
        <f>COUNTIF(N$2:$N$938,N305)</f>
        <v>218</v>
      </c>
      <c r="AN305" t="str">
        <f>VLOOKUP(N305,'Helpful Tables'!A:D,4,FALSE)</f>
        <v>Washington, DC</v>
      </c>
      <c r="AO305" s="24">
        <f>COUNTIF(AN:AN,Table2[[#This Row],[State]])/COUNTA(AN:AN)</f>
        <v>0.54904051172707891</v>
      </c>
      <c r="AP305">
        <f>VLOOKUP(N305,'Helpful Tables'!A:B,2,FALSE)</f>
        <v>38.934710000000003</v>
      </c>
      <c r="AQ305">
        <f>VLOOKUP(N305,'Helpful Tables'!A:C,3,FALSE)</f>
        <v>-77.058222999999998</v>
      </c>
      <c r="AR305">
        <f>COUNTIF(P$2:$P$938,P305)</f>
        <v>28</v>
      </c>
      <c r="AS305" cm="1">
        <f t="array" ref="AS305">_xlfn.IFS(E305&lt;6,((E305/D305)*60)*0.5,AND(E305&gt;=6,E305&lt;9),((E305/D305)*60)*0.75,AND(E305&gt;=9,E305&lt;=11),((E305/D305)*60)*0.9,AND(E305=12),((E305/D305)*60)*1,AND(E305&gt;=13,E305&lt;=15),((E305/D305)*60)*1.2,AND(E305&gt;=16,E305&lt;=19),((E305/D305)*60)*1.5,E305&gt;=20,((E305/D305)*60)*1.8)</f>
        <v>16.137931034482758</v>
      </c>
      <c r="AT305" cm="1">
        <f t="array" ref="AT305">_xlfn.IFS(F305&lt;550,((F305/D305)*60)*0.5,AND(F305&gt;=550,F305&lt;575),((F305/D305)*60)*0.75,AND(F305&gt;=575,F305&lt;600),((F305/D305)*60)*0.9,AND(F305=600),((F305/D305)*60)*1,AND(F305&gt;=601,F305&lt;=625),((F305/D305)*60)*1.2,AND(F305&gt;=626,F305&lt;=650),((F305/D305)*60)*1.5,F305&gt;=651,((F305/D305)*60)*1.8)</f>
        <v>1225.2413793103449</v>
      </c>
      <c r="AU305">
        <f t="shared" si="89"/>
        <v>5.7999999999999972</v>
      </c>
      <c r="AV305">
        <f t="shared" si="87"/>
        <v>497.71172413793107</v>
      </c>
      <c r="AW305">
        <f t="shared" si="90"/>
        <v>77.900000000000006</v>
      </c>
      <c r="AX305" t="str">
        <f t="shared" si="85"/>
        <v>May-2022</v>
      </c>
      <c r="AY305">
        <f>ROUNDUP(Table2[[#This Row],[Month]]/3,0)</f>
        <v>2</v>
      </c>
    </row>
    <row r="306" spans="1:51" x14ac:dyDescent="0.2">
      <c r="A306">
        <v>305</v>
      </c>
      <c r="B306">
        <f t="shared" si="74"/>
        <v>14</v>
      </c>
      <c r="C306" s="22">
        <v>44702</v>
      </c>
      <c r="D306">
        <f>SUM(Table2[[#This Row],[Gray Min]:[Red Min]])</f>
        <v>65</v>
      </c>
      <c r="E306">
        <v>16</v>
      </c>
      <c r="F306">
        <v>733</v>
      </c>
      <c r="G306">
        <v>129</v>
      </c>
      <c r="H306">
        <v>173</v>
      </c>
      <c r="I306">
        <v>10</v>
      </c>
      <c r="J306">
        <v>17</v>
      </c>
      <c r="K306">
        <v>22</v>
      </c>
      <c r="L306">
        <v>14</v>
      </c>
      <c r="M306">
        <v>2</v>
      </c>
      <c r="N306" t="s">
        <v>101</v>
      </c>
      <c r="O306" t="s">
        <v>45</v>
      </c>
      <c r="P306" t="s">
        <v>109</v>
      </c>
      <c r="Q306">
        <f t="shared" si="86"/>
        <v>1</v>
      </c>
      <c r="R306" t="str">
        <f t="shared" si="75"/>
        <v>5-2022</v>
      </c>
      <c r="S306" t="s">
        <v>117</v>
      </c>
      <c r="T306" t="str">
        <f t="shared" si="76"/>
        <v>Saturday</v>
      </c>
      <c r="U306">
        <f t="shared" si="77"/>
        <v>1</v>
      </c>
      <c r="V306" s="24">
        <f>IFERROR(Table2[[#This Row],[Gray Min]]/Table2[[#This Row],[ClassLength]],"")</f>
        <v>0.15384615384615385</v>
      </c>
      <c r="W306" s="24">
        <f>IFERROR(Table2[[#This Row],[Blue Min]]/Table2[[#This Row],[ClassLength]],"")</f>
        <v>0.26153846153846155</v>
      </c>
      <c r="X306" s="24">
        <f>IFERROR(Table2[[#This Row],[Green Min]]/Table2[[#This Row],[ClassLength]],"")</f>
        <v>0.33846153846153848</v>
      </c>
      <c r="Y306" s="24">
        <f>IFERROR(Table2[[#This Row],[Orange Min]]/Table2[[#This Row],[ClassLength]],"")</f>
        <v>0.2153846153846154</v>
      </c>
      <c r="Z306" s="24">
        <f>IFERROR(Table2[[#This Row],[Red Min]]/Table2[[#This Row],[ClassLength]],"")</f>
        <v>3.0769230769230771E-2</v>
      </c>
      <c r="AA306" s="25">
        <v>232.14</v>
      </c>
      <c r="AB306" s="25">
        <f t="shared" si="88"/>
        <v>16.581428571428571</v>
      </c>
      <c r="AC306" s="26">
        <f t="shared" si="78"/>
        <v>631.5</v>
      </c>
      <c r="AD306" s="26">
        <f t="shared" si="79"/>
        <v>13.857142857142858</v>
      </c>
      <c r="AE306">
        <f t="shared" si="80"/>
        <v>2022</v>
      </c>
      <c r="AG306">
        <v>12</v>
      </c>
      <c r="AH306" s="26">
        <f t="shared" si="81"/>
        <v>11.276923076923078</v>
      </c>
      <c r="AI306" t="str">
        <f t="shared" si="82"/>
        <v>AM</v>
      </c>
      <c r="AJ306" t="str">
        <f t="shared" si="83"/>
        <v>5-2022-3</v>
      </c>
      <c r="AK306">
        <f t="shared" si="84"/>
        <v>5</v>
      </c>
      <c r="AL306" s="26">
        <f>IFERROR(Table2[[#This Row],[Calories]]/Table2[[#This Row],[Splat]],"")</f>
        <v>45.8125</v>
      </c>
      <c r="AM306">
        <f>COUNTIF(N$2:$N$938,N306)</f>
        <v>191</v>
      </c>
      <c r="AN306" t="str">
        <f>VLOOKUP(N306,'Helpful Tables'!A:D,4,FALSE)</f>
        <v>Washington, DC</v>
      </c>
      <c r="AO306" s="24">
        <f>COUNTIF(AN:AN,Table2[[#This Row],[State]])/COUNTA(AN:AN)</f>
        <v>0.54904051172707891</v>
      </c>
      <c r="AP306">
        <f>VLOOKUP(N306,'Helpful Tables'!A:B,2,FALSE)</f>
        <v>38.949649000000001</v>
      </c>
      <c r="AQ306">
        <f>VLOOKUP(N306,'Helpful Tables'!A:C,3,FALSE)</f>
        <v>-77.080878999999996</v>
      </c>
      <c r="AR306">
        <f>COUNTIF(P$2:$P$938,P306)</f>
        <v>66</v>
      </c>
      <c r="AS306" cm="1">
        <f t="array" ref="AS306">_xlfn.IFS(E306&lt;6,((E306/D306)*60)*0.5,AND(E306&gt;=6,E306&lt;9),((E306/D306)*60)*0.75,AND(E306&gt;=9,E306&lt;=11),((E306/D306)*60)*0.9,AND(E306=12),((E306/D306)*60)*1,AND(E306&gt;=13,E306&lt;=15),((E306/D306)*60)*1.2,AND(E306&gt;=16,E306&lt;=19),((E306/D306)*60)*1.5,E306&gt;=20,((E306/D306)*60)*1.8)</f>
        <v>22.153846153846153</v>
      </c>
      <c r="AT306" cm="1">
        <f t="array" ref="AT306">_xlfn.IFS(F306&lt;550,((F306/D306)*60)*0.5,AND(F306&gt;=550,F306&lt;575),((F306/D306)*60)*0.75,AND(F306&gt;=575,F306&lt;600),((F306/D306)*60)*0.9,AND(F306=600),((F306/D306)*60)*1,AND(F306&gt;=601,F306&lt;=625),((F306/D306)*60)*1.2,AND(F306&gt;=626,F306&lt;=650),((F306/D306)*60)*1.5,F306&gt;=651,((F306/D306)*60)*1.8)</f>
        <v>1217.9076923076923</v>
      </c>
      <c r="AU306">
        <f t="shared" si="89"/>
        <v>16.899999999999995</v>
      </c>
      <c r="AV306">
        <f t="shared" si="87"/>
        <v>499.4046153846154</v>
      </c>
      <c r="AW306">
        <f t="shared" si="90"/>
        <v>78.600000000000009</v>
      </c>
      <c r="AX306" t="str">
        <f t="shared" si="85"/>
        <v>May-2022</v>
      </c>
      <c r="AY306">
        <f>ROUNDUP(Table2[[#This Row],[Month]]/3,0)</f>
        <v>2</v>
      </c>
    </row>
    <row r="307" spans="1:51" x14ac:dyDescent="0.2">
      <c r="A307">
        <v>306</v>
      </c>
      <c r="B307">
        <f t="shared" si="74"/>
        <v>14</v>
      </c>
      <c r="C307" s="22">
        <v>44704</v>
      </c>
      <c r="D307">
        <f>SUM(Table2[[#This Row],[Gray Min]:[Red Min]])</f>
        <v>61</v>
      </c>
      <c r="E307">
        <v>12</v>
      </c>
      <c r="F307">
        <v>611</v>
      </c>
      <c r="G307">
        <v>120</v>
      </c>
      <c r="H307">
        <v>164</v>
      </c>
      <c r="I307">
        <v>19</v>
      </c>
      <c r="J307">
        <v>19</v>
      </c>
      <c r="K307">
        <v>11</v>
      </c>
      <c r="L307">
        <v>12</v>
      </c>
      <c r="M307">
        <v>0</v>
      </c>
      <c r="N307" t="s">
        <v>91</v>
      </c>
      <c r="O307" t="s">
        <v>39</v>
      </c>
      <c r="P307" t="s">
        <v>97</v>
      </c>
      <c r="Q307">
        <f t="shared" si="86"/>
        <v>2</v>
      </c>
      <c r="R307" t="str">
        <f t="shared" si="75"/>
        <v>5-2022</v>
      </c>
      <c r="S307" t="s">
        <v>117</v>
      </c>
      <c r="T307" t="str">
        <f t="shared" si="76"/>
        <v>Monday</v>
      </c>
      <c r="U307">
        <f t="shared" si="77"/>
        <v>1</v>
      </c>
      <c r="V307" s="24">
        <f>IFERROR(Table2[[#This Row],[Gray Min]]/Table2[[#This Row],[ClassLength]],"")</f>
        <v>0.31147540983606559</v>
      </c>
      <c r="W307" s="24">
        <f>IFERROR(Table2[[#This Row],[Blue Min]]/Table2[[#This Row],[ClassLength]],"")</f>
        <v>0.31147540983606559</v>
      </c>
      <c r="X307" s="24">
        <f>IFERROR(Table2[[#This Row],[Green Min]]/Table2[[#This Row],[ClassLength]],"")</f>
        <v>0.18032786885245902</v>
      </c>
      <c r="Y307" s="24">
        <f>IFERROR(Table2[[#This Row],[Orange Min]]/Table2[[#This Row],[ClassLength]],"")</f>
        <v>0.19672131147540983</v>
      </c>
      <c r="Z307" s="24">
        <f>IFERROR(Table2[[#This Row],[Red Min]]/Table2[[#This Row],[ClassLength]],"")</f>
        <v>0</v>
      </c>
      <c r="AA307" s="25">
        <v>232.14</v>
      </c>
      <c r="AB307" s="25">
        <f t="shared" si="88"/>
        <v>16.581428571428571</v>
      </c>
      <c r="AC307" s="26">
        <f t="shared" si="78"/>
        <v>631.5</v>
      </c>
      <c r="AD307" s="26">
        <f t="shared" si="79"/>
        <v>13.857142857142858</v>
      </c>
      <c r="AE307">
        <f t="shared" si="80"/>
        <v>2022</v>
      </c>
      <c r="AG307">
        <v>12</v>
      </c>
      <c r="AH307" s="26">
        <f t="shared" si="81"/>
        <v>10.016393442622951</v>
      </c>
      <c r="AI307" t="str">
        <f t="shared" si="82"/>
        <v>PM</v>
      </c>
      <c r="AJ307" t="str">
        <f t="shared" si="83"/>
        <v>5-2022-4</v>
      </c>
      <c r="AK307">
        <f t="shared" si="84"/>
        <v>5</v>
      </c>
      <c r="AL307" s="26">
        <f>IFERROR(Table2[[#This Row],[Calories]]/Table2[[#This Row],[Splat]],"")</f>
        <v>50.916666666666664</v>
      </c>
      <c r="AM307">
        <f>COUNTIF(N$2:$N$938,N307)</f>
        <v>218</v>
      </c>
      <c r="AN307" t="str">
        <f>VLOOKUP(N307,'Helpful Tables'!A:D,4,FALSE)</f>
        <v>Washington, DC</v>
      </c>
      <c r="AO307" s="24">
        <f>COUNTIF(AN:AN,Table2[[#This Row],[State]])/COUNTA(AN:AN)</f>
        <v>0.54904051172707891</v>
      </c>
      <c r="AP307">
        <f>VLOOKUP(N307,'Helpful Tables'!A:B,2,FALSE)</f>
        <v>38.934710000000003</v>
      </c>
      <c r="AQ307">
        <f>VLOOKUP(N307,'Helpful Tables'!A:C,3,FALSE)</f>
        <v>-77.058222999999998</v>
      </c>
      <c r="AR307">
        <f>COUNTIF(P$2:$P$938,P307)</f>
        <v>14</v>
      </c>
      <c r="AS307" cm="1">
        <f t="array" ref="AS307">_xlfn.IFS(E307&lt;6,((E307/D307)*60)*0.5,AND(E307&gt;=6,E307&lt;9),((E307/D307)*60)*0.75,AND(E307&gt;=9,E307&lt;=11),((E307/D307)*60)*0.9,AND(E307=12),((E307/D307)*60)*1,AND(E307&gt;=13,E307&lt;=15),((E307/D307)*60)*1.2,AND(E307&gt;=16,E307&lt;=19),((E307/D307)*60)*1.5,E307&gt;=20,((E307/D307)*60)*1.8)</f>
        <v>11.803278688524589</v>
      </c>
      <c r="AT307" cm="1">
        <f t="array" ref="AT307">_xlfn.IFS(F307&lt;550,((F307/D307)*60)*0.5,AND(F307&gt;=550,F307&lt;575),((F307/D307)*60)*0.75,AND(F307&gt;=575,F307&lt;600),((F307/D307)*60)*0.9,AND(F307=600),((F307/D307)*60)*1,AND(F307&gt;=601,F307&lt;=625),((F307/D307)*60)*1.2,AND(F307&gt;=626,F307&lt;=650),((F307/D307)*60)*1.5,F307&gt;=651,((F307/D307)*60)*1.8)</f>
        <v>721.18032786885237</v>
      </c>
      <c r="AU307">
        <f t="shared" si="89"/>
        <v>-14.900000000000002</v>
      </c>
      <c r="AV307">
        <f t="shared" si="87"/>
        <v>290.21344262295077</v>
      </c>
      <c r="AW307">
        <f t="shared" si="90"/>
        <v>24.4</v>
      </c>
      <c r="AX307" t="str">
        <f t="shared" si="85"/>
        <v>May-2022</v>
      </c>
      <c r="AY307">
        <f>ROUNDUP(Table2[[#This Row],[Month]]/3,0)</f>
        <v>2</v>
      </c>
    </row>
    <row r="308" spans="1:51" x14ac:dyDescent="0.2">
      <c r="A308">
        <v>307</v>
      </c>
      <c r="B308">
        <f t="shared" si="74"/>
        <v>14</v>
      </c>
      <c r="C308" s="22">
        <v>44708</v>
      </c>
      <c r="D308">
        <f>SUM(Table2[[#This Row],[Gray Min]:[Red Min]])</f>
        <v>58</v>
      </c>
      <c r="E308">
        <v>13</v>
      </c>
      <c r="F308">
        <v>636</v>
      </c>
      <c r="G308">
        <v>126</v>
      </c>
      <c r="H308">
        <v>170</v>
      </c>
      <c r="I308">
        <v>15</v>
      </c>
      <c r="J308">
        <v>15</v>
      </c>
      <c r="K308">
        <v>15</v>
      </c>
      <c r="L308">
        <v>12</v>
      </c>
      <c r="M308">
        <v>1</v>
      </c>
      <c r="N308" t="s">
        <v>101</v>
      </c>
      <c r="O308" t="s">
        <v>39</v>
      </c>
      <c r="P308" t="s">
        <v>133</v>
      </c>
      <c r="Q308">
        <f t="shared" si="86"/>
        <v>4</v>
      </c>
      <c r="R308" t="str">
        <f t="shared" si="75"/>
        <v>5-2022</v>
      </c>
      <c r="S308" t="s">
        <v>104</v>
      </c>
      <c r="T308" t="str">
        <f t="shared" si="76"/>
        <v>Friday</v>
      </c>
      <c r="U308">
        <f t="shared" si="77"/>
        <v>1</v>
      </c>
      <c r="V308" s="24">
        <f>IFERROR(Table2[[#This Row],[Gray Min]]/Table2[[#This Row],[ClassLength]],"")</f>
        <v>0.25862068965517243</v>
      </c>
      <c r="W308" s="24">
        <f>IFERROR(Table2[[#This Row],[Blue Min]]/Table2[[#This Row],[ClassLength]],"")</f>
        <v>0.25862068965517243</v>
      </c>
      <c r="X308" s="24">
        <f>IFERROR(Table2[[#This Row],[Green Min]]/Table2[[#This Row],[ClassLength]],"")</f>
        <v>0.25862068965517243</v>
      </c>
      <c r="Y308" s="24">
        <f>IFERROR(Table2[[#This Row],[Orange Min]]/Table2[[#This Row],[ClassLength]],"")</f>
        <v>0.20689655172413793</v>
      </c>
      <c r="Z308" s="24">
        <f>IFERROR(Table2[[#This Row],[Red Min]]/Table2[[#This Row],[ClassLength]],"")</f>
        <v>1.7241379310344827E-2</v>
      </c>
      <c r="AA308" s="25">
        <v>232.14</v>
      </c>
      <c r="AB308" s="25">
        <f t="shared" si="88"/>
        <v>16.581428571428571</v>
      </c>
      <c r="AC308" s="26">
        <f t="shared" si="78"/>
        <v>631.5</v>
      </c>
      <c r="AD308" s="26">
        <f t="shared" si="79"/>
        <v>13.857142857142858</v>
      </c>
      <c r="AE308">
        <f t="shared" si="80"/>
        <v>2022</v>
      </c>
      <c r="AG308">
        <v>12</v>
      </c>
      <c r="AH308" s="26">
        <f t="shared" si="81"/>
        <v>10.96551724137931</v>
      </c>
      <c r="AI308" t="str">
        <f t="shared" si="82"/>
        <v>PM</v>
      </c>
      <c r="AJ308" t="str">
        <f t="shared" si="83"/>
        <v>5-2022-4</v>
      </c>
      <c r="AK308">
        <f t="shared" si="84"/>
        <v>5</v>
      </c>
      <c r="AL308" s="26">
        <f>IFERROR(Table2[[#This Row],[Calories]]/Table2[[#This Row],[Splat]],"")</f>
        <v>48.92307692307692</v>
      </c>
      <c r="AM308">
        <f>COUNTIF(N$2:$N$938,N308)</f>
        <v>191</v>
      </c>
      <c r="AN308" t="str">
        <f>VLOOKUP(N308,'Helpful Tables'!A:D,4,FALSE)</f>
        <v>Washington, DC</v>
      </c>
      <c r="AO308" s="24">
        <f>COUNTIF(AN:AN,Table2[[#This Row],[State]])/COUNTA(AN:AN)</f>
        <v>0.54904051172707891</v>
      </c>
      <c r="AP308">
        <f>VLOOKUP(N308,'Helpful Tables'!A:B,2,FALSE)</f>
        <v>38.949649000000001</v>
      </c>
      <c r="AQ308">
        <f>VLOOKUP(N308,'Helpful Tables'!A:C,3,FALSE)</f>
        <v>-77.080878999999996</v>
      </c>
      <c r="AR308">
        <f>COUNTIF(P$2:$P$938,P308)</f>
        <v>25</v>
      </c>
      <c r="AS308" cm="1">
        <f t="array" ref="AS308">_xlfn.IFS(E308&lt;6,((E308/D308)*60)*0.5,AND(E308&gt;=6,E308&lt;9),((E308/D308)*60)*0.75,AND(E308&gt;=9,E308&lt;=11),((E308/D308)*60)*0.9,AND(E308=12),((E308/D308)*60)*1,AND(E308&gt;=13,E308&lt;=15),((E308/D308)*60)*1.2,AND(E308&gt;=16,E308&lt;=19),((E308/D308)*60)*1.5,E308&gt;=20,((E308/D308)*60)*1.8)</f>
        <v>16.137931034482758</v>
      </c>
      <c r="AT308" cm="1">
        <f t="array" ref="AT308">_xlfn.IFS(F308&lt;550,((F308/D308)*60)*0.5,AND(F308&gt;=550,F308&lt;575),((F308/D308)*60)*0.75,AND(F308&gt;=575,F308&lt;600),((F308/D308)*60)*0.9,AND(F308=600),((F308/D308)*60)*1,AND(F308&gt;=601,F308&lt;=625),((F308/D308)*60)*1.2,AND(F308&gt;=626,F308&lt;=650),((F308/D308)*60)*1.5,F308&gt;=651,((F308/D308)*60)*1.8)</f>
        <v>986.89655172413791</v>
      </c>
      <c r="AU308">
        <f t="shared" si="89"/>
        <v>0.60000000000000142</v>
      </c>
      <c r="AV308">
        <f t="shared" si="87"/>
        <v>401.33379310344827</v>
      </c>
      <c r="AW308">
        <f t="shared" si="90"/>
        <v>53.7</v>
      </c>
      <c r="AX308" t="str">
        <f t="shared" si="85"/>
        <v>May-2022</v>
      </c>
      <c r="AY308">
        <f>ROUNDUP(Table2[[#This Row],[Month]]/3,0)</f>
        <v>2</v>
      </c>
    </row>
    <row r="309" spans="1:51" x14ac:dyDescent="0.2">
      <c r="A309">
        <v>308</v>
      </c>
      <c r="B309">
        <f t="shared" si="74"/>
        <v>14</v>
      </c>
      <c r="C309" s="22">
        <v>44712</v>
      </c>
      <c r="D309">
        <f>SUM(Table2[[#This Row],[Gray Min]:[Red Min]])</f>
        <v>56</v>
      </c>
      <c r="E309">
        <v>24</v>
      </c>
      <c r="F309">
        <v>720</v>
      </c>
      <c r="G309">
        <v>139</v>
      </c>
      <c r="H309">
        <v>168</v>
      </c>
      <c r="I309">
        <v>3</v>
      </c>
      <c r="J309">
        <v>10</v>
      </c>
      <c r="K309">
        <v>19</v>
      </c>
      <c r="L309">
        <v>19</v>
      </c>
      <c r="M309">
        <v>5</v>
      </c>
      <c r="N309" t="s">
        <v>101</v>
      </c>
      <c r="O309" t="s">
        <v>39</v>
      </c>
      <c r="P309" t="s">
        <v>98</v>
      </c>
      <c r="Q309">
        <f t="shared" si="86"/>
        <v>4</v>
      </c>
      <c r="R309" t="str">
        <f t="shared" si="75"/>
        <v>5-2022</v>
      </c>
      <c r="S309" t="s">
        <v>104</v>
      </c>
      <c r="T309" t="str">
        <f t="shared" si="76"/>
        <v>Tuesday</v>
      </c>
      <c r="U309">
        <f t="shared" si="77"/>
        <v>1</v>
      </c>
      <c r="V309" s="24">
        <f>IFERROR(Table2[[#This Row],[Gray Min]]/Table2[[#This Row],[ClassLength]],"")</f>
        <v>5.3571428571428568E-2</v>
      </c>
      <c r="W309" s="24">
        <f>IFERROR(Table2[[#This Row],[Blue Min]]/Table2[[#This Row],[ClassLength]],"")</f>
        <v>0.17857142857142858</v>
      </c>
      <c r="X309" s="24">
        <f>IFERROR(Table2[[#This Row],[Green Min]]/Table2[[#This Row],[ClassLength]],"")</f>
        <v>0.3392857142857143</v>
      </c>
      <c r="Y309" s="24">
        <f>IFERROR(Table2[[#This Row],[Orange Min]]/Table2[[#This Row],[ClassLength]],"")</f>
        <v>0.3392857142857143</v>
      </c>
      <c r="Z309" s="24">
        <f>IFERROR(Table2[[#This Row],[Red Min]]/Table2[[#This Row],[ClassLength]],"")</f>
        <v>8.9285714285714288E-2</v>
      </c>
      <c r="AA309" s="25">
        <v>232.14</v>
      </c>
      <c r="AB309" s="25">
        <f t="shared" si="88"/>
        <v>16.581428571428571</v>
      </c>
      <c r="AC309" s="26">
        <f t="shared" si="78"/>
        <v>631.5</v>
      </c>
      <c r="AD309" s="26">
        <f t="shared" si="79"/>
        <v>13.857142857142858</v>
      </c>
      <c r="AE309">
        <f t="shared" si="80"/>
        <v>2022</v>
      </c>
      <c r="AG309">
        <v>12</v>
      </c>
      <c r="AH309" s="26">
        <f t="shared" si="81"/>
        <v>12.857142857142858</v>
      </c>
      <c r="AI309" t="str">
        <f t="shared" si="82"/>
        <v>PM</v>
      </c>
      <c r="AJ309" t="str">
        <f t="shared" si="83"/>
        <v>5-2022-5</v>
      </c>
      <c r="AK309">
        <f t="shared" si="84"/>
        <v>5</v>
      </c>
      <c r="AL309" s="26">
        <f>IFERROR(Table2[[#This Row],[Calories]]/Table2[[#This Row],[Splat]],"")</f>
        <v>30</v>
      </c>
      <c r="AM309">
        <f>COUNTIF(N$2:$N$938,N309)</f>
        <v>191</v>
      </c>
      <c r="AN309" t="str">
        <f>VLOOKUP(N309,'Helpful Tables'!A:D,4,FALSE)</f>
        <v>Washington, DC</v>
      </c>
      <c r="AO309" s="24">
        <f>COUNTIF(AN:AN,Table2[[#This Row],[State]])/COUNTA(AN:AN)</f>
        <v>0.54904051172707891</v>
      </c>
      <c r="AP309">
        <f>VLOOKUP(N309,'Helpful Tables'!A:B,2,FALSE)</f>
        <v>38.949649000000001</v>
      </c>
      <c r="AQ309">
        <f>VLOOKUP(N309,'Helpful Tables'!A:C,3,FALSE)</f>
        <v>-77.080878999999996</v>
      </c>
      <c r="AR309">
        <f>COUNTIF(P$2:$P$938,P309)</f>
        <v>28</v>
      </c>
      <c r="AS309" cm="1">
        <f t="array" ref="AS309">_xlfn.IFS(E309&lt;6,((E309/D309)*60)*0.5,AND(E309&gt;=6,E309&lt;9),((E309/D309)*60)*0.75,AND(E309&gt;=9,E309&lt;=11),((E309/D309)*60)*0.9,AND(E309=12),((E309/D309)*60)*1,AND(E309&gt;=13,E309&lt;=15),((E309/D309)*60)*1.2,AND(E309&gt;=16,E309&lt;=19),((E309/D309)*60)*1.5,E309&gt;=20,((E309/D309)*60)*1.8)</f>
        <v>46.285714285714285</v>
      </c>
      <c r="AT309" cm="1">
        <f t="array" ref="AT309">_xlfn.IFS(F309&lt;550,((F309/D309)*60)*0.5,AND(F309&gt;=550,F309&lt;575),((F309/D309)*60)*0.75,AND(F309&gt;=575,F309&lt;600),((F309/D309)*60)*0.9,AND(F309=600),((F309/D309)*60)*1,AND(F309&gt;=601,F309&lt;=625),((F309/D309)*60)*1.2,AND(F309&gt;=626,F309&lt;=650),((F309/D309)*60)*1.5,F309&gt;=651,((F309/D309)*60)*1.8)</f>
        <v>1388.5714285714287</v>
      </c>
      <c r="AU309">
        <f t="shared" si="89"/>
        <v>40.4</v>
      </c>
      <c r="AV309">
        <f t="shared" si="87"/>
        <v>582.02285714285722</v>
      </c>
      <c r="AW309">
        <f t="shared" si="90"/>
        <v>99.7</v>
      </c>
      <c r="AX309" t="str">
        <f t="shared" si="85"/>
        <v>May-2022</v>
      </c>
      <c r="AY309">
        <f>ROUNDUP(Table2[[#This Row],[Month]]/3,0)</f>
        <v>2</v>
      </c>
    </row>
    <row r="310" spans="1:51" x14ac:dyDescent="0.2">
      <c r="A310">
        <v>309</v>
      </c>
      <c r="B310">
        <f t="shared" si="74"/>
        <v>14</v>
      </c>
      <c r="C310" s="22">
        <v>44713</v>
      </c>
      <c r="D310">
        <f>SUM(Table2[[#This Row],[Gray Min]:[Red Min]])</f>
        <v>55</v>
      </c>
      <c r="E310">
        <v>8</v>
      </c>
      <c r="F310">
        <v>537</v>
      </c>
      <c r="G310">
        <v>117</v>
      </c>
      <c r="H310">
        <v>167</v>
      </c>
      <c r="I310">
        <v>23</v>
      </c>
      <c r="J310">
        <v>11</v>
      </c>
      <c r="K310">
        <v>13</v>
      </c>
      <c r="L310">
        <v>6</v>
      </c>
      <c r="M310">
        <v>2</v>
      </c>
      <c r="N310" t="s">
        <v>91</v>
      </c>
      <c r="O310" t="s">
        <v>39</v>
      </c>
      <c r="P310" t="s">
        <v>96</v>
      </c>
      <c r="Q310">
        <f t="shared" si="86"/>
        <v>1</v>
      </c>
      <c r="R310" t="str">
        <f t="shared" si="75"/>
        <v>6-2022</v>
      </c>
      <c r="S310" t="s">
        <v>117</v>
      </c>
      <c r="T310" t="str">
        <f t="shared" si="76"/>
        <v>Wednesday</v>
      </c>
      <c r="U310">
        <f t="shared" si="77"/>
        <v>0</v>
      </c>
      <c r="V310" s="24">
        <f>IFERROR(Table2[[#This Row],[Gray Min]]/Table2[[#This Row],[ClassLength]],"")</f>
        <v>0.41818181818181815</v>
      </c>
      <c r="W310" s="24">
        <f>IFERROR(Table2[[#This Row],[Blue Min]]/Table2[[#This Row],[ClassLength]],"")</f>
        <v>0.2</v>
      </c>
      <c r="X310" s="24">
        <f>IFERROR(Table2[[#This Row],[Green Min]]/Table2[[#This Row],[ClassLength]],"")</f>
        <v>0.23636363636363636</v>
      </c>
      <c r="Y310" s="24">
        <f>IFERROR(Table2[[#This Row],[Orange Min]]/Table2[[#This Row],[ClassLength]],"")</f>
        <v>0.10909090909090909</v>
      </c>
      <c r="Z310" s="24">
        <f>IFERROR(Table2[[#This Row],[Red Min]]/Table2[[#This Row],[ClassLength]],"")</f>
        <v>3.6363636363636362E-2</v>
      </c>
      <c r="AA310" s="25">
        <v>232.14</v>
      </c>
      <c r="AB310" s="25">
        <f t="shared" si="88"/>
        <v>16.581428571428571</v>
      </c>
      <c r="AC310" s="26">
        <f t="shared" si="78"/>
        <v>629.64285714285711</v>
      </c>
      <c r="AD310" s="26">
        <f t="shared" si="79"/>
        <v>14</v>
      </c>
      <c r="AE310">
        <f t="shared" si="80"/>
        <v>2022</v>
      </c>
      <c r="AG310">
        <v>12</v>
      </c>
      <c r="AH310" s="26">
        <f t="shared" si="81"/>
        <v>9.7636363636363637</v>
      </c>
      <c r="AI310" t="str">
        <f t="shared" si="82"/>
        <v>PM</v>
      </c>
      <c r="AJ310" t="str">
        <f t="shared" si="83"/>
        <v>6-2022-1</v>
      </c>
      <c r="AK310">
        <f t="shared" si="84"/>
        <v>6</v>
      </c>
      <c r="AL310" s="26">
        <f>IFERROR(Table2[[#This Row],[Calories]]/Table2[[#This Row],[Splat]],"")</f>
        <v>67.125</v>
      </c>
      <c r="AM310">
        <f>COUNTIF(N$2:$N$938,N310)</f>
        <v>218</v>
      </c>
      <c r="AN310" t="str">
        <f>VLOOKUP(N310,'Helpful Tables'!A:D,4,FALSE)</f>
        <v>Washington, DC</v>
      </c>
      <c r="AO310" s="24">
        <f>COUNTIF(AN:AN,Table2[[#This Row],[State]])/COUNTA(AN:AN)</f>
        <v>0.54904051172707891</v>
      </c>
      <c r="AP310">
        <f>VLOOKUP(N310,'Helpful Tables'!A:B,2,FALSE)</f>
        <v>38.934710000000003</v>
      </c>
      <c r="AQ310">
        <f>VLOOKUP(N310,'Helpful Tables'!A:C,3,FALSE)</f>
        <v>-77.058222999999998</v>
      </c>
      <c r="AR310">
        <f>COUNTIF(P$2:$P$938,P310)</f>
        <v>71</v>
      </c>
      <c r="AS310" cm="1">
        <f t="array" ref="AS310">_xlfn.IFS(E310&lt;6,((E310/D310)*60)*0.5,AND(E310&gt;=6,E310&lt;9),((E310/D310)*60)*0.75,AND(E310&gt;=9,E310&lt;=11),((E310/D310)*60)*0.9,AND(E310=12),((E310/D310)*60)*1,AND(E310&gt;=13,E310&lt;=15),((E310/D310)*60)*1.2,AND(E310&gt;=16,E310&lt;=19),((E310/D310)*60)*1.5,E310&gt;=20,((E310/D310)*60)*1.8)</f>
        <v>6.545454545454545</v>
      </c>
      <c r="AT310" cm="1">
        <f t="array" ref="AT310">_xlfn.IFS(F310&lt;550,((F310/D310)*60)*0.5,AND(F310&gt;=550,F310&lt;575),((F310/D310)*60)*0.75,AND(F310&gt;=575,F310&lt;600),((F310/D310)*60)*0.9,AND(F310=600),((F310/D310)*60)*1,AND(F310&gt;=601,F310&lt;=625),((F310/D310)*60)*1.2,AND(F310&gt;=626,F310&lt;=650),((F310/D310)*60)*1.5,F310&gt;=651,((F310/D310)*60)*1.8)</f>
        <v>292.90909090909093</v>
      </c>
      <c r="AU310">
        <f t="shared" si="89"/>
        <v>-13.3</v>
      </c>
      <c r="AV310">
        <f t="shared" si="87"/>
        <v>117.12181818181821</v>
      </c>
      <c r="AW310">
        <f t="shared" si="90"/>
        <v>6.2</v>
      </c>
      <c r="AX310" t="str">
        <f t="shared" si="85"/>
        <v>Jun-2022</v>
      </c>
      <c r="AY310">
        <f>ROUNDUP(Table2[[#This Row],[Month]]/3,0)</f>
        <v>2</v>
      </c>
    </row>
    <row r="311" spans="1:51" x14ac:dyDescent="0.2">
      <c r="A311">
        <v>310</v>
      </c>
      <c r="B311">
        <f t="shared" si="74"/>
        <v>14</v>
      </c>
      <c r="C311" s="22">
        <v>44715</v>
      </c>
      <c r="D311">
        <f>SUM(Table2[[#This Row],[Gray Min]:[Red Min]])</f>
        <v>57</v>
      </c>
      <c r="E311">
        <v>12</v>
      </c>
      <c r="F311">
        <v>625</v>
      </c>
      <c r="G311">
        <v>127</v>
      </c>
      <c r="H311">
        <v>166</v>
      </c>
      <c r="I311">
        <v>12</v>
      </c>
      <c r="J311">
        <v>15</v>
      </c>
      <c r="K311">
        <v>18</v>
      </c>
      <c r="L311">
        <v>11</v>
      </c>
      <c r="M311">
        <v>1</v>
      </c>
      <c r="N311" t="s">
        <v>91</v>
      </c>
      <c r="O311" t="s">
        <v>42</v>
      </c>
      <c r="P311" t="s">
        <v>98</v>
      </c>
      <c r="Q311">
        <f t="shared" si="86"/>
        <v>2</v>
      </c>
      <c r="R311" t="str">
        <f t="shared" si="75"/>
        <v>6-2022</v>
      </c>
      <c r="S311" t="s">
        <v>104</v>
      </c>
      <c r="T311" t="str">
        <f t="shared" si="76"/>
        <v>Friday</v>
      </c>
      <c r="U311">
        <f t="shared" si="77"/>
        <v>1</v>
      </c>
      <c r="V311" s="24">
        <f>IFERROR(Table2[[#This Row],[Gray Min]]/Table2[[#This Row],[ClassLength]],"")</f>
        <v>0.21052631578947367</v>
      </c>
      <c r="W311" s="24">
        <f>IFERROR(Table2[[#This Row],[Blue Min]]/Table2[[#This Row],[ClassLength]],"")</f>
        <v>0.26315789473684209</v>
      </c>
      <c r="X311" s="24">
        <f>IFERROR(Table2[[#This Row],[Green Min]]/Table2[[#This Row],[ClassLength]],"")</f>
        <v>0.31578947368421051</v>
      </c>
      <c r="Y311" s="24">
        <f>IFERROR(Table2[[#This Row],[Orange Min]]/Table2[[#This Row],[ClassLength]],"")</f>
        <v>0.19298245614035087</v>
      </c>
      <c r="Z311" s="24">
        <f>IFERROR(Table2[[#This Row],[Red Min]]/Table2[[#This Row],[ClassLength]],"")</f>
        <v>1.7543859649122806E-2</v>
      </c>
      <c r="AA311" s="25">
        <v>232.14</v>
      </c>
      <c r="AB311" s="25">
        <f t="shared" si="88"/>
        <v>16.581428571428571</v>
      </c>
      <c r="AC311" s="26">
        <f t="shared" si="78"/>
        <v>629.64285714285711</v>
      </c>
      <c r="AD311" s="26">
        <f t="shared" si="79"/>
        <v>14</v>
      </c>
      <c r="AE311">
        <f t="shared" si="80"/>
        <v>2022</v>
      </c>
      <c r="AG311">
        <v>12</v>
      </c>
      <c r="AH311" s="26">
        <f t="shared" si="81"/>
        <v>10.964912280701755</v>
      </c>
      <c r="AI311" t="str">
        <f t="shared" si="82"/>
        <v>AM</v>
      </c>
      <c r="AJ311" t="str">
        <f t="shared" si="83"/>
        <v>6-2022-1</v>
      </c>
      <c r="AK311">
        <f t="shared" si="84"/>
        <v>6</v>
      </c>
      <c r="AL311" s="26">
        <f>IFERROR(Table2[[#This Row],[Calories]]/Table2[[#This Row],[Splat]],"")</f>
        <v>52.083333333333336</v>
      </c>
      <c r="AM311">
        <f>COUNTIF(N$2:$N$938,N311)</f>
        <v>218</v>
      </c>
      <c r="AN311" t="str">
        <f>VLOOKUP(N311,'Helpful Tables'!A:D,4,FALSE)</f>
        <v>Washington, DC</v>
      </c>
      <c r="AO311" s="24">
        <f>COUNTIF(AN:AN,Table2[[#This Row],[State]])/COUNTA(AN:AN)</f>
        <v>0.54904051172707891</v>
      </c>
      <c r="AP311">
        <f>VLOOKUP(N311,'Helpful Tables'!A:B,2,FALSE)</f>
        <v>38.934710000000003</v>
      </c>
      <c r="AQ311">
        <f>VLOOKUP(N311,'Helpful Tables'!A:C,3,FALSE)</f>
        <v>-77.058222999999998</v>
      </c>
      <c r="AR311">
        <f>COUNTIF(P$2:$P$938,P311)</f>
        <v>28</v>
      </c>
      <c r="AS311" cm="1">
        <f t="array" ref="AS311">_xlfn.IFS(E311&lt;6,((E311/D311)*60)*0.5,AND(E311&gt;=6,E311&lt;9),((E311/D311)*60)*0.75,AND(E311&gt;=9,E311&lt;=11),((E311/D311)*60)*0.9,AND(E311=12),((E311/D311)*60)*1,AND(E311&gt;=13,E311&lt;=15),((E311/D311)*60)*1.2,AND(E311&gt;=16,E311&lt;=19),((E311/D311)*60)*1.5,E311&gt;=20,((E311/D311)*60)*1.8)</f>
        <v>12.631578947368421</v>
      </c>
      <c r="AT311" cm="1">
        <f t="array" ref="AT311">_xlfn.IFS(F311&lt;550,((F311/D311)*60)*0.5,AND(F311&gt;=550,F311&lt;575),((F311/D311)*60)*0.75,AND(F311&gt;=575,F311&lt;600),((F311/D311)*60)*0.9,AND(F311=600),((F311/D311)*60)*1,AND(F311&gt;=601,F311&lt;=625),((F311/D311)*60)*1.2,AND(F311&gt;=626,F311&lt;=650),((F311/D311)*60)*1.5,F311&gt;=651,((F311/D311)*60)*1.8)</f>
        <v>789.47368421052636</v>
      </c>
      <c r="AU311">
        <f t="shared" si="89"/>
        <v>6.5</v>
      </c>
      <c r="AV311">
        <f t="shared" si="87"/>
        <v>322.14210526315793</v>
      </c>
      <c r="AW311">
        <f t="shared" si="90"/>
        <v>38</v>
      </c>
      <c r="AX311" t="str">
        <f t="shared" si="85"/>
        <v>Jun-2022</v>
      </c>
      <c r="AY311">
        <f>ROUNDUP(Table2[[#This Row],[Month]]/3,0)</f>
        <v>2</v>
      </c>
    </row>
    <row r="312" spans="1:51" x14ac:dyDescent="0.2">
      <c r="A312">
        <v>311</v>
      </c>
      <c r="B312">
        <f t="shared" si="74"/>
        <v>14</v>
      </c>
      <c r="C312" s="22">
        <v>44719</v>
      </c>
      <c r="D312">
        <f>SUM(Table2[[#This Row],[Gray Min]:[Red Min]])</f>
        <v>55</v>
      </c>
      <c r="E312">
        <v>12</v>
      </c>
      <c r="F312">
        <v>618</v>
      </c>
      <c r="G312">
        <v>127</v>
      </c>
      <c r="H312">
        <v>170</v>
      </c>
      <c r="I312">
        <v>10</v>
      </c>
      <c r="J312">
        <v>19</v>
      </c>
      <c r="K312">
        <v>14</v>
      </c>
      <c r="L312">
        <v>10</v>
      </c>
      <c r="M312">
        <v>2</v>
      </c>
      <c r="N312" t="s">
        <v>101</v>
      </c>
      <c r="O312" t="s">
        <v>39</v>
      </c>
      <c r="P312" t="s">
        <v>109</v>
      </c>
      <c r="Q312">
        <f t="shared" si="86"/>
        <v>4</v>
      </c>
      <c r="R312" t="str">
        <f t="shared" si="75"/>
        <v>6-2022</v>
      </c>
      <c r="S312" t="s">
        <v>104</v>
      </c>
      <c r="T312" t="str">
        <f t="shared" si="76"/>
        <v>Tuesday</v>
      </c>
      <c r="U312">
        <f t="shared" si="77"/>
        <v>1</v>
      </c>
      <c r="V312" s="24">
        <f>IFERROR(Table2[[#This Row],[Gray Min]]/Table2[[#This Row],[ClassLength]],"")</f>
        <v>0.18181818181818182</v>
      </c>
      <c r="W312" s="24">
        <f>IFERROR(Table2[[#This Row],[Blue Min]]/Table2[[#This Row],[ClassLength]],"")</f>
        <v>0.34545454545454546</v>
      </c>
      <c r="X312" s="24">
        <f>IFERROR(Table2[[#This Row],[Green Min]]/Table2[[#This Row],[ClassLength]],"")</f>
        <v>0.25454545454545452</v>
      </c>
      <c r="Y312" s="24">
        <f>IFERROR(Table2[[#This Row],[Orange Min]]/Table2[[#This Row],[ClassLength]],"")</f>
        <v>0.18181818181818182</v>
      </c>
      <c r="Z312" s="24">
        <f>IFERROR(Table2[[#This Row],[Red Min]]/Table2[[#This Row],[ClassLength]],"")</f>
        <v>3.6363636363636362E-2</v>
      </c>
      <c r="AA312" s="25">
        <v>232.14</v>
      </c>
      <c r="AB312" s="25">
        <f t="shared" si="88"/>
        <v>16.581428571428571</v>
      </c>
      <c r="AC312" s="26">
        <f t="shared" si="78"/>
        <v>629.64285714285711</v>
      </c>
      <c r="AD312" s="26">
        <f t="shared" si="79"/>
        <v>14</v>
      </c>
      <c r="AE312">
        <f t="shared" si="80"/>
        <v>2022</v>
      </c>
      <c r="AG312">
        <v>12</v>
      </c>
      <c r="AH312" s="26">
        <f t="shared" si="81"/>
        <v>11.236363636363636</v>
      </c>
      <c r="AI312" t="str">
        <f t="shared" si="82"/>
        <v>PM</v>
      </c>
      <c r="AJ312" t="str">
        <f t="shared" si="83"/>
        <v>6-2022-2</v>
      </c>
      <c r="AK312">
        <f t="shared" si="84"/>
        <v>6</v>
      </c>
      <c r="AL312" s="26">
        <f>IFERROR(Table2[[#This Row],[Calories]]/Table2[[#This Row],[Splat]],"")</f>
        <v>51.5</v>
      </c>
      <c r="AM312">
        <f>COUNTIF(N$2:$N$938,N312)</f>
        <v>191</v>
      </c>
      <c r="AN312" t="str">
        <f>VLOOKUP(N312,'Helpful Tables'!A:D,4,FALSE)</f>
        <v>Washington, DC</v>
      </c>
      <c r="AO312" s="24">
        <f>COUNTIF(AN:AN,Table2[[#This Row],[State]])/COUNTA(AN:AN)</f>
        <v>0.54904051172707891</v>
      </c>
      <c r="AP312">
        <f>VLOOKUP(N312,'Helpful Tables'!A:B,2,FALSE)</f>
        <v>38.949649000000001</v>
      </c>
      <c r="AQ312">
        <f>VLOOKUP(N312,'Helpful Tables'!A:C,3,FALSE)</f>
        <v>-77.080878999999996</v>
      </c>
      <c r="AR312">
        <f>COUNTIF(P$2:$P$938,P312)</f>
        <v>66</v>
      </c>
      <c r="AS312" cm="1">
        <f t="array" ref="AS312">_xlfn.IFS(E312&lt;6,((E312/D312)*60)*0.5,AND(E312&gt;=6,E312&lt;9),((E312/D312)*60)*0.75,AND(E312&gt;=9,E312&lt;=11),((E312/D312)*60)*0.9,AND(E312=12),((E312/D312)*60)*1,AND(E312&gt;=13,E312&lt;=15),((E312/D312)*60)*1.2,AND(E312&gt;=16,E312&lt;=19),((E312/D312)*60)*1.5,E312&gt;=20,((E312/D312)*60)*1.8)</f>
        <v>13.09090909090909</v>
      </c>
      <c r="AT312" cm="1">
        <f t="array" ref="AT312">_xlfn.IFS(F312&lt;550,((F312/D312)*60)*0.5,AND(F312&gt;=550,F312&lt;575),((F312/D312)*60)*0.75,AND(F312&gt;=575,F312&lt;600),((F312/D312)*60)*0.9,AND(F312=600),((F312/D312)*60)*1,AND(F312&gt;=601,F312&lt;=625),((F312/D312)*60)*1.2,AND(F312&gt;=626,F312&lt;=650),((F312/D312)*60)*1.5,F312&gt;=651,((F312/D312)*60)*1.8)</f>
        <v>809.01818181818169</v>
      </c>
      <c r="AU312">
        <f t="shared" si="89"/>
        <v>-0.10000000000000497</v>
      </c>
      <c r="AV312">
        <f t="shared" si="87"/>
        <v>328.82363636363635</v>
      </c>
      <c r="AW312">
        <f t="shared" si="90"/>
        <v>39.900000000000006</v>
      </c>
      <c r="AX312" t="str">
        <f t="shared" si="85"/>
        <v>Jun-2022</v>
      </c>
      <c r="AY312">
        <f>ROUNDUP(Table2[[#This Row],[Month]]/3,0)</f>
        <v>2</v>
      </c>
    </row>
    <row r="313" spans="1:51" x14ac:dyDescent="0.2">
      <c r="A313">
        <v>312</v>
      </c>
      <c r="B313">
        <f t="shared" si="74"/>
        <v>14</v>
      </c>
      <c r="C313" s="22">
        <v>44721</v>
      </c>
      <c r="D313">
        <f>SUM(Table2[[#This Row],[Gray Min]:[Red Min]])</f>
        <v>61</v>
      </c>
      <c r="E313">
        <v>16</v>
      </c>
      <c r="F313">
        <v>672</v>
      </c>
      <c r="G313">
        <v>127</v>
      </c>
      <c r="H313">
        <v>169</v>
      </c>
      <c r="I313">
        <v>11</v>
      </c>
      <c r="J313">
        <v>22</v>
      </c>
      <c r="K313">
        <v>12</v>
      </c>
      <c r="L313">
        <v>10</v>
      </c>
      <c r="M313">
        <v>6</v>
      </c>
      <c r="N313" t="s">
        <v>91</v>
      </c>
      <c r="O313" t="s">
        <v>39</v>
      </c>
      <c r="P313" t="s">
        <v>98</v>
      </c>
      <c r="Q313">
        <f t="shared" si="86"/>
        <v>2</v>
      </c>
      <c r="R313" t="str">
        <f t="shared" si="75"/>
        <v>6-2022</v>
      </c>
      <c r="S313" t="s">
        <v>117</v>
      </c>
      <c r="T313" t="str">
        <f t="shared" si="76"/>
        <v>Thursday</v>
      </c>
      <c r="U313">
        <f t="shared" si="77"/>
        <v>1</v>
      </c>
      <c r="V313" s="24">
        <f>IFERROR(Table2[[#This Row],[Gray Min]]/Table2[[#This Row],[ClassLength]],"")</f>
        <v>0.18032786885245902</v>
      </c>
      <c r="W313" s="24">
        <f>IFERROR(Table2[[#This Row],[Blue Min]]/Table2[[#This Row],[ClassLength]],"")</f>
        <v>0.36065573770491804</v>
      </c>
      <c r="X313" s="24">
        <f>IFERROR(Table2[[#This Row],[Green Min]]/Table2[[#This Row],[ClassLength]],"")</f>
        <v>0.19672131147540983</v>
      </c>
      <c r="Y313" s="24">
        <f>IFERROR(Table2[[#This Row],[Orange Min]]/Table2[[#This Row],[ClassLength]],"")</f>
        <v>0.16393442622950818</v>
      </c>
      <c r="Z313" s="24">
        <f>IFERROR(Table2[[#This Row],[Red Min]]/Table2[[#This Row],[ClassLength]],"")</f>
        <v>9.8360655737704916E-2</v>
      </c>
      <c r="AA313" s="25">
        <v>232.14</v>
      </c>
      <c r="AB313" s="25">
        <f t="shared" si="88"/>
        <v>16.581428571428571</v>
      </c>
      <c r="AC313" s="26">
        <f t="shared" si="78"/>
        <v>629.64285714285711</v>
      </c>
      <c r="AD313" s="26">
        <f t="shared" si="79"/>
        <v>14</v>
      </c>
      <c r="AE313">
        <f t="shared" si="80"/>
        <v>2022</v>
      </c>
      <c r="AG313">
        <v>12</v>
      </c>
      <c r="AH313" s="26">
        <f t="shared" si="81"/>
        <v>11.016393442622951</v>
      </c>
      <c r="AI313" t="str">
        <f t="shared" si="82"/>
        <v>PM</v>
      </c>
      <c r="AJ313" t="str">
        <f t="shared" si="83"/>
        <v>6-2022-2</v>
      </c>
      <c r="AK313">
        <f t="shared" si="84"/>
        <v>6</v>
      </c>
      <c r="AL313" s="26">
        <f>IFERROR(Table2[[#This Row],[Calories]]/Table2[[#This Row],[Splat]],"")</f>
        <v>42</v>
      </c>
      <c r="AM313">
        <f>COUNTIF(N$2:$N$938,N313)</f>
        <v>218</v>
      </c>
      <c r="AN313" t="str">
        <f>VLOOKUP(N313,'Helpful Tables'!A:D,4,FALSE)</f>
        <v>Washington, DC</v>
      </c>
      <c r="AO313" s="24">
        <f>COUNTIF(AN:AN,Table2[[#This Row],[State]])/COUNTA(AN:AN)</f>
        <v>0.54904051172707891</v>
      </c>
      <c r="AP313">
        <f>VLOOKUP(N313,'Helpful Tables'!A:B,2,FALSE)</f>
        <v>38.934710000000003</v>
      </c>
      <c r="AQ313">
        <f>VLOOKUP(N313,'Helpful Tables'!A:C,3,FALSE)</f>
        <v>-77.058222999999998</v>
      </c>
      <c r="AR313">
        <f>COUNTIF(P$2:$P$938,P313)</f>
        <v>28</v>
      </c>
      <c r="AS313" cm="1">
        <f t="array" ref="AS313">_xlfn.IFS(E313&lt;6,((E313/D313)*60)*0.5,AND(E313&gt;=6,E313&lt;9),((E313/D313)*60)*0.75,AND(E313&gt;=9,E313&lt;=11),((E313/D313)*60)*0.9,AND(E313=12),((E313/D313)*60)*1,AND(E313&gt;=13,E313&lt;=15),((E313/D313)*60)*1.2,AND(E313&gt;=16,E313&lt;=19),((E313/D313)*60)*1.5,E313&gt;=20,((E313/D313)*60)*1.8)</f>
        <v>23.606557377049182</v>
      </c>
      <c r="AT313" cm="1">
        <f t="array" ref="AT313">_xlfn.IFS(F313&lt;550,((F313/D313)*60)*0.5,AND(F313&gt;=550,F313&lt;575),((F313/D313)*60)*0.75,AND(F313&gt;=575,F313&lt;600),((F313/D313)*60)*0.9,AND(F313=600),((F313/D313)*60)*1,AND(F313&gt;=601,F313&lt;=625),((F313/D313)*60)*1.2,AND(F313&gt;=626,F313&lt;=650),((F313/D313)*60)*1.5,F313&gt;=651,((F313/D313)*60)*1.8)</f>
        <v>1189.7704918032787</v>
      </c>
      <c r="AU313">
        <f t="shared" si="89"/>
        <v>-1.0000000000000071</v>
      </c>
      <c r="AV313">
        <f t="shared" si="87"/>
        <v>485.15081967213115</v>
      </c>
      <c r="AW313">
        <f t="shared" si="90"/>
        <v>71.3</v>
      </c>
      <c r="AX313" t="str">
        <f t="shared" si="85"/>
        <v>Jun-2022</v>
      </c>
      <c r="AY313">
        <f>ROUNDUP(Table2[[#This Row],[Month]]/3,0)</f>
        <v>2</v>
      </c>
    </row>
    <row r="314" spans="1:51" x14ac:dyDescent="0.2">
      <c r="A314">
        <v>313</v>
      </c>
      <c r="B314">
        <f t="shared" si="74"/>
        <v>14</v>
      </c>
      <c r="C314" s="22">
        <v>44722</v>
      </c>
      <c r="D314">
        <f>SUM(Table2[[#This Row],[Gray Min]:[Red Min]])</f>
        <v>57</v>
      </c>
      <c r="E314">
        <v>6</v>
      </c>
      <c r="F314">
        <v>536</v>
      </c>
      <c r="G314">
        <v>116</v>
      </c>
      <c r="H314">
        <v>158</v>
      </c>
      <c r="I314">
        <v>22</v>
      </c>
      <c r="J314">
        <v>18</v>
      </c>
      <c r="K314">
        <v>11</v>
      </c>
      <c r="L314">
        <v>6</v>
      </c>
      <c r="M314">
        <v>0</v>
      </c>
      <c r="N314" t="s">
        <v>101</v>
      </c>
      <c r="O314" t="s">
        <v>39</v>
      </c>
      <c r="P314" t="s">
        <v>133</v>
      </c>
      <c r="Q314">
        <f t="shared" si="86"/>
        <v>1</v>
      </c>
      <c r="R314" t="str">
        <f t="shared" si="75"/>
        <v>6-2022</v>
      </c>
      <c r="S314" t="s">
        <v>104</v>
      </c>
      <c r="T314" t="str">
        <f t="shared" si="76"/>
        <v>Friday</v>
      </c>
      <c r="U314">
        <f t="shared" si="77"/>
        <v>0</v>
      </c>
      <c r="V314" s="24">
        <f>IFERROR(Table2[[#This Row],[Gray Min]]/Table2[[#This Row],[ClassLength]],"")</f>
        <v>0.38596491228070173</v>
      </c>
      <c r="W314" s="24">
        <f>IFERROR(Table2[[#This Row],[Blue Min]]/Table2[[#This Row],[ClassLength]],"")</f>
        <v>0.31578947368421051</v>
      </c>
      <c r="X314" s="24">
        <f>IFERROR(Table2[[#This Row],[Green Min]]/Table2[[#This Row],[ClassLength]],"")</f>
        <v>0.19298245614035087</v>
      </c>
      <c r="Y314" s="24">
        <f>IFERROR(Table2[[#This Row],[Orange Min]]/Table2[[#This Row],[ClassLength]],"")</f>
        <v>0.10526315789473684</v>
      </c>
      <c r="Z314" s="24">
        <f>IFERROR(Table2[[#This Row],[Red Min]]/Table2[[#This Row],[ClassLength]],"")</f>
        <v>0</v>
      </c>
      <c r="AA314" s="25">
        <v>232.14</v>
      </c>
      <c r="AB314" s="25">
        <f t="shared" si="88"/>
        <v>16.581428571428571</v>
      </c>
      <c r="AC314" s="26">
        <f t="shared" si="78"/>
        <v>629.64285714285711</v>
      </c>
      <c r="AD314" s="26">
        <f t="shared" si="79"/>
        <v>14</v>
      </c>
      <c r="AE314">
        <f t="shared" si="80"/>
        <v>2022</v>
      </c>
      <c r="AG314">
        <v>12</v>
      </c>
      <c r="AH314" s="26">
        <f t="shared" si="81"/>
        <v>9.4035087719298254</v>
      </c>
      <c r="AI314" t="str">
        <f t="shared" si="82"/>
        <v>PM</v>
      </c>
      <c r="AJ314" t="str">
        <f t="shared" si="83"/>
        <v>6-2022-2</v>
      </c>
      <c r="AK314">
        <f t="shared" si="84"/>
        <v>6</v>
      </c>
      <c r="AL314" s="26">
        <f>IFERROR(Table2[[#This Row],[Calories]]/Table2[[#This Row],[Splat]],"")</f>
        <v>89.333333333333329</v>
      </c>
      <c r="AM314">
        <f>COUNTIF(N$2:$N$938,N314)</f>
        <v>191</v>
      </c>
      <c r="AN314" t="str">
        <f>VLOOKUP(N314,'Helpful Tables'!A:D,4,FALSE)</f>
        <v>Washington, DC</v>
      </c>
      <c r="AO314" s="24">
        <f>COUNTIF(AN:AN,Table2[[#This Row],[State]])/COUNTA(AN:AN)</f>
        <v>0.54904051172707891</v>
      </c>
      <c r="AP314">
        <f>VLOOKUP(N314,'Helpful Tables'!A:B,2,FALSE)</f>
        <v>38.949649000000001</v>
      </c>
      <c r="AQ314">
        <f>VLOOKUP(N314,'Helpful Tables'!A:C,3,FALSE)</f>
        <v>-77.080878999999996</v>
      </c>
      <c r="AR314">
        <f>COUNTIF(P$2:$P$938,P314)</f>
        <v>25</v>
      </c>
      <c r="AS314" cm="1">
        <f t="array" ref="AS314">_xlfn.IFS(E314&lt;6,((E314/D314)*60)*0.5,AND(E314&gt;=6,E314&lt;9),((E314/D314)*60)*0.75,AND(E314&gt;=9,E314&lt;=11),((E314/D314)*60)*0.9,AND(E314=12),((E314/D314)*60)*1,AND(E314&gt;=13,E314&lt;=15),((E314/D314)*60)*1.2,AND(E314&gt;=16,E314&lt;=19),((E314/D314)*60)*1.5,E314&gt;=20,((E314/D314)*60)*1.8)</f>
        <v>4.7368421052631575</v>
      </c>
      <c r="AT314" cm="1">
        <f t="array" ref="AT314">_xlfn.IFS(F314&lt;550,((F314/D314)*60)*0.5,AND(F314&gt;=550,F314&lt;575),((F314/D314)*60)*0.75,AND(F314&gt;=575,F314&lt;600),((F314/D314)*60)*0.9,AND(F314=600),((F314/D314)*60)*1,AND(F314&gt;=601,F314&lt;=625),((F314/D314)*60)*1.2,AND(F314&gt;=626,F314&lt;=650),((F314/D314)*60)*1.5,F314&gt;=651,((F314/D314)*60)*1.8)</f>
        <v>282.10526315789474</v>
      </c>
      <c r="AU314">
        <f t="shared" si="89"/>
        <v>-25.2</v>
      </c>
      <c r="AV314">
        <f t="shared" si="87"/>
        <v>109.69684210526316</v>
      </c>
      <c r="AW314">
        <f t="shared" si="90"/>
        <v>3.6999999999999997</v>
      </c>
      <c r="AX314" t="str">
        <f t="shared" si="85"/>
        <v>Jun-2022</v>
      </c>
      <c r="AY314">
        <f>ROUNDUP(Table2[[#This Row],[Month]]/3,0)</f>
        <v>2</v>
      </c>
    </row>
    <row r="315" spans="1:51" x14ac:dyDescent="0.2">
      <c r="A315">
        <v>314</v>
      </c>
      <c r="B315">
        <f t="shared" si="74"/>
        <v>14</v>
      </c>
      <c r="C315" s="22">
        <v>44724</v>
      </c>
      <c r="D315">
        <f>SUM(Table2[[#This Row],[Gray Min]:[Red Min]])</f>
        <v>59</v>
      </c>
      <c r="E315">
        <v>15</v>
      </c>
      <c r="F315">
        <v>654</v>
      </c>
      <c r="G315">
        <v>128</v>
      </c>
      <c r="H315">
        <v>166</v>
      </c>
      <c r="I315">
        <v>11</v>
      </c>
      <c r="J315">
        <v>18</v>
      </c>
      <c r="K315">
        <v>15</v>
      </c>
      <c r="L315">
        <v>11</v>
      </c>
      <c r="M315">
        <v>4</v>
      </c>
      <c r="N315" t="s">
        <v>101</v>
      </c>
      <c r="O315" t="s">
        <v>39</v>
      </c>
      <c r="P315" t="s">
        <v>109</v>
      </c>
      <c r="Q315">
        <f t="shared" si="86"/>
        <v>2</v>
      </c>
      <c r="R315" t="str">
        <f t="shared" si="75"/>
        <v>6-2022</v>
      </c>
      <c r="S315" t="s">
        <v>104</v>
      </c>
      <c r="T315" t="str">
        <f t="shared" si="76"/>
        <v>Sunday</v>
      </c>
      <c r="U315">
        <f t="shared" si="77"/>
        <v>1</v>
      </c>
      <c r="V315" s="24">
        <f>IFERROR(Table2[[#This Row],[Gray Min]]/Table2[[#This Row],[ClassLength]],"")</f>
        <v>0.1864406779661017</v>
      </c>
      <c r="W315" s="24">
        <f>IFERROR(Table2[[#This Row],[Blue Min]]/Table2[[#This Row],[ClassLength]],"")</f>
        <v>0.30508474576271188</v>
      </c>
      <c r="X315" s="24">
        <f>IFERROR(Table2[[#This Row],[Green Min]]/Table2[[#This Row],[ClassLength]],"")</f>
        <v>0.25423728813559321</v>
      </c>
      <c r="Y315" s="24">
        <f>IFERROR(Table2[[#This Row],[Orange Min]]/Table2[[#This Row],[ClassLength]],"")</f>
        <v>0.1864406779661017</v>
      </c>
      <c r="Z315" s="24">
        <f>IFERROR(Table2[[#This Row],[Red Min]]/Table2[[#This Row],[ClassLength]],"")</f>
        <v>6.7796610169491525E-2</v>
      </c>
      <c r="AA315" s="25">
        <v>232.14</v>
      </c>
      <c r="AB315" s="25">
        <f t="shared" si="88"/>
        <v>16.581428571428571</v>
      </c>
      <c r="AC315" s="26">
        <f t="shared" si="78"/>
        <v>629.64285714285711</v>
      </c>
      <c r="AD315" s="26">
        <f t="shared" si="79"/>
        <v>14</v>
      </c>
      <c r="AE315">
        <f t="shared" si="80"/>
        <v>2022</v>
      </c>
      <c r="AG315">
        <v>12</v>
      </c>
      <c r="AH315" s="26">
        <f t="shared" si="81"/>
        <v>11.084745762711865</v>
      </c>
      <c r="AI315" t="str">
        <f t="shared" si="82"/>
        <v>PM</v>
      </c>
      <c r="AJ315" t="str">
        <f t="shared" si="83"/>
        <v>6-2022-3</v>
      </c>
      <c r="AK315">
        <f t="shared" si="84"/>
        <v>6</v>
      </c>
      <c r="AL315" s="26">
        <f>IFERROR(Table2[[#This Row],[Calories]]/Table2[[#This Row],[Splat]],"")</f>
        <v>43.6</v>
      </c>
      <c r="AM315">
        <f>COUNTIF(N$2:$N$938,N315)</f>
        <v>191</v>
      </c>
      <c r="AN315" t="str">
        <f>VLOOKUP(N315,'Helpful Tables'!A:D,4,FALSE)</f>
        <v>Washington, DC</v>
      </c>
      <c r="AO315" s="24">
        <f>COUNTIF(AN:AN,Table2[[#This Row],[State]])/COUNTA(AN:AN)</f>
        <v>0.54904051172707891</v>
      </c>
      <c r="AP315">
        <f>VLOOKUP(N315,'Helpful Tables'!A:B,2,FALSE)</f>
        <v>38.949649000000001</v>
      </c>
      <c r="AQ315">
        <f>VLOOKUP(N315,'Helpful Tables'!A:C,3,FALSE)</f>
        <v>-77.080878999999996</v>
      </c>
      <c r="AR315">
        <f>COUNTIF(P$2:$P$938,P315)</f>
        <v>66</v>
      </c>
      <c r="AS315" cm="1">
        <f t="array" ref="AS315">_xlfn.IFS(E315&lt;6,((E315/D315)*60)*0.5,AND(E315&gt;=6,E315&lt;9),((E315/D315)*60)*0.75,AND(E315&gt;=9,E315&lt;=11),((E315/D315)*60)*0.9,AND(E315=12),((E315/D315)*60)*1,AND(E315&gt;=13,E315&lt;=15),((E315/D315)*60)*1.2,AND(E315&gt;=16,E315&lt;=19),((E315/D315)*60)*1.5,E315&gt;=20,((E315/D315)*60)*1.8)</f>
        <v>18.305084745762709</v>
      </c>
      <c r="AT315" cm="1">
        <f t="array" ref="AT315">_xlfn.IFS(F315&lt;550,((F315/D315)*60)*0.5,AND(F315&gt;=550,F315&lt;575),((F315/D315)*60)*0.75,AND(F315&gt;=575,F315&lt;600),((F315/D315)*60)*0.9,AND(F315=600),((F315/D315)*60)*1,AND(F315&gt;=601,F315&lt;=625),((F315/D315)*60)*1.2,AND(F315&gt;=626,F315&lt;=650),((F315/D315)*60)*1.5,F315&gt;=651,((F315/D315)*60)*1.8)</f>
        <v>1197.1525423728815</v>
      </c>
      <c r="AU315">
        <f t="shared" si="89"/>
        <v>5.3000000000000007</v>
      </c>
      <c r="AV315">
        <f t="shared" si="87"/>
        <v>487.24305084745771</v>
      </c>
      <c r="AW315">
        <f t="shared" si="90"/>
        <v>72.3</v>
      </c>
      <c r="AX315" t="str">
        <f t="shared" si="85"/>
        <v>Jun-2022</v>
      </c>
      <c r="AY315">
        <f>ROUNDUP(Table2[[#This Row],[Month]]/3,0)</f>
        <v>2</v>
      </c>
    </row>
    <row r="316" spans="1:51" x14ac:dyDescent="0.2">
      <c r="A316">
        <v>315</v>
      </c>
      <c r="B316">
        <f t="shared" si="74"/>
        <v>14</v>
      </c>
      <c r="C316" s="22">
        <v>44726</v>
      </c>
      <c r="D316">
        <f>SUM(Table2[[#This Row],[Gray Min]:[Red Min]])</f>
        <v>59</v>
      </c>
      <c r="E316">
        <v>24</v>
      </c>
      <c r="F316">
        <v>669</v>
      </c>
      <c r="G316">
        <v>129</v>
      </c>
      <c r="H316">
        <v>168</v>
      </c>
      <c r="I316">
        <v>18</v>
      </c>
      <c r="J316">
        <v>5</v>
      </c>
      <c r="K316">
        <v>12</v>
      </c>
      <c r="L316">
        <v>21</v>
      </c>
      <c r="M316">
        <v>3</v>
      </c>
      <c r="N316" t="s">
        <v>101</v>
      </c>
      <c r="O316" t="s">
        <v>39</v>
      </c>
      <c r="P316" t="s">
        <v>109</v>
      </c>
      <c r="Q316">
        <f t="shared" si="86"/>
        <v>2</v>
      </c>
      <c r="R316" t="str">
        <f t="shared" si="75"/>
        <v>6-2022</v>
      </c>
      <c r="S316" t="s">
        <v>104</v>
      </c>
      <c r="T316" t="str">
        <f t="shared" si="76"/>
        <v>Tuesday</v>
      </c>
      <c r="U316">
        <f t="shared" si="77"/>
        <v>1</v>
      </c>
      <c r="V316" s="24">
        <f>IFERROR(Table2[[#This Row],[Gray Min]]/Table2[[#This Row],[ClassLength]],"")</f>
        <v>0.30508474576271188</v>
      </c>
      <c r="W316" s="24">
        <f>IFERROR(Table2[[#This Row],[Blue Min]]/Table2[[#This Row],[ClassLength]],"")</f>
        <v>8.4745762711864403E-2</v>
      </c>
      <c r="X316" s="24">
        <f>IFERROR(Table2[[#This Row],[Green Min]]/Table2[[#This Row],[ClassLength]],"")</f>
        <v>0.20338983050847459</v>
      </c>
      <c r="Y316" s="24">
        <f>IFERROR(Table2[[#This Row],[Orange Min]]/Table2[[#This Row],[ClassLength]],"")</f>
        <v>0.3559322033898305</v>
      </c>
      <c r="Z316" s="24">
        <f>IFERROR(Table2[[#This Row],[Red Min]]/Table2[[#This Row],[ClassLength]],"")</f>
        <v>5.0847457627118647E-2</v>
      </c>
      <c r="AA316" s="25">
        <v>232.14</v>
      </c>
      <c r="AB316" s="25">
        <f t="shared" si="88"/>
        <v>16.581428571428571</v>
      </c>
      <c r="AC316" s="26">
        <f t="shared" si="78"/>
        <v>629.64285714285711</v>
      </c>
      <c r="AD316" s="26">
        <f t="shared" si="79"/>
        <v>14</v>
      </c>
      <c r="AE316">
        <f t="shared" si="80"/>
        <v>2022</v>
      </c>
      <c r="AG316">
        <v>12</v>
      </c>
      <c r="AH316" s="26">
        <f t="shared" si="81"/>
        <v>11.338983050847459</v>
      </c>
      <c r="AI316" t="str">
        <f t="shared" si="82"/>
        <v>PM</v>
      </c>
      <c r="AJ316" t="str">
        <f t="shared" si="83"/>
        <v>6-2022-3</v>
      </c>
      <c r="AK316">
        <f t="shared" si="84"/>
        <v>6</v>
      </c>
      <c r="AL316" s="26">
        <f>IFERROR(Table2[[#This Row],[Calories]]/Table2[[#This Row],[Splat]],"")</f>
        <v>27.875</v>
      </c>
      <c r="AM316">
        <f>COUNTIF(N$2:$N$938,N316)</f>
        <v>191</v>
      </c>
      <c r="AN316" t="str">
        <f>VLOOKUP(N316,'Helpful Tables'!A:D,4,FALSE)</f>
        <v>Washington, DC</v>
      </c>
      <c r="AO316" s="24">
        <f>COUNTIF(AN:AN,Table2[[#This Row],[State]])/COUNTA(AN:AN)</f>
        <v>0.54904051172707891</v>
      </c>
      <c r="AP316">
        <f>VLOOKUP(N316,'Helpful Tables'!A:B,2,FALSE)</f>
        <v>38.949649000000001</v>
      </c>
      <c r="AQ316">
        <f>VLOOKUP(N316,'Helpful Tables'!A:C,3,FALSE)</f>
        <v>-77.080878999999996</v>
      </c>
      <c r="AR316">
        <f>COUNTIF(P$2:$P$938,P316)</f>
        <v>66</v>
      </c>
      <c r="AS316" cm="1">
        <f t="array" ref="AS316">_xlfn.IFS(E316&lt;6,((E316/D316)*60)*0.5,AND(E316&gt;=6,E316&lt;9),((E316/D316)*60)*0.75,AND(E316&gt;=9,E316&lt;=11),((E316/D316)*60)*0.9,AND(E316=12),((E316/D316)*60)*1,AND(E316&gt;=13,E316&lt;=15),((E316/D316)*60)*1.2,AND(E316&gt;=16,E316&lt;=19),((E316/D316)*60)*1.5,E316&gt;=20,((E316/D316)*60)*1.8)</f>
        <v>43.932203389830512</v>
      </c>
      <c r="AT316" cm="1">
        <f t="array" ref="AT316">_xlfn.IFS(F316&lt;550,((F316/D316)*60)*0.5,AND(F316&gt;=550,F316&lt;575),((F316/D316)*60)*0.75,AND(F316&gt;=575,F316&lt;600),((F316/D316)*60)*0.9,AND(F316=600),((F316/D316)*60)*1,AND(F316&gt;=601,F316&lt;=625),((F316/D316)*60)*1.2,AND(F316&gt;=626,F316&lt;=650),((F316/D316)*60)*1.5,F316&gt;=651,((F316/D316)*60)*1.8)</f>
        <v>1224.6101694915255</v>
      </c>
      <c r="AU316">
        <f t="shared" si="89"/>
        <v>19.100000000000001</v>
      </c>
      <c r="AV316">
        <f t="shared" si="87"/>
        <v>511.23694915254248</v>
      </c>
      <c r="AW316">
        <f t="shared" si="90"/>
        <v>86.5</v>
      </c>
      <c r="AX316" t="str">
        <f t="shared" si="85"/>
        <v>Jun-2022</v>
      </c>
      <c r="AY316">
        <f>ROUNDUP(Table2[[#This Row],[Month]]/3,0)</f>
        <v>2</v>
      </c>
    </row>
    <row r="317" spans="1:51" x14ac:dyDescent="0.2">
      <c r="A317">
        <v>316</v>
      </c>
      <c r="B317">
        <f t="shared" si="74"/>
        <v>14</v>
      </c>
      <c r="C317" s="22">
        <v>44727</v>
      </c>
      <c r="D317">
        <f>SUM(Table2[[#This Row],[Gray Min]:[Red Min]])</f>
        <v>59</v>
      </c>
      <c r="E317">
        <v>13</v>
      </c>
      <c r="F317">
        <v>633</v>
      </c>
      <c r="G317">
        <v>124</v>
      </c>
      <c r="H317">
        <v>166</v>
      </c>
      <c r="I317">
        <v>18</v>
      </c>
      <c r="J317">
        <v>13</v>
      </c>
      <c r="K317">
        <v>15</v>
      </c>
      <c r="L317">
        <v>12</v>
      </c>
      <c r="M317">
        <v>1</v>
      </c>
      <c r="N317" t="s">
        <v>91</v>
      </c>
      <c r="O317" t="s">
        <v>39</v>
      </c>
      <c r="P317" t="s">
        <v>96</v>
      </c>
      <c r="Q317">
        <f t="shared" si="86"/>
        <v>1</v>
      </c>
      <c r="R317" t="str">
        <f t="shared" si="75"/>
        <v>6-2022</v>
      </c>
      <c r="S317" t="s">
        <v>117</v>
      </c>
      <c r="T317" t="str">
        <f t="shared" si="76"/>
        <v>Wednesday</v>
      </c>
      <c r="U317">
        <f t="shared" si="77"/>
        <v>1</v>
      </c>
      <c r="V317" s="24">
        <f>IFERROR(Table2[[#This Row],[Gray Min]]/Table2[[#This Row],[ClassLength]],"")</f>
        <v>0.30508474576271188</v>
      </c>
      <c r="W317" s="24">
        <f>IFERROR(Table2[[#This Row],[Blue Min]]/Table2[[#This Row],[ClassLength]],"")</f>
        <v>0.22033898305084745</v>
      </c>
      <c r="X317" s="24">
        <f>IFERROR(Table2[[#This Row],[Green Min]]/Table2[[#This Row],[ClassLength]],"")</f>
        <v>0.25423728813559321</v>
      </c>
      <c r="Y317" s="24">
        <f>IFERROR(Table2[[#This Row],[Orange Min]]/Table2[[#This Row],[ClassLength]],"")</f>
        <v>0.20338983050847459</v>
      </c>
      <c r="Z317" s="24">
        <f>IFERROR(Table2[[#This Row],[Red Min]]/Table2[[#This Row],[ClassLength]],"")</f>
        <v>1.6949152542372881E-2</v>
      </c>
      <c r="AA317" s="25">
        <v>232.14</v>
      </c>
      <c r="AB317" s="25">
        <f t="shared" si="88"/>
        <v>16.581428571428571</v>
      </c>
      <c r="AC317" s="26">
        <f t="shared" si="78"/>
        <v>629.64285714285711</v>
      </c>
      <c r="AD317" s="26">
        <f t="shared" si="79"/>
        <v>14</v>
      </c>
      <c r="AE317">
        <f t="shared" si="80"/>
        <v>2022</v>
      </c>
      <c r="AG317">
        <v>12</v>
      </c>
      <c r="AH317" s="26">
        <f t="shared" si="81"/>
        <v>10.728813559322035</v>
      </c>
      <c r="AI317" t="str">
        <f t="shared" si="82"/>
        <v>PM</v>
      </c>
      <c r="AJ317" t="str">
        <f t="shared" si="83"/>
        <v>6-2022-3</v>
      </c>
      <c r="AK317">
        <f t="shared" si="84"/>
        <v>6</v>
      </c>
      <c r="AL317" s="26">
        <f>IFERROR(Table2[[#This Row],[Calories]]/Table2[[#This Row],[Splat]],"")</f>
        <v>48.692307692307693</v>
      </c>
      <c r="AM317">
        <f>COUNTIF(N$2:$N$938,N317)</f>
        <v>218</v>
      </c>
      <c r="AN317" t="str">
        <f>VLOOKUP(N317,'Helpful Tables'!A:D,4,FALSE)</f>
        <v>Washington, DC</v>
      </c>
      <c r="AO317" s="24">
        <f>COUNTIF(AN:AN,Table2[[#This Row],[State]])/COUNTA(AN:AN)</f>
        <v>0.54904051172707891</v>
      </c>
      <c r="AP317">
        <f>VLOOKUP(N317,'Helpful Tables'!A:B,2,FALSE)</f>
        <v>38.934710000000003</v>
      </c>
      <c r="AQ317">
        <f>VLOOKUP(N317,'Helpful Tables'!A:C,3,FALSE)</f>
        <v>-77.058222999999998</v>
      </c>
      <c r="AR317">
        <f>COUNTIF(P$2:$P$938,P317)</f>
        <v>71</v>
      </c>
      <c r="AS317" cm="1">
        <f t="array" ref="AS317">_xlfn.IFS(E317&lt;6,((E317/D317)*60)*0.5,AND(E317&gt;=6,E317&lt;9),((E317/D317)*60)*0.75,AND(E317&gt;=9,E317&lt;=11),((E317/D317)*60)*0.9,AND(E317=12),((E317/D317)*60)*1,AND(E317&gt;=13,E317&lt;=15),((E317/D317)*60)*1.2,AND(E317&gt;=16,E317&lt;=19),((E317/D317)*60)*1.5,E317&gt;=20,((E317/D317)*60)*1.8)</f>
        <v>15.864406779661017</v>
      </c>
      <c r="AT317" cm="1">
        <f t="array" ref="AT317">_xlfn.IFS(F317&lt;550,((F317/D317)*60)*0.5,AND(F317&gt;=550,F317&lt;575),((F317/D317)*60)*0.75,AND(F317&gt;=575,F317&lt;600),((F317/D317)*60)*0.9,AND(F317=600),((F317/D317)*60)*1,AND(F317&gt;=601,F317&lt;=625),((F317/D317)*60)*1.2,AND(F317&gt;=626,F317&lt;=650),((F317/D317)*60)*1.5,F317&gt;=651,((F317/D317)*60)*1.8)</f>
        <v>965.5932203389832</v>
      </c>
      <c r="AU317">
        <f t="shared" si="89"/>
        <v>-0.79999999999999716</v>
      </c>
      <c r="AV317">
        <f t="shared" si="87"/>
        <v>392.42305084745766</v>
      </c>
      <c r="AW317">
        <f t="shared" si="90"/>
        <v>49.1</v>
      </c>
      <c r="AX317" t="str">
        <f t="shared" si="85"/>
        <v>Jun-2022</v>
      </c>
      <c r="AY317">
        <f>ROUNDUP(Table2[[#This Row],[Month]]/3,0)</f>
        <v>2</v>
      </c>
    </row>
    <row r="318" spans="1:51" x14ac:dyDescent="0.2">
      <c r="A318">
        <v>317</v>
      </c>
      <c r="B318">
        <f t="shared" si="74"/>
        <v>14</v>
      </c>
      <c r="C318" s="22">
        <v>44729</v>
      </c>
      <c r="D318">
        <f>SUM(Table2[[#This Row],[Gray Min]:[Red Min]])</f>
        <v>59</v>
      </c>
      <c r="E318">
        <v>15</v>
      </c>
      <c r="F318">
        <v>637</v>
      </c>
      <c r="G318">
        <v>125</v>
      </c>
      <c r="H318">
        <v>165</v>
      </c>
      <c r="I318">
        <v>15</v>
      </c>
      <c r="J318">
        <v>16</v>
      </c>
      <c r="K318">
        <v>13</v>
      </c>
      <c r="L318">
        <v>13</v>
      </c>
      <c r="M318">
        <v>2</v>
      </c>
      <c r="N318" t="s">
        <v>91</v>
      </c>
      <c r="O318" t="s">
        <v>89</v>
      </c>
      <c r="P318" t="s">
        <v>98</v>
      </c>
      <c r="Q318">
        <f t="shared" si="86"/>
        <v>2</v>
      </c>
      <c r="R318" t="str">
        <f t="shared" si="75"/>
        <v>6-2022</v>
      </c>
      <c r="S318" t="s">
        <v>104</v>
      </c>
      <c r="T318" t="str">
        <f t="shared" si="76"/>
        <v>Friday</v>
      </c>
      <c r="U318">
        <f t="shared" si="77"/>
        <v>1</v>
      </c>
      <c r="V318" s="24">
        <f>IFERROR(Table2[[#This Row],[Gray Min]]/Table2[[#This Row],[ClassLength]],"")</f>
        <v>0.25423728813559321</v>
      </c>
      <c r="W318" s="24">
        <f>IFERROR(Table2[[#This Row],[Blue Min]]/Table2[[#This Row],[ClassLength]],"")</f>
        <v>0.2711864406779661</v>
      </c>
      <c r="X318" s="24">
        <f>IFERROR(Table2[[#This Row],[Green Min]]/Table2[[#This Row],[ClassLength]],"")</f>
        <v>0.22033898305084745</v>
      </c>
      <c r="Y318" s="24">
        <f>IFERROR(Table2[[#This Row],[Orange Min]]/Table2[[#This Row],[ClassLength]],"")</f>
        <v>0.22033898305084745</v>
      </c>
      <c r="Z318" s="24">
        <f>IFERROR(Table2[[#This Row],[Red Min]]/Table2[[#This Row],[ClassLength]],"")</f>
        <v>3.3898305084745763E-2</v>
      </c>
      <c r="AA318" s="25">
        <v>232.14</v>
      </c>
      <c r="AB318" s="25">
        <f t="shared" si="88"/>
        <v>16.581428571428571</v>
      </c>
      <c r="AC318" s="26">
        <f t="shared" si="78"/>
        <v>629.64285714285711</v>
      </c>
      <c r="AD318" s="26">
        <f t="shared" si="79"/>
        <v>14</v>
      </c>
      <c r="AE318">
        <f t="shared" si="80"/>
        <v>2022</v>
      </c>
      <c r="AG318">
        <v>12</v>
      </c>
      <c r="AH318" s="26">
        <f t="shared" si="81"/>
        <v>10.796610169491526</v>
      </c>
      <c r="AI318" t="str">
        <f t="shared" si="82"/>
        <v>AM</v>
      </c>
      <c r="AJ318" t="str">
        <f t="shared" si="83"/>
        <v>6-2022-3</v>
      </c>
      <c r="AK318">
        <f t="shared" si="84"/>
        <v>6</v>
      </c>
      <c r="AL318" s="26">
        <f>IFERROR(Table2[[#This Row],[Calories]]/Table2[[#This Row],[Splat]],"")</f>
        <v>42.466666666666669</v>
      </c>
      <c r="AM318">
        <f>COUNTIF(N$2:$N$938,N318)</f>
        <v>218</v>
      </c>
      <c r="AN318" t="str">
        <f>VLOOKUP(N318,'Helpful Tables'!A:D,4,FALSE)</f>
        <v>Washington, DC</v>
      </c>
      <c r="AO318" s="24">
        <f>COUNTIF(AN:AN,Table2[[#This Row],[State]])/COUNTA(AN:AN)</f>
        <v>0.54904051172707891</v>
      </c>
      <c r="AP318">
        <f>VLOOKUP(N318,'Helpful Tables'!A:B,2,FALSE)</f>
        <v>38.934710000000003</v>
      </c>
      <c r="AQ318">
        <f>VLOOKUP(N318,'Helpful Tables'!A:C,3,FALSE)</f>
        <v>-77.058222999999998</v>
      </c>
      <c r="AR318">
        <f>COUNTIF(P$2:$P$938,P318)</f>
        <v>28</v>
      </c>
      <c r="AS318" cm="1">
        <f t="array" ref="AS318">_xlfn.IFS(E318&lt;6,((E318/D318)*60)*0.5,AND(E318&gt;=6,E318&lt;9),((E318/D318)*60)*0.75,AND(E318&gt;=9,E318&lt;=11),((E318/D318)*60)*0.9,AND(E318=12),((E318/D318)*60)*1,AND(E318&gt;=13,E318&lt;=15),((E318/D318)*60)*1.2,AND(E318&gt;=16,E318&lt;=19),((E318/D318)*60)*1.5,E318&gt;=20,((E318/D318)*60)*1.8)</f>
        <v>18.305084745762709</v>
      </c>
      <c r="AT318" cm="1">
        <f t="array" ref="AT318">_xlfn.IFS(F318&lt;550,((F318/D318)*60)*0.5,AND(F318&gt;=550,F318&lt;575),((F318/D318)*60)*0.75,AND(F318&gt;=575,F318&lt;600),((F318/D318)*60)*0.9,AND(F318=600),((F318/D318)*60)*1,AND(F318&gt;=601,F318&lt;=625),((F318/D318)*60)*1.2,AND(F318&gt;=626,F318&lt;=650),((F318/D318)*60)*1.5,F318&gt;=651,((F318/D318)*60)*1.8)</f>
        <v>971.69491525423746</v>
      </c>
      <c r="AU318">
        <f t="shared" si="89"/>
        <v>-9.9999999999997868E-2</v>
      </c>
      <c r="AV318">
        <f t="shared" si="87"/>
        <v>395.98000000000013</v>
      </c>
      <c r="AW318">
        <f t="shared" si="90"/>
        <v>51.1</v>
      </c>
      <c r="AX318" t="str">
        <f t="shared" si="85"/>
        <v>Jun-2022</v>
      </c>
      <c r="AY318">
        <f>ROUNDUP(Table2[[#This Row],[Month]]/3,0)</f>
        <v>2</v>
      </c>
    </row>
    <row r="319" spans="1:51" x14ac:dyDescent="0.2">
      <c r="A319">
        <v>318</v>
      </c>
      <c r="B319">
        <f t="shared" si="74"/>
        <v>14</v>
      </c>
      <c r="C319" s="22">
        <v>44733</v>
      </c>
      <c r="D319">
        <f>SUM(Table2[[#This Row],[Gray Min]:[Red Min]])</f>
        <v>55</v>
      </c>
      <c r="E319">
        <v>16</v>
      </c>
      <c r="F319">
        <v>649</v>
      </c>
      <c r="G319">
        <v>131</v>
      </c>
      <c r="H319">
        <v>167</v>
      </c>
      <c r="I319">
        <v>5</v>
      </c>
      <c r="J319">
        <v>18</v>
      </c>
      <c r="K319">
        <v>16</v>
      </c>
      <c r="L319">
        <v>14</v>
      </c>
      <c r="M319">
        <v>2</v>
      </c>
      <c r="N319" t="s">
        <v>101</v>
      </c>
      <c r="O319" t="s">
        <v>39</v>
      </c>
      <c r="P319" t="s">
        <v>109</v>
      </c>
      <c r="Q319">
        <f t="shared" si="86"/>
        <v>4</v>
      </c>
      <c r="R319" t="str">
        <f t="shared" si="75"/>
        <v>6-2022</v>
      </c>
      <c r="S319" t="s">
        <v>104</v>
      </c>
      <c r="T319" t="str">
        <f t="shared" si="76"/>
        <v>Tuesday</v>
      </c>
      <c r="U319">
        <f t="shared" si="77"/>
        <v>1</v>
      </c>
      <c r="V319" s="24">
        <f>IFERROR(Table2[[#This Row],[Gray Min]]/Table2[[#This Row],[ClassLength]],"")</f>
        <v>9.0909090909090912E-2</v>
      </c>
      <c r="W319" s="24">
        <f>IFERROR(Table2[[#This Row],[Blue Min]]/Table2[[#This Row],[ClassLength]],"")</f>
        <v>0.32727272727272727</v>
      </c>
      <c r="X319" s="24">
        <f>IFERROR(Table2[[#This Row],[Green Min]]/Table2[[#This Row],[ClassLength]],"")</f>
        <v>0.29090909090909089</v>
      </c>
      <c r="Y319" s="24">
        <f>IFERROR(Table2[[#This Row],[Orange Min]]/Table2[[#This Row],[ClassLength]],"")</f>
        <v>0.25454545454545452</v>
      </c>
      <c r="Z319" s="24">
        <f>IFERROR(Table2[[#This Row],[Red Min]]/Table2[[#This Row],[ClassLength]],"")</f>
        <v>3.6363636363636362E-2</v>
      </c>
      <c r="AA319" s="25">
        <v>232.14</v>
      </c>
      <c r="AB319" s="25">
        <f t="shared" si="88"/>
        <v>16.581428571428571</v>
      </c>
      <c r="AC319" s="26">
        <f t="shared" si="78"/>
        <v>629.64285714285711</v>
      </c>
      <c r="AD319" s="26">
        <f t="shared" si="79"/>
        <v>14</v>
      </c>
      <c r="AE319">
        <f t="shared" si="80"/>
        <v>2022</v>
      </c>
      <c r="AG319">
        <v>12</v>
      </c>
      <c r="AH319" s="26">
        <f t="shared" si="81"/>
        <v>11.8</v>
      </c>
      <c r="AI319" t="str">
        <f t="shared" si="82"/>
        <v>PM</v>
      </c>
      <c r="AJ319" t="str">
        <f t="shared" si="83"/>
        <v>6-2022-4</v>
      </c>
      <c r="AK319">
        <f t="shared" si="84"/>
        <v>6</v>
      </c>
      <c r="AL319" s="26">
        <f>IFERROR(Table2[[#This Row],[Calories]]/Table2[[#This Row],[Splat]],"")</f>
        <v>40.5625</v>
      </c>
      <c r="AM319">
        <f>COUNTIF(N$2:$N$938,N319)</f>
        <v>191</v>
      </c>
      <c r="AN319" t="str">
        <f>VLOOKUP(N319,'Helpful Tables'!A:D,4,FALSE)</f>
        <v>Washington, DC</v>
      </c>
      <c r="AO319" s="24">
        <f>COUNTIF(AN:AN,Table2[[#This Row],[State]])/COUNTA(AN:AN)</f>
        <v>0.54904051172707891</v>
      </c>
      <c r="AP319">
        <f>VLOOKUP(N319,'Helpful Tables'!A:B,2,FALSE)</f>
        <v>38.949649000000001</v>
      </c>
      <c r="AQ319">
        <f>VLOOKUP(N319,'Helpful Tables'!A:C,3,FALSE)</f>
        <v>-77.080878999999996</v>
      </c>
      <c r="AR319">
        <f>COUNTIF(P$2:$P$938,P319)</f>
        <v>66</v>
      </c>
      <c r="AS319" cm="1">
        <f t="array" ref="AS319">_xlfn.IFS(E319&lt;6,((E319/D319)*60)*0.5,AND(E319&gt;=6,E319&lt;9),((E319/D319)*60)*0.75,AND(E319&gt;=9,E319&lt;=11),((E319/D319)*60)*0.9,AND(E319=12),((E319/D319)*60)*1,AND(E319&gt;=13,E319&lt;=15),((E319/D319)*60)*1.2,AND(E319&gt;=16,E319&lt;=19),((E319/D319)*60)*1.5,E319&gt;=20,((E319/D319)*60)*1.8)</f>
        <v>26.18181818181818</v>
      </c>
      <c r="AT319" cm="1">
        <f t="array" ref="AT319">_xlfn.IFS(F319&lt;550,((F319/D319)*60)*0.5,AND(F319&gt;=550,F319&lt;575),((F319/D319)*60)*0.75,AND(F319&gt;=575,F319&lt;600),((F319/D319)*60)*0.9,AND(F319=600),((F319/D319)*60)*1,AND(F319&gt;=601,F319&lt;=625),((F319/D319)*60)*1.2,AND(F319&gt;=626,F319&lt;=650),((F319/D319)*60)*1.5,F319&gt;=651,((F319/D319)*60)*1.8)</f>
        <v>1062</v>
      </c>
      <c r="AU319">
        <f t="shared" si="89"/>
        <v>14.599999999999998</v>
      </c>
      <c r="AV319">
        <f t="shared" si="87"/>
        <v>438.19272727272732</v>
      </c>
      <c r="AW319">
        <f t="shared" si="90"/>
        <v>65.400000000000006</v>
      </c>
      <c r="AX319" t="str">
        <f t="shared" si="85"/>
        <v>Jun-2022</v>
      </c>
      <c r="AY319">
        <f>ROUNDUP(Table2[[#This Row],[Month]]/3,0)</f>
        <v>2</v>
      </c>
    </row>
    <row r="320" spans="1:51" x14ac:dyDescent="0.2">
      <c r="A320">
        <v>319</v>
      </c>
      <c r="B320">
        <f t="shared" si="74"/>
        <v>14</v>
      </c>
      <c r="C320" s="22">
        <v>44735</v>
      </c>
      <c r="D320">
        <f>SUM(Table2[[#This Row],[Gray Min]:[Red Min]])</f>
        <v>56</v>
      </c>
      <c r="E320">
        <v>11</v>
      </c>
      <c r="F320">
        <v>629</v>
      </c>
      <c r="G320">
        <v>127</v>
      </c>
      <c r="H320">
        <v>160</v>
      </c>
      <c r="I320">
        <v>9</v>
      </c>
      <c r="J320">
        <v>15</v>
      </c>
      <c r="K320">
        <v>21</v>
      </c>
      <c r="L320">
        <v>11</v>
      </c>
      <c r="M320">
        <v>0</v>
      </c>
      <c r="N320" t="s">
        <v>91</v>
      </c>
      <c r="O320" t="s">
        <v>57</v>
      </c>
      <c r="P320" t="s">
        <v>98</v>
      </c>
      <c r="Q320">
        <f t="shared" si="86"/>
        <v>2</v>
      </c>
      <c r="R320" t="str">
        <f t="shared" si="75"/>
        <v>6-2022</v>
      </c>
      <c r="S320" t="s">
        <v>117</v>
      </c>
      <c r="T320" t="str">
        <f t="shared" si="76"/>
        <v>Thursday</v>
      </c>
      <c r="U320">
        <f t="shared" si="77"/>
        <v>0</v>
      </c>
      <c r="V320" s="24">
        <f>IFERROR(Table2[[#This Row],[Gray Min]]/Table2[[#This Row],[ClassLength]],"")</f>
        <v>0.16071428571428573</v>
      </c>
      <c r="W320" s="24">
        <f>IFERROR(Table2[[#This Row],[Blue Min]]/Table2[[#This Row],[ClassLength]],"")</f>
        <v>0.26785714285714285</v>
      </c>
      <c r="X320" s="24">
        <f>IFERROR(Table2[[#This Row],[Green Min]]/Table2[[#This Row],[ClassLength]],"")</f>
        <v>0.375</v>
      </c>
      <c r="Y320" s="24">
        <f>IFERROR(Table2[[#This Row],[Orange Min]]/Table2[[#This Row],[ClassLength]],"")</f>
        <v>0.19642857142857142</v>
      </c>
      <c r="Z320" s="24">
        <f>IFERROR(Table2[[#This Row],[Red Min]]/Table2[[#This Row],[ClassLength]],"")</f>
        <v>0</v>
      </c>
      <c r="AA320" s="25">
        <v>232.14</v>
      </c>
      <c r="AB320" s="25">
        <f t="shared" si="88"/>
        <v>16.581428571428571</v>
      </c>
      <c r="AC320" s="26">
        <f t="shared" si="78"/>
        <v>629.64285714285711</v>
      </c>
      <c r="AD320" s="26">
        <f t="shared" si="79"/>
        <v>14</v>
      </c>
      <c r="AE320">
        <f t="shared" si="80"/>
        <v>2022</v>
      </c>
      <c r="AG320">
        <v>12</v>
      </c>
      <c r="AH320" s="26">
        <f t="shared" si="81"/>
        <v>11.232142857142858</v>
      </c>
      <c r="AI320" t="str">
        <f t="shared" si="82"/>
        <v>PM</v>
      </c>
      <c r="AJ320" t="str">
        <f t="shared" si="83"/>
        <v>6-2022-4</v>
      </c>
      <c r="AK320">
        <f t="shared" si="84"/>
        <v>6</v>
      </c>
      <c r="AL320" s="26">
        <f>IFERROR(Table2[[#This Row],[Calories]]/Table2[[#This Row],[Splat]],"")</f>
        <v>57.18181818181818</v>
      </c>
      <c r="AM320">
        <f>COUNTIF(N$2:$N$938,N320)</f>
        <v>218</v>
      </c>
      <c r="AN320" t="str">
        <f>VLOOKUP(N320,'Helpful Tables'!A:D,4,FALSE)</f>
        <v>Washington, DC</v>
      </c>
      <c r="AO320" s="24">
        <f>COUNTIF(AN:AN,Table2[[#This Row],[State]])/COUNTA(AN:AN)</f>
        <v>0.54904051172707891</v>
      </c>
      <c r="AP320">
        <f>VLOOKUP(N320,'Helpful Tables'!A:B,2,FALSE)</f>
        <v>38.934710000000003</v>
      </c>
      <c r="AQ320">
        <f>VLOOKUP(N320,'Helpful Tables'!A:C,3,FALSE)</f>
        <v>-77.058222999999998</v>
      </c>
      <c r="AR320">
        <f>COUNTIF(P$2:$P$938,P320)</f>
        <v>28</v>
      </c>
      <c r="AS320" cm="1">
        <f t="array" ref="AS320">_xlfn.IFS(E320&lt;6,((E320/D320)*60)*0.5,AND(E320&gt;=6,E320&lt;9),((E320/D320)*60)*0.75,AND(E320&gt;=9,E320&lt;=11),((E320/D320)*60)*0.9,AND(E320=12),((E320/D320)*60)*1,AND(E320&gt;=13,E320&lt;=15),((E320/D320)*60)*1.2,AND(E320&gt;=16,E320&lt;=19),((E320/D320)*60)*1.5,E320&gt;=20,((E320/D320)*60)*1.8)</f>
        <v>10.607142857142856</v>
      </c>
      <c r="AT320" cm="1">
        <f t="array" ref="AT320">_xlfn.IFS(F320&lt;550,((F320/D320)*60)*0.5,AND(F320&gt;=550,F320&lt;575),((F320/D320)*60)*0.75,AND(F320&gt;=575,F320&lt;600),((F320/D320)*60)*0.9,AND(F320=600),((F320/D320)*60)*1,AND(F320&gt;=601,F320&lt;=625),((F320/D320)*60)*1.2,AND(F320&gt;=626,F320&lt;=650),((F320/D320)*60)*1.5,F320&gt;=651,((F320/D320)*60)*1.8)</f>
        <v>1010.8928571428571</v>
      </c>
      <c r="AU320">
        <f t="shared" si="89"/>
        <v>12.200000000000003</v>
      </c>
      <c r="AV320">
        <f t="shared" si="87"/>
        <v>411.04</v>
      </c>
      <c r="AW320">
        <f t="shared" si="90"/>
        <v>58.8</v>
      </c>
      <c r="AX320" t="str">
        <f t="shared" si="85"/>
        <v>Jun-2022</v>
      </c>
      <c r="AY320">
        <f>ROUNDUP(Table2[[#This Row],[Month]]/3,0)</f>
        <v>2</v>
      </c>
    </row>
    <row r="321" spans="1:51" x14ac:dyDescent="0.2">
      <c r="A321">
        <v>320</v>
      </c>
      <c r="B321">
        <f t="shared" si="74"/>
        <v>14</v>
      </c>
      <c r="C321" s="22">
        <v>44739</v>
      </c>
      <c r="D321">
        <f>SUM(Table2[[#This Row],[Gray Min]:[Red Min]])</f>
        <v>58</v>
      </c>
      <c r="E321">
        <v>16</v>
      </c>
      <c r="F321">
        <v>649</v>
      </c>
      <c r="G321">
        <v>127</v>
      </c>
      <c r="H321">
        <v>167</v>
      </c>
      <c r="I321">
        <v>14</v>
      </c>
      <c r="J321">
        <v>15</v>
      </c>
      <c r="K321">
        <v>13</v>
      </c>
      <c r="L321">
        <v>14</v>
      </c>
      <c r="M321">
        <v>2</v>
      </c>
      <c r="N321" t="s">
        <v>101</v>
      </c>
      <c r="O321" t="s">
        <v>39</v>
      </c>
      <c r="P321" t="s">
        <v>109</v>
      </c>
      <c r="Q321">
        <f t="shared" si="86"/>
        <v>4</v>
      </c>
      <c r="R321" t="str">
        <f t="shared" si="75"/>
        <v>6-2022</v>
      </c>
      <c r="S321" t="s">
        <v>104</v>
      </c>
      <c r="T321" t="str">
        <f t="shared" si="76"/>
        <v>Monday</v>
      </c>
      <c r="U321">
        <f t="shared" si="77"/>
        <v>1</v>
      </c>
      <c r="V321" s="24">
        <f>IFERROR(Table2[[#This Row],[Gray Min]]/Table2[[#This Row],[ClassLength]],"")</f>
        <v>0.2413793103448276</v>
      </c>
      <c r="W321" s="24">
        <f>IFERROR(Table2[[#This Row],[Blue Min]]/Table2[[#This Row],[ClassLength]],"")</f>
        <v>0.25862068965517243</v>
      </c>
      <c r="X321" s="24">
        <f>IFERROR(Table2[[#This Row],[Green Min]]/Table2[[#This Row],[ClassLength]],"")</f>
        <v>0.22413793103448276</v>
      </c>
      <c r="Y321" s="24">
        <f>IFERROR(Table2[[#This Row],[Orange Min]]/Table2[[#This Row],[ClassLength]],"")</f>
        <v>0.2413793103448276</v>
      </c>
      <c r="Z321" s="24">
        <f>IFERROR(Table2[[#This Row],[Red Min]]/Table2[[#This Row],[ClassLength]],"")</f>
        <v>3.4482758620689655E-2</v>
      </c>
      <c r="AA321" s="25">
        <v>232.14</v>
      </c>
      <c r="AB321" s="25">
        <f t="shared" si="88"/>
        <v>16.581428571428571</v>
      </c>
      <c r="AC321" s="26">
        <f t="shared" si="78"/>
        <v>629.64285714285711</v>
      </c>
      <c r="AD321" s="26">
        <f t="shared" si="79"/>
        <v>14</v>
      </c>
      <c r="AE321">
        <f t="shared" si="80"/>
        <v>2022</v>
      </c>
      <c r="AG321">
        <v>12</v>
      </c>
      <c r="AH321" s="26">
        <f t="shared" si="81"/>
        <v>11.189655172413794</v>
      </c>
      <c r="AI321" t="str">
        <f t="shared" si="82"/>
        <v>PM</v>
      </c>
      <c r="AJ321" t="str">
        <f t="shared" si="83"/>
        <v>6-2022-5</v>
      </c>
      <c r="AK321">
        <f t="shared" si="84"/>
        <v>6</v>
      </c>
      <c r="AL321" s="26">
        <f>IFERROR(Table2[[#This Row],[Calories]]/Table2[[#This Row],[Splat]],"")</f>
        <v>40.5625</v>
      </c>
      <c r="AM321">
        <f>COUNTIF(N$2:$N$938,N321)</f>
        <v>191</v>
      </c>
      <c r="AN321" t="str">
        <f>VLOOKUP(N321,'Helpful Tables'!A:D,4,FALSE)</f>
        <v>Washington, DC</v>
      </c>
      <c r="AO321" s="24">
        <f>COUNTIF(AN:AN,Table2[[#This Row],[State]])/COUNTA(AN:AN)</f>
        <v>0.54904051172707891</v>
      </c>
      <c r="AP321">
        <f>VLOOKUP(N321,'Helpful Tables'!A:B,2,FALSE)</f>
        <v>38.949649000000001</v>
      </c>
      <c r="AQ321">
        <f>VLOOKUP(N321,'Helpful Tables'!A:C,3,FALSE)</f>
        <v>-77.080878999999996</v>
      </c>
      <c r="AR321">
        <f>COUNTIF(P$2:$P$938,P321)</f>
        <v>66</v>
      </c>
      <c r="AS321" cm="1">
        <f t="array" ref="AS321">_xlfn.IFS(E321&lt;6,((E321/D321)*60)*0.5,AND(E321&gt;=6,E321&lt;9),((E321/D321)*60)*0.75,AND(E321&gt;=9,E321&lt;=11),((E321/D321)*60)*0.9,AND(E321=12),((E321/D321)*60)*1,AND(E321&gt;=13,E321&lt;=15),((E321/D321)*60)*1.2,AND(E321&gt;=16,E321&lt;=19),((E321/D321)*60)*1.5,E321&gt;=20,((E321/D321)*60)*1.8)</f>
        <v>24.827586206896555</v>
      </c>
      <c r="AT321" cm="1">
        <f t="array" ref="AT321">_xlfn.IFS(F321&lt;550,((F321/D321)*60)*0.5,AND(F321&gt;=550,F321&lt;575),((F321/D321)*60)*0.75,AND(F321&gt;=575,F321&lt;600),((F321/D321)*60)*0.9,AND(F321=600),((F321/D321)*60)*1,AND(F321&gt;=601,F321&lt;=625),((F321/D321)*60)*1.2,AND(F321&gt;=626,F321&lt;=650),((F321/D321)*60)*1.5,F321&gt;=651,((F321/D321)*60)*1.8)</f>
        <v>1007.0689655172415</v>
      </c>
      <c r="AU321">
        <f t="shared" si="89"/>
        <v>3.5000000000000036</v>
      </c>
      <c r="AV321">
        <f t="shared" si="87"/>
        <v>413.45862068965522</v>
      </c>
      <c r="AW321">
        <f t="shared" si="90"/>
        <v>59.699999999999996</v>
      </c>
      <c r="AX321" t="str">
        <f t="shared" si="85"/>
        <v>Jun-2022</v>
      </c>
      <c r="AY321">
        <f>ROUNDUP(Table2[[#This Row],[Month]]/3,0)</f>
        <v>2</v>
      </c>
    </row>
    <row r="322" spans="1:51" x14ac:dyDescent="0.2">
      <c r="A322">
        <v>321</v>
      </c>
      <c r="B322">
        <f t="shared" ref="B322:B385" si="91">COUNTIF(R:R,R322)</f>
        <v>14</v>
      </c>
      <c r="C322" s="22">
        <v>44740</v>
      </c>
      <c r="D322">
        <f>SUM(Table2[[#This Row],[Gray Min]:[Red Min]])</f>
        <v>61</v>
      </c>
      <c r="E322">
        <v>15</v>
      </c>
      <c r="F322">
        <v>676</v>
      </c>
      <c r="G322">
        <v>127</v>
      </c>
      <c r="H322">
        <v>167</v>
      </c>
      <c r="I322">
        <v>12</v>
      </c>
      <c r="J322">
        <v>16</v>
      </c>
      <c r="K322">
        <v>18</v>
      </c>
      <c r="L322">
        <v>14</v>
      </c>
      <c r="M322">
        <v>1</v>
      </c>
      <c r="N322" t="s">
        <v>91</v>
      </c>
      <c r="O322" t="s">
        <v>57</v>
      </c>
      <c r="P322" t="s">
        <v>96</v>
      </c>
      <c r="Q322">
        <f t="shared" si="86"/>
        <v>1</v>
      </c>
      <c r="R322" t="str">
        <f t="shared" ref="R322:R385" si="92">MONTH(C322)&amp;"-"&amp;YEAR(C322)</f>
        <v>6-2022</v>
      </c>
      <c r="S322" t="s">
        <v>117</v>
      </c>
      <c r="T322" t="str">
        <f t="shared" ref="T322:T385" si="93">IF(WEEKDAY(C322)=1,"Sunday",IF(WEEKDAY(C322)=2,"Monday",IF(WEEKDAY(C322)=3,"Tuesday",IF(WEEKDAY(C322)=4,"Wednesday",IF(WEEKDAY(C322)=5,"Thursday",IF(WEEKDAY(C322)=6,"Friday","Saturday"))))))</f>
        <v>Tuesday</v>
      </c>
      <c r="U322">
        <f t="shared" ref="U322:U385" si="94">IF(E322&gt;=12,1,0)</f>
        <v>1</v>
      </c>
      <c r="V322" s="24">
        <f>IFERROR(Table2[[#This Row],[Gray Min]]/Table2[[#This Row],[ClassLength]],"")</f>
        <v>0.19672131147540983</v>
      </c>
      <c r="W322" s="24">
        <f>IFERROR(Table2[[#This Row],[Blue Min]]/Table2[[#This Row],[ClassLength]],"")</f>
        <v>0.26229508196721313</v>
      </c>
      <c r="X322" s="24">
        <f>IFERROR(Table2[[#This Row],[Green Min]]/Table2[[#This Row],[ClassLength]],"")</f>
        <v>0.29508196721311475</v>
      </c>
      <c r="Y322" s="24">
        <f>IFERROR(Table2[[#This Row],[Orange Min]]/Table2[[#This Row],[ClassLength]],"")</f>
        <v>0.22950819672131148</v>
      </c>
      <c r="Z322" s="24">
        <f>IFERROR(Table2[[#This Row],[Red Min]]/Table2[[#This Row],[ClassLength]],"")</f>
        <v>1.6393442622950821E-2</v>
      </c>
      <c r="AA322" s="25">
        <v>232.14</v>
      </c>
      <c r="AB322" s="25">
        <f t="shared" si="88"/>
        <v>16.581428571428571</v>
      </c>
      <c r="AC322" s="26">
        <f t="shared" ref="AC322:AC385" si="95">AVERAGEIF(R:R,R322,F:F)</f>
        <v>629.64285714285711</v>
      </c>
      <c r="AD322" s="26">
        <f t="shared" ref="AD322:AD385" si="96">AVERAGEIF(R:R,R322,E:E)</f>
        <v>14</v>
      </c>
      <c r="AE322">
        <f t="shared" ref="AE322:AE385" si="97">YEAR(C322)</f>
        <v>2022</v>
      </c>
      <c r="AG322">
        <v>12</v>
      </c>
      <c r="AH322" s="26">
        <f t="shared" ref="AH322:AH385" si="98">F322/D322</f>
        <v>11.081967213114755</v>
      </c>
      <c r="AI322" t="str">
        <f t="shared" ref="AI322:AI385" si="99">RIGHT(O322,2)</f>
        <v>PM</v>
      </c>
      <c r="AJ322" t="str">
        <f t="shared" ref="AJ322:AJ385" si="100">R322&amp;"-"&amp;WEEKNUM(C322,1)-WEEKNUM(DATE(YEAR(C322),MONTH(C322),1),1)+1</f>
        <v>6-2022-5</v>
      </c>
      <c r="AK322">
        <f t="shared" ref="AK322:AK385" si="101">MONTH(C322)</f>
        <v>6</v>
      </c>
      <c r="AL322" s="26">
        <f>IFERROR(Table2[[#This Row],[Calories]]/Table2[[#This Row],[Splat]],"")</f>
        <v>45.06666666666667</v>
      </c>
      <c r="AM322">
        <f>COUNTIF(N$2:$N$938,N322)</f>
        <v>218</v>
      </c>
      <c r="AN322" t="str">
        <f>VLOOKUP(N322,'Helpful Tables'!A:D,4,FALSE)</f>
        <v>Washington, DC</v>
      </c>
      <c r="AO322" s="24">
        <f>COUNTIF(AN:AN,Table2[[#This Row],[State]])/COUNTA(AN:AN)</f>
        <v>0.54904051172707891</v>
      </c>
      <c r="AP322">
        <f>VLOOKUP(N322,'Helpful Tables'!A:B,2,FALSE)</f>
        <v>38.934710000000003</v>
      </c>
      <c r="AQ322">
        <f>VLOOKUP(N322,'Helpful Tables'!A:C,3,FALSE)</f>
        <v>-77.058222999999998</v>
      </c>
      <c r="AR322">
        <f>COUNTIF(P$2:$P$938,P322)</f>
        <v>71</v>
      </c>
      <c r="AS322" cm="1">
        <f t="array" ref="AS322">_xlfn.IFS(E322&lt;6,((E322/D322)*60)*0.5,AND(E322&gt;=6,E322&lt;9),((E322/D322)*60)*0.75,AND(E322&gt;=9,E322&lt;=11),((E322/D322)*60)*0.9,AND(E322=12),((E322/D322)*60)*1,AND(E322&gt;=13,E322&lt;=15),((E322/D322)*60)*1.2,AND(E322&gt;=16,E322&lt;=19),((E322/D322)*60)*1.5,E322&gt;=20,((E322/D322)*60)*1.8)</f>
        <v>17.704918032786885</v>
      </c>
      <c r="AT322" cm="1">
        <f t="array" ref="AT322">_xlfn.IFS(F322&lt;550,((F322/D322)*60)*0.5,AND(F322&gt;=550,F322&lt;575),((F322/D322)*60)*0.75,AND(F322&gt;=575,F322&lt;600),((F322/D322)*60)*0.9,AND(F322=600),((F322/D322)*60)*1,AND(F322&gt;=601,F322&lt;=625),((F322/D322)*60)*1.2,AND(F322&gt;=626,F322&lt;=650),((F322/D322)*60)*1.5,F322&gt;=651,((F322/D322)*60)*1.8)</f>
        <v>1196.8524590163936</v>
      </c>
      <c r="AU322">
        <f t="shared" si="89"/>
        <v>9.2999999999999972</v>
      </c>
      <c r="AV322">
        <f t="shared" si="87"/>
        <v>487.68295081967221</v>
      </c>
      <c r="AW322">
        <f t="shared" si="90"/>
        <v>72.5</v>
      </c>
      <c r="AX322" t="str">
        <f t="shared" ref="AX322:AX385" si="102">_xlfn.CONCAT(TEXT(C322,"mmm"),"-",AE322)</f>
        <v>Jun-2022</v>
      </c>
      <c r="AY322">
        <f>ROUNDUP(Table2[[#This Row],[Month]]/3,0)</f>
        <v>2</v>
      </c>
    </row>
    <row r="323" spans="1:51" x14ac:dyDescent="0.2">
      <c r="A323">
        <v>322</v>
      </c>
      <c r="B323">
        <f t="shared" si="91"/>
        <v>14</v>
      </c>
      <c r="C323" s="22">
        <v>44742</v>
      </c>
      <c r="D323">
        <f>SUM(Table2[[#This Row],[Gray Min]:[Red Min]])</f>
        <v>59</v>
      </c>
      <c r="E323">
        <v>17</v>
      </c>
      <c r="F323">
        <v>631</v>
      </c>
      <c r="G323">
        <v>125</v>
      </c>
      <c r="H323">
        <v>171</v>
      </c>
      <c r="I323">
        <v>18</v>
      </c>
      <c r="J323">
        <v>13</v>
      </c>
      <c r="K323">
        <v>11</v>
      </c>
      <c r="L323">
        <v>13</v>
      </c>
      <c r="M323">
        <v>4</v>
      </c>
      <c r="N323" t="s">
        <v>101</v>
      </c>
      <c r="O323" t="s">
        <v>39</v>
      </c>
      <c r="P323" t="s">
        <v>109</v>
      </c>
      <c r="Q323">
        <f t="shared" ref="Q323:Q386" si="103">C323-C322</f>
        <v>2</v>
      </c>
      <c r="R323" t="str">
        <f t="shared" si="92"/>
        <v>6-2022</v>
      </c>
      <c r="S323" t="s">
        <v>104</v>
      </c>
      <c r="T323" t="str">
        <f t="shared" si="93"/>
        <v>Thursday</v>
      </c>
      <c r="U323">
        <f t="shared" si="94"/>
        <v>1</v>
      </c>
      <c r="V323" s="24">
        <f>IFERROR(Table2[[#This Row],[Gray Min]]/Table2[[#This Row],[ClassLength]],"")</f>
        <v>0.30508474576271188</v>
      </c>
      <c r="W323" s="24">
        <f>IFERROR(Table2[[#This Row],[Blue Min]]/Table2[[#This Row],[ClassLength]],"")</f>
        <v>0.22033898305084745</v>
      </c>
      <c r="X323" s="24">
        <f>IFERROR(Table2[[#This Row],[Green Min]]/Table2[[#This Row],[ClassLength]],"")</f>
        <v>0.1864406779661017</v>
      </c>
      <c r="Y323" s="24">
        <f>IFERROR(Table2[[#This Row],[Orange Min]]/Table2[[#This Row],[ClassLength]],"")</f>
        <v>0.22033898305084745</v>
      </c>
      <c r="Z323" s="24">
        <f>IFERROR(Table2[[#This Row],[Red Min]]/Table2[[#This Row],[ClassLength]],"")</f>
        <v>6.7796610169491525E-2</v>
      </c>
      <c r="AA323" s="25">
        <v>232.14</v>
      </c>
      <c r="AB323" s="25">
        <f t="shared" si="88"/>
        <v>16.581428571428571</v>
      </c>
      <c r="AC323" s="26">
        <f t="shared" si="95"/>
        <v>629.64285714285711</v>
      </c>
      <c r="AD323" s="26">
        <f t="shared" si="96"/>
        <v>14</v>
      </c>
      <c r="AE323">
        <f t="shared" si="97"/>
        <v>2022</v>
      </c>
      <c r="AG323">
        <v>12</v>
      </c>
      <c r="AH323" s="26">
        <f t="shared" si="98"/>
        <v>10.694915254237289</v>
      </c>
      <c r="AI323" t="str">
        <f t="shared" si="99"/>
        <v>PM</v>
      </c>
      <c r="AJ323" t="str">
        <f t="shared" si="100"/>
        <v>6-2022-5</v>
      </c>
      <c r="AK323">
        <f t="shared" si="101"/>
        <v>6</v>
      </c>
      <c r="AL323" s="26">
        <f>IFERROR(Table2[[#This Row],[Calories]]/Table2[[#This Row],[Splat]],"")</f>
        <v>37.117647058823529</v>
      </c>
      <c r="AM323">
        <f>COUNTIF(N$2:$N$938,N323)</f>
        <v>191</v>
      </c>
      <c r="AN323" t="str">
        <f>VLOOKUP(N323,'Helpful Tables'!A:D,4,FALSE)</f>
        <v>Washington, DC</v>
      </c>
      <c r="AO323" s="24">
        <f>COUNTIF(AN:AN,Table2[[#This Row],[State]])/COUNTA(AN:AN)</f>
        <v>0.54904051172707891</v>
      </c>
      <c r="AP323">
        <f>VLOOKUP(N323,'Helpful Tables'!A:B,2,FALSE)</f>
        <v>38.949649000000001</v>
      </c>
      <c r="AQ323">
        <f>VLOOKUP(N323,'Helpful Tables'!A:C,3,FALSE)</f>
        <v>-77.080878999999996</v>
      </c>
      <c r="AR323">
        <f>COUNTIF(P$2:$P$938,P323)</f>
        <v>66</v>
      </c>
      <c r="AS323" cm="1">
        <f t="array" ref="AS323">_xlfn.IFS(E323&lt;6,((E323/D323)*60)*0.5,AND(E323&gt;=6,E323&lt;9),((E323/D323)*60)*0.75,AND(E323&gt;=9,E323&lt;=11),((E323/D323)*60)*0.9,AND(E323=12),((E323/D323)*60)*1,AND(E323&gt;=13,E323&lt;=15),((E323/D323)*60)*1.2,AND(E323&gt;=16,E323&lt;=19),((E323/D323)*60)*1.5,E323&gt;=20,((E323/D323)*60)*1.8)</f>
        <v>25.932203389830509</v>
      </c>
      <c r="AT323" cm="1">
        <f t="array" ref="AT323">_xlfn.IFS(F323&lt;550,((F323/D323)*60)*0.5,AND(F323&gt;=550,F323&lt;575),((F323/D323)*60)*0.75,AND(F323&gt;=575,F323&lt;600),((F323/D323)*60)*0.9,AND(F323=600),((F323/D323)*60)*1,AND(F323&gt;=601,F323&lt;=625),((F323/D323)*60)*1.2,AND(F323&gt;=626,F323&lt;=650),((F323/D323)*60)*1.5,F323&gt;=651,((F323/D323)*60)*1.8)</f>
        <v>962.54237288135596</v>
      </c>
      <c r="AU323">
        <f t="shared" si="89"/>
        <v>0.20000000000000284</v>
      </c>
      <c r="AV323">
        <f t="shared" ref="AV323:AV386" si="104">(AS323*0.4)+(AT323*0.4)+(AU323*0.2)</f>
        <v>395.42983050847459</v>
      </c>
      <c r="AW323">
        <f t="shared" si="90"/>
        <v>50.8</v>
      </c>
      <c r="AX323" t="str">
        <f t="shared" si="102"/>
        <v>Jun-2022</v>
      </c>
      <c r="AY323">
        <f>ROUNDUP(Table2[[#This Row],[Month]]/3,0)</f>
        <v>2</v>
      </c>
    </row>
    <row r="324" spans="1:51" x14ac:dyDescent="0.2">
      <c r="A324">
        <v>323</v>
      </c>
      <c r="B324">
        <f t="shared" si="91"/>
        <v>18</v>
      </c>
      <c r="C324" s="22">
        <v>44743</v>
      </c>
      <c r="D324">
        <f>SUM(Table2[[#This Row],[Gray Min]:[Red Min]])</f>
        <v>57</v>
      </c>
      <c r="E324">
        <v>13</v>
      </c>
      <c r="F324">
        <v>618</v>
      </c>
      <c r="G324">
        <v>127</v>
      </c>
      <c r="H324">
        <v>164</v>
      </c>
      <c r="I324">
        <v>10</v>
      </c>
      <c r="J324">
        <v>19</v>
      </c>
      <c r="K324">
        <v>15</v>
      </c>
      <c r="L324">
        <v>13</v>
      </c>
      <c r="M324">
        <v>0</v>
      </c>
      <c r="N324" t="s">
        <v>91</v>
      </c>
      <c r="O324" t="s">
        <v>89</v>
      </c>
      <c r="P324" t="s">
        <v>97</v>
      </c>
      <c r="Q324">
        <f t="shared" si="103"/>
        <v>1</v>
      </c>
      <c r="R324" t="str">
        <f t="shared" si="92"/>
        <v>7-2022</v>
      </c>
      <c r="S324" t="s">
        <v>104</v>
      </c>
      <c r="T324" t="str">
        <f t="shared" si="93"/>
        <v>Friday</v>
      </c>
      <c r="U324">
        <f t="shared" si="94"/>
        <v>1</v>
      </c>
      <c r="V324" s="24">
        <f>IFERROR(Table2[[#This Row],[Gray Min]]/Table2[[#This Row],[ClassLength]],"")</f>
        <v>0.17543859649122806</v>
      </c>
      <c r="W324" s="24">
        <f>IFERROR(Table2[[#This Row],[Blue Min]]/Table2[[#This Row],[ClassLength]],"")</f>
        <v>0.33333333333333331</v>
      </c>
      <c r="X324" s="24">
        <f>IFERROR(Table2[[#This Row],[Green Min]]/Table2[[#This Row],[ClassLength]],"")</f>
        <v>0.26315789473684209</v>
      </c>
      <c r="Y324" s="24">
        <f>IFERROR(Table2[[#This Row],[Orange Min]]/Table2[[#This Row],[ClassLength]],"")</f>
        <v>0.22807017543859648</v>
      </c>
      <c r="Z324" s="24">
        <f>IFERROR(Table2[[#This Row],[Red Min]]/Table2[[#This Row],[ClassLength]],"")</f>
        <v>0</v>
      </c>
      <c r="AA324" s="25">
        <v>232.14</v>
      </c>
      <c r="AB324" s="25">
        <f t="shared" si="88"/>
        <v>12.896666666666667</v>
      </c>
      <c r="AC324" s="26">
        <f t="shared" si="95"/>
        <v>616.38888888888891</v>
      </c>
      <c r="AD324" s="26">
        <f t="shared" si="96"/>
        <v>13.444444444444445</v>
      </c>
      <c r="AE324">
        <f t="shared" si="97"/>
        <v>2022</v>
      </c>
      <c r="AG324">
        <v>12</v>
      </c>
      <c r="AH324" s="26">
        <f t="shared" si="98"/>
        <v>10.842105263157896</v>
      </c>
      <c r="AI324" t="str">
        <f t="shared" si="99"/>
        <v>AM</v>
      </c>
      <c r="AJ324" t="str">
        <f t="shared" si="100"/>
        <v>7-2022-1</v>
      </c>
      <c r="AK324">
        <f t="shared" si="101"/>
        <v>7</v>
      </c>
      <c r="AL324" s="26">
        <f>IFERROR(Table2[[#This Row],[Calories]]/Table2[[#This Row],[Splat]],"")</f>
        <v>47.53846153846154</v>
      </c>
      <c r="AM324">
        <f>COUNTIF(N$2:$N$938,N324)</f>
        <v>218</v>
      </c>
      <c r="AN324" t="str">
        <f>VLOOKUP(N324,'Helpful Tables'!A:D,4,FALSE)</f>
        <v>Washington, DC</v>
      </c>
      <c r="AO324" s="24">
        <f>COUNTIF(AN:AN,Table2[[#This Row],[State]])/COUNTA(AN:AN)</f>
        <v>0.54904051172707891</v>
      </c>
      <c r="AP324">
        <f>VLOOKUP(N324,'Helpful Tables'!A:B,2,FALSE)</f>
        <v>38.934710000000003</v>
      </c>
      <c r="AQ324">
        <f>VLOOKUP(N324,'Helpful Tables'!A:C,3,FALSE)</f>
        <v>-77.058222999999998</v>
      </c>
      <c r="AR324">
        <f>COUNTIF(P$2:$P$938,P324)</f>
        <v>14</v>
      </c>
      <c r="AS324" cm="1">
        <f t="array" ref="AS324">_xlfn.IFS(E324&lt;6,((E324/D324)*60)*0.5,AND(E324&gt;=6,E324&lt;9),((E324/D324)*60)*0.75,AND(E324&gt;=9,E324&lt;=11),((E324/D324)*60)*0.9,AND(E324=12),((E324/D324)*60)*1,AND(E324&gt;=13,E324&lt;=15),((E324/D324)*60)*1.2,AND(E324&gt;=16,E324&lt;=19),((E324/D324)*60)*1.5,E324&gt;=20,((E324/D324)*60)*1.8)</f>
        <v>16.421052631578945</v>
      </c>
      <c r="AT324" cm="1">
        <f t="array" ref="AT324">_xlfn.IFS(F324&lt;550,((F324/D324)*60)*0.5,AND(F324&gt;=550,F324&lt;575),((F324/D324)*60)*0.75,AND(F324&gt;=575,F324&lt;600),((F324/D324)*60)*0.9,AND(F324=600),((F324/D324)*60)*1,AND(F324&gt;=601,F324&lt;=625),((F324/D324)*60)*1.2,AND(F324&gt;=626,F324&lt;=650),((F324/D324)*60)*1.5,F324&gt;=651,((F324/D324)*60)*1.8)</f>
        <v>780.63157894736844</v>
      </c>
      <c r="AU324">
        <f t="shared" si="89"/>
        <v>1.9999999999999964</v>
      </c>
      <c r="AV324">
        <f t="shared" si="104"/>
        <v>319.22105263157891</v>
      </c>
      <c r="AW324">
        <f t="shared" si="90"/>
        <v>36.799999999999997</v>
      </c>
      <c r="AX324" t="str">
        <f t="shared" si="102"/>
        <v>Jul-2022</v>
      </c>
      <c r="AY324">
        <f>ROUNDUP(Table2[[#This Row],[Month]]/3,0)</f>
        <v>3</v>
      </c>
    </row>
    <row r="325" spans="1:51" x14ac:dyDescent="0.2">
      <c r="A325">
        <v>324</v>
      </c>
      <c r="B325">
        <f t="shared" si="91"/>
        <v>18</v>
      </c>
      <c r="C325" s="22">
        <v>44744</v>
      </c>
      <c r="D325">
        <f>SUM(Table2[[#This Row],[Gray Min]:[Red Min]])</f>
        <v>55</v>
      </c>
      <c r="E325">
        <v>16</v>
      </c>
      <c r="F325">
        <v>636</v>
      </c>
      <c r="G325">
        <v>129</v>
      </c>
      <c r="H325">
        <v>162</v>
      </c>
      <c r="I325">
        <v>8</v>
      </c>
      <c r="J325">
        <v>17</v>
      </c>
      <c r="K325">
        <v>14</v>
      </c>
      <c r="L325">
        <v>16</v>
      </c>
      <c r="M325">
        <v>0</v>
      </c>
      <c r="N325" t="s">
        <v>91</v>
      </c>
      <c r="O325" t="s">
        <v>79</v>
      </c>
      <c r="P325" t="s">
        <v>98</v>
      </c>
      <c r="Q325">
        <f t="shared" si="103"/>
        <v>1</v>
      </c>
      <c r="R325" t="str">
        <f t="shared" si="92"/>
        <v>7-2022</v>
      </c>
      <c r="S325" t="s">
        <v>104</v>
      </c>
      <c r="T325" t="str">
        <f t="shared" si="93"/>
        <v>Saturday</v>
      </c>
      <c r="U325">
        <f t="shared" si="94"/>
        <v>1</v>
      </c>
      <c r="V325" s="24">
        <f>IFERROR(Table2[[#This Row],[Gray Min]]/Table2[[#This Row],[ClassLength]],"")</f>
        <v>0.14545454545454545</v>
      </c>
      <c r="W325" s="24">
        <f>IFERROR(Table2[[#This Row],[Blue Min]]/Table2[[#This Row],[ClassLength]],"")</f>
        <v>0.30909090909090908</v>
      </c>
      <c r="X325" s="24">
        <f>IFERROR(Table2[[#This Row],[Green Min]]/Table2[[#This Row],[ClassLength]],"")</f>
        <v>0.25454545454545452</v>
      </c>
      <c r="Y325" s="24">
        <f>IFERROR(Table2[[#This Row],[Orange Min]]/Table2[[#This Row],[ClassLength]],"")</f>
        <v>0.29090909090909089</v>
      </c>
      <c r="Z325" s="24">
        <f>IFERROR(Table2[[#This Row],[Red Min]]/Table2[[#This Row],[ClassLength]],"")</f>
        <v>0</v>
      </c>
      <c r="AA325" s="25">
        <v>232.14</v>
      </c>
      <c r="AB325" s="25">
        <f t="shared" si="88"/>
        <v>12.896666666666667</v>
      </c>
      <c r="AC325" s="26">
        <f t="shared" si="95"/>
        <v>616.38888888888891</v>
      </c>
      <c r="AD325" s="26">
        <f t="shared" si="96"/>
        <v>13.444444444444445</v>
      </c>
      <c r="AE325">
        <f t="shared" si="97"/>
        <v>2022</v>
      </c>
      <c r="AG325">
        <v>12</v>
      </c>
      <c r="AH325" s="26">
        <f t="shared" si="98"/>
        <v>11.563636363636364</v>
      </c>
      <c r="AI325" t="str">
        <f t="shared" si="99"/>
        <v>AM</v>
      </c>
      <c r="AJ325" t="str">
        <f t="shared" si="100"/>
        <v>7-2022-1</v>
      </c>
      <c r="AK325">
        <f t="shared" si="101"/>
        <v>7</v>
      </c>
      <c r="AL325" s="26">
        <f>IFERROR(Table2[[#This Row],[Calories]]/Table2[[#This Row],[Splat]],"")</f>
        <v>39.75</v>
      </c>
      <c r="AM325">
        <f>COUNTIF(N$2:$N$938,N325)</f>
        <v>218</v>
      </c>
      <c r="AN325" t="str">
        <f>VLOOKUP(N325,'Helpful Tables'!A:D,4,FALSE)</f>
        <v>Washington, DC</v>
      </c>
      <c r="AO325" s="24">
        <f>COUNTIF(AN:AN,Table2[[#This Row],[State]])/COUNTA(AN:AN)</f>
        <v>0.54904051172707891</v>
      </c>
      <c r="AP325">
        <f>VLOOKUP(N325,'Helpful Tables'!A:B,2,FALSE)</f>
        <v>38.934710000000003</v>
      </c>
      <c r="AQ325">
        <f>VLOOKUP(N325,'Helpful Tables'!A:C,3,FALSE)</f>
        <v>-77.058222999999998</v>
      </c>
      <c r="AR325">
        <f>COUNTIF(P$2:$P$938,P325)</f>
        <v>28</v>
      </c>
      <c r="AS325" cm="1">
        <f t="array" ref="AS325">_xlfn.IFS(E325&lt;6,((E325/D325)*60)*0.5,AND(E325&gt;=6,E325&lt;9),((E325/D325)*60)*0.75,AND(E325&gt;=9,E325&lt;=11),((E325/D325)*60)*0.9,AND(E325=12),((E325/D325)*60)*1,AND(E325&gt;=13,E325&lt;=15),((E325/D325)*60)*1.2,AND(E325&gt;=16,E325&lt;=19),((E325/D325)*60)*1.5,E325&gt;=20,((E325/D325)*60)*1.8)</f>
        <v>26.18181818181818</v>
      </c>
      <c r="AT325" cm="1">
        <f t="array" ref="AT325">_xlfn.IFS(F325&lt;550,((F325/D325)*60)*0.5,AND(F325&gt;=550,F325&lt;575),((F325/D325)*60)*0.75,AND(F325&gt;=575,F325&lt;600),((F325/D325)*60)*0.9,AND(F325=600),((F325/D325)*60)*1,AND(F325&gt;=601,F325&lt;=625),((F325/D325)*60)*1.2,AND(F325&gt;=626,F325&lt;=650),((F325/D325)*60)*1.5,F325&gt;=651,((F325/D325)*60)*1.8)</f>
        <v>1040.7272727272727</v>
      </c>
      <c r="AU325">
        <f t="shared" si="89"/>
        <v>9.2999999999999972</v>
      </c>
      <c r="AV325">
        <f t="shared" si="104"/>
        <v>428.62363636363642</v>
      </c>
      <c r="AW325">
        <f t="shared" si="90"/>
        <v>64.3</v>
      </c>
      <c r="AX325" t="str">
        <f t="shared" si="102"/>
        <v>Jul-2022</v>
      </c>
      <c r="AY325">
        <f>ROUNDUP(Table2[[#This Row],[Month]]/3,0)</f>
        <v>3</v>
      </c>
    </row>
    <row r="326" spans="1:51" x14ac:dyDescent="0.2">
      <c r="A326">
        <v>325</v>
      </c>
      <c r="B326">
        <f t="shared" si="91"/>
        <v>18</v>
      </c>
      <c r="C326" s="22">
        <v>44747</v>
      </c>
      <c r="D326">
        <f>SUM(Table2[[#This Row],[Gray Min]:[Red Min]])</f>
        <v>60</v>
      </c>
      <c r="E326">
        <v>12</v>
      </c>
      <c r="F326">
        <v>626</v>
      </c>
      <c r="G326">
        <v>123</v>
      </c>
      <c r="H326">
        <v>165</v>
      </c>
      <c r="I326">
        <v>18</v>
      </c>
      <c r="J326">
        <v>15</v>
      </c>
      <c r="K326">
        <v>15</v>
      </c>
      <c r="L326">
        <v>10</v>
      </c>
      <c r="M326">
        <v>2</v>
      </c>
      <c r="N326" t="s">
        <v>101</v>
      </c>
      <c r="O326" t="s">
        <v>39</v>
      </c>
      <c r="P326" t="s">
        <v>109</v>
      </c>
      <c r="Q326">
        <f t="shared" si="103"/>
        <v>3</v>
      </c>
      <c r="R326" t="str">
        <f t="shared" si="92"/>
        <v>7-2022</v>
      </c>
      <c r="S326" t="s">
        <v>104</v>
      </c>
      <c r="T326" t="str">
        <f t="shared" si="93"/>
        <v>Tuesday</v>
      </c>
      <c r="U326">
        <f t="shared" si="94"/>
        <v>1</v>
      </c>
      <c r="V326" s="24">
        <f>IFERROR(Table2[[#This Row],[Gray Min]]/Table2[[#This Row],[ClassLength]],"")</f>
        <v>0.3</v>
      </c>
      <c r="W326" s="24">
        <f>IFERROR(Table2[[#This Row],[Blue Min]]/Table2[[#This Row],[ClassLength]],"")</f>
        <v>0.25</v>
      </c>
      <c r="X326" s="24">
        <f>IFERROR(Table2[[#This Row],[Green Min]]/Table2[[#This Row],[ClassLength]],"")</f>
        <v>0.25</v>
      </c>
      <c r="Y326" s="24">
        <f>IFERROR(Table2[[#This Row],[Orange Min]]/Table2[[#This Row],[ClassLength]],"")</f>
        <v>0.16666666666666666</v>
      </c>
      <c r="Z326" s="24">
        <f>IFERROR(Table2[[#This Row],[Red Min]]/Table2[[#This Row],[ClassLength]],"")</f>
        <v>3.3333333333333333E-2</v>
      </c>
      <c r="AA326" s="25">
        <v>232.14</v>
      </c>
      <c r="AB326" s="25">
        <f t="shared" si="88"/>
        <v>12.896666666666667</v>
      </c>
      <c r="AC326" s="26">
        <f t="shared" si="95"/>
        <v>616.38888888888891</v>
      </c>
      <c r="AD326" s="26">
        <f t="shared" si="96"/>
        <v>13.444444444444445</v>
      </c>
      <c r="AE326">
        <f t="shared" si="97"/>
        <v>2022</v>
      </c>
      <c r="AG326">
        <v>12</v>
      </c>
      <c r="AH326" s="26">
        <f t="shared" si="98"/>
        <v>10.433333333333334</v>
      </c>
      <c r="AI326" t="str">
        <f t="shared" si="99"/>
        <v>PM</v>
      </c>
      <c r="AJ326" t="str">
        <f t="shared" si="100"/>
        <v>7-2022-2</v>
      </c>
      <c r="AK326">
        <f t="shared" si="101"/>
        <v>7</v>
      </c>
      <c r="AL326" s="26">
        <f>IFERROR(Table2[[#This Row],[Calories]]/Table2[[#This Row],[Splat]],"")</f>
        <v>52.166666666666664</v>
      </c>
      <c r="AM326">
        <f>COUNTIF(N$2:$N$938,N326)</f>
        <v>191</v>
      </c>
      <c r="AN326" t="str">
        <f>VLOOKUP(N326,'Helpful Tables'!A:D,4,FALSE)</f>
        <v>Washington, DC</v>
      </c>
      <c r="AO326" s="24">
        <f>COUNTIF(AN:AN,Table2[[#This Row],[State]])/COUNTA(AN:AN)</f>
        <v>0.54904051172707891</v>
      </c>
      <c r="AP326">
        <f>VLOOKUP(N326,'Helpful Tables'!A:B,2,FALSE)</f>
        <v>38.949649000000001</v>
      </c>
      <c r="AQ326">
        <f>VLOOKUP(N326,'Helpful Tables'!A:C,3,FALSE)</f>
        <v>-77.080878999999996</v>
      </c>
      <c r="AR326">
        <f>COUNTIF(P$2:$P$938,P326)</f>
        <v>66</v>
      </c>
      <c r="AS326" cm="1">
        <f t="array" ref="AS326">_xlfn.IFS(E326&lt;6,((E326/D326)*60)*0.5,AND(E326&gt;=6,E326&lt;9),((E326/D326)*60)*0.75,AND(E326&gt;=9,E326&lt;=11),((E326/D326)*60)*0.9,AND(E326=12),((E326/D326)*60)*1,AND(E326&gt;=13,E326&lt;=15),((E326/D326)*60)*1.2,AND(E326&gt;=16,E326&lt;=19),((E326/D326)*60)*1.5,E326&gt;=20,((E326/D326)*60)*1.8)</f>
        <v>12</v>
      </c>
      <c r="AT326" cm="1">
        <f t="array" ref="AT326">_xlfn.IFS(F326&lt;550,((F326/D326)*60)*0.5,AND(F326&gt;=550,F326&lt;575),((F326/D326)*60)*0.75,AND(F326&gt;=575,F326&lt;600),((F326/D326)*60)*0.9,AND(F326=600),((F326/D326)*60)*1,AND(F326&gt;=601,F326&lt;=625),((F326/D326)*60)*1.2,AND(F326&gt;=626,F326&lt;=650),((F326/D326)*60)*1.5,F326&gt;=651,((F326/D326)*60)*1.8)</f>
        <v>939</v>
      </c>
      <c r="AU326">
        <f t="shared" si="89"/>
        <v>-4.0999999999999943</v>
      </c>
      <c r="AV326">
        <f t="shared" si="104"/>
        <v>379.58000000000004</v>
      </c>
      <c r="AW326">
        <f t="shared" si="90"/>
        <v>45.2</v>
      </c>
      <c r="AX326" t="str">
        <f t="shared" si="102"/>
        <v>Jul-2022</v>
      </c>
      <c r="AY326">
        <f>ROUNDUP(Table2[[#This Row],[Month]]/3,0)</f>
        <v>3</v>
      </c>
    </row>
    <row r="327" spans="1:51" x14ac:dyDescent="0.2">
      <c r="A327">
        <v>326</v>
      </c>
      <c r="B327">
        <f t="shared" si="91"/>
        <v>18</v>
      </c>
      <c r="C327" s="22">
        <v>44748</v>
      </c>
      <c r="D327">
        <f>SUM(Table2[[#This Row],[Gray Min]:[Red Min]])</f>
        <v>56</v>
      </c>
      <c r="E327">
        <v>10</v>
      </c>
      <c r="F327">
        <v>566</v>
      </c>
      <c r="G327">
        <v>121</v>
      </c>
      <c r="H327">
        <v>165</v>
      </c>
      <c r="I327">
        <v>19</v>
      </c>
      <c r="J327">
        <v>15</v>
      </c>
      <c r="K327">
        <v>12</v>
      </c>
      <c r="L327">
        <v>9</v>
      </c>
      <c r="M327">
        <v>1</v>
      </c>
      <c r="N327" t="s">
        <v>101</v>
      </c>
      <c r="O327" t="s">
        <v>39</v>
      </c>
      <c r="P327" t="s">
        <v>136</v>
      </c>
      <c r="Q327">
        <f t="shared" si="103"/>
        <v>1</v>
      </c>
      <c r="R327" t="str">
        <f t="shared" si="92"/>
        <v>7-2022</v>
      </c>
      <c r="S327" t="s">
        <v>104</v>
      </c>
      <c r="T327" t="str">
        <f t="shared" si="93"/>
        <v>Wednesday</v>
      </c>
      <c r="U327">
        <f t="shared" si="94"/>
        <v>0</v>
      </c>
      <c r="V327" s="24">
        <f>IFERROR(Table2[[#This Row],[Gray Min]]/Table2[[#This Row],[ClassLength]],"")</f>
        <v>0.3392857142857143</v>
      </c>
      <c r="W327" s="24">
        <f>IFERROR(Table2[[#This Row],[Blue Min]]/Table2[[#This Row],[ClassLength]],"")</f>
        <v>0.26785714285714285</v>
      </c>
      <c r="X327" s="24">
        <f>IFERROR(Table2[[#This Row],[Green Min]]/Table2[[#This Row],[ClassLength]],"")</f>
        <v>0.21428571428571427</v>
      </c>
      <c r="Y327" s="24">
        <f>IFERROR(Table2[[#This Row],[Orange Min]]/Table2[[#This Row],[ClassLength]],"")</f>
        <v>0.16071428571428573</v>
      </c>
      <c r="Z327" s="24">
        <f>IFERROR(Table2[[#This Row],[Red Min]]/Table2[[#This Row],[ClassLength]],"")</f>
        <v>1.7857142857142856E-2</v>
      </c>
      <c r="AA327" s="25">
        <v>232.14</v>
      </c>
      <c r="AB327" s="25">
        <f t="shared" si="88"/>
        <v>12.896666666666667</v>
      </c>
      <c r="AC327" s="26">
        <f t="shared" si="95"/>
        <v>616.38888888888891</v>
      </c>
      <c r="AD327" s="26">
        <f t="shared" si="96"/>
        <v>13.444444444444445</v>
      </c>
      <c r="AE327">
        <f t="shared" si="97"/>
        <v>2022</v>
      </c>
      <c r="AG327">
        <v>12</v>
      </c>
      <c r="AH327" s="26">
        <f t="shared" si="98"/>
        <v>10.107142857142858</v>
      </c>
      <c r="AI327" t="str">
        <f t="shared" si="99"/>
        <v>PM</v>
      </c>
      <c r="AJ327" t="str">
        <f t="shared" si="100"/>
        <v>7-2022-2</v>
      </c>
      <c r="AK327">
        <f t="shared" si="101"/>
        <v>7</v>
      </c>
      <c r="AL327" s="26">
        <f>IFERROR(Table2[[#This Row],[Calories]]/Table2[[#This Row],[Splat]],"")</f>
        <v>56.6</v>
      </c>
      <c r="AM327">
        <f>COUNTIF(N$2:$N$938,N327)</f>
        <v>191</v>
      </c>
      <c r="AN327" t="str">
        <f>VLOOKUP(N327,'Helpful Tables'!A:D,4,FALSE)</f>
        <v>Washington, DC</v>
      </c>
      <c r="AO327" s="24">
        <f>COUNTIF(AN:AN,Table2[[#This Row],[State]])/COUNTA(AN:AN)</f>
        <v>0.54904051172707891</v>
      </c>
      <c r="AP327">
        <f>VLOOKUP(N327,'Helpful Tables'!A:B,2,FALSE)</f>
        <v>38.949649000000001</v>
      </c>
      <c r="AQ327">
        <f>VLOOKUP(N327,'Helpful Tables'!A:C,3,FALSE)</f>
        <v>-77.080878999999996</v>
      </c>
      <c r="AR327">
        <f>COUNTIF(P$2:$P$938,P327)</f>
        <v>2</v>
      </c>
      <c r="AS327" cm="1">
        <f t="array" ref="AS327">_xlfn.IFS(E327&lt;6,((E327/D327)*60)*0.5,AND(E327&gt;=6,E327&lt;9),((E327/D327)*60)*0.75,AND(E327&gt;=9,E327&lt;=11),((E327/D327)*60)*0.9,AND(E327=12),((E327/D327)*60)*1,AND(E327&gt;=13,E327&lt;=15),((E327/D327)*60)*1.2,AND(E327&gt;=16,E327&lt;=19),((E327/D327)*60)*1.5,E327&gt;=20,((E327/D327)*60)*1.8)</f>
        <v>9.6428571428571441</v>
      </c>
      <c r="AT327" cm="1">
        <f t="array" ref="AT327">_xlfn.IFS(F327&lt;550,((F327/D327)*60)*0.5,AND(F327&gt;=550,F327&lt;575),((F327/D327)*60)*0.75,AND(F327&gt;=575,F327&lt;600),((F327/D327)*60)*0.9,AND(F327=600),((F327/D327)*60)*1,AND(F327&gt;=601,F327&lt;=625),((F327/D327)*60)*1.2,AND(F327&gt;=626,F327&lt;=650),((F327/D327)*60)*1.5,F327&gt;=651,((F327/D327)*60)*1.8)</f>
        <v>454.82142857142856</v>
      </c>
      <c r="AU327">
        <f t="shared" si="89"/>
        <v>-11.699999999999998</v>
      </c>
      <c r="AV327">
        <f t="shared" si="104"/>
        <v>183.4457142857143</v>
      </c>
      <c r="AW327">
        <f t="shared" si="90"/>
        <v>11.3</v>
      </c>
      <c r="AX327" t="str">
        <f t="shared" si="102"/>
        <v>Jul-2022</v>
      </c>
      <c r="AY327">
        <f>ROUNDUP(Table2[[#This Row],[Month]]/3,0)</f>
        <v>3</v>
      </c>
    </row>
    <row r="328" spans="1:51" x14ac:dyDescent="0.2">
      <c r="A328">
        <v>327</v>
      </c>
      <c r="B328">
        <f t="shared" si="91"/>
        <v>18</v>
      </c>
      <c r="C328" s="22">
        <v>44750</v>
      </c>
      <c r="D328">
        <f>SUM(Table2[[#This Row],[Gray Min]:[Red Min]])</f>
        <v>56</v>
      </c>
      <c r="E328">
        <v>9</v>
      </c>
      <c r="F328">
        <v>608</v>
      </c>
      <c r="G328">
        <v>126</v>
      </c>
      <c r="H328">
        <v>167</v>
      </c>
      <c r="I328">
        <v>9</v>
      </c>
      <c r="J328">
        <v>18</v>
      </c>
      <c r="K328">
        <v>20</v>
      </c>
      <c r="L328">
        <v>7</v>
      </c>
      <c r="M328">
        <v>2</v>
      </c>
      <c r="N328" t="s">
        <v>91</v>
      </c>
      <c r="O328" t="s">
        <v>89</v>
      </c>
      <c r="P328" t="s">
        <v>98</v>
      </c>
      <c r="Q328">
        <f t="shared" si="103"/>
        <v>2</v>
      </c>
      <c r="R328" t="str">
        <f t="shared" si="92"/>
        <v>7-2022</v>
      </c>
      <c r="S328" t="s">
        <v>104</v>
      </c>
      <c r="T328" t="str">
        <f t="shared" si="93"/>
        <v>Friday</v>
      </c>
      <c r="U328">
        <f t="shared" si="94"/>
        <v>0</v>
      </c>
      <c r="V328" s="24">
        <f>IFERROR(Table2[[#This Row],[Gray Min]]/Table2[[#This Row],[ClassLength]],"")</f>
        <v>0.16071428571428573</v>
      </c>
      <c r="W328" s="24">
        <f>IFERROR(Table2[[#This Row],[Blue Min]]/Table2[[#This Row],[ClassLength]],"")</f>
        <v>0.32142857142857145</v>
      </c>
      <c r="X328" s="24">
        <f>IFERROR(Table2[[#This Row],[Green Min]]/Table2[[#This Row],[ClassLength]],"")</f>
        <v>0.35714285714285715</v>
      </c>
      <c r="Y328" s="24">
        <f>IFERROR(Table2[[#This Row],[Orange Min]]/Table2[[#This Row],[ClassLength]],"")</f>
        <v>0.125</v>
      </c>
      <c r="Z328" s="24">
        <f>IFERROR(Table2[[#This Row],[Red Min]]/Table2[[#This Row],[ClassLength]],"")</f>
        <v>3.5714285714285712E-2</v>
      </c>
      <c r="AA328" s="25">
        <v>232.14</v>
      </c>
      <c r="AB328" s="25">
        <f t="shared" si="88"/>
        <v>12.896666666666667</v>
      </c>
      <c r="AC328" s="26">
        <f t="shared" si="95"/>
        <v>616.38888888888891</v>
      </c>
      <c r="AD328" s="26">
        <f t="shared" si="96"/>
        <v>13.444444444444445</v>
      </c>
      <c r="AE328">
        <f t="shared" si="97"/>
        <v>2022</v>
      </c>
      <c r="AG328">
        <v>12</v>
      </c>
      <c r="AH328" s="26">
        <f t="shared" si="98"/>
        <v>10.857142857142858</v>
      </c>
      <c r="AI328" t="str">
        <f t="shared" si="99"/>
        <v>AM</v>
      </c>
      <c r="AJ328" t="str">
        <f t="shared" si="100"/>
        <v>7-2022-2</v>
      </c>
      <c r="AK328">
        <f t="shared" si="101"/>
        <v>7</v>
      </c>
      <c r="AL328" s="26">
        <f>IFERROR(Table2[[#This Row],[Calories]]/Table2[[#This Row],[Splat]],"")</f>
        <v>67.555555555555557</v>
      </c>
      <c r="AM328">
        <f>COUNTIF(N$2:$N$938,N328)</f>
        <v>218</v>
      </c>
      <c r="AN328" t="str">
        <f>VLOOKUP(N328,'Helpful Tables'!A:D,4,FALSE)</f>
        <v>Washington, DC</v>
      </c>
      <c r="AO328" s="24">
        <f>COUNTIF(AN:AN,Table2[[#This Row],[State]])/COUNTA(AN:AN)</f>
        <v>0.54904051172707891</v>
      </c>
      <c r="AP328">
        <f>VLOOKUP(N328,'Helpful Tables'!A:B,2,FALSE)</f>
        <v>38.934710000000003</v>
      </c>
      <c r="AQ328">
        <f>VLOOKUP(N328,'Helpful Tables'!A:C,3,FALSE)</f>
        <v>-77.058222999999998</v>
      </c>
      <c r="AR328">
        <f>COUNTIF(P$2:$P$938,P328)</f>
        <v>28</v>
      </c>
      <c r="AS328" cm="1">
        <f t="array" ref="AS328">_xlfn.IFS(E328&lt;6,((E328/D328)*60)*0.5,AND(E328&gt;=6,E328&lt;9),((E328/D328)*60)*0.75,AND(E328&gt;=9,E328&lt;=11),((E328/D328)*60)*0.9,AND(E328=12),((E328/D328)*60)*1,AND(E328&gt;=13,E328&lt;=15),((E328/D328)*60)*1.2,AND(E328&gt;=16,E328&lt;=19),((E328/D328)*60)*1.5,E328&gt;=20,((E328/D328)*60)*1.8)</f>
        <v>8.6785714285714306</v>
      </c>
      <c r="AT328" cm="1">
        <f t="array" ref="AT328">_xlfn.IFS(F328&lt;550,((F328/D328)*60)*0.5,AND(F328&gt;=550,F328&lt;575),((F328/D328)*60)*0.75,AND(F328&gt;=575,F328&lt;600),((F328/D328)*60)*0.9,AND(F328=600),((F328/D328)*60)*1,AND(F328&gt;=601,F328&lt;=625),((F328/D328)*60)*1.2,AND(F328&gt;=626,F328&lt;=650),((F328/D328)*60)*1.5,F328&gt;=651,((F328/D328)*60)*1.8)</f>
        <v>781.71428571428567</v>
      </c>
      <c r="AU328">
        <f t="shared" si="89"/>
        <v>5.4999999999999982</v>
      </c>
      <c r="AV328">
        <f t="shared" si="104"/>
        <v>317.25714285714292</v>
      </c>
      <c r="AW328">
        <f t="shared" si="90"/>
        <v>35.299999999999997</v>
      </c>
      <c r="AX328" t="str">
        <f t="shared" si="102"/>
        <v>Jul-2022</v>
      </c>
      <c r="AY328">
        <f>ROUNDUP(Table2[[#This Row],[Month]]/3,0)</f>
        <v>3</v>
      </c>
    </row>
    <row r="329" spans="1:51" x14ac:dyDescent="0.2">
      <c r="A329">
        <v>328</v>
      </c>
      <c r="B329">
        <f t="shared" si="91"/>
        <v>18</v>
      </c>
      <c r="C329" s="22">
        <v>44752</v>
      </c>
      <c r="D329">
        <f>SUM(Table2[[#This Row],[Gray Min]:[Red Min]])</f>
        <v>60</v>
      </c>
      <c r="E329">
        <v>16</v>
      </c>
      <c r="F329">
        <v>534</v>
      </c>
      <c r="G329">
        <v>113</v>
      </c>
      <c r="H329">
        <v>166</v>
      </c>
      <c r="I329">
        <v>33</v>
      </c>
      <c r="J329">
        <v>3</v>
      </c>
      <c r="K329">
        <v>8</v>
      </c>
      <c r="L329">
        <v>15</v>
      </c>
      <c r="M329">
        <v>1</v>
      </c>
      <c r="N329" t="s">
        <v>101</v>
      </c>
      <c r="O329" t="s">
        <v>45</v>
      </c>
      <c r="P329" t="s">
        <v>102</v>
      </c>
      <c r="Q329">
        <f t="shared" si="103"/>
        <v>2</v>
      </c>
      <c r="R329" t="str">
        <f t="shared" si="92"/>
        <v>7-2022</v>
      </c>
      <c r="S329" t="s">
        <v>104</v>
      </c>
      <c r="T329" t="str">
        <f t="shared" si="93"/>
        <v>Sunday</v>
      </c>
      <c r="U329">
        <f t="shared" si="94"/>
        <v>1</v>
      </c>
      <c r="V329" s="24">
        <f>IFERROR(Table2[[#This Row],[Gray Min]]/Table2[[#This Row],[ClassLength]],"")</f>
        <v>0.55000000000000004</v>
      </c>
      <c r="W329" s="24">
        <f>IFERROR(Table2[[#This Row],[Blue Min]]/Table2[[#This Row],[ClassLength]],"")</f>
        <v>0.05</v>
      </c>
      <c r="X329" s="24">
        <f>IFERROR(Table2[[#This Row],[Green Min]]/Table2[[#This Row],[ClassLength]],"")</f>
        <v>0.13333333333333333</v>
      </c>
      <c r="Y329" s="24">
        <f>IFERROR(Table2[[#This Row],[Orange Min]]/Table2[[#This Row],[ClassLength]],"")</f>
        <v>0.25</v>
      </c>
      <c r="Z329" s="24">
        <f>IFERROR(Table2[[#This Row],[Red Min]]/Table2[[#This Row],[ClassLength]],"")</f>
        <v>1.6666666666666666E-2</v>
      </c>
      <c r="AA329" s="25">
        <v>232.14</v>
      </c>
      <c r="AB329" s="25">
        <f t="shared" si="88"/>
        <v>12.896666666666667</v>
      </c>
      <c r="AC329" s="26">
        <f t="shared" si="95"/>
        <v>616.38888888888891</v>
      </c>
      <c r="AD329" s="26">
        <f t="shared" si="96"/>
        <v>13.444444444444445</v>
      </c>
      <c r="AE329">
        <f t="shared" si="97"/>
        <v>2022</v>
      </c>
      <c r="AG329">
        <v>12</v>
      </c>
      <c r="AH329" s="26">
        <f t="shared" si="98"/>
        <v>8.9</v>
      </c>
      <c r="AI329" t="str">
        <f t="shared" si="99"/>
        <v>AM</v>
      </c>
      <c r="AJ329" t="str">
        <f t="shared" si="100"/>
        <v>7-2022-3</v>
      </c>
      <c r="AK329">
        <f t="shared" si="101"/>
        <v>7</v>
      </c>
      <c r="AL329" s="26">
        <f>IFERROR(Table2[[#This Row],[Calories]]/Table2[[#This Row],[Splat]],"")</f>
        <v>33.375</v>
      </c>
      <c r="AM329">
        <f>COUNTIF(N$2:$N$938,N329)</f>
        <v>191</v>
      </c>
      <c r="AN329" t="str">
        <f>VLOOKUP(N329,'Helpful Tables'!A:D,4,FALSE)</f>
        <v>Washington, DC</v>
      </c>
      <c r="AO329" s="24">
        <f>COUNTIF(AN:AN,Table2[[#This Row],[State]])/COUNTA(AN:AN)</f>
        <v>0.54904051172707891</v>
      </c>
      <c r="AP329">
        <f>VLOOKUP(N329,'Helpful Tables'!A:B,2,FALSE)</f>
        <v>38.949649000000001</v>
      </c>
      <c r="AQ329">
        <f>VLOOKUP(N329,'Helpful Tables'!A:C,3,FALSE)</f>
        <v>-77.080878999999996</v>
      </c>
      <c r="AR329">
        <f>COUNTIF(P$2:$P$938,P329)</f>
        <v>20</v>
      </c>
      <c r="AS329" cm="1">
        <f t="array" ref="AS329">_xlfn.IFS(E329&lt;6,((E329/D329)*60)*0.5,AND(E329&gt;=6,E329&lt;9),((E329/D329)*60)*0.75,AND(E329&gt;=9,E329&lt;=11),((E329/D329)*60)*0.9,AND(E329=12),((E329/D329)*60)*1,AND(E329&gt;=13,E329&lt;=15),((E329/D329)*60)*1.2,AND(E329&gt;=16,E329&lt;=19),((E329/D329)*60)*1.5,E329&gt;=20,((E329/D329)*60)*1.8)</f>
        <v>24</v>
      </c>
      <c r="AT329" cm="1">
        <f t="array" ref="AT329">_xlfn.IFS(F329&lt;550,((F329/D329)*60)*0.5,AND(F329&gt;=550,F329&lt;575),((F329/D329)*60)*0.75,AND(F329&gt;=575,F329&lt;600),((F329/D329)*60)*0.9,AND(F329=600),((F329/D329)*60)*1,AND(F329&gt;=601,F329&lt;=625),((F329/D329)*60)*1.2,AND(F329&gt;=626,F329&lt;=650),((F329/D329)*60)*1.5,F329&gt;=651,((F329/D329)*60)*1.8)</f>
        <v>267</v>
      </c>
      <c r="AU329">
        <f t="shared" si="89"/>
        <v>-12.299999999999997</v>
      </c>
      <c r="AV329">
        <f t="shared" si="104"/>
        <v>113.94000000000001</v>
      </c>
      <c r="AW329">
        <f t="shared" si="90"/>
        <v>5</v>
      </c>
      <c r="AX329" t="str">
        <f t="shared" si="102"/>
        <v>Jul-2022</v>
      </c>
      <c r="AY329">
        <f>ROUNDUP(Table2[[#This Row],[Month]]/3,0)</f>
        <v>3</v>
      </c>
    </row>
    <row r="330" spans="1:51" x14ac:dyDescent="0.2">
      <c r="A330">
        <v>329</v>
      </c>
      <c r="B330">
        <f t="shared" si="91"/>
        <v>18</v>
      </c>
      <c r="C330" s="22">
        <v>44753</v>
      </c>
      <c r="D330">
        <f>SUM(Table2[[#This Row],[Gray Min]:[Red Min]])</f>
        <v>57</v>
      </c>
      <c r="E330">
        <v>14</v>
      </c>
      <c r="F330">
        <v>609</v>
      </c>
      <c r="G330">
        <v>125</v>
      </c>
      <c r="H330">
        <v>164</v>
      </c>
      <c r="I330">
        <v>13</v>
      </c>
      <c r="J330">
        <v>17</v>
      </c>
      <c r="K330">
        <v>13</v>
      </c>
      <c r="L330">
        <v>13</v>
      </c>
      <c r="M330">
        <v>1</v>
      </c>
      <c r="N330" t="s">
        <v>101</v>
      </c>
      <c r="O330" t="s">
        <v>39</v>
      </c>
      <c r="P330" t="s">
        <v>109</v>
      </c>
      <c r="Q330">
        <f t="shared" si="103"/>
        <v>1</v>
      </c>
      <c r="R330" t="str">
        <f t="shared" si="92"/>
        <v>7-2022</v>
      </c>
      <c r="S330" t="s">
        <v>104</v>
      </c>
      <c r="T330" t="str">
        <f t="shared" si="93"/>
        <v>Monday</v>
      </c>
      <c r="U330">
        <f t="shared" si="94"/>
        <v>1</v>
      </c>
      <c r="V330" s="24">
        <f>IFERROR(Table2[[#This Row],[Gray Min]]/Table2[[#This Row],[ClassLength]],"")</f>
        <v>0.22807017543859648</v>
      </c>
      <c r="W330" s="24">
        <f>IFERROR(Table2[[#This Row],[Blue Min]]/Table2[[#This Row],[ClassLength]],"")</f>
        <v>0.2982456140350877</v>
      </c>
      <c r="X330" s="24">
        <f>IFERROR(Table2[[#This Row],[Green Min]]/Table2[[#This Row],[ClassLength]],"")</f>
        <v>0.22807017543859648</v>
      </c>
      <c r="Y330" s="24">
        <f>IFERROR(Table2[[#This Row],[Orange Min]]/Table2[[#This Row],[ClassLength]],"")</f>
        <v>0.22807017543859648</v>
      </c>
      <c r="Z330" s="24">
        <f>IFERROR(Table2[[#This Row],[Red Min]]/Table2[[#This Row],[ClassLength]],"")</f>
        <v>1.7543859649122806E-2</v>
      </c>
      <c r="AA330" s="25">
        <v>232.14</v>
      </c>
      <c r="AB330" s="25">
        <f t="shared" si="88"/>
        <v>12.896666666666667</v>
      </c>
      <c r="AC330" s="26">
        <f t="shared" si="95"/>
        <v>616.38888888888891</v>
      </c>
      <c r="AD330" s="26">
        <f t="shared" si="96"/>
        <v>13.444444444444445</v>
      </c>
      <c r="AE330">
        <f t="shared" si="97"/>
        <v>2022</v>
      </c>
      <c r="AG330">
        <v>12</v>
      </c>
      <c r="AH330" s="26">
        <f t="shared" si="98"/>
        <v>10.684210526315789</v>
      </c>
      <c r="AI330" t="str">
        <f t="shared" si="99"/>
        <v>PM</v>
      </c>
      <c r="AJ330" t="str">
        <f t="shared" si="100"/>
        <v>7-2022-3</v>
      </c>
      <c r="AK330">
        <f t="shared" si="101"/>
        <v>7</v>
      </c>
      <c r="AL330" s="26">
        <f>IFERROR(Table2[[#This Row],[Calories]]/Table2[[#This Row],[Splat]],"")</f>
        <v>43.5</v>
      </c>
      <c r="AM330">
        <f>COUNTIF(N$2:$N$938,N330)</f>
        <v>191</v>
      </c>
      <c r="AN330" t="str">
        <f>VLOOKUP(N330,'Helpful Tables'!A:D,4,FALSE)</f>
        <v>Washington, DC</v>
      </c>
      <c r="AO330" s="24">
        <f>COUNTIF(AN:AN,Table2[[#This Row],[State]])/COUNTA(AN:AN)</f>
        <v>0.54904051172707891</v>
      </c>
      <c r="AP330">
        <f>VLOOKUP(N330,'Helpful Tables'!A:B,2,FALSE)</f>
        <v>38.949649000000001</v>
      </c>
      <c r="AQ330">
        <f>VLOOKUP(N330,'Helpful Tables'!A:C,3,FALSE)</f>
        <v>-77.080878999999996</v>
      </c>
      <c r="AR330">
        <f>COUNTIF(P$2:$P$938,P330)</f>
        <v>66</v>
      </c>
      <c r="AS330" cm="1">
        <f t="array" ref="AS330">_xlfn.IFS(E330&lt;6,((E330/D330)*60)*0.5,AND(E330&gt;=6,E330&lt;9),((E330/D330)*60)*0.75,AND(E330&gt;=9,E330&lt;=11),((E330/D330)*60)*0.9,AND(E330=12),((E330/D330)*60)*1,AND(E330&gt;=13,E330&lt;=15),((E330/D330)*60)*1.2,AND(E330&gt;=16,E330&lt;=19),((E330/D330)*60)*1.5,E330&gt;=20,((E330/D330)*60)*1.8)</f>
        <v>17.684210526315788</v>
      </c>
      <c r="AT330" cm="1">
        <f t="array" ref="AT330">_xlfn.IFS(F330&lt;550,((F330/D330)*60)*0.5,AND(F330&gt;=550,F330&lt;575),((F330/D330)*60)*0.75,AND(F330&gt;=575,F330&lt;600),((F330/D330)*60)*0.9,AND(F330=600),((F330/D330)*60)*1,AND(F330&gt;=601,F330&lt;=625),((F330/D330)*60)*1.2,AND(F330&gt;=626,F330&lt;=650),((F330/D330)*60)*1.5,F330&gt;=651,((F330/D330)*60)*1.8)</f>
        <v>769.26315789473688</v>
      </c>
      <c r="AU330">
        <f t="shared" si="89"/>
        <v>-0.30000000000000071</v>
      </c>
      <c r="AV330">
        <f t="shared" si="104"/>
        <v>314.71894736842108</v>
      </c>
      <c r="AW330">
        <f t="shared" si="90"/>
        <v>33.6</v>
      </c>
      <c r="AX330" t="str">
        <f t="shared" si="102"/>
        <v>Jul-2022</v>
      </c>
      <c r="AY330">
        <f>ROUNDUP(Table2[[#This Row],[Month]]/3,0)</f>
        <v>3</v>
      </c>
    </row>
    <row r="331" spans="1:51" x14ac:dyDescent="0.2">
      <c r="A331">
        <v>330</v>
      </c>
      <c r="B331">
        <f t="shared" si="91"/>
        <v>18</v>
      </c>
      <c r="C331" s="22">
        <v>44755</v>
      </c>
      <c r="D331">
        <f>SUM(Table2[[#This Row],[Gray Min]:[Red Min]])</f>
        <v>57</v>
      </c>
      <c r="E331">
        <v>12</v>
      </c>
      <c r="F331">
        <v>566</v>
      </c>
      <c r="G331">
        <v>120</v>
      </c>
      <c r="H331">
        <v>166</v>
      </c>
      <c r="I331">
        <v>17</v>
      </c>
      <c r="J331">
        <v>19</v>
      </c>
      <c r="K331">
        <v>9</v>
      </c>
      <c r="L331">
        <v>11</v>
      </c>
      <c r="M331">
        <v>1</v>
      </c>
      <c r="N331" t="s">
        <v>91</v>
      </c>
      <c r="O331" t="s">
        <v>57</v>
      </c>
      <c r="P331" t="s">
        <v>96</v>
      </c>
      <c r="Q331">
        <f t="shared" si="103"/>
        <v>2</v>
      </c>
      <c r="R331" t="str">
        <f t="shared" si="92"/>
        <v>7-2022</v>
      </c>
      <c r="S331" t="s">
        <v>104</v>
      </c>
      <c r="T331" t="str">
        <f t="shared" si="93"/>
        <v>Wednesday</v>
      </c>
      <c r="U331">
        <f t="shared" si="94"/>
        <v>1</v>
      </c>
      <c r="V331" s="24">
        <f>IFERROR(Table2[[#This Row],[Gray Min]]/Table2[[#This Row],[ClassLength]],"")</f>
        <v>0.2982456140350877</v>
      </c>
      <c r="W331" s="24">
        <f>IFERROR(Table2[[#This Row],[Blue Min]]/Table2[[#This Row],[ClassLength]],"")</f>
        <v>0.33333333333333331</v>
      </c>
      <c r="X331" s="24">
        <f>IFERROR(Table2[[#This Row],[Green Min]]/Table2[[#This Row],[ClassLength]],"")</f>
        <v>0.15789473684210525</v>
      </c>
      <c r="Y331" s="24">
        <f>IFERROR(Table2[[#This Row],[Orange Min]]/Table2[[#This Row],[ClassLength]],"")</f>
        <v>0.19298245614035087</v>
      </c>
      <c r="Z331" s="24">
        <f>IFERROR(Table2[[#This Row],[Red Min]]/Table2[[#This Row],[ClassLength]],"")</f>
        <v>1.7543859649122806E-2</v>
      </c>
      <c r="AA331" s="25">
        <v>232.14</v>
      </c>
      <c r="AB331" s="25">
        <f t="shared" si="88"/>
        <v>12.896666666666667</v>
      </c>
      <c r="AC331" s="26">
        <f t="shared" si="95"/>
        <v>616.38888888888891</v>
      </c>
      <c r="AD331" s="26">
        <f t="shared" si="96"/>
        <v>13.444444444444445</v>
      </c>
      <c r="AE331">
        <f t="shared" si="97"/>
        <v>2022</v>
      </c>
      <c r="AG331">
        <v>12</v>
      </c>
      <c r="AH331" s="26">
        <f t="shared" si="98"/>
        <v>9.9298245614035086</v>
      </c>
      <c r="AI331" t="str">
        <f t="shared" si="99"/>
        <v>PM</v>
      </c>
      <c r="AJ331" t="str">
        <f t="shared" si="100"/>
        <v>7-2022-3</v>
      </c>
      <c r="AK331">
        <f t="shared" si="101"/>
        <v>7</v>
      </c>
      <c r="AL331" s="26">
        <f>IFERROR(Table2[[#This Row],[Calories]]/Table2[[#This Row],[Splat]],"")</f>
        <v>47.166666666666664</v>
      </c>
      <c r="AM331">
        <f>COUNTIF(N$2:$N$938,N331)</f>
        <v>218</v>
      </c>
      <c r="AN331" t="str">
        <f>VLOOKUP(N331,'Helpful Tables'!A:D,4,FALSE)</f>
        <v>Washington, DC</v>
      </c>
      <c r="AO331" s="24">
        <f>COUNTIF(AN:AN,Table2[[#This Row],[State]])/COUNTA(AN:AN)</f>
        <v>0.54904051172707891</v>
      </c>
      <c r="AP331">
        <f>VLOOKUP(N331,'Helpful Tables'!A:B,2,FALSE)</f>
        <v>38.934710000000003</v>
      </c>
      <c r="AQ331">
        <f>VLOOKUP(N331,'Helpful Tables'!A:C,3,FALSE)</f>
        <v>-77.058222999999998</v>
      </c>
      <c r="AR331">
        <f>COUNTIF(P$2:$P$938,P331)</f>
        <v>71</v>
      </c>
      <c r="AS331" cm="1">
        <f t="array" ref="AS331">_xlfn.IFS(E331&lt;6,((E331/D331)*60)*0.5,AND(E331&gt;=6,E331&lt;9),((E331/D331)*60)*0.75,AND(E331&gt;=9,E331&lt;=11),((E331/D331)*60)*0.9,AND(E331=12),((E331/D331)*60)*1,AND(E331&gt;=13,E331&lt;=15),((E331/D331)*60)*1.2,AND(E331&gt;=16,E331&lt;=19),((E331/D331)*60)*1.5,E331&gt;=20,((E331/D331)*60)*1.8)</f>
        <v>12.631578947368421</v>
      </c>
      <c r="AT331" cm="1">
        <f t="array" ref="AT331">_xlfn.IFS(F331&lt;550,((F331/D331)*60)*0.5,AND(F331&gt;=550,F331&lt;575),((F331/D331)*60)*0.75,AND(F331&gt;=575,F331&lt;600),((F331/D331)*60)*0.9,AND(F331=600),((F331/D331)*60)*1,AND(F331&gt;=601,F331&lt;=625),((F331/D331)*60)*1.2,AND(F331&gt;=626,F331&lt;=650),((F331/D331)*60)*1.5,F331&gt;=651,((F331/D331)*60)*1.8)</f>
        <v>446.84210526315792</v>
      </c>
      <c r="AU331">
        <f t="shared" si="89"/>
        <v>-14.7</v>
      </c>
      <c r="AV331">
        <f t="shared" si="104"/>
        <v>180.84947368421055</v>
      </c>
      <c r="AW331">
        <f t="shared" si="90"/>
        <v>10.8</v>
      </c>
      <c r="AX331" t="str">
        <f t="shared" si="102"/>
        <v>Jul-2022</v>
      </c>
      <c r="AY331">
        <f>ROUNDUP(Table2[[#This Row],[Month]]/3,0)</f>
        <v>3</v>
      </c>
    </row>
    <row r="332" spans="1:51" x14ac:dyDescent="0.2">
      <c r="A332">
        <v>331</v>
      </c>
      <c r="B332">
        <f t="shared" si="91"/>
        <v>18</v>
      </c>
      <c r="C332" s="22">
        <v>44756</v>
      </c>
      <c r="D332">
        <f>SUM(Table2[[#This Row],[Gray Min]:[Red Min]])</f>
        <v>57</v>
      </c>
      <c r="E332">
        <v>11</v>
      </c>
      <c r="F332">
        <v>614</v>
      </c>
      <c r="G332">
        <v>125</v>
      </c>
      <c r="H332">
        <v>168</v>
      </c>
      <c r="I332">
        <v>12</v>
      </c>
      <c r="J332">
        <v>17</v>
      </c>
      <c r="K332">
        <v>17</v>
      </c>
      <c r="L332">
        <v>10</v>
      </c>
      <c r="M332">
        <v>1</v>
      </c>
      <c r="N332" t="s">
        <v>30</v>
      </c>
      <c r="O332" t="s">
        <v>144</v>
      </c>
      <c r="P332" t="s">
        <v>142</v>
      </c>
      <c r="Q332">
        <f t="shared" si="103"/>
        <v>1</v>
      </c>
      <c r="R332" t="str">
        <f t="shared" si="92"/>
        <v>7-2022</v>
      </c>
      <c r="S332" t="s">
        <v>104</v>
      </c>
      <c r="T332" t="str">
        <f t="shared" si="93"/>
        <v>Thursday</v>
      </c>
      <c r="U332">
        <f t="shared" si="94"/>
        <v>0</v>
      </c>
      <c r="V332" s="24">
        <f>IFERROR(Table2[[#This Row],[Gray Min]]/Table2[[#This Row],[ClassLength]],"")</f>
        <v>0.21052631578947367</v>
      </c>
      <c r="W332" s="24">
        <f>IFERROR(Table2[[#This Row],[Blue Min]]/Table2[[#This Row],[ClassLength]],"")</f>
        <v>0.2982456140350877</v>
      </c>
      <c r="X332" s="24">
        <f>IFERROR(Table2[[#This Row],[Green Min]]/Table2[[#This Row],[ClassLength]],"")</f>
        <v>0.2982456140350877</v>
      </c>
      <c r="Y332" s="24">
        <f>IFERROR(Table2[[#This Row],[Orange Min]]/Table2[[#This Row],[ClassLength]],"")</f>
        <v>0.17543859649122806</v>
      </c>
      <c r="Z332" s="24">
        <f>IFERROR(Table2[[#This Row],[Red Min]]/Table2[[#This Row],[ClassLength]],"")</f>
        <v>1.7543859649122806E-2</v>
      </c>
      <c r="AA332" s="25">
        <v>232.14</v>
      </c>
      <c r="AB332" s="25">
        <f t="shared" si="88"/>
        <v>12.896666666666667</v>
      </c>
      <c r="AC332" s="26">
        <f t="shared" si="95"/>
        <v>616.38888888888891</v>
      </c>
      <c r="AD332" s="26">
        <f t="shared" si="96"/>
        <v>13.444444444444445</v>
      </c>
      <c r="AE332">
        <f t="shared" si="97"/>
        <v>2022</v>
      </c>
      <c r="AG332">
        <v>12</v>
      </c>
      <c r="AH332" s="26">
        <f t="shared" si="98"/>
        <v>10.771929824561404</v>
      </c>
      <c r="AI332" t="str">
        <f t="shared" si="99"/>
        <v>PM</v>
      </c>
      <c r="AJ332" t="str">
        <f t="shared" si="100"/>
        <v>7-2022-3</v>
      </c>
      <c r="AK332">
        <f t="shared" si="101"/>
        <v>7</v>
      </c>
      <c r="AL332" s="26">
        <f>IFERROR(Table2[[#This Row],[Calories]]/Table2[[#This Row],[Splat]],"")</f>
        <v>55.81818181818182</v>
      </c>
      <c r="AM332">
        <f>COUNTIF(N$2:$N$938,N332)</f>
        <v>9</v>
      </c>
      <c r="AN332" t="str">
        <f>VLOOKUP(N332,'Helpful Tables'!A:D,4,FALSE)</f>
        <v>Virginia</v>
      </c>
      <c r="AO332" s="24">
        <f>COUNTIF(AN:AN,Table2[[#This Row],[State]])/COUNTA(AN:AN)</f>
        <v>5.6503198294243072E-2</v>
      </c>
      <c r="AP332">
        <f>VLOOKUP(N332,'Helpful Tables'!A:B,2,FALSE)</f>
        <v>38.894024999999999</v>
      </c>
      <c r="AQ332">
        <f>VLOOKUP(N332,'Helpful Tables'!A:C,3,FALSE)</f>
        <v>-77.078213000000005</v>
      </c>
      <c r="AR332">
        <f>COUNTIF(P$2:$P$938,P332)</f>
        <v>2</v>
      </c>
      <c r="AS332" cm="1">
        <f t="array" ref="AS332">_xlfn.IFS(E332&lt;6,((E332/D332)*60)*0.5,AND(E332&gt;=6,E332&lt;9),((E332/D332)*60)*0.75,AND(E332&gt;=9,E332&lt;=11),((E332/D332)*60)*0.9,AND(E332=12),((E332/D332)*60)*1,AND(E332&gt;=13,E332&lt;=15),((E332/D332)*60)*1.2,AND(E332&gt;=16,E332&lt;=19),((E332/D332)*60)*1.5,E332&gt;=20,((E332/D332)*60)*1.8)</f>
        <v>10.421052631578947</v>
      </c>
      <c r="AT332" cm="1">
        <f t="array" ref="AT332">_xlfn.IFS(F332&lt;550,((F332/D332)*60)*0.5,AND(F332&gt;=550,F332&lt;575),((F332/D332)*60)*0.75,AND(F332&gt;=575,F332&lt;600),((F332/D332)*60)*0.9,AND(F332=600),((F332/D332)*60)*1,AND(F332&gt;=601,F332&lt;=625),((F332/D332)*60)*1.2,AND(F332&gt;=626,F332&lt;=650),((F332/D332)*60)*1.5,F332&gt;=651,((F332/D332)*60)*1.8)</f>
        <v>775.57894736842115</v>
      </c>
      <c r="AU332">
        <f t="shared" si="89"/>
        <v>1.7999999999999972</v>
      </c>
      <c r="AV332">
        <f t="shared" si="104"/>
        <v>314.76000000000005</v>
      </c>
      <c r="AW332">
        <f t="shared" si="90"/>
        <v>33.700000000000003</v>
      </c>
      <c r="AX332" t="str">
        <f t="shared" si="102"/>
        <v>Jul-2022</v>
      </c>
      <c r="AY332">
        <f>ROUNDUP(Table2[[#This Row],[Month]]/3,0)</f>
        <v>3</v>
      </c>
    </row>
    <row r="333" spans="1:51" x14ac:dyDescent="0.2">
      <c r="A333">
        <v>332</v>
      </c>
      <c r="B333">
        <f t="shared" si="91"/>
        <v>18</v>
      </c>
      <c r="C333" s="22">
        <v>44758</v>
      </c>
      <c r="D333">
        <f>SUM(Table2[[#This Row],[Gray Min]:[Red Min]])</f>
        <v>59</v>
      </c>
      <c r="E333">
        <v>13</v>
      </c>
      <c r="F333">
        <v>658</v>
      </c>
      <c r="G333">
        <v>127</v>
      </c>
      <c r="H333">
        <v>166</v>
      </c>
      <c r="I333">
        <v>11</v>
      </c>
      <c r="J333">
        <v>19</v>
      </c>
      <c r="K333">
        <v>16</v>
      </c>
      <c r="L333">
        <v>12</v>
      </c>
      <c r="M333">
        <v>1</v>
      </c>
      <c r="N333" t="s">
        <v>101</v>
      </c>
      <c r="O333" t="s">
        <v>45</v>
      </c>
      <c r="P333" t="s">
        <v>134</v>
      </c>
      <c r="Q333">
        <f t="shared" si="103"/>
        <v>2</v>
      </c>
      <c r="R333" t="str">
        <f t="shared" si="92"/>
        <v>7-2022</v>
      </c>
      <c r="S333" t="s">
        <v>104</v>
      </c>
      <c r="T333" t="str">
        <f t="shared" si="93"/>
        <v>Saturday</v>
      </c>
      <c r="U333">
        <f t="shared" si="94"/>
        <v>1</v>
      </c>
      <c r="V333" s="24">
        <f>IFERROR(Table2[[#This Row],[Gray Min]]/Table2[[#This Row],[ClassLength]],"")</f>
        <v>0.1864406779661017</v>
      </c>
      <c r="W333" s="24">
        <f>IFERROR(Table2[[#This Row],[Blue Min]]/Table2[[#This Row],[ClassLength]],"")</f>
        <v>0.32203389830508472</v>
      </c>
      <c r="X333" s="24">
        <f>IFERROR(Table2[[#This Row],[Green Min]]/Table2[[#This Row],[ClassLength]],"")</f>
        <v>0.2711864406779661</v>
      </c>
      <c r="Y333" s="24">
        <f>IFERROR(Table2[[#This Row],[Orange Min]]/Table2[[#This Row],[ClassLength]],"")</f>
        <v>0.20338983050847459</v>
      </c>
      <c r="Z333" s="24">
        <f>IFERROR(Table2[[#This Row],[Red Min]]/Table2[[#This Row],[ClassLength]],"")</f>
        <v>1.6949152542372881E-2</v>
      </c>
      <c r="AA333" s="25">
        <v>232.14</v>
      </c>
      <c r="AB333" s="25">
        <f t="shared" si="88"/>
        <v>12.896666666666667</v>
      </c>
      <c r="AC333" s="26">
        <f t="shared" si="95"/>
        <v>616.38888888888891</v>
      </c>
      <c r="AD333" s="26">
        <f t="shared" si="96"/>
        <v>13.444444444444445</v>
      </c>
      <c r="AE333">
        <f t="shared" si="97"/>
        <v>2022</v>
      </c>
      <c r="AG333">
        <v>12</v>
      </c>
      <c r="AH333" s="26">
        <f t="shared" si="98"/>
        <v>11.152542372881356</v>
      </c>
      <c r="AI333" t="str">
        <f t="shared" si="99"/>
        <v>AM</v>
      </c>
      <c r="AJ333" t="str">
        <f t="shared" si="100"/>
        <v>7-2022-3</v>
      </c>
      <c r="AK333">
        <f t="shared" si="101"/>
        <v>7</v>
      </c>
      <c r="AL333" s="26">
        <f>IFERROR(Table2[[#This Row],[Calories]]/Table2[[#This Row],[Splat]],"")</f>
        <v>50.615384615384613</v>
      </c>
      <c r="AM333">
        <f>COUNTIF(N$2:$N$938,N333)</f>
        <v>191</v>
      </c>
      <c r="AN333" t="str">
        <f>VLOOKUP(N333,'Helpful Tables'!A:D,4,FALSE)</f>
        <v>Washington, DC</v>
      </c>
      <c r="AO333" s="24">
        <f>COUNTIF(AN:AN,Table2[[#This Row],[State]])/COUNTA(AN:AN)</f>
        <v>0.54904051172707891</v>
      </c>
      <c r="AP333">
        <f>VLOOKUP(N333,'Helpful Tables'!A:B,2,FALSE)</f>
        <v>38.949649000000001</v>
      </c>
      <c r="AQ333">
        <f>VLOOKUP(N333,'Helpful Tables'!A:C,3,FALSE)</f>
        <v>-77.080878999999996</v>
      </c>
      <c r="AR333">
        <f>COUNTIF(P$2:$P$938,P333)</f>
        <v>9</v>
      </c>
      <c r="AS333" cm="1">
        <f t="array" ref="AS333">_xlfn.IFS(E333&lt;6,((E333/D333)*60)*0.5,AND(E333&gt;=6,E333&lt;9),((E333/D333)*60)*0.75,AND(E333&gt;=9,E333&lt;=11),((E333/D333)*60)*0.9,AND(E333=12),((E333/D333)*60)*1,AND(E333&gt;=13,E333&lt;=15),((E333/D333)*60)*1.2,AND(E333&gt;=16,E333&lt;=19),((E333/D333)*60)*1.5,E333&gt;=20,((E333/D333)*60)*1.8)</f>
        <v>15.864406779661017</v>
      </c>
      <c r="AT333" cm="1">
        <f t="array" ref="AT333">_xlfn.IFS(F333&lt;550,((F333/D333)*60)*0.5,AND(F333&gt;=550,F333&lt;575),((F333/D333)*60)*0.75,AND(F333&gt;=575,F333&lt;600),((F333/D333)*60)*0.9,AND(F333=600),((F333/D333)*60)*1,AND(F333&gt;=601,F333&lt;=625),((F333/D333)*60)*1.2,AND(F333&gt;=626,F333&lt;=650),((F333/D333)*60)*1.5,F333&gt;=651,((F333/D333)*60)*1.8)</f>
        <v>1204.4745762711866</v>
      </c>
      <c r="AU333">
        <f t="shared" si="89"/>
        <v>2.1999999999999993</v>
      </c>
      <c r="AV333">
        <f t="shared" si="104"/>
        <v>488.57559322033904</v>
      </c>
      <c r="AW333">
        <f t="shared" si="90"/>
        <v>72.8</v>
      </c>
      <c r="AX333" t="str">
        <f t="shared" si="102"/>
        <v>Jul-2022</v>
      </c>
      <c r="AY333">
        <f>ROUNDUP(Table2[[#This Row],[Month]]/3,0)</f>
        <v>3</v>
      </c>
    </row>
    <row r="334" spans="1:51" x14ac:dyDescent="0.2">
      <c r="A334">
        <v>333</v>
      </c>
      <c r="B334">
        <f t="shared" si="91"/>
        <v>18</v>
      </c>
      <c r="C334" s="22">
        <v>44760</v>
      </c>
      <c r="D334">
        <f>SUM(Table2[[#This Row],[Gray Min]:[Red Min]])</f>
        <v>60</v>
      </c>
      <c r="E334">
        <v>9</v>
      </c>
      <c r="F334">
        <v>532</v>
      </c>
      <c r="G334">
        <v>112</v>
      </c>
      <c r="H334">
        <v>156</v>
      </c>
      <c r="I334">
        <v>32</v>
      </c>
      <c r="J334">
        <v>8</v>
      </c>
      <c r="K334">
        <v>11</v>
      </c>
      <c r="L334">
        <v>9</v>
      </c>
      <c r="M334">
        <v>0</v>
      </c>
      <c r="N334" t="s">
        <v>101</v>
      </c>
      <c r="O334" t="s">
        <v>107</v>
      </c>
      <c r="P334" t="s">
        <v>102</v>
      </c>
      <c r="Q334">
        <f t="shared" si="103"/>
        <v>2</v>
      </c>
      <c r="R334" t="str">
        <f t="shared" si="92"/>
        <v>7-2022</v>
      </c>
      <c r="S334" t="s">
        <v>104</v>
      </c>
      <c r="T334" t="str">
        <f t="shared" si="93"/>
        <v>Monday</v>
      </c>
      <c r="U334">
        <f t="shared" si="94"/>
        <v>0</v>
      </c>
      <c r="V334" s="24">
        <f>IFERROR(Table2[[#This Row],[Gray Min]]/Table2[[#This Row],[ClassLength]],"")</f>
        <v>0.53333333333333333</v>
      </c>
      <c r="W334" s="24">
        <f>IFERROR(Table2[[#This Row],[Blue Min]]/Table2[[#This Row],[ClassLength]],"")</f>
        <v>0.13333333333333333</v>
      </c>
      <c r="X334" s="24">
        <f>IFERROR(Table2[[#This Row],[Green Min]]/Table2[[#This Row],[ClassLength]],"")</f>
        <v>0.18333333333333332</v>
      </c>
      <c r="Y334" s="24">
        <f>IFERROR(Table2[[#This Row],[Orange Min]]/Table2[[#This Row],[ClassLength]],"")</f>
        <v>0.15</v>
      </c>
      <c r="Z334" s="24">
        <f>IFERROR(Table2[[#This Row],[Red Min]]/Table2[[#This Row],[ClassLength]],"")</f>
        <v>0</v>
      </c>
      <c r="AA334" s="25">
        <v>232.14</v>
      </c>
      <c r="AB334" s="25">
        <f t="shared" si="88"/>
        <v>12.896666666666667</v>
      </c>
      <c r="AC334" s="26">
        <f t="shared" si="95"/>
        <v>616.38888888888891</v>
      </c>
      <c r="AD334" s="26">
        <f t="shared" si="96"/>
        <v>13.444444444444445</v>
      </c>
      <c r="AE334">
        <f t="shared" si="97"/>
        <v>2022</v>
      </c>
      <c r="AG334">
        <v>12</v>
      </c>
      <c r="AH334" s="26">
        <f t="shared" si="98"/>
        <v>8.8666666666666671</v>
      </c>
      <c r="AI334" t="str">
        <f t="shared" si="99"/>
        <v>AM</v>
      </c>
      <c r="AJ334" t="str">
        <f t="shared" si="100"/>
        <v>7-2022-4</v>
      </c>
      <c r="AK334">
        <f t="shared" si="101"/>
        <v>7</v>
      </c>
      <c r="AL334" s="26">
        <f>IFERROR(Table2[[#This Row],[Calories]]/Table2[[#This Row],[Splat]],"")</f>
        <v>59.111111111111114</v>
      </c>
      <c r="AM334">
        <f>COUNTIF(N$2:$N$938,N334)</f>
        <v>191</v>
      </c>
      <c r="AN334" t="str">
        <f>VLOOKUP(N334,'Helpful Tables'!A:D,4,FALSE)</f>
        <v>Washington, DC</v>
      </c>
      <c r="AO334" s="24">
        <f>COUNTIF(AN:AN,Table2[[#This Row],[State]])/COUNTA(AN:AN)</f>
        <v>0.54904051172707891</v>
      </c>
      <c r="AP334">
        <f>VLOOKUP(N334,'Helpful Tables'!A:B,2,FALSE)</f>
        <v>38.949649000000001</v>
      </c>
      <c r="AQ334">
        <f>VLOOKUP(N334,'Helpful Tables'!A:C,3,FALSE)</f>
        <v>-77.080878999999996</v>
      </c>
      <c r="AR334">
        <f>COUNTIF(P$2:$P$938,P334)</f>
        <v>20</v>
      </c>
      <c r="AS334" cm="1">
        <f t="array" ref="AS334">_xlfn.IFS(E334&lt;6,((E334/D334)*60)*0.5,AND(E334&gt;=6,E334&lt;9),((E334/D334)*60)*0.75,AND(E334&gt;=9,E334&lt;=11),((E334/D334)*60)*0.9,AND(E334=12),((E334/D334)*60)*1,AND(E334&gt;=13,E334&lt;=15),((E334/D334)*60)*1.2,AND(E334&gt;=16,E334&lt;=19),((E334/D334)*60)*1.5,E334&gt;=20,((E334/D334)*60)*1.8)</f>
        <v>8.1</v>
      </c>
      <c r="AT334" cm="1">
        <f t="array" ref="AT334">_xlfn.IFS(F334&lt;550,((F334/D334)*60)*0.5,AND(F334&gt;=550,F334&lt;575),((F334/D334)*60)*0.75,AND(F334&gt;=575,F334&lt;600),((F334/D334)*60)*0.9,AND(F334=600),((F334/D334)*60)*1,AND(F334&gt;=601,F334&lt;=625),((F334/D334)*60)*1.2,AND(F334&gt;=626,F334&lt;=650),((F334/D334)*60)*1.5,F334&gt;=651,((F334/D334)*60)*1.8)</f>
        <v>266</v>
      </c>
      <c r="AU334">
        <f t="shared" si="89"/>
        <v>-22.299999999999997</v>
      </c>
      <c r="AV334">
        <f t="shared" si="104"/>
        <v>105.18</v>
      </c>
      <c r="AW334">
        <f t="shared" si="90"/>
        <v>2.1</v>
      </c>
      <c r="AX334" t="str">
        <f t="shared" si="102"/>
        <v>Jul-2022</v>
      </c>
      <c r="AY334">
        <f>ROUNDUP(Table2[[#This Row],[Month]]/3,0)</f>
        <v>3</v>
      </c>
    </row>
    <row r="335" spans="1:51" x14ac:dyDescent="0.2">
      <c r="A335">
        <v>334</v>
      </c>
      <c r="B335">
        <f t="shared" si="91"/>
        <v>18</v>
      </c>
      <c r="C335" s="22">
        <v>44762</v>
      </c>
      <c r="D335">
        <f>SUM(Table2[[#This Row],[Gray Min]:[Red Min]])</f>
        <v>56</v>
      </c>
      <c r="E335">
        <v>21</v>
      </c>
      <c r="F335">
        <v>695</v>
      </c>
      <c r="G335">
        <v>136</v>
      </c>
      <c r="H335">
        <v>168</v>
      </c>
      <c r="I335">
        <v>4</v>
      </c>
      <c r="J335">
        <v>12</v>
      </c>
      <c r="K335">
        <v>19</v>
      </c>
      <c r="L335">
        <v>15</v>
      </c>
      <c r="M335">
        <v>6</v>
      </c>
      <c r="N335" t="s">
        <v>91</v>
      </c>
      <c r="O335" t="s">
        <v>57</v>
      </c>
      <c r="P335" t="s">
        <v>96</v>
      </c>
      <c r="Q335">
        <f t="shared" si="103"/>
        <v>2</v>
      </c>
      <c r="R335" t="str">
        <f t="shared" si="92"/>
        <v>7-2022</v>
      </c>
      <c r="S335" t="s">
        <v>104</v>
      </c>
      <c r="T335" t="str">
        <f t="shared" si="93"/>
        <v>Wednesday</v>
      </c>
      <c r="U335">
        <f t="shared" si="94"/>
        <v>1</v>
      </c>
      <c r="V335" s="24">
        <f>IFERROR(Table2[[#This Row],[Gray Min]]/Table2[[#This Row],[ClassLength]],"")</f>
        <v>7.1428571428571425E-2</v>
      </c>
      <c r="W335" s="24">
        <f>IFERROR(Table2[[#This Row],[Blue Min]]/Table2[[#This Row],[ClassLength]],"")</f>
        <v>0.21428571428571427</v>
      </c>
      <c r="X335" s="24">
        <f>IFERROR(Table2[[#This Row],[Green Min]]/Table2[[#This Row],[ClassLength]],"")</f>
        <v>0.3392857142857143</v>
      </c>
      <c r="Y335" s="24">
        <f>IFERROR(Table2[[#This Row],[Orange Min]]/Table2[[#This Row],[ClassLength]],"")</f>
        <v>0.26785714285714285</v>
      </c>
      <c r="Z335" s="24">
        <f>IFERROR(Table2[[#This Row],[Red Min]]/Table2[[#This Row],[ClassLength]],"")</f>
        <v>0.10714285714285714</v>
      </c>
      <c r="AA335" s="25">
        <v>232.14</v>
      </c>
      <c r="AB335" s="25">
        <f t="shared" si="88"/>
        <v>12.896666666666667</v>
      </c>
      <c r="AC335" s="26">
        <f t="shared" si="95"/>
        <v>616.38888888888891</v>
      </c>
      <c r="AD335" s="26">
        <f t="shared" si="96"/>
        <v>13.444444444444445</v>
      </c>
      <c r="AE335">
        <f t="shared" si="97"/>
        <v>2022</v>
      </c>
      <c r="AG335">
        <v>12</v>
      </c>
      <c r="AH335" s="26">
        <f t="shared" si="98"/>
        <v>12.410714285714286</v>
      </c>
      <c r="AI335" t="str">
        <f t="shared" si="99"/>
        <v>PM</v>
      </c>
      <c r="AJ335" t="str">
        <f t="shared" si="100"/>
        <v>7-2022-4</v>
      </c>
      <c r="AK335">
        <f t="shared" si="101"/>
        <v>7</v>
      </c>
      <c r="AL335" s="26">
        <f>IFERROR(Table2[[#This Row],[Calories]]/Table2[[#This Row],[Splat]],"")</f>
        <v>33.095238095238095</v>
      </c>
      <c r="AM335">
        <f>COUNTIF(N$2:$N$938,N335)</f>
        <v>218</v>
      </c>
      <c r="AN335" t="str">
        <f>VLOOKUP(N335,'Helpful Tables'!A:D,4,FALSE)</f>
        <v>Washington, DC</v>
      </c>
      <c r="AO335" s="24">
        <f>COUNTIF(AN:AN,Table2[[#This Row],[State]])/COUNTA(AN:AN)</f>
        <v>0.54904051172707891</v>
      </c>
      <c r="AP335">
        <f>VLOOKUP(N335,'Helpful Tables'!A:B,2,FALSE)</f>
        <v>38.934710000000003</v>
      </c>
      <c r="AQ335">
        <f>VLOOKUP(N335,'Helpful Tables'!A:C,3,FALSE)</f>
        <v>-77.058222999999998</v>
      </c>
      <c r="AR335">
        <f>COUNTIF(P$2:$P$938,P335)</f>
        <v>71</v>
      </c>
      <c r="AS335" cm="1">
        <f t="array" ref="AS335">_xlfn.IFS(E335&lt;6,((E335/D335)*60)*0.5,AND(E335&gt;=6,E335&lt;9),((E335/D335)*60)*0.75,AND(E335&gt;=9,E335&lt;=11),((E335/D335)*60)*0.9,AND(E335=12),((E335/D335)*60)*1,AND(E335&gt;=13,E335&lt;=15),((E335/D335)*60)*1.2,AND(E335&gt;=16,E335&lt;=19),((E335/D335)*60)*1.5,E335&gt;=20,((E335/D335)*60)*1.8)</f>
        <v>40.5</v>
      </c>
      <c r="AT335" cm="1">
        <f t="array" ref="AT335">_xlfn.IFS(F335&lt;550,((F335/D335)*60)*0.5,AND(F335&gt;=550,F335&lt;575),((F335/D335)*60)*0.75,AND(F335&gt;=575,F335&lt;600),((F335/D335)*60)*0.9,AND(F335=600),((F335/D335)*60)*1,AND(F335&gt;=601,F335&lt;=625),((F335/D335)*60)*1.2,AND(F335&gt;=626,F335&lt;=650),((F335/D335)*60)*1.5,F335&gt;=651,((F335/D335)*60)*1.8)</f>
        <v>1340.3571428571431</v>
      </c>
      <c r="AU335">
        <f t="shared" si="89"/>
        <v>33.299999999999997</v>
      </c>
      <c r="AV335">
        <f t="shared" si="104"/>
        <v>559.00285714285724</v>
      </c>
      <c r="AW335">
        <f t="shared" si="90"/>
        <v>98.9</v>
      </c>
      <c r="AX335" t="str">
        <f t="shared" si="102"/>
        <v>Jul-2022</v>
      </c>
      <c r="AY335">
        <f>ROUNDUP(Table2[[#This Row],[Month]]/3,0)</f>
        <v>3</v>
      </c>
    </row>
    <row r="336" spans="1:51" x14ac:dyDescent="0.2">
      <c r="A336">
        <v>335</v>
      </c>
      <c r="B336">
        <f t="shared" si="91"/>
        <v>18</v>
      </c>
      <c r="C336" s="22">
        <v>44764</v>
      </c>
      <c r="D336">
        <f>SUM(Table2[[#This Row],[Gray Min]:[Red Min]])</f>
        <v>60</v>
      </c>
      <c r="E336">
        <v>14</v>
      </c>
      <c r="F336">
        <v>664</v>
      </c>
      <c r="G336">
        <v>127</v>
      </c>
      <c r="H336">
        <v>170</v>
      </c>
      <c r="I336">
        <v>14</v>
      </c>
      <c r="J336">
        <v>14</v>
      </c>
      <c r="K336">
        <v>18</v>
      </c>
      <c r="L336">
        <v>10</v>
      </c>
      <c r="M336">
        <v>4</v>
      </c>
      <c r="N336" t="s">
        <v>91</v>
      </c>
      <c r="O336" t="s">
        <v>89</v>
      </c>
      <c r="P336" t="s">
        <v>97</v>
      </c>
      <c r="Q336">
        <f t="shared" si="103"/>
        <v>2</v>
      </c>
      <c r="R336" t="str">
        <f t="shared" si="92"/>
        <v>7-2022</v>
      </c>
      <c r="S336" t="s">
        <v>104</v>
      </c>
      <c r="T336" t="str">
        <f t="shared" si="93"/>
        <v>Friday</v>
      </c>
      <c r="U336">
        <f t="shared" si="94"/>
        <v>1</v>
      </c>
      <c r="V336" s="24">
        <f>IFERROR(Table2[[#This Row],[Gray Min]]/Table2[[#This Row],[ClassLength]],"")</f>
        <v>0.23333333333333334</v>
      </c>
      <c r="W336" s="24">
        <f>IFERROR(Table2[[#This Row],[Blue Min]]/Table2[[#This Row],[ClassLength]],"")</f>
        <v>0.23333333333333334</v>
      </c>
      <c r="X336" s="24">
        <f>IFERROR(Table2[[#This Row],[Green Min]]/Table2[[#This Row],[ClassLength]],"")</f>
        <v>0.3</v>
      </c>
      <c r="Y336" s="24">
        <f>IFERROR(Table2[[#This Row],[Orange Min]]/Table2[[#This Row],[ClassLength]],"")</f>
        <v>0.16666666666666666</v>
      </c>
      <c r="Z336" s="24">
        <f>IFERROR(Table2[[#This Row],[Red Min]]/Table2[[#This Row],[ClassLength]],"")</f>
        <v>6.6666666666666666E-2</v>
      </c>
      <c r="AA336" s="25">
        <v>232.14</v>
      </c>
      <c r="AB336" s="25">
        <f t="shared" ref="AB336:AB399" si="105">AA336/B336</f>
        <v>12.896666666666667</v>
      </c>
      <c r="AC336" s="26">
        <f t="shared" si="95"/>
        <v>616.38888888888891</v>
      </c>
      <c r="AD336" s="26">
        <f t="shared" si="96"/>
        <v>13.444444444444445</v>
      </c>
      <c r="AE336">
        <f t="shared" si="97"/>
        <v>2022</v>
      </c>
      <c r="AG336">
        <v>12</v>
      </c>
      <c r="AH336" s="26">
        <f t="shared" si="98"/>
        <v>11.066666666666666</v>
      </c>
      <c r="AI336" t="str">
        <f t="shared" si="99"/>
        <v>AM</v>
      </c>
      <c r="AJ336" t="str">
        <f t="shared" si="100"/>
        <v>7-2022-4</v>
      </c>
      <c r="AK336">
        <f t="shared" si="101"/>
        <v>7</v>
      </c>
      <c r="AL336" s="26">
        <f>IFERROR(Table2[[#This Row],[Calories]]/Table2[[#This Row],[Splat]],"")</f>
        <v>47.428571428571431</v>
      </c>
      <c r="AM336">
        <f>COUNTIF(N$2:$N$938,N336)</f>
        <v>218</v>
      </c>
      <c r="AN336" t="str">
        <f>VLOOKUP(N336,'Helpful Tables'!A:D,4,FALSE)</f>
        <v>Washington, DC</v>
      </c>
      <c r="AO336" s="24">
        <f>COUNTIF(AN:AN,Table2[[#This Row],[State]])/COUNTA(AN:AN)</f>
        <v>0.54904051172707891</v>
      </c>
      <c r="AP336">
        <f>VLOOKUP(N336,'Helpful Tables'!A:B,2,FALSE)</f>
        <v>38.934710000000003</v>
      </c>
      <c r="AQ336">
        <f>VLOOKUP(N336,'Helpful Tables'!A:C,3,FALSE)</f>
        <v>-77.058222999999998</v>
      </c>
      <c r="AR336">
        <f>COUNTIF(P$2:$P$938,P336)</f>
        <v>14</v>
      </c>
      <c r="AS336" cm="1">
        <f t="array" ref="AS336">_xlfn.IFS(E336&lt;6,((E336/D336)*60)*0.5,AND(E336&gt;=6,E336&lt;9),((E336/D336)*60)*0.75,AND(E336&gt;=9,E336&lt;=11),((E336/D336)*60)*0.9,AND(E336=12),((E336/D336)*60)*1,AND(E336&gt;=13,E336&lt;=15),((E336/D336)*60)*1.2,AND(E336&gt;=16,E336&lt;=19),((E336/D336)*60)*1.5,E336&gt;=20,((E336/D336)*60)*1.8)</f>
        <v>16.8</v>
      </c>
      <c r="AT336" cm="1">
        <f t="array" ref="AT336">_xlfn.IFS(F336&lt;550,((F336/D336)*60)*0.5,AND(F336&gt;=550,F336&lt;575),((F336/D336)*60)*0.75,AND(F336&gt;=575,F336&lt;600),((F336/D336)*60)*0.9,AND(F336=600),((F336/D336)*60)*1,AND(F336&gt;=601,F336&lt;=625),((F336/D336)*60)*1.2,AND(F336&gt;=626,F336&lt;=650),((F336/D336)*60)*1.5,F336&gt;=651,((F336/D336)*60)*1.8)</f>
        <v>1195.2</v>
      </c>
      <c r="AU336">
        <f t="shared" si="89"/>
        <v>8.399999999999995</v>
      </c>
      <c r="AV336">
        <f t="shared" si="104"/>
        <v>486.48000000000008</v>
      </c>
      <c r="AW336">
        <f t="shared" si="90"/>
        <v>72</v>
      </c>
      <c r="AX336" t="str">
        <f t="shared" si="102"/>
        <v>Jul-2022</v>
      </c>
      <c r="AY336">
        <f>ROUNDUP(Table2[[#This Row],[Month]]/3,0)</f>
        <v>3</v>
      </c>
    </row>
    <row r="337" spans="1:51" x14ac:dyDescent="0.2">
      <c r="A337">
        <v>336</v>
      </c>
      <c r="B337">
        <f t="shared" si="91"/>
        <v>18</v>
      </c>
      <c r="C337" s="22">
        <v>44765</v>
      </c>
      <c r="D337">
        <f>SUM(Table2[[#This Row],[Gray Min]:[Red Min]])</f>
        <v>58</v>
      </c>
      <c r="E337">
        <v>16</v>
      </c>
      <c r="F337">
        <v>658</v>
      </c>
      <c r="G337">
        <v>130</v>
      </c>
      <c r="H337">
        <v>168</v>
      </c>
      <c r="I337">
        <v>8</v>
      </c>
      <c r="J337">
        <v>19</v>
      </c>
      <c r="K337">
        <v>15</v>
      </c>
      <c r="L337">
        <v>13</v>
      </c>
      <c r="M337">
        <v>3</v>
      </c>
      <c r="N337" t="s">
        <v>101</v>
      </c>
      <c r="O337" t="s">
        <v>45</v>
      </c>
      <c r="P337" t="s">
        <v>109</v>
      </c>
      <c r="Q337">
        <f t="shared" si="103"/>
        <v>1</v>
      </c>
      <c r="R337" t="str">
        <f t="shared" si="92"/>
        <v>7-2022</v>
      </c>
      <c r="S337" t="s">
        <v>104</v>
      </c>
      <c r="T337" t="str">
        <f t="shared" si="93"/>
        <v>Saturday</v>
      </c>
      <c r="U337">
        <f t="shared" si="94"/>
        <v>1</v>
      </c>
      <c r="V337" s="24">
        <f>IFERROR(Table2[[#This Row],[Gray Min]]/Table2[[#This Row],[ClassLength]],"")</f>
        <v>0.13793103448275862</v>
      </c>
      <c r="W337" s="24">
        <f>IFERROR(Table2[[#This Row],[Blue Min]]/Table2[[#This Row],[ClassLength]],"")</f>
        <v>0.32758620689655171</v>
      </c>
      <c r="X337" s="24">
        <f>IFERROR(Table2[[#This Row],[Green Min]]/Table2[[#This Row],[ClassLength]],"")</f>
        <v>0.25862068965517243</v>
      </c>
      <c r="Y337" s="24">
        <f>IFERROR(Table2[[#This Row],[Orange Min]]/Table2[[#This Row],[ClassLength]],"")</f>
        <v>0.22413793103448276</v>
      </c>
      <c r="Z337" s="24">
        <f>IFERROR(Table2[[#This Row],[Red Min]]/Table2[[#This Row],[ClassLength]],"")</f>
        <v>5.1724137931034482E-2</v>
      </c>
      <c r="AA337" s="25">
        <v>232.14</v>
      </c>
      <c r="AB337" s="25">
        <f t="shared" si="105"/>
        <v>12.896666666666667</v>
      </c>
      <c r="AC337" s="26">
        <f t="shared" si="95"/>
        <v>616.38888888888891</v>
      </c>
      <c r="AD337" s="26">
        <f t="shared" si="96"/>
        <v>13.444444444444445</v>
      </c>
      <c r="AE337">
        <f t="shared" si="97"/>
        <v>2022</v>
      </c>
      <c r="AG337">
        <v>12</v>
      </c>
      <c r="AH337" s="26">
        <f t="shared" si="98"/>
        <v>11.344827586206897</v>
      </c>
      <c r="AI337" t="str">
        <f t="shared" si="99"/>
        <v>AM</v>
      </c>
      <c r="AJ337" t="str">
        <f t="shared" si="100"/>
        <v>7-2022-4</v>
      </c>
      <c r="AK337">
        <f t="shared" si="101"/>
        <v>7</v>
      </c>
      <c r="AL337" s="26">
        <f>IFERROR(Table2[[#This Row],[Calories]]/Table2[[#This Row],[Splat]],"")</f>
        <v>41.125</v>
      </c>
      <c r="AM337">
        <f>COUNTIF(N$2:$N$938,N337)</f>
        <v>191</v>
      </c>
      <c r="AN337" t="str">
        <f>VLOOKUP(N337,'Helpful Tables'!A:D,4,FALSE)</f>
        <v>Washington, DC</v>
      </c>
      <c r="AO337" s="24">
        <f>COUNTIF(AN:AN,Table2[[#This Row],[State]])/COUNTA(AN:AN)</f>
        <v>0.54904051172707891</v>
      </c>
      <c r="AP337">
        <f>VLOOKUP(N337,'Helpful Tables'!A:B,2,FALSE)</f>
        <v>38.949649000000001</v>
      </c>
      <c r="AQ337">
        <f>VLOOKUP(N337,'Helpful Tables'!A:C,3,FALSE)</f>
        <v>-77.080878999999996</v>
      </c>
      <c r="AR337">
        <f>COUNTIF(P$2:$P$938,P337)</f>
        <v>66</v>
      </c>
      <c r="AS337" cm="1">
        <f t="array" ref="AS337">_xlfn.IFS(E337&lt;6,((E337/D337)*60)*0.5,AND(E337&gt;=6,E337&lt;9),((E337/D337)*60)*0.75,AND(E337&gt;=9,E337&lt;=11),((E337/D337)*60)*0.9,AND(E337=12),((E337/D337)*60)*1,AND(E337&gt;=13,E337&lt;=15),((E337/D337)*60)*1.2,AND(E337&gt;=16,E337&lt;=19),((E337/D337)*60)*1.5,E337&gt;=20,((E337/D337)*60)*1.8)</f>
        <v>24.827586206896555</v>
      </c>
      <c r="AT337" cm="1">
        <f t="array" ref="AT337">_xlfn.IFS(F337&lt;550,((F337/D337)*60)*0.5,AND(F337&gt;=550,F337&lt;575),((F337/D337)*60)*0.75,AND(F337&gt;=575,F337&lt;600),((F337/D337)*60)*0.9,AND(F337=600),((F337/D337)*60)*1,AND(F337&gt;=601,F337&lt;=625),((F337/D337)*60)*1.2,AND(F337&gt;=626,F337&lt;=650),((F337/D337)*60)*1.5,F337&gt;=651,((F337/D337)*60)*1.8)</f>
        <v>1225.2413793103449</v>
      </c>
      <c r="AU337">
        <f t="shared" si="89"/>
        <v>8.9000000000000021</v>
      </c>
      <c r="AV337">
        <f t="shared" si="104"/>
        <v>501.80758620689653</v>
      </c>
      <c r="AW337">
        <f t="shared" si="90"/>
        <v>80.100000000000009</v>
      </c>
      <c r="AX337" t="str">
        <f t="shared" si="102"/>
        <v>Jul-2022</v>
      </c>
      <c r="AY337">
        <f>ROUNDUP(Table2[[#This Row],[Month]]/3,0)</f>
        <v>3</v>
      </c>
    </row>
    <row r="338" spans="1:51" x14ac:dyDescent="0.2">
      <c r="A338">
        <v>337</v>
      </c>
      <c r="B338">
        <f t="shared" si="91"/>
        <v>18</v>
      </c>
      <c r="C338" s="22">
        <v>44767</v>
      </c>
      <c r="D338">
        <f>SUM(Table2[[#This Row],[Gray Min]:[Red Min]])</f>
        <v>57</v>
      </c>
      <c r="E338">
        <v>14</v>
      </c>
      <c r="F338">
        <v>616</v>
      </c>
      <c r="G338">
        <v>127</v>
      </c>
      <c r="H338">
        <v>165</v>
      </c>
      <c r="I338">
        <v>12</v>
      </c>
      <c r="J338">
        <v>15</v>
      </c>
      <c r="K338">
        <v>16</v>
      </c>
      <c r="L338">
        <v>13</v>
      </c>
      <c r="M338">
        <v>1</v>
      </c>
      <c r="N338" t="s">
        <v>101</v>
      </c>
      <c r="O338" t="s">
        <v>39</v>
      </c>
      <c r="P338" t="s">
        <v>109</v>
      </c>
      <c r="Q338">
        <f t="shared" si="103"/>
        <v>2</v>
      </c>
      <c r="R338" t="str">
        <f t="shared" si="92"/>
        <v>7-2022</v>
      </c>
      <c r="S338" t="s">
        <v>145</v>
      </c>
      <c r="T338" t="str">
        <f t="shared" si="93"/>
        <v>Monday</v>
      </c>
      <c r="U338">
        <f t="shared" si="94"/>
        <v>1</v>
      </c>
      <c r="V338" s="24">
        <f>IFERROR(Table2[[#This Row],[Gray Min]]/Table2[[#This Row],[ClassLength]],"")</f>
        <v>0.21052631578947367</v>
      </c>
      <c r="W338" s="24">
        <f>IFERROR(Table2[[#This Row],[Blue Min]]/Table2[[#This Row],[ClassLength]],"")</f>
        <v>0.26315789473684209</v>
      </c>
      <c r="X338" s="24">
        <f>IFERROR(Table2[[#This Row],[Green Min]]/Table2[[#This Row],[ClassLength]],"")</f>
        <v>0.2807017543859649</v>
      </c>
      <c r="Y338" s="24">
        <f>IFERROR(Table2[[#This Row],[Orange Min]]/Table2[[#This Row],[ClassLength]],"")</f>
        <v>0.22807017543859648</v>
      </c>
      <c r="Z338" s="24">
        <f>IFERROR(Table2[[#This Row],[Red Min]]/Table2[[#This Row],[ClassLength]],"")</f>
        <v>1.7543859649122806E-2</v>
      </c>
      <c r="AA338" s="25">
        <v>232.14</v>
      </c>
      <c r="AB338" s="25">
        <f t="shared" si="105"/>
        <v>12.896666666666667</v>
      </c>
      <c r="AC338" s="26">
        <f t="shared" si="95"/>
        <v>616.38888888888891</v>
      </c>
      <c r="AD338" s="26">
        <f t="shared" si="96"/>
        <v>13.444444444444445</v>
      </c>
      <c r="AE338">
        <f t="shared" si="97"/>
        <v>2022</v>
      </c>
      <c r="AG338">
        <v>12</v>
      </c>
      <c r="AH338" s="26">
        <f t="shared" si="98"/>
        <v>10.807017543859649</v>
      </c>
      <c r="AI338" t="str">
        <f t="shared" si="99"/>
        <v>PM</v>
      </c>
      <c r="AJ338" t="str">
        <f t="shared" si="100"/>
        <v>7-2022-5</v>
      </c>
      <c r="AK338">
        <f t="shared" si="101"/>
        <v>7</v>
      </c>
      <c r="AL338" s="26">
        <f>IFERROR(Table2[[#This Row],[Calories]]/Table2[[#This Row],[Splat]],"")</f>
        <v>44</v>
      </c>
      <c r="AM338">
        <f>COUNTIF(N$2:$N$938,N338)</f>
        <v>191</v>
      </c>
      <c r="AN338" t="str">
        <f>VLOOKUP(N338,'Helpful Tables'!A:D,4,FALSE)</f>
        <v>Washington, DC</v>
      </c>
      <c r="AO338" s="24">
        <f>COUNTIF(AN:AN,Table2[[#This Row],[State]])/COUNTA(AN:AN)</f>
        <v>0.54904051172707891</v>
      </c>
      <c r="AP338">
        <f>VLOOKUP(N338,'Helpful Tables'!A:B,2,FALSE)</f>
        <v>38.949649000000001</v>
      </c>
      <c r="AQ338">
        <f>VLOOKUP(N338,'Helpful Tables'!A:C,3,FALSE)</f>
        <v>-77.080878999999996</v>
      </c>
      <c r="AR338">
        <f>COUNTIF(P$2:$P$938,P338)</f>
        <v>66</v>
      </c>
      <c r="AS338" cm="1">
        <f t="array" ref="AS338">_xlfn.IFS(E338&lt;6,((E338/D338)*60)*0.5,AND(E338&gt;=6,E338&lt;9),((E338/D338)*60)*0.75,AND(E338&gt;=9,E338&lt;=11),((E338/D338)*60)*0.9,AND(E338=12),((E338/D338)*60)*1,AND(E338&gt;=13,E338&lt;=15),((E338/D338)*60)*1.2,AND(E338&gt;=16,E338&lt;=19),((E338/D338)*60)*1.5,E338&gt;=20,((E338/D338)*60)*1.8)</f>
        <v>17.684210526315788</v>
      </c>
      <c r="AT338" cm="1">
        <f t="array" ref="AT338">_xlfn.IFS(F338&lt;550,((F338/D338)*60)*0.5,AND(F338&gt;=550,F338&lt;575),((F338/D338)*60)*0.75,AND(F338&gt;=575,F338&lt;600),((F338/D338)*60)*0.9,AND(F338=600),((F338/D338)*60)*1,AND(F338&gt;=601,F338&lt;=625),((F338/D338)*60)*1.2,AND(F338&gt;=626,F338&lt;=650),((F338/D338)*60)*1.5,F338&gt;=651,((F338/D338)*60)*1.8)</f>
        <v>778.10526315789468</v>
      </c>
      <c r="AU338">
        <f t="shared" si="89"/>
        <v>6.7000000000000028</v>
      </c>
      <c r="AV338">
        <f t="shared" si="104"/>
        <v>319.65578947368419</v>
      </c>
      <c r="AW338">
        <f t="shared" si="90"/>
        <v>36.9</v>
      </c>
      <c r="AX338" t="str">
        <f t="shared" si="102"/>
        <v>Jul-2022</v>
      </c>
      <c r="AY338">
        <f>ROUNDUP(Table2[[#This Row],[Month]]/3,0)</f>
        <v>3</v>
      </c>
    </row>
    <row r="339" spans="1:51" x14ac:dyDescent="0.2">
      <c r="A339">
        <v>338</v>
      </c>
      <c r="B339">
        <f t="shared" si="91"/>
        <v>18</v>
      </c>
      <c r="C339" s="22">
        <v>44768</v>
      </c>
      <c r="D339">
        <f>SUM(Table2[[#This Row],[Gray Min]:[Red Min]])</f>
        <v>54</v>
      </c>
      <c r="E339">
        <v>14</v>
      </c>
      <c r="F339">
        <v>611</v>
      </c>
      <c r="G339">
        <v>129</v>
      </c>
      <c r="H339">
        <v>166</v>
      </c>
      <c r="I339">
        <v>8</v>
      </c>
      <c r="J339">
        <v>19</v>
      </c>
      <c r="K339">
        <v>13</v>
      </c>
      <c r="L339">
        <v>12</v>
      </c>
      <c r="M339">
        <v>2</v>
      </c>
      <c r="N339" t="s">
        <v>91</v>
      </c>
      <c r="O339" t="s">
        <v>57</v>
      </c>
      <c r="P339" t="s">
        <v>134</v>
      </c>
      <c r="Q339">
        <f t="shared" si="103"/>
        <v>1</v>
      </c>
      <c r="R339" t="str">
        <f t="shared" si="92"/>
        <v>7-2022</v>
      </c>
      <c r="S339" t="s">
        <v>104</v>
      </c>
      <c r="T339" t="str">
        <f t="shared" si="93"/>
        <v>Tuesday</v>
      </c>
      <c r="U339">
        <f t="shared" si="94"/>
        <v>1</v>
      </c>
      <c r="V339" s="24">
        <f>IFERROR(Table2[[#This Row],[Gray Min]]/Table2[[#This Row],[ClassLength]],"")</f>
        <v>0.14814814814814814</v>
      </c>
      <c r="W339" s="24">
        <f>IFERROR(Table2[[#This Row],[Blue Min]]/Table2[[#This Row],[ClassLength]],"")</f>
        <v>0.35185185185185186</v>
      </c>
      <c r="X339" s="24">
        <f>IFERROR(Table2[[#This Row],[Green Min]]/Table2[[#This Row],[ClassLength]],"")</f>
        <v>0.24074074074074073</v>
      </c>
      <c r="Y339" s="24">
        <f>IFERROR(Table2[[#This Row],[Orange Min]]/Table2[[#This Row],[ClassLength]],"")</f>
        <v>0.22222222222222221</v>
      </c>
      <c r="Z339" s="24">
        <f>IFERROR(Table2[[#This Row],[Red Min]]/Table2[[#This Row],[ClassLength]],"")</f>
        <v>3.7037037037037035E-2</v>
      </c>
      <c r="AA339" s="25">
        <v>232.14</v>
      </c>
      <c r="AB339" s="25">
        <f t="shared" si="105"/>
        <v>12.896666666666667</v>
      </c>
      <c r="AC339" s="26">
        <f t="shared" si="95"/>
        <v>616.38888888888891</v>
      </c>
      <c r="AD339" s="26">
        <f t="shared" si="96"/>
        <v>13.444444444444445</v>
      </c>
      <c r="AE339">
        <f t="shared" si="97"/>
        <v>2022</v>
      </c>
      <c r="AG339">
        <v>12</v>
      </c>
      <c r="AH339" s="26">
        <f t="shared" si="98"/>
        <v>11.314814814814815</v>
      </c>
      <c r="AI339" t="str">
        <f t="shared" si="99"/>
        <v>PM</v>
      </c>
      <c r="AJ339" t="str">
        <f t="shared" si="100"/>
        <v>7-2022-5</v>
      </c>
      <c r="AK339">
        <f t="shared" si="101"/>
        <v>7</v>
      </c>
      <c r="AL339" s="26">
        <f>IFERROR(Table2[[#This Row],[Calories]]/Table2[[#This Row],[Splat]],"")</f>
        <v>43.642857142857146</v>
      </c>
      <c r="AM339">
        <f>COUNTIF(N$2:$N$938,N339)</f>
        <v>218</v>
      </c>
      <c r="AN339" t="str">
        <f>VLOOKUP(N339,'Helpful Tables'!A:D,4,FALSE)</f>
        <v>Washington, DC</v>
      </c>
      <c r="AO339" s="24">
        <f>COUNTIF(AN:AN,Table2[[#This Row],[State]])/COUNTA(AN:AN)</f>
        <v>0.54904051172707891</v>
      </c>
      <c r="AP339">
        <f>VLOOKUP(N339,'Helpful Tables'!A:B,2,FALSE)</f>
        <v>38.934710000000003</v>
      </c>
      <c r="AQ339">
        <f>VLOOKUP(N339,'Helpful Tables'!A:C,3,FALSE)</f>
        <v>-77.058222999999998</v>
      </c>
      <c r="AR339">
        <f>COUNTIF(P$2:$P$938,P339)</f>
        <v>9</v>
      </c>
      <c r="AS339" cm="1">
        <f t="array" ref="AS339">_xlfn.IFS(E339&lt;6,((E339/D339)*60)*0.5,AND(E339&gt;=6,E339&lt;9),((E339/D339)*60)*0.75,AND(E339&gt;=9,E339&lt;=11),((E339/D339)*60)*0.9,AND(E339=12),((E339/D339)*60)*1,AND(E339&gt;=13,E339&lt;=15),((E339/D339)*60)*1.2,AND(E339&gt;=16,E339&lt;=19),((E339/D339)*60)*1.5,E339&gt;=20,((E339/D339)*60)*1.8)</f>
        <v>18.666666666666664</v>
      </c>
      <c r="AT339" cm="1">
        <f t="array" ref="AT339">_xlfn.IFS(F339&lt;550,((F339/D339)*60)*0.5,AND(F339&gt;=550,F339&lt;575),((F339/D339)*60)*0.75,AND(F339&gt;=575,F339&lt;600),((F339/D339)*60)*0.9,AND(F339=600),((F339/D339)*60)*1,AND(F339&gt;=601,F339&lt;=625),((F339/D339)*60)*1.2,AND(F339&gt;=626,F339&lt;=650),((F339/D339)*60)*1.5,F339&gt;=651,((F339/D339)*60)*1.8)</f>
        <v>814.66666666666663</v>
      </c>
      <c r="AU339">
        <f t="shared" si="89"/>
        <v>3.7000000000000011</v>
      </c>
      <c r="AV339">
        <f t="shared" si="104"/>
        <v>334.07333333333332</v>
      </c>
      <c r="AW339">
        <f t="shared" si="90"/>
        <v>41.699999999999996</v>
      </c>
      <c r="AX339" t="str">
        <f t="shared" si="102"/>
        <v>Jul-2022</v>
      </c>
      <c r="AY339">
        <f>ROUNDUP(Table2[[#This Row],[Month]]/3,0)</f>
        <v>3</v>
      </c>
    </row>
    <row r="340" spans="1:51" x14ac:dyDescent="0.2">
      <c r="A340">
        <v>339</v>
      </c>
      <c r="B340">
        <f t="shared" si="91"/>
        <v>18</v>
      </c>
      <c r="C340" s="22">
        <v>44770</v>
      </c>
      <c r="D340">
        <f>SUM(Table2[[#This Row],[Gray Min]:[Red Min]])</f>
        <v>56</v>
      </c>
      <c r="E340">
        <v>14</v>
      </c>
      <c r="F340">
        <v>631</v>
      </c>
      <c r="G340">
        <v>130</v>
      </c>
      <c r="H340">
        <v>163</v>
      </c>
      <c r="I340">
        <v>8</v>
      </c>
      <c r="J340">
        <v>15</v>
      </c>
      <c r="K340">
        <v>19</v>
      </c>
      <c r="L340">
        <v>14</v>
      </c>
      <c r="M340">
        <v>0</v>
      </c>
      <c r="N340" t="s">
        <v>91</v>
      </c>
      <c r="O340" t="s">
        <v>57</v>
      </c>
      <c r="P340" t="s">
        <v>98</v>
      </c>
      <c r="Q340">
        <f t="shared" si="103"/>
        <v>2</v>
      </c>
      <c r="R340" t="str">
        <f t="shared" si="92"/>
        <v>7-2022</v>
      </c>
      <c r="S340" t="s">
        <v>117</v>
      </c>
      <c r="T340" t="str">
        <f t="shared" si="93"/>
        <v>Thursday</v>
      </c>
      <c r="U340">
        <f t="shared" si="94"/>
        <v>1</v>
      </c>
      <c r="V340" s="24">
        <f>IFERROR(Table2[[#This Row],[Gray Min]]/Table2[[#This Row],[ClassLength]],"")</f>
        <v>0.14285714285714285</v>
      </c>
      <c r="W340" s="24">
        <f>IFERROR(Table2[[#This Row],[Blue Min]]/Table2[[#This Row],[ClassLength]],"")</f>
        <v>0.26785714285714285</v>
      </c>
      <c r="X340" s="24">
        <f>IFERROR(Table2[[#This Row],[Green Min]]/Table2[[#This Row],[ClassLength]],"")</f>
        <v>0.3392857142857143</v>
      </c>
      <c r="Y340" s="24">
        <f>IFERROR(Table2[[#This Row],[Orange Min]]/Table2[[#This Row],[ClassLength]],"")</f>
        <v>0.25</v>
      </c>
      <c r="Z340" s="24">
        <f>IFERROR(Table2[[#This Row],[Red Min]]/Table2[[#This Row],[ClassLength]],"")</f>
        <v>0</v>
      </c>
      <c r="AA340" s="25">
        <v>232.14</v>
      </c>
      <c r="AB340" s="25">
        <f t="shared" si="105"/>
        <v>12.896666666666667</v>
      </c>
      <c r="AC340" s="26">
        <f t="shared" si="95"/>
        <v>616.38888888888891</v>
      </c>
      <c r="AD340" s="26">
        <f t="shared" si="96"/>
        <v>13.444444444444445</v>
      </c>
      <c r="AE340">
        <f t="shared" si="97"/>
        <v>2022</v>
      </c>
      <c r="AG340">
        <v>12</v>
      </c>
      <c r="AH340" s="26">
        <f t="shared" si="98"/>
        <v>11.267857142857142</v>
      </c>
      <c r="AI340" t="str">
        <f t="shared" si="99"/>
        <v>PM</v>
      </c>
      <c r="AJ340" t="str">
        <f t="shared" si="100"/>
        <v>7-2022-5</v>
      </c>
      <c r="AK340">
        <f t="shared" si="101"/>
        <v>7</v>
      </c>
      <c r="AL340" s="26">
        <f>IFERROR(Table2[[#This Row],[Calories]]/Table2[[#This Row],[Splat]],"")</f>
        <v>45.071428571428569</v>
      </c>
      <c r="AM340">
        <f>COUNTIF(N$2:$N$938,N340)</f>
        <v>218</v>
      </c>
      <c r="AN340" t="str">
        <f>VLOOKUP(N340,'Helpful Tables'!A:D,4,FALSE)</f>
        <v>Washington, DC</v>
      </c>
      <c r="AO340" s="24">
        <f>COUNTIF(AN:AN,Table2[[#This Row],[State]])/COUNTA(AN:AN)</f>
        <v>0.54904051172707891</v>
      </c>
      <c r="AP340">
        <f>VLOOKUP(N340,'Helpful Tables'!A:B,2,FALSE)</f>
        <v>38.934710000000003</v>
      </c>
      <c r="AQ340">
        <f>VLOOKUP(N340,'Helpful Tables'!A:C,3,FALSE)</f>
        <v>-77.058222999999998</v>
      </c>
      <c r="AR340">
        <f>COUNTIF(P$2:$P$938,P340)</f>
        <v>28</v>
      </c>
      <c r="AS340" cm="1">
        <f t="array" ref="AS340">_xlfn.IFS(E340&lt;6,((E340/D340)*60)*0.5,AND(E340&gt;=6,E340&lt;9),((E340/D340)*60)*0.75,AND(E340&gt;=9,E340&lt;=11),((E340/D340)*60)*0.9,AND(E340=12),((E340/D340)*60)*1,AND(E340&gt;=13,E340&lt;=15),((E340/D340)*60)*1.2,AND(E340&gt;=16,E340&lt;=19),((E340/D340)*60)*1.5,E340&gt;=20,((E340/D340)*60)*1.8)</f>
        <v>18</v>
      </c>
      <c r="AT340" cm="1">
        <f t="array" ref="AT340">_xlfn.IFS(F340&lt;550,((F340/D340)*60)*0.5,AND(F340&gt;=550,F340&lt;575),((F340/D340)*60)*0.75,AND(F340&gt;=575,F340&lt;600),((F340/D340)*60)*0.9,AND(F340=600),((F340/D340)*60)*1,AND(F340&gt;=601,F340&lt;=625),((F340/D340)*60)*1.2,AND(F340&gt;=626,F340&lt;=650),((F340/D340)*60)*1.5,F340&gt;=651,((F340/D340)*60)*1.8)</f>
        <v>1014.1071428571429</v>
      </c>
      <c r="AU340">
        <f t="shared" si="89"/>
        <v>14.899999999999999</v>
      </c>
      <c r="AV340">
        <f t="shared" si="104"/>
        <v>415.82285714285717</v>
      </c>
      <c r="AW340">
        <f t="shared" si="90"/>
        <v>60.199999999999996</v>
      </c>
      <c r="AX340" t="str">
        <f t="shared" si="102"/>
        <v>Jul-2022</v>
      </c>
      <c r="AY340">
        <f>ROUNDUP(Table2[[#This Row],[Month]]/3,0)</f>
        <v>3</v>
      </c>
    </row>
    <row r="341" spans="1:51" x14ac:dyDescent="0.2">
      <c r="A341">
        <v>340</v>
      </c>
      <c r="B341">
        <f t="shared" si="91"/>
        <v>18</v>
      </c>
      <c r="C341" s="22">
        <v>44773</v>
      </c>
      <c r="D341">
        <f>SUM(Table2[[#This Row],[Gray Min]:[Red Min]])</f>
        <v>61</v>
      </c>
      <c r="E341">
        <v>14</v>
      </c>
      <c r="F341">
        <v>653</v>
      </c>
      <c r="G341">
        <v>125</v>
      </c>
      <c r="H341">
        <v>167</v>
      </c>
      <c r="I341">
        <v>17</v>
      </c>
      <c r="J341">
        <v>15</v>
      </c>
      <c r="K341">
        <v>15</v>
      </c>
      <c r="L341">
        <v>11</v>
      </c>
      <c r="M341">
        <v>3</v>
      </c>
      <c r="N341" t="s">
        <v>101</v>
      </c>
      <c r="O341" t="s">
        <v>45</v>
      </c>
      <c r="P341" t="s">
        <v>102</v>
      </c>
      <c r="Q341">
        <f t="shared" si="103"/>
        <v>3</v>
      </c>
      <c r="R341" t="str">
        <f t="shared" si="92"/>
        <v>7-2022</v>
      </c>
      <c r="S341" t="s">
        <v>104</v>
      </c>
      <c r="T341" t="str">
        <f t="shared" si="93"/>
        <v>Sunday</v>
      </c>
      <c r="U341">
        <f t="shared" si="94"/>
        <v>1</v>
      </c>
      <c r="V341" s="24">
        <f>IFERROR(Table2[[#This Row],[Gray Min]]/Table2[[#This Row],[ClassLength]],"")</f>
        <v>0.27868852459016391</v>
      </c>
      <c r="W341" s="24">
        <f>IFERROR(Table2[[#This Row],[Blue Min]]/Table2[[#This Row],[ClassLength]],"")</f>
        <v>0.24590163934426229</v>
      </c>
      <c r="X341" s="24">
        <f>IFERROR(Table2[[#This Row],[Green Min]]/Table2[[#This Row],[ClassLength]],"")</f>
        <v>0.24590163934426229</v>
      </c>
      <c r="Y341" s="24">
        <f>IFERROR(Table2[[#This Row],[Orange Min]]/Table2[[#This Row],[ClassLength]],"")</f>
        <v>0.18032786885245902</v>
      </c>
      <c r="Z341" s="24">
        <f>IFERROR(Table2[[#This Row],[Red Min]]/Table2[[#This Row],[ClassLength]],"")</f>
        <v>4.9180327868852458E-2</v>
      </c>
      <c r="AA341" s="25">
        <v>232.14</v>
      </c>
      <c r="AB341" s="25">
        <f t="shared" si="105"/>
        <v>12.896666666666667</v>
      </c>
      <c r="AC341" s="26">
        <f t="shared" si="95"/>
        <v>616.38888888888891</v>
      </c>
      <c r="AD341" s="26">
        <f t="shared" si="96"/>
        <v>13.444444444444445</v>
      </c>
      <c r="AE341">
        <f t="shared" si="97"/>
        <v>2022</v>
      </c>
      <c r="AG341">
        <v>12</v>
      </c>
      <c r="AH341" s="26">
        <f t="shared" si="98"/>
        <v>10.704918032786885</v>
      </c>
      <c r="AI341" t="str">
        <f t="shared" si="99"/>
        <v>AM</v>
      </c>
      <c r="AJ341" t="str">
        <f t="shared" si="100"/>
        <v>7-2022-6</v>
      </c>
      <c r="AK341">
        <f t="shared" si="101"/>
        <v>7</v>
      </c>
      <c r="AL341" s="26">
        <f>IFERROR(Table2[[#This Row],[Calories]]/Table2[[#This Row],[Splat]],"")</f>
        <v>46.642857142857146</v>
      </c>
      <c r="AM341">
        <f>COUNTIF(N$2:$N$938,N341)</f>
        <v>191</v>
      </c>
      <c r="AN341" t="str">
        <f>VLOOKUP(N341,'Helpful Tables'!A:D,4,FALSE)</f>
        <v>Washington, DC</v>
      </c>
      <c r="AO341" s="24">
        <f>COUNTIF(AN:AN,Table2[[#This Row],[State]])/COUNTA(AN:AN)</f>
        <v>0.54904051172707891</v>
      </c>
      <c r="AP341">
        <f>VLOOKUP(N341,'Helpful Tables'!A:B,2,FALSE)</f>
        <v>38.949649000000001</v>
      </c>
      <c r="AQ341">
        <f>VLOOKUP(N341,'Helpful Tables'!A:C,3,FALSE)</f>
        <v>-77.080878999999996</v>
      </c>
      <c r="AR341">
        <f>COUNTIF(P$2:$P$938,P341)</f>
        <v>20</v>
      </c>
      <c r="AS341" cm="1">
        <f t="array" ref="AS341">_xlfn.IFS(E341&lt;6,((E341/D341)*60)*0.5,AND(E341&gt;=6,E341&lt;9),((E341/D341)*60)*0.75,AND(E341&gt;=9,E341&lt;=11),((E341/D341)*60)*0.9,AND(E341=12),((E341/D341)*60)*1,AND(E341&gt;=13,E341&lt;=15),((E341/D341)*60)*1.2,AND(E341&gt;=16,E341&lt;=19),((E341/D341)*60)*1.5,E341&gt;=20,((E341/D341)*60)*1.8)</f>
        <v>16.524590163934427</v>
      </c>
      <c r="AT341" cm="1">
        <f t="array" ref="AT341">_xlfn.IFS(F341&lt;550,((F341/D341)*60)*0.5,AND(F341&gt;=550,F341&lt;575),((F341/D341)*60)*0.75,AND(F341&gt;=575,F341&lt;600),((F341/D341)*60)*0.9,AND(F341=600),((F341/D341)*60)*1,AND(F341&gt;=601,F341&lt;=625),((F341/D341)*60)*1.2,AND(F341&gt;=626,F341&lt;=650),((F341/D341)*60)*1.5,F341&gt;=651,((F341/D341)*60)*1.8)</f>
        <v>1156.1311475409836</v>
      </c>
      <c r="AU341">
        <f t="shared" si="89"/>
        <v>-9.9999999999997868E-2</v>
      </c>
      <c r="AV341">
        <f t="shared" si="104"/>
        <v>469.04229508196727</v>
      </c>
      <c r="AW341">
        <f t="shared" si="90"/>
        <v>67.300000000000011</v>
      </c>
      <c r="AX341" t="str">
        <f t="shared" si="102"/>
        <v>Jul-2022</v>
      </c>
      <c r="AY341">
        <f>ROUNDUP(Table2[[#This Row],[Month]]/3,0)</f>
        <v>3</v>
      </c>
    </row>
    <row r="342" spans="1:51" x14ac:dyDescent="0.2">
      <c r="A342">
        <v>341</v>
      </c>
      <c r="B342">
        <f t="shared" si="91"/>
        <v>17</v>
      </c>
      <c r="C342" s="22">
        <v>44774</v>
      </c>
      <c r="D342">
        <f>SUM(Table2[[#This Row],[Gray Min]:[Red Min]])</f>
        <v>54</v>
      </c>
      <c r="E342">
        <v>14</v>
      </c>
      <c r="F342">
        <v>609</v>
      </c>
      <c r="G342">
        <v>128</v>
      </c>
      <c r="H342">
        <v>173</v>
      </c>
      <c r="I342">
        <v>8</v>
      </c>
      <c r="J342">
        <v>20</v>
      </c>
      <c r="K342">
        <v>12</v>
      </c>
      <c r="L342">
        <v>11</v>
      </c>
      <c r="M342">
        <v>3</v>
      </c>
      <c r="N342" t="s">
        <v>101</v>
      </c>
      <c r="O342" t="s">
        <v>39</v>
      </c>
      <c r="P342" t="s">
        <v>146</v>
      </c>
      <c r="Q342">
        <f t="shared" si="103"/>
        <v>1</v>
      </c>
      <c r="R342" t="str">
        <f t="shared" si="92"/>
        <v>8-2022</v>
      </c>
      <c r="S342" t="s">
        <v>104</v>
      </c>
      <c r="T342" t="str">
        <f t="shared" si="93"/>
        <v>Monday</v>
      </c>
      <c r="U342">
        <f t="shared" si="94"/>
        <v>1</v>
      </c>
      <c r="V342" s="24">
        <f>IFERROR(Table2[[#This Row],[Gray Min]]/Table2[[#This Row],[ClassLength]],"")</f>
        <v>0.14814814814814814</v>
      </c>
      <c r="W342" s="24">
        <f>IFERROR(Table2[[#This Row],[Blue Min]]/Table2[[#This Row],[ClassLength]],"")</f>
        <v>0.37037037037037035</v>
      </c>
      <c r="X342" s="24">
        <f>IFERROR(Table2[[#This Row],[Green Min]]/Table2[[#This Row],[ClassLength]],"")</f>
        <v>0.22222222222222221</v>
      </c>
      <c r="Y342" s="24">
        <f>IFERROR(Table2[[#This Row],[Orange Min]]/Table2[[#This Row],[ClassLength]],"")</f>
        <v>0.20370370370370369</v>
      </c>
      <c r="Z342" s="24">
        <f>IFERROR(Table2[[#This Row],[Red Min]]/Table2[[#This Row],[ClassLength]],"")</f>
        <v>5.5555555555555552E-2</v>
      </c>
      <c r="AA342" s="25">
        <v>232.14</v>
      </c>
      <c r="AB342" s="25">
        <f t="shared" si="105"/>
        <v>13.655294117647058</v>
      </c>
      <c r="AC342" s="26">
        <f t="shared" si="95"/>
        <v>611.64705882352939</v>
      </c>
      <c r="AD342" s="26">
        <f t="shared" si="96"/>
        <v>14.941176470588236</v>
      </c>
      <c r="AE342">
        <f t="shared" si="97"/>
        <v>2022</v>
      </c>
      <c r="AG342">
        <v>12</v>
      </c>
      <c r="AH342" s="26">
        <f t="shared" si="98"/>
        <v>11.277777777777779</v>
      </c>
      <c r="AI342" t="str">
        <f t="shared" si="99"/>
        <v>PM</v>
      </c>
      <c r="AJ342" t="str">
        <f t="shared" si="100"/>
        <v>8-2022-1</v>
      </c>
      <c r="AK342">
        <f t="shared" si="101"/>
        <v>8</v>
      </c>
      <c r="AL342" s="26">
        <f>IFERROR(Table2[[#This Row],[Calories]]/Table2[[#This Row],[Splat]],"")</f>
        <v>43.5</v>
      </c>
      <c r="AM342">
        <f>COUNTIF(N$2:$N$938,N342)</f>
        <v>191</v>
      </c>
      <c r="AN342" t="str">
        <f>VLOOKUP(N342,'Helpful Tables'!A:D,4,FALSE)</f>
        <v>Washington, DC</v>
      </c>
      <c r="AO342" s="24">
        <f>COUNTIF(AN:AN,Table2[[#This Row],[State]])/COUNTA(AN:AN)</f>
        <v>0.54904051172707891</v>
      </c>
      <c r="AP342">
        <f>VLOOKUP(N342,'Helpful Tables'!A:B,2,FALSE)</f>
        <v>38.949649000000001</v>
      </c>
      <c r="AQ342">
        <f>VLOOKUP(N342,'Helpful Tables'!A:C,3,FALSE)</f>
        <v>-77.080878999999996</v>
      </c>
      <c r="AR342">
        <f>COUNTIF(P$2:$P$938,P342)</f>
        <v>3</v>
      </c>
      <c r="AS342" cm="1">
        <f t="array" ref="AS342">_xlfn.IFS(E342&lt;6,((E342/D342)*60)*0.5,AND(E342&gt;=6,E342&lt;9),((E342/D342)*60)*0.75,AND(E342&gt;=9,E342&lt;=11),((E342/D342)*60)*0.9,AND(E342=12),((E342/D342)*60)*1,AND(E342&gt;=13,E342&lt;=15),((E342/D342)*60)*1.2,AND(E342&gt;=16,E342&lt;=19),((E342/D342)*60)*1.5,E342&gt;=20,((E342/D342)*60)*1.8)</f>
        <v>18.666666666666664</v>
      </c>
      <c r="AT342" cm="1">
        <f t="array" ref="AT342">_xlfn.IFS(F342&lt;550,((F342/D342)*60)*0.5,AND(F342&gt;=550,F342&lt;575),((F342/D342)*60)*0.75,AND(F342&gt;=575,F342&lt;600),((F342/D342)*60)*0.9,AND(F342=600),((F342/D342)*60)*1,AND(F342&gt;=601,F342&lt;=625),((F342/D342)*60)*1.2,AND(F342&gt;=626,F342&lt;=650),((F342/D342)*60)*1.5,F342&gt;=651,((F342/D342)*60)*1.8)</f>
        <v>812.00000000000011</v>
      </c>
      <c r="AU342">
        <f t="shared" si="89"/>
        <v>1.5999999999999979</v>
      </c>
      <c r="AV342">
        <f t="shared" si="104"/>
        <v>332.5866666666667</v>
      </c>
      <c r="AW342">
        <f t="shared" si="90"/>
        <v>41</v>
      </c>
      <c r="AX342" t="str">
        <f t="shared" si="102"/>
        <v>Aug-2022</v>
      </c>
      <c r="AY342">
        <f>ROUNDUP(Table2[[#This Row],[Month]]/3,0)</f>
        <v>3</v>
      </c>
    </row>
    <row r="343" spans="1:51" x14ac:dyDescent="0.2">
      <c r="A343">
        <v>342</v>
      </c>
      <c r="B343">
        <f t="shared" si="91"/>
        <v>17</v>
      </c>
      <c r="C343" s="22">
        <v>44776</v>
      </c>
      <c r="D343">
        <f>SUM(Table2[[#This Row],[Gray Min]:[Red Min]])</f>
        <v>57</v>
      </c>
      <c r="E343">
        <v>10</v>
      </c>
      <c r="F343">
        <v>545</v>
      </c>
      <c r="G343">
        <v>118</v>
      </c>
      <c r="H343">
        <v>168</v>
      </c>
      <c r="I343">
        <v>23</v>
      </c>
      <c r="J343">
        <v>14</v>
      </c>
      <c r="K343">
        <v>10</v>
      </c>
      <c r="L343">
        <v>9</v>
      </c>
      <c r="M343">
        <v>1</v>
      </c>
      <c r="N343" t="s">
        <v>91</v>
      </c>
      <c r="O343" t="s">
        <v>57</v>
      </c>
      <c r="P343" t="s">
        <v>96</v>
      </c>
      <c r="Q343">
        <f t="shared" si="103"/>
        <v>2</v>
      </c>
      <c r="R343" t="str">
        <f t="shared" si="92"/>
        <v>8-2022</v>
      </c>
      <c r="S343" t="s">
        <v>104</v>
      </c>
      <c r="T343" t="str">
        <f t="shared" si="93"/>
        <v>Wednesday</v>
      </c>
      <c r="U343">
        <f t="shared" si="94"/>
        <v>0</v>
      </c>
      <c r="V343" s="24">
        <f>IFERROR(Table2[[#This Row],[Gray Min]]/Table2[[#This Row],[ClassLength]],"")</f>
        <v>0.40350877192982454</v>
      </c>
      <c r="W343" s="24">
        <f>IFERROR(Table2[[#This Row],[Blue Min]]/Table2[[#This Row],[ClassLength]],"")</f>
        <v>0.24561403508771928</v>
      </c>
      <c r="X343" s="24">
        <f>IFERROR(Table2[[#This Row],[Green Min]]/Table2[[#This Row],[ClassLength]],"")</f>
        <v>0.17543859649122806</v>
      </c>
      <c r="Y343" s="24">
        <f>IFERROR(Table2[[#This Row],[Orange Min]]/Table2[[#This Row],[ClassLength]],"")</f>
        <v>0.15789473684210525</v>
      </c>
      <c r="Z343" s="24">
        <f>IFERROR(Table2[[#This Row],[Red Min]]/Table2[[#This Row],[ClassLength]],"")</f>
        <v>1.7543859649122806E-2</v>
      </c>
      <c r="AA343" s="25">
        <v>232.14</v>
      </c>
      <c r="AB343" s="25">
        <f t="shared" si="105"/>
        <v>13.655294117647058</v>
      </c>
      <c r="AC343" s="26">
        <f t="shared" si="95"/>
        <v>611.64705882352939</v>
      </c>
      <c r="AD343" s="26">
        <f t="shared" si="96"/>
        <v>14.941176470588236</v>
      </c>
      <c r="AE343">
        <f t="shared" si="97"/>
        <v>2022</v>
      </c>
      <c r="AG343">
        <v>12</v>
      </c>
      <c r="AH343" s="26">
        <f t="shared" si="98"/>
        <v>9.5614035087719298</v>
      </c>
      <c r="AI343" t="str">
        <f t="shared" si="99"/>
        <v>PM</v>
      </c>
      <c r="AJ343" t="str">
        <f t="shared" si="100"/>
        <v>8-2022-1</v>
      </c>
      <c r="AK343">
        <f t="shared" si="101"/>
        <v>8</v>
      </c>
      <c r="AL343" s="26">
        <f>IFERROR(Table2[[#This Row],[Calories]]/Table2[[#This Row],[Splat]],"")</f>
        <v>54.5</v>
      </c>
      <c r="AM343">
        <f>COUNTIF(N$2:$N$938,N343)</f>
        <v>218</v>
      </c>
      <c r="AN343" t="str">
        <f>VLOOKUP(N343,'Helpful Tables'!A:D,4,FALSE)</f>
        <v>Washington, DC</v>
      </c>
      <c r="AO343" s="24">
        <f>COUNTIF(AN:AN,Table2[[#This Row],[State]])/COUNTA(AN:AN)</f>
        <v>0.54904051172707891</v>
      </c>
      <c r="AP343">
        <f>VLOOKUP(N343,'Helpful Tables'!A:B,2,FALSE)</f>
        <v>38.934710000000003</v>
      </c>
      <c r="AQ343">
        <f>VLOOKUP(N343,'Helpful Tables'!A:C,3,FALSE)</f>
        <v>-77.058222999999998</v>
      </c>
      <c r="AR343">
        <f>COUNTIF(P$2:$P$938,P343)</f>
        <v>71</v>
      </c>
      <c r="AS343" cm="1">
        <f t="array" ref="AS343">_xlfn.IFS(E343&lt;6,((E343/D343)*60)*0.5,AND(E343&gt;=6,E343&lt;9),((E343/D343)*60)*0.75,AND(E343&gt;=9,E343&lt;=11),((E343/D343)*60)*0.9,AND(E343=12),((E343/D343)*60)*1,AND(E343&gt;=13,E343&lt;=15),((E343/D343)*60)*1.2,AND(E343&gt;=16,E343&lt;=19),((E343/D343)*60)*1.5,E343&gt;=20,((E343/D343)*60)*1.8)</f>
        <v>9.473684210526315</v>
      </c>
      <c r="AT343" cm="1">
        <f t="array" ref="AT343">_xlfn.IFS(F343&lt;550,((F343/D343)*60)*0.5,AND(F343&gt;=550,F343&lt;575),((F343/D343)*60)*0.75,AND(F343&gt;=575,F343&lt;600),((F343/D343)*60)*0.9,AND(F343=600),((F343/D343)*60)*1,AND(F343&gt;=601,F343&lt;=625),((F343/D343)*60)*1.2,AND(F343&gt;=626,F343&lt;=650),((F343/D343)*60)*1.5,F343&gt;=651,((F343/D343)*60)*1.8)</f>
        <v>286.84210526315792</v>
      </c>
      <c r="AU343">
        <f t="shared" si="89"/>
        <v>-17.799999999999997</v>
      </c>
      <c r="AV343">
        <f t="shared" si="104"/>
        <v>114.9663157894737</v>
      </c>
      <c r="AW343">
        <f t="shared" si="90"/>
        <v>5.6000000000000005</v>
      </c>
      <c r="AX343" t="str">
        <f t="shared" si="102"/>
        <v>Aug-2022</v>
      </c>
      <c r="AY343">
        <f>ROUNDUP(Table2[[#This Row],[Month]]/3,0)</f>
        <v>3</v>
      </c>
    </row>
    <row r="344" spans="1:51" x14ac:dyDescent="0.2">
      <c r="A344">
        <v>343</v>
      </c>
      <c r="B344">
        <f t="shared" si="91"/>
        <v>17</v>
      </c>
      <c r="C344" s="22">
        <v>44778</v>
      </c>
      <c r="D344">
        <f>SUM(Table2[[#This Row],[Gray Min]:[Red Min]])</f>
        <v>55</v>
      </c>
      <c r="E344">
        <v>15</v>
      </c>
      <c r="F344">
        <v>605</v>
      </c>
      <c r="G344">
        <v>127</v>
      </c>
      <c r="H344">
        <v>174</v>
      </c>
      <c r="I344">
        <v>14</v>
      </c>
      <c r="J344">
        <v>13</v>
      </c>
      <c r="K344">
        <v>13</v>
      </c>
      <c r="L344">
        <v>12</v>
      </c>
      <c r="M344">
        <v>3</v>
      </c>
      <c r="N344" t="s">
        <v>91</v>
      </c>
      <c r="O344" t="s">
        <v>89</v>
      </c>
      <c r="P344" t="s">
        <v>98</v>
      </c>
      <c r="Q344">
        <f t="shared" si="103"/>
        <v>2</v>
      </c>
      <c r="R344" t="str">
        <f t="shared" si="92"/>
        <v>8-2022</v>
      </c>
      <c r="S344" t="s">
        <v>104</v>
      </c>
      <c r="T344" t="str">
        <f t="shared" si="93"/>
        <v>Friday</v>
      </c>
      <c r="U344">
        <f t="shared" si="94"/>
        <v>1</v>
      </c>
      <c r="V344" s="24">
        <f>IFERROR(Table2[[#This Row],[Gray Min]]/Table2[[#This Row],[ClassLength]],"")</f>
        <v>0.25454545454545452</v>
      </c>
      <c r="W344" s="24">
        <f>IFERROR(Table2[[#This Row],[Blue Min]]/Table2[[#This Row],[ClassLength]],"")</f>
        <v>0.23636363636363636</v>
      </c>
      <c r="X344" s="24">
        <f>IFERROR(Table2[[#This Row],[Green Min]]/Table2[[#This Row],[ClassLength]],"")</f>
        <v>0.23636363636363636</v>
      </c>
      <c r="Y344" s="24">
        <f>IFERROR(Table2[[#This Row],[Orange Min]]/Table2[[#This Row],[ClassLength]],"")</f>
        <v>0.21818181818181817</v>
      </c>
      <c r="Z344" s="24">
        <f>IFERROR(Table2[[#This Row],[Red Min]]/Table2[[#This Row],[ClassLength]],"")</f>
        <v>5.4545454545454543E-2</v>
      </c>
      <c r="AA344" s="25">
        <v>232.14</v>
      </c>
      <c r="AB344" s="25">
        <f t="shared" si="105"/>
        <v>13.655294117647058</v>
      </c>
      <c r="AC344" s="26">
        <f t="shared" si="95"/>
        <v>611.64705882352939</v>
      </c>
      <c r="AD344" s="26">
        <f t="shared" si="96"/>
        <v>14.941176470588236</v>
      </c>
      <c r="AE344">
        <f t="shared" si="97"/>
        <v>2022</v>
      </c>
      <c r="AG344">
        <v>12</v>
      </c>
      <c r="AH344" s="26">
        <f t="shared" si="98"/>
        <v>11</v>
      </c>
      <c r="AI344" t="str">
        <f t="shared" si="99"/>
        <v>AM</v>
      </c>
      <c r="AJ344" t="str">
        <f t="shared" si="100"/>
        <v>8-2022-1</v>
      </c>
      <c r="AK344">
        <f t="shared" si="101"/>
        <v>8</v>
      </c>
      <c r="AL344" s="26">
        <f>IFERROR(Table2[[#This Row],[Calories]]/Table2[[#This Row],[Splat]],"")</f>
        <v>40.333333333333336</v>
      </c>
      <c r="AM344">
        <f>COUNTIF(N$2:$N$938,N344)</f>
        <v>218</v>
      </c>
      <c r="AN344" t="str">
        <f>VLOOKUP(N344,'Helpful Tables'!A:D,4,FALSE)</f>
        <v>Washington, DC</v>
      </c>
      <c r="AO344" s="24">
        <f>COUNTIF(AN:AN,Table2[[#This Row],[State]])/COUNTA(AN:AN)</f>
        <v>0.54904051172707891</v>
      </c>
      <c r="AP344">
        <f>VLOOKUP(N344,'Helpful Tables'!A:B,2,FALSE)</f>
        <v>38.934710000000003</v>
      </c>
      <c r="AQ344">
        <f>VLOOKUP(N344,'Helpful Tables'!A:C,3,FALSE)</f>
        <v>-77.058222999999998</v>
      </c>
      <c r="AR344">
        <f>COUNTIF(P$2:$P$938,P344)</f>
        <v>28</v>
      </c>
      <c r="AS344" cm="1">
        <f t="array" ref="AS344">_xlfn.IFS(E344&lt;6,((E344/D344)*60)*0.5,AND(E344&gt;=6,E344&lt;9),((E344/D344)*60)*0.75,AND(E344&gt;=9,E344&lt;=11),((E344/D344)*60)*0.9,AND(E344=12),((E344/D344)*60)*1,AND(E344&gt;=13,E344&lt;=15),((E344/D344)*60)*1.2,AND(E344&gt;=16,E344&lt;=19),((E344/D344)*60)*1.5,E344&gt;=20,((E344/D344)*60)*1.8)</f>
        <v>19.636363636363637</v>
      </c>
      <c r="AT344" cm="1">
        <f t="array" ref="AT344">_xlfn.IFS(F344&lt;550,((F344/D344)*60)*0.5,AND(F344&gt;=550,F344&lt;575),((F344/D344)*60)*0.75,AND(F344&gt;=575,F344&lt;600),((F344/D344)*60)*0.9,AND(F344=600),((F344/D344)*60)*1,AND(F344&gt;=601,F344&lt;=625),((F344/D344)*60)*1.2,AND(F344&gt;=626,F344&lt;=650),((F344/D344)*60)*1.5,F344&gt;=651,((F344/D344)*60)*1.8)</f>
        <v>792</v>
      </c>
      <c r="AU344">
        <f t="shared" si="89"/>
        <v>4.5999999999999996</v>
      </c>
      <c r="AV344">
        <f t="shared" si="104"/>
        <v>325.5745454545455</v>
      </c>
      <c r="AW344">
        <f t="shared" si="90"/>
        <v>39</v>
      </c>
      <c r="AX344" t="str">
        <f t="shared" si="102"/>
        <v>Aug-2022</v>
      </c>
      <c r="AY344">
        <f>ROUNDUP(Table2[[#This Row],[Month]]/3,0)</f>
        <v>3</v>
      </c>
    </row>
    <row r="345" spans="1:51" x14ac:dyDescent="0.2">
      <c r="A345">
        <v>344</v>
      </c>
      <c r="B345">
        <f t="shared" si="91"/>
        <v>17</v>
      </c>
      <c r="C345" s="22">
        <v>44780</v>
      </c>
      <c r="D345">
        <f>SUM(Table2[[#This Row],[Gray Min]:[Red Min]])</f>
        <v>57</v>
      </c>
      <c r="E345">
        <v>19</v>
      </c>
      <c r="F345">
        <v>680</v>
      </c>
      <c r="G345">
        <v>132</v>
      </c>
      <c r="H345">
        <v>171</v>
      </c>
      <c r="I345">
        <v>6</v>
      </c>
      <c r="J345">
        <v>20</v>
      </c>
      <c r="K345">
        <v>12</v>
      </c>
      <c r="L345">
        <v>14</v>
      </c>
      <c r="M345">
        <v>5</v>
      </c>
      <c r="N345" t="s">
        <v>101</v>
      </c>
      <c r="O345" t="s">
        <v>45</v>
      </c>
      <c r="P345" t="s">
        <v>102</v>
      </c>
      <c r="Q345">
        <f t="shared" si="103"/>
        <v>2</v>
      </c>
      <c r="R345" t="str">
        <f t="shared" si="92"/>
        <v>8-2022</v>
      </c>
      <c r="S345" t="s">
        <v>104</v>
      </c>
      <c r="T345" t="str">
        <f t="shared" si="93"/>
        <v>Sunday</v>
      </c>
      <c r="U345">
        <f t="shared" si="94"/>
        <v>1</v>
      </c>
      <c r="V345" s="24">
        <f>IFERROR(Table2[[#This Row],[Gray Min]]/Table2[[#This Row],[ClassLength]],"")</f>
        <v>0.10526315789473684</v>
      </c>
      <c r="W345" s="24">
        <f>IFERROR(Table2[[#This Row],[Blue Min]]/Table2[[#This Row],[ClassLength]],"")</f>
        <v>0.35087719298245612</v>
      </c>
      <c r="X345" s="24">
        <f>IFERROR(Table2[[#This Row],[Green Min]]/Table2[[#This Row],[ClassLength]],"")</f>
        <v>0.21052631578947367</v>
      </c>
      <c r="Y345" s="24">
        <f>IFERROR(Table2[[#This Row],[Orange Min]]/Table2[[#This Row],[ClassLength]],"")</f>
        <v>0.24561403508771928</v>
      </c>
      <c r="Z345" s="24">
        <f>IFERROR(Table2[[#This Row],[Red Min]]/Table2[[#This Row],[ClassLength]],"")</f>
        <v>8.771929824561403E-2</v>
      </c>
      <c r="AA345" s="25">
        <v>232.14</v>
      </c>
      <c r="AB345" s="25">
        <f t="shared" si="105"/>
        <v>13.655294117647058</v>
      </c>
      <c r="AC345" s="26">
        <f t="shared" si="95"/>
        <v>611.64705882352939</v>
      </c>
      <c r="AD345" s="26">
        <f t="shared" si="96"/>
        <v>14.941176470588236</v>
      </c>
      <c r="AE345">
        <f t="shared" si="97"/>
        <v>2022</v>
      </c>
      <c r="AG345">
        <v>12</v>
      </c>
      <c r="AH345" s="26">
        <f t="shared" si="98"/>
        <v>11.929824561403509</v>
      </c>
      <c r="AI345" t="str">
        <f t="shared" si="99"/>
        <v>AM</v>
      </c>
      <c r="AJ345" t="str">
        <f t="shared" si="100"/>
        <v>8-2022-2</v>
      </c>
      <c r="AK345">
        <f t="shared" si="101"/>
        <v>8</v>
      </c>
      <c r="AL345" s="26">
        <f>IFERROR(Table2[[#This Row],[Calories]]/Table2[[#This Row],[Splat]],"")</f>
        <v>35.789473684210527</v>
      </c>
      <c r="AM345">
        <f>COUNTIF(N$2:$N$938,N345)</f>
        <v>191</v>
      </c>
      <c r="AN345" t="str">
        <f>VLOOKUP(N345,'Helpful Tables'!A:D,4,FALSE)</f>
        <v>Washington, DC</v>
      </c>
      <c r="AO345" s="24">
        <f>COUNTIF(AN:AN,Table2[[#This Row],[State]])/COUNTA(AN:AN)</f>
        <v>0.54904051172707891</v>
      </c>
      <c r="AP345">
        <f>VLOOKUP(N345,'Helpful Tables'!A:B,2,FALSE)</f>
        <v>38.949649000000001</v>
      </c>
      <c r="AQ345">
        <f>VLOOKUP(N345,'Helpful Tables'!A:C,3,FALSE)</f>
        <v>-77.080878999999996</v>
      </c>
      <c r="AR345">
        <f>COUNTIF(P$2:$P$938,P345)</f>
        <v>20</v>
      </c>
      <c r="AS345" cm="1">
        <f t="array" ref="AS345">_xlfn.IFS(E345&lt;6,((E345/D345)*60)*0.5,AND(E345&gt;=6,E345&lt;9),((E345/D345)*60)*0.75,AND(E345&gt;=9,E345&lt;=11),((E345/D345)*60)*0.9,AND(E345=12),((E345/D345)*60)*1,AND(E345&gt;=13,E345&lt;=15),((E345/D345)*60)*1.2,AND(E345&gt;=16,E345&lt;=19),((E345/D345)*60)*1.5,E345&gt;=20,((E345/D345)*60)*1.8)</f>
        <v>30</v>
      </c>
      <c r="AT345" cm="1">
        <f t="array" ref="AT345">_xlfn.IFS(F345&lt;550,((F345/D345)*60)*0.5,AND(F345&gt;=550,F345&lt;575),((F345/D345)*60)*0.75,AND(F345&gt;=575,F345&lt;600),((F345/D345)*60)*0.9,AND(F345=600),((F345/D345)*60)*1,AND(F345&gt;=601,F345&lt;=625),((F345/D345)*60)*1.2,AND(F345&gt;=626,F345&lt;=650),((F345/D345)*60)*1.5,F345&gt;=651,((F345/D345)*60)*1.8)</f>
        <v>1288.421052631579</v>
      </c>
      <c r="AU345">
        <f t="shared" si="89"/>
        <v>10.899999999999999</v>
      </c>
      <c r="AV345">
        <f t="shared" si="104"/>
        <v>529.54842105263151</v>
      </c>
      <c r="AW345">
        <f t="shared" si="90"/>
        <v>93.4</v>
      </c>
      <c r="AX345" t="str">
        <f t="shared" si="102"/>
        <v>Aug-2022</v>
      </c>
      <c r="AY345">
        <f>ROUNDUP(Table2[[#This Row],[Month]]/3,0)</f>
        <v>3</v>
      </c>
    </row>
    <row r="346" spans="1:51" x14ac:dyDescent="0.2">
      <c r="A346">
        <v>345</v>
      </c>
      <c r="B346">
        <f t="shared" si="91"/>
        <v>17</v>
      </c>
      <c r="C346" s="22">
        <v>44781</v>
      </c>
      <c r="D346">
        <f>SUM(Table2[[#This Row],[Gray Min]:[Red Min]])</f>
        <v>60</v>
      </c>
      <c r="E346">
        <v>14</v>
      </c>
      <c r="F346">
        <v>626</v>
      </c>
      <c r="G346">
        <v>124</v>
      </c>
      <c r="H346">
        <v>166</v>
      </c>
      <c r="I346">
        <v>16</v>
      </c>
      <c r="J346">
        <v>16</v>
      </c>
      <c r="K346">
        <v>14</v>
      </c>
      <c r="L346">
        <v>12</v>
      </c>
      <c r="M346">
        <v>2</v>
      </c>
      <c r="N346" t="s">
        <v>101</v>
      </c>
      <c r="O346" t="s">
        <v>39</v>
      </c>
      <c r="P346" t="s">
        <v>109</v>
      </c>
      <c r="Q346">
        <f t="shared" si="103"/>
        <v>1</v>
      </c>
      <c r="R346" t="str">
        <f t="shared" si="92"/>
        <v>8-2022</v>
      </c>
      <c r="S346" t="s">
        <v>104</v>
      </c>
      <c r="T346" t="str">
        <f t="shared" si="93"/>
        <v>Monday</v>
      </c>
      <c r="U346">
        <f t="shared" si="94"/>
        <v>1</v>
      </c>
      <c r="V346" s="24">
        <f>IFERROR(Table2[[#This Row],[Gray Min]]/Table2[[#This Row],[ClassLength]],"")</f>
        <v>0.26666666666666666</v>
      </c>
      <c r="W346" s="24">
        <f>IFERROR(Table2[[#This Row],[Blue Min]]/Table2[[#This Row],[ClassLength]],"")</f>
        <v>0.26666666666666666</v>
      </c>
      <c r="X346" s="24">
        <f>IFERROR(Table2[[#This Row],[Green Min]]/Table2[[#This Row],[ClassLength]],"")</f>
        <v>0.23333333333333334</v>
      </c>
      <c r="Y346" s="24">
        <f>IFERROR(Table2[[#This Row],[Orange Min]]/Table2[[#This Row],[ClassLength]],"")</f>
        <v>0.2</v>
      </c>
      <c r="Z346" s="24">
        <f>IFERROR(Table2[[#This Row],[Red Min]]/Table2[[#This Row],[ClassLength]],"")</f>
        <v>3.3333333333333333E-2</v>
      </c>
      <c r="AA346" s="25">
        <v>232.14</v>
      </c>
      <c r="AB346" s="25">
        <f t="shared" si="105"/>
        <v>13.655294117647058</v>
      </c>
      <c r="AC346" s="26">
        <f t="shared" si="95"/>
        <v>611.64705882352939</v>
      </c>
      <c r="AD346" s="26">
        <f t="shared" si="96"/>
        <v>14.941176470588236</v>
      </c>
      <c r="AE346">
        <f t="shared" si="97"/>
        <v>2022</v>
      </c>
      <c r="AG346">
        <v>12</v>
      </c>
      <c r="AH346" s="26">
        <f t="shared" si="98"/>
        <v>10.433333333333334</v>
      </c>
      <c r="AI346" t="str">
        <f t="shared" si="99"/>
        <v>PM</v>
      </c>
      <c r="AJ346" t="str">
        <f t="shared" si="100"/>
        <v>8-2022-2</v>
      </c>
      <c r="AK346">
        <f t="shared" si="101"/>
        <v>8</v>
      </c>
      <c r="AL346" s="26">
        <f>IFERROR(Table2[[#This Row],[Calories]]/Table2[[#This Row],[Splat]],"")</f>
        <v>44.714285714285715</v>
      </c>
      <c r="AM346">
        <f>COUNTIF(N$2:$N$938,N346)</f>
        <v>191</v>
      </c>
      <c r="AN346" t="str">
        <f>VLOOKUP(N346,'Helpful Tables'!A:D,4,FALSE)</f>
        <v>Washington, DC</v>
      </c>
      <c r="AO346" s="24">
        <f>COUNTIF(AN:AN,Table2[[#This Row],[State]])/COUNTA(AN:AN)</f>
        <v>0.54904051172707891</v>
      </c>
      <c r="AP346">
        <f>VLOOKUP(N346,'Helpful Tables'!A:B,2,FALSE)</f>
        <v>38.949649000000001</v>
      </c>
      <c r="AQ346">
        <f>VLOOKUP(N346,'Helpful Tables'!A:C,3,FALSE)</f>
        <v>-77.080878999999996</v>
      </c>
      <c r="AR346">
        <f>COUNTIF(P$2:$P$938,P346)</f>
        <v>66</v>
      </c>
      <c r="AS346" cm="1">
        <f t="array" ref="AS346">_xlfn.IFS(E346&lt;6,((E346/D346)*60)*0.5,AND(E346&gt;=6,E346&lt;9),((E346/D346)*60)*0.75,AND(E346&gt;=9,E346&lt;=11),((E346/D346)*60)*0.9,AND(E346=12),((E346/D346)*60)*1,AND(E346&gt;=13,E346&lt;=15),((E346/D346)*60)*1.2,AND(E346&gt;=16,E346&lt;=19),((E346/D346)*60)*1.5,E346&gt;=20,((E346/D346)*60)*1.8)</f>
        <v>16.8</v>
      </c>
      <c r="AT346" cm="1">
        <f t="array" ref="AT346">_xlfn.IFS(F346&lt;550,((F346/D346)*60)*0.5,AND(F346&gt;=550,F346&lt;575),((F346/D346)*60)*0.75,AND(F346&gt;=575,F346&lt;600),((F346/D346)*60)*0.9,AND(F346=600),((F346/D346)*60)*1,AND(F346&gt;=601,F346&lt;=625),((F346/D346)*60)*1.2,AND(F346&gt;=626,F346&lt;=650),((F346/D346)*60)*1.5,F346&gt;=651,((F346/D346)*60)*1.8)</f>
        <v>939</v>
      </c>
      <c r="AU346">
        <f t="shared" si="89"/>
        <v>-1.399999999999995</v>
      </c>
      <c r="AV346">
        <f t="shared" si="104"/>
        <v>382.04000000000008</v>
      </c>
      <c r="AW346">
        <f t="shared" si="90"/>
        <v>46</v>
      </c>
      <c r="AX346" t="str">
        <f t="shared" si="102"/>
        <v>Aug-2022</v>
      </c>
      <c r="AY346">
        <f>ROUNDUP(Table2[[#This Row],[Month]]/3,0)</f>
        <v>3</v>
      </c>
    </row>
    <row r="347" spans="1:51" x14ac:dyDescent="0.2">
      <c r="A347">
        <v>346</v>
      </c>
      <c r="B347">
        <f t="shared" si="91"/>
        <v>17</v>
      </c>
      <c r="C347" s="22">
        <v>44783</v>
      </c>
      <c r="D347">
        <f>SUM(Table2[[#This Row],[Gray Min]:[Red Min]])</f>
        <v>57</v>
      </c>
      <c r="E347">
        <v>17</v>
      </c>
      <c r="F347">
        <v>660</v>
      </c>
      <c r="G347">
        <v>129</v>
      </c>
      <c r="H347">
        <v>166</v>
      </c>
      <c r="I347">
        <v>6</v>
      </c>
      <c r="J347">
        <v>16</v>
      </c>
      <c r="K347">
        <v>18</v>
      </c>
      <c r="L347">
        <v>13</v>
      </c>
      <c r="M347">
        <v>4</v>
      </c>
      <c r="N347" t="s">
        <v>91</v>
      </c>
      <c r="O347" t="s">
        <v>57</v>
      </c>
      <c r="P347" t="s">
        <v>96</v>
      </c>
      <c r="Q347">
        <f t="shared" si="103"/>
        <v>2</v>
      </c>
      <c r="R347" t="str">
        <f t="shared" si="92"/>
        <v>8-2022</v>
      </c>
      <c r="S347" t="s">
        <v>104</v>
      </c>
      <c r="T347" t="str">
        <f t="shared" si="93"/>
        <v>Wednesday</v>
      </c>
      <c r="U347">
        <f t="shared" si="94"/>
        <v>1</v>
      </c>
      <c r="V347" s="24">
        <f>IFERROR(Table2[[#This Row],[Gray Min]]/Table2[[#This Row],[ClassLength]],"")</f>
        <v>0.10526315789473684</v>
      </c>
      <c r="W347" s="24">
        <f>IFERROR(Table2[[#This Row],[Blue Min]]/Table2[[#This Row],[ClassLength]],"")</f>
        <v>0.2807017543859649</v>
      </c>
      <c r="X347" s="24">
        <f>IFERROR(Table2[[#This Row],[Green Min]]/Table2[[#This Row],[ClassLength]],"")</f>
        <v>0.31578947368421051</v>
      </c>
      <c r="Y347" s="24">
        <f>IFERROR(Table2[[#This Row],[Orange Min]]/Table2[[#This Row],[ClassLength]],"")</f>
        <v>0.22807017543859648</v>
      </c>
      <c r="Z347" s="24">
        <f>IFERROR(Table2[[#This Row],[Red Min]]/Table2[[#This Row],[ClassLength]],"")</f>
        <v>7.0175438596491224E-2</v>
      </c>
      <c r="AA347" s="25">
        <v>232.14</v>
      </c>
      <c r="AB347" s="25">
        <f t="shared" si="105"/>
        <v>13.655294117647058</v>
      </c>
      <c r="AC347" s="26">
        <f t="shared" si="95"/>
        <v>611.64705882352939</v>
      </c>
      <c r="AD347" s="26">
        <f t="shared" si="96"/>
        <v>14.941176470588236</v>
      </c>
      <c r="AE347">
        <f t="shared" si="97"/>
        <v>2022</v>
      </c>
      <c r="AG347">
        <v>12</v>
      </c>
      <c r="AH347" s="26">
        <f t="shared" si="98"/>
        <v>11.578947368421053</v>
      </c>
      <c r="AI347" t="str">
        <f t="shared" si="99"/>
        <v>PM</v>
      </c>
      <c r="AJ347" t="str">
        <f t="shared" si="100"/>
        <v>8-2022-2</v>
      </c>
      <c r="AK347">
        <f t="shared" si="101"/>
        <v>8</v>
      </c>
      <c r="AL347" s="26">
        <f>IFERROR(Table2[[#This Row],[Calories]]/Table2[[#This Row],[Splat]],"")</f>
        <v>38.823529411764703</v>
      </c>
      <c r="AM347">
        <f>COUNTIF(N$2:$N$938,N347)</f>
        <v>218</v>
      </c>
      <c r="AN347" t="str">
        <f>VLOOKUP(N347,'Helpful Tables'!A:D,4,FALSE)</f>
        <v>Washington, DC</v>
      </c>
      <c r="AO347" s="24">
        <f>COUNTIF(AN:AN,Table2[[#This Row],[State]])/COUNTA(AN:AN)</f>
        <v>0.54904051172707891</v>
      </c>
      <c r="AP347">
        <f>VLOOKUP(N347,'Helpful Tables'!A:B,2,FALSE)</f>
        <v>38.934710000000003</v>
      </c>
      <c r="AQ347">
        <f>VLOOKUP(N347,'Helpful Tables'!A:C,3,FALSE)</f>
        <v>-77.058222999999998</v>
      </c>
      <c r="AR347">
        <f>COUNTIF(P$2:$P$938,P347)</f>
        <v>71</v>
      </c>
      <c r="AS347" cm="1">
        <f t="array" ref="AS347">_xlfn.IFS(E347&lt;6,((E347/D347)*60)*0.5,AND(E347&gt;=6,E347&lt;9),((E347/D347)*60)*0.75,AND(E347&gt;=9,E347&lt;=11),((E347/D347)*60)*0.9,AND(E347=12),((E347/D347)*60)*1,AND(E347&gt;=13,E347&lt;=15),((E347/D347)*60)*1.2,AND(E347&gt;=16,E347&lt;=19),((E347/D347)*60)*1.5,E347&gt;=20,((E347/D347)*60)*1.8)</f>
        <v>26.842105263157897</v>
      </c>
      <c r="AT347" cm="1">
        <f t="array" ref="AT347">_xlfn.IFS(F347&lt;550,((F347/D347)*60)*0.5,AND(F347&gt;=550,F347&lt;575),((F347/D347)*60)*0.75,AND(F347&gt;=575,F347&lt;600),((F347/D347)*60)*0.9,AND(F347=600),((F347/D347)*60)*1,AND(F347&gt;=601,F347&lt;=625),((F347/D347)*60)*1.2,AND(F347&gt;=626,F347&lt;=650),((F347/D347)*60)*1.5,F347&gt;=651,((F347/D347)*60)*1.8)</f>
        <v>1250.5263157894738</v>
      </c>
      <c r="AU347">
        <f t="shared" si="89"/>
        <v>19.7</v>
      </c>
      <c r="AV347">
        <f t="shared" si="104"/>
        <v>514.88736842105277</v>
      </c>
      <c r="AW347">
        <f t="shared" si="90"/>
        <v>87.8</v>
      </c>
      <c r="AX347" t="str">
        <f t="shared" si="102"/>
        <v>Aug-2022</v>
      </c>
      <c r="AY347">
        <f>ROUNDUP(Table2[[#This Row],[Month]]/3,0)</f>
        <v>3</v>
      </c>
    </row>
    <row r="348" spans="1:51" x14ac:dyDescent="0.2">
      <c r="A348">
        <v>347</v>
      </c>
      <c r="B348">
        <f t="shared" si="91"/>
        <v>17</v>
      </c>
      <c r="C348" s="22">
        <v>44785</v>
      </c>
      <c r="D348">
        <f>SUM(Table2[[#This Row],[Gray Min]:[Red Min]])</f>
        <v>55</v>
      </c>
      <c r="E348">
        <v>11</v>
      </c>
      <c r="F348">
        <v>567</v>
      </c>
      <c r="G348">
        <v>122</v>
      </c>
      <c r="H348">
        <v>167</v>
      </c>
      <c r="I348">
        <v>14</v>
      </c>
      <c r="J348">
        <v>14</v>
      </c>
      <c r="K348">
        <v>16</v>
      </c>
      <c r="L348">
        <v>9</v>
      </c>
      <c r="M348">
        <v>2</v>
      </c>
      <c r="N348" t="s">
        <v>91</v>
      </c>
      <c r="O348" t="s">
        <v>89</v>
      </c>
      <c r="P348" t="s">
        <v>97</v>
      </c>
      <c r="Q348">
        <f t="shared" si="103"/>
        <v>2</v>
      </c>
      <c r="R348" t="str">
        <f t="shared" si="92"/>
        <v>8-2022</v>
      </c>
      <c r="S348" t="s">
        <v>104</v>
      </c>
      <c r="T348" t="str">
        <f t="shared" si="93"/>
        <v>Friday</v>
      </c>
      <c r="U348">
        <f t="shared" si="94"/>
        <v>0</v>
      </c>
      <c r="V348" s="24">
        <f>IFERROR(Table2[[#This Row],[Gray Min]]/Table2[[#This Row],[ClassLength]],"")</f>
        <v>0.25454545454545452</v>
      </c>
      <c r="W348" s="24">
        <f>IFERROR(Table2[[#This Row],[Blue Min]]/Table2[[#This Row],[ClassLength]],"")</f>
        <v>0.25454545454545452</v>
      </c>
      <c r="X348" s="24">
        <f>IFERROR(Table2[[#This Row],[Green Min]]/Table2[[#This Row],[ClassLength]],"")</f>
        <v>0.29090909090909089</v>
      </c>
      <c r="Y348" s="24">
        <f>IFERROR(Table2[[#This Row],[Orange Min]]/Table2[[#This Row],[ClassLength]],"")</f>
        <v>0.16363636363636364</v>
      </c>
      <c r="Z348" s="24">
        <f>IFERROR(Table2[[#This Row],[Red Min]]/Table2[[#This Row],[ClassLength]],"")</f>
        <v>3.6363636363636362E-2</v>
      </c>
      <c r="AA348" s="25">
        <v>232.14</v>
      </c>
      <c r="AB348" s="25">
        <f t="shared" si="105"/>
        <v>13.655294117647058</v>
      </c>
      <c r="AC348" s="26">
        <f t="shared" si="95"/>
        <v>611.64705882352939</v>
      </c>
      <c r="AD348" s="26">
        <f t="shared" si="96"/>
        <v>14.941176470588236</v>
      </c>
      <c r="AE348">
        <f t="shared" si="97"/>
        <v>2022</v>
      </c>
      <c r="AG348">
        <v>12</v>
      </c>
      <c r="AH348" s="26">
        <f t="shared" si="98"/>
        <v>10.309090909090909</v>
      </c>
      <c r="AI348" t="str">
        <f t="shared" si="99"/>
        <v>AM</v>
      </c>
      <c r="AJ348" t="str">
        <f t="shared" si="100"/>
        <v>8-2022-2</v>
      </c>
      <c r="AK348">
        <f t="shared" si="101"/>
        <v>8</v>
      </c>
      <c r="AL348" s="26">
        <f>IFERROR(Table2[[#This Row],[Calories]]/Table2[[#This Row],[Splat]],"")</f>
        <v>51.545454545454547</v>
      </c>
      <c r="AM348">
        <f>COUNTIF(N$2:$N$938,N348)</f>
        <v>218</v>
      </c>
      <c r="AN348" t="str">
        <f>VLOOKUP(N348,'Helpful Tables'!A:D,4,FALSE)</f>
        <v>Washington, DC</v>
      </c>
      <c r="AO348" s="24">
        <f>COUNTIF(AN:AN,Table2[[#This Row],[State]])/COUNTA(AN:AN)</f>
        <v>0.54904051172707891</v>
      </c>
      <c r="AP348">
        <f>VLOOKUP(N348,'Helpful Tables'!A:B,2,FALSE)</f>
        <v>38.934710000000003</v>
      </c>
      <c r="AQ348">
        <f>VLOOKUP(N348,'Helpful Tables'!A:C,3,FALSE)</f>
        <v>-77.058222999999998</v>
      </c>
      <c r="AR348">
        <f>COUNTIF(P$2:$P$938,P348)</f>
        <v>14</v>
      </c>
      <c r="AS348" cm="1">
        <f t="array" ref="AS348">_xlfn.IFS(E348&lt;6,((E348/D348)*60)*0.5,AND(E348&gt;=6,E348&lt;9),((E348/D348)*60)*0.75,AND(E348&gt;=9,E348&lt;=11),((E348/D348)*60)*0.9,AND(E348=12),((E348/D348)*60)*1,AND(E348&gt;=13,E348&lt;=15),((E348/D348)*60)*1.2,AND(E348&gt;=16,E348&lt;=19),((E348/D348)*60)*1.5,E348&gt;=20,((E348/D348)*60)*1.8)</f>
        <v>10.8</v>
      </c>
      <c r="AT348" cm="1">
        <f t="array" ref="AT348">_xlfn.IFS(F348&lt;550,((F348/D348)*60)*0.5,AND(F348&gt;=550,F348&lt;575),((F348/D348)*60)*0.75,AND(F348&gt;=575,F348&lt;600),((F348/D348)*60)*0.9,AND(F348=600),((F348/D348)*60)*1,AND(F348&gt;=601,F348&lt;=625),((F348/D348)*60)*1.2,AND(F348&gt;=626,F348&lt;=650),((F348/D348)*60)*1.5,F348&gt;=651,((F348/D348)*60)*1.8)</f>
        <v>463.90909090909088</v>
      </c>
      <c r="AU348">
        <f t="shared" si="89"/>
        <v>1.6999999999999975</v>
      </c>
      <c r="AV348">
        <f t="shared" si="104"/>
        <v>190.22363636363636</v>
      </c>
      <c r="AW348">
        <f t="shared" si="90"/>
        <v>12.3</v>
      </c>
      <c r="AX348" t="str">
        <f t="shared" si="102"/>
        <v>Aug-2022</v>
      </c>
      <c r="AY348">
        <f>ROUNDUP(Table2[[#This Row],[Month]]/3,0)</f>
        <v>3</v>
      </c>
    </row>
    <row r="349" spans="1:51" x14ac:dyDescent="0.2">
      <c r="A349">
        <v>348</v>
      </c>
      <c r="B349">
        <f t="shared" si="91"/>
        <v>17</v>
      </c>
      <c r="C349" s="22">
        <v>44786</v>
      </c>
      <c r="D349">
        <f>SUM(Table2[[#This Row],[Gray Min]:[Red Min]])</f>
        <v>57</v>
      </c>
      <c r="E349">
        <v>20</v>
      </c>
      <c r="F349">
        <v>645</v>
      </c>
      <c r="G349">
        <v>128</v>
      </c>
      <c r="H349">
        <v>167</v>
      </c>
      <c r="I349">
        <v>8</v>
      </c>
      <c r="J349">
        <v>19</v>
      </c>
      <c r="K349">
        <v>10</v>
      </c>
      <c r="L349">
        <v>16</v>
      </c>
      <c r="M349">
        <v>4</v>
      </c>
      <c r="N349" t="s">
        <v>101</v>
      </c>
      <c r="O349" t="s">
        <v>45</v>
      </c>
      <c r="P349" t="s">
        <v>109</v>
      </c>
      <c r="Q349">
        <f t="shared" si="103"/>
        <v>1</v>
      </c>
      <c r="R349" t="str">
        <f t="shared" si="92"/>
        <v>8-2022</v>
      </c>
      <c r="S349" t="s">
        <v>104</v>
      </c>
      <c r="T349" t="str">
        <f t="shared" si="93"/>
        <v>Saturday</v>
      </c>
      <c r="U349">
        <f t="shared" si="94"/>
        <v>1</v>
      </c>
      <c r="V349" s="24">
        <f>IFERROR(Table2[[#This Row],[Gray Min]]/Table2[[#This Row],[ClassLength]],"")</f>
        <v>0.14035087719298245</v>
      </c>
      <c r="W349" s="24">
        <f>IFERROR(Table2[[#This Row],[Blue Min]]/Table2[[#This Row],[ClassLength]],"")</f>
        <v>0.33333333333333331</v>
      </c>
      <c r="X349" s="24">
        <f>IFERROR(Table2[[#This Row],[Green Min]]/Table2[[#This Row],[ClassLength]],"")</f>
        <v>0.17543859649122806</v>
      </c>
      <c r="Y349" s="24">
        <f>IFERROR(Table2[[#This Row],[Orange Min]]/Table2[[#This Row],[ClassLength]],"")</f>
        <v>0.2807017543859649</v>
      </c>
      <c r="Z349" s="24">
        <f>IFERROR(Table2[[#This Row],[Red Min]]/Table2[[#This Row],[ClassLength]],"")</f>
        <v>7.0175438596491224E-2</v>
      </c>
      <c r="AA349" s="25">
        <v>232.14</v>
      </c>
      <c r="AB349" s="25">
        <f t="shared" si="105"/>
        <v>13.655294117647058</v>
      </c>
      <c r="AC349" s="26">
        <f t="shared" si="95"/>
        <v>611.64705882352939</v>
      </c>
      <c r="AD349" s="26">
        <f t="shared" si="96"/>
        <v>14.941176470588236</v>
      </c>
      <c r="AE349">
        <f t="shared" si="97"/>
        <v>2022</v>
      </c>
      <c r="AG349">
        <v>12</v>
      </c>
      <c r="AH349" s="26">
        <f t="shared" si="98"/>
        <v>11.315789473684211</v>
      </c>
      <c r="AI349" t="str">
        <f t="shared" si="99"/>
        <v>AM</v>
      </c>
      <c r="AJ349" t="str">
        <f t="shared" si="100"/>
        <v>8-2022-2</v>
      </c>
      <c r="AK349">
        <f t="shared" si="101"/>
        <v>8</v>
      </c>
      <c r="AL349" s="26">
        <f>IFERROR(Table2[[#This Row],[Calories]]/Table2[[#This Row],[Splat]],"")</f>
        <v>32.25</v>
      </c>
      <c r="AM349">
        <f>COUNTIF(N$2:$N$938,N349)</f>
        <v>191</v>
      </c>
      <c r="AN349" t="str">
        <f>VLOOKUP(N349,'Helpful Tables'!A:D,4,FALSE)</f>
        <v>Washington, DC</v>
      </c>
      <c r="AO349" s="24">
        <f>COUNTIF(AN:AN,Table2[[#This Row],[State]])/COUNTA(AN:AN)</f>
        <v>0.54904051172707891</v>
      </c>
      <c r="AP349">
        <f>VLOOKUP(N349,'Helpful Tables'!A:B,2,FALSE)</f>
        <v>38.949649000000001</v>
      </c>
      <c r="AQ349">
        <f>VLOOKUP(N349,'Helpful Tables'!A:C,3,FALSE)</f>
        <v>-77.080878999999996</v>
      </c>
      <c r="AR349">
        <f>COUNTIF(P$2:$P$938,P349)</f>
        <v>66</v>
      </c>
      <c r="AS349" cm="1">
        <f t="array" ref="AS349">_xlfn.IFS(E349&lt;6,((E349/D349)*60)*0.5,AND(E349&gt;=6,E349&lt;9),((E349/D349)*60)*0.75,AND(E349&gt;=9,E349&lt;=11),((E349/D349)*60)*0.9,AND(E349=12),((E349/D349)*60)*1,AND(E349&gt;=13,E349&lt;=15),((E349/D349)*60)*1.2,AND(E349&gt;=16,E349&lt;=19),((E349/D349)*60)*1.5,E349&gt;=20,((E349/D349)*60)*1.8)</f>
        <v>37.89473684210526</v>
      </c>
      <c r="AT349" cm="1">
        <f t="array" ref="AT349">_xlfn.IFS(F349&lt;550,((F349/D349)*60)*0.5,AND(F349&gt;=550,F349&lt;575),((F349/D349)*60)*0.75,AND(F349&gt;=575,F349&lt;600),((F349/D349)*60)*0.9,AND(F349=600),((F349/D349)*60)*1,AND(F349&gt;=601,F349&lt;=625),((F349/D349)*60)*1.2,AND(F349&gt;=626,F349&lt;=650),((F349/D349)*60)*1.5,F349&gt;=651,((F349/D349)*60)*1.8)</f>
        <v>1018.421052631579</v>
      </c>
      <c r="AU349">
        <f t="shared" si="89"/>
        <v>8.3000000000000007</v>
      </c>
      <c r="AV349">
        <f t="shared" si="104"/>
        <v>424.18631578947372</v>
      </c>
      <c r="AW349">
        <f t="shared" si="90"/>
        <v>63.2</v>
      </c>
      <c r="AX349" t="str">
        <f t="shared" si="102"/>
        <v>Aug-2022</v>
      </c>
      <c r="AY349">
        <f>ROUNDUP(Table2[[#This Row],[Month]]/3,0)</f>
        <v>3</v>
      </c>
    </row>
    <row r="350" spans="1:51" x14ac:dyDescent="0.2">
      <c r="A350">
        <v>349</v>
      </c>
      <c r="B350">
        <f t="shared" si="91"/>
        <v>17</v>
      </c>
      <c r="C350" s="22">
        <v>44789</v>
      </c>
      <c r="D350">
        <f>SUM(Table2[[#This Row],[Gray Min]:[Red Min]])</f>
        <v>55</v>
      </c>
      <c r="E350">
        <v>16</v>
      </c>
      <c r="F350">
        <v>581</v>
      </c>
      <c r="G350">
        <v>124</v>
      </c>
      <c r="H350">
        <v>166</v>
      </c>
      <c r="I350">
        <v>14</v>
      </c>
      <c r="J350">
        <v>13</v>
      </c>
      <c r="K350">
        <v>12</v>
      </c>
      <c r="L350">
        <v>13</v>
      </c>
      <c r="M350">
        <v>3</v>
      </c>
      <c r="N350" t="s">
        <v>91</v>
      </c>
      <c r="O350" t="s">
        <v>89</v>
      </c>
      <c r="P350" t="s">
        <v>97</v>
      </c>
      <c r="Q350">
        <f t="shared" si="103"/>
        <v>3</v>
      </c>
      <c r="R350" t="str">
        <f t="shared" si="92"/>
        <v>8-2022</v>
      </c>
      <c r="S350" t="s">
        <v>104</v>
      </c>
      <c r="T350" t="str">
        <f t="shared" si="93"/>
        <v>Tuesday</v>
      </c>
      <c r="U350">
        <f t="shared" si="94"/>
        <v>1</v>
      </c>
      <c r="V350" s="24">
        <f>IFERROR(Table2[[#This Row],[Gray Min]]/Table2[[#This Row],[ClassLength]],"")</f>
        <v>0.25454545454545452</v>
      </c>
      <c r="W350" s="24">
        <f>IFERROR(Table2[[#This Row],[Blue Min]]/Table2[[#This Row],[ClassLength]],"")</f>
        <v>0.23636363636363636</v>
      </c>
      <c r="X350" s="24">
        <f>IFERROR(Table2[[#This Row],[Green Min]]/Table2[[#This Row],[ClassLength]],"")</f>
        <v>0.21818181818181817</v>
      </c>
      <c r="Y350" s="24">
        <f>IFERROR(Table2[[#This Row],[Orange Min]]/Table2[[#This Row],[ClassLength]],"")</f>
        <v>0.23636363636363636</v>
      </c>
      <c r="Z350" s="24">
        <f>IFERROR(Table2[[#This Row],[Red Min]]/Table2[[#This Row],[ClassLength]],"")</f>
        <v>5.4545454545454543E-2</v>
      </c>
      <c r="AA350" s="25">
        <v>232.14</v>
      </c>
      <c r="AB350" s="25">
        <f t="shared" si="105"/>
        <v>13.655294117647058</v>
      </c>
      <c r="AC350" s="26">
        <f t="shared" si="95"/>
        <v>611.64705882352939</v>
      </c>
      <c r="AD350" s="26">
        <f t="shared" si="96"/>
        <v>14.941176470588236</v>
      </c>
      <c r="AE350">
        <f t="shared" si="97"/>
        <v>2022</v>
      </c>
      <c r="AG350">
        <v>12</v>
      </c>
      <c r="AH350" s="26">
        <f t="shared" si="98"/>
        <v>10.563636363636364</v>
      </c>
      <c r="AI350" t="str">
        <f t="shared" si="99"/>
        <v>AM</v>
      </c>
      <c r="AJ350" t="str">
        <f t="shared" si="100"/>
        <v>8-2022-3</v>
      </c>
      <c r="AK350">
        <f t="shared" si="101"/>
        <v>8</v>
      </c>
      <c r="AL350" s="26">
        <f>IFERROR(Table2[[#This Row],[Calories]]/Table2[[#This Row],[Splat]],"")</f>
        <v>36.3125</v>
      </c>
      <c r="AM350">
        <f>COUNTIF(N$2:$N$938,N350)</f>
        <v>218</v>
      </c>
      <c r="AN350" t="str">
        <f>VLOOKUP(N350,'Helpful Tables'!A:D,4,FALSE)</f>
        <v>Washington, DC</v>
      </c>
      <c r="AO350" s="24">
        <f>COUNTIF(AN:AN,Table2[[#This Row],[State]])/COUNTA(AN:AN)</f>
        <v>0.54904051172707891</v>
      </c>
      <c r="AP350">
        <f>VLOOKUP(N350,'Helpful Tables'!A:B,2,FALSE)</f>
        <v>38.934710000000003</v>
      </c>
      <c r="AQ350">
        <f>VLOOKUP(N350,'Helpful Tables'!A:C,3,FALSE)</f>
        <v>-77.058222999999998</v>
      </c>
      <c r="AR350">
        <f>COUNTIF(P$2:$P$938,P350)</f>
        <v>14</v>
      </c>
      <c r="AS350" cm="1">
        <f t="array" ref="AS350">_xlfn.IFS(E350&lt;6,((E350/D350)*60)*0.5,AND(E350&gt;=6,E350&lt;9),((E350/D350)*60)*0.75,AND(E350&gt;=9,E350&lt;=11),((E350/D350)*60)*0.9,AND(E350=12),((E350/D350)*60)*1,AND(E350&gt;=13,E350&lt;=15),((E350/D350)*60)*1.2,AND(E350&gt;=16,E350&lt;=19),((E350/D350)*60)*1.5,E350&gt;=20,((E350/D350)*60)*1.8)</f>
        <v>26.18181818181818</v>
      </c>
      <c r="AT350" cm="1">
        <f t="array" ref="AT350">_xlfn.IFS(F350&lt;550,((F350/D350)*60)*0.5,AND(F350&gt;=550,F350&lt;575),((F350/D350)*60)*0.75,AND(F350&gt;=575,F350&lt;600),((F350/D350)*60)*0.9,AND(F350=600),((F350/D350)*60)*1,AND(F350&gt;=601,F350&lt;=625),((F350/D350)*60)*1.2,AND(F350&gt;=626,F350&lt;=650),((F350/D350)*60)*1.5,F350&gt;=651,((F350/D350)*60)*1.8)</f>
        <v>570.43636363636369</v>
      </c>
      <c r="AU350">
        <f t="shared" si="89"/>
        <v>4.6999999999999993</v>
      </c>
      <c r="AV350">
        <f t="shared" si="104"/>
        <v>239.58727272727276</v>
      </c>
      <c r="AW350">
        <f t="shared" si="90"/>
        <v>21.8</v>
      </c>
      <c r="AX350" t="str">
        <f t="shared" si="102"/>
        <v>Aug-2022</v>
      </c>
      <c r="AY350">
        <f>ROUNDUP(Table2[[#This Row],[Month]]/3,0)</f>
        <v>3</v>
      </c>
    </row>
    <row r="351" spans="1:51" x14ac:dyDescent="0.2">
      <c r="A351">
        <v>350</v>
      </c>
      <c r="B351">
        <f t="shared" si="91"/>
        <v>17</v>
      </c>
      <c r="C351" s="22">
        <v>44790</v>
      </c>
      <c r="D351">
        <f>SUM(Table2[[#This Row],[Gray Min]:[Red Min]])</f>
        <v>57</v>
      </c>
      <c r="E351">
        <v>16</v>
      </c>
      <c r="F351">
        <v>653</v>
      </c>
      <c r="G351">
        <v>130</v>
      </c>
      <c r="H351">
        <v>172</v>
      </c>
      <c r="I351">
        <v>7</v>
      </c>
      <c r="J351">
        <v>14</v>
      </c>
      <c r="K351">
        <v>20</v>
      </c>
      <c r="L351">
        <v>11</v>
      </c>
      <c r="M351">
        <v>5</v>
      </c>
      <c r="N351" t="s">
        <v>91</v>
      </c>
      <c r="O351" t="s">
        <v>57</v>
      </c>
      <c r="P351" t="s">
        <v>96</v>
      </c>
      <c r="Q351">
        <f t="shared" si="103"/>
        <v>1</v>
      </c>
      <c r="R351" t="str">
        <f t="shared" si="92"/>
        <v>8-2022</v>
      </c>
      <c r="S351" t="s">
        <v>104</v>
      </c>
      <c r="T351" t="str">
        <f t="shared" si="93"/>
        <v>Wednesday</v>
      </c>
      <c r="U351">
        <f t="shared" si="94"/>
        <v>1</v>
      </c>
      <c r="V351" s="24">
        <f>IFERROR(Table2[[#This Row],[Gray Min]]/Table2[[#This Row],[ClassLength]],"")</f>
        <v>0.12280701754385964</v>
      </c>
      <c r="W351" s="24">
        <f>IFERROR(Table2[[#This Row],[Blue Min]]/Table2[[#This Row],[ClassLength]],"")</f>
        <v>0.24561403508771928</v>
      </c>
      <c r="X351" s="24">
        <f>IFERROR(Table2[[#This Row],[Green Min]]/Table2[[#This Row],[ClassLength]],"")</f>
        <v>0.35087719298245612</v>
      </c>
      <c r="Y351" s="24">
        <f>IFERROR(Table2[[#This Row],[Orange Min]]/Table2[[#This Row],[ClassLength]],"")</f>
        <v>0.19298245614035087</v>
      </c>
      <c r="Z351" s="24">
        <f>IFERROR(Table2[[#This Row],[Red Min]]/Table2[[#This Row],[ClassLength]],"")</f>
        <v>8.771929824561403E-2</v>
      </c>
      <c r="AA351" s="25">
        <v>232.14</v>
      </c>
      <c r="AB351" s="25">
        <f t="shared" si="105"/>
        <v>13.655294117647058</v>
      </c>
      <c r="AC351" s="26">
        <f t="shared" si="95"/>
        <v>611.64705882352939</v>
      </c>
      <c r="AD351" s="26">
        <f t="shared" si="96"/>
        <v>14.941176470588236</v>
      </c>
      <c r="AE351">
        <f t="shared" si="97"/>
        <v>2022</v>
      </c>
      <c r="AG351">
        <v>12</v>
      </c>
      <c r="AH351" s="26">
        <f t="shared" si="98"/>
        <v>11.456140350877194</v>
      </c>
      <c r="AI351" t="str">
        <f t="shared" si="99"/>
        <v>PM</v>
      </c>
      <c r="AJ351" t="str">
        <f t="shared" si="100"/>
        <v>8-2022-3</v>
      </c>
      <c r="AK351">
        <f t="shared" si="101"/>
        <v>8</v>
      </c>
      <c r="AL351" s="26">
        <f>IFERROR(Table2[[#This Row],[Calories]]/Table2[[#This Row],[Splat]],"")</f>
        <v>40.8125</v>
      </c>
      <c r="AM351">
        <f>COUNTIF(N$2:$N$938,N351)</f>
        <v>218</v>
      </c>
      <c r="AN351" t="str">
        <f>VLOOKUP(N351,'Helpful Tables'!A:D,4,FALSE)</f>
        <v>Washington, DC</v>
      </c>
      <c r="AO351" s="24">
        <f>COUNTIF(AN:AN,Table2[[#This Row],[State]])/COUNTA(AN:AN)</f>
        <v>0.54904051172707891</v>
      </c>
      <c r="AP351">
        <f>VLOOKUP(N351,'Helpful Tables'!A:B,2,FALSE)</f>
        <v>38.934710000000003</v>
      </c>
      <c r="AQ351">
        <f>VLOOKUP(N351,'Helpful Tables'!A:C,3,FALSE)</f>
        <v>-77.058222999999998</v>
      </c>
      <c r="AR351">
        <f>COUNTIF(P$2:$P$938,P351)</f>
        <v>71</v>
      </c>
      <c r="AS351" cm="1">
        <f t="array" ref="AS351">_xlfn.IFS(E351&lt;6,((E351/D351)*60)*0.5,AND(E351&gt;=6,E351&lt;9),((E351/D351)*60)*0.75,AND(E351&gt;=9,E351&lt;=11),((E351/D351)*60)*0.9,AND(E351=12),((E351/D351)*60)*1,AND(E351&gt;=13,E351&lt;=15),((E351/D351)*60)*1.2,AND(E351&gt;=16,E351&lt;=19),((E351/D351)*60)*1.5,E351&gt;=20,((E351/D351)*60)*1.8)</f>
        <v>25.263157894736842</v>
      </c>
      <c r="AT351" cm="1">
        <f t="array" ref="AT351">_xlfn.IFS(F351&lt;550,((F351/D351)*60)*0.5,AND(F351&gt;=550,F351&lt;575),((F351/D351)*60)*0.75,AND(F351&gt;=575,F351&lt;600),((F351/D351)*60)*0.9,AND(F351=600),((F351/D351)*60)*1,AND(F351&gt;=601,F351&lt;=625),((F351/D351)*60)*1.2,AND(F351&gt;=626,F351&lt;=650),((F351/D351)*60)*1.5,F351&gt;=651,((F351/D351)*60)*1.8)</f>
        <v>1237.2631578947369</v>
      </c>
      <c r="AU351">
        <f t="shared" si="89"/>
        <v>21.999999999999996</v>
      </c>
      <c r="AV351">
        <f t="shared" si="104"/>
        <v>509.41052631578947</v>
      </c>
      <c r="AW351">
        <f t="shared" si="90"/>
        <v>85.2</v>
      </c>
      <c r="AX351" t="str">
        <f t="shared" si="102"/>
        <v>Aug-2022</v>
      </c>
      <c r="AY351">
        <f>ROUNDUP(Table2[[#This Row],[Month]]/3,0)</f>
        <v>3</v>
      </c>
    </row>
    <row r="352" spans="1:51" x14ac:dyDescent="0.2">
      <c r="A352">
        <v>351</v>
      </c>
      <c r="B352">
        <f t="shared" si="91"/>
        <v>17</v>
      </c>
      <c r="C352" s="22">
        <v>44792</v>
      </c>
      <c r="D352">
        <f>SUM(Table2[[#This Row],[Gray Min]:[Red Min]])</f>
        <v>61</v>
      </c>
      <c r="E352">
        <v>19</v>
      </c>
      <c r="F352">
        <v>682</v>
      </c>
      <c r="G352">
        <v>128</v>
      </c>
      <c r="H352">
        <v>166</v>
      </c>
      <c r="I352">
        <v>9</v>
      </c>
      <c r="J352">
        <v>16</v>
      </c>
      <c r="K352">
        <v>17</v>
      </c>
      <c r="L352">
        <v>17</v>
      </c>
      <c r="M352">
        <v>2</v>
      </c>
      <c r="N352" t="s">
        <v>101</v>
      </c>
      <c r="O352" t="s">
        <v>39</v>
      </c>
      <c r="P352" t="s">
        <v>133</v>
      </c>
      <c r="Q352">
        <f t="shared" si="103"/>
        <v>2</v>
      </c>
      <c r="R352" t="str">
        <f t="shared" si="92"/>
        <v>8-2022</v>
      </c>
      <c r="S352" t="s">
        <v>104</v>
      </c>
      <c r="T352" t="str">
        <f t="shared" si="93"/>
        <v>Friday</v>
      </c>
      <c r="U352">
        <f t="shared" si="94"/>
        <v>1</v>
      </c>
      <c r="V352" s="24">
        <f>IFERROR(Table2[[#This Row],[Gray Min]]/Table2[[#This Row],[ClassLength]],"")</f>
        <v>0.14754098360655737</v>
      </c>
      <c r="W352" s="24">
        <f>IFERROR(Table2[[#This Row],[Blue Min]]/Table2[[#This Row],[ClassLength]],"")</f>
        <v>0.26229508196721313</v>
      </c>
      <c r="X352" s="24">
        <f>IFERROR(Table2[[#This Row],[Green Min]]/Table2[[#This Row],[ClassLength]],"")</f>
        <v>0.27868852459016391</v>
      </c>
      <c r="Y352" s="24">
        <f>IFERROR(Table2[[#This Row],[Orange Min]]/Table2[[#This Row],[ClassLength]],"")</f>
        <v>0.27868852459016391</v>
      </c>
      <c r="Z352" s="24">
        <f>IFERROR(Table2[[#This Row],[Red Min]]/Table2[[#This Row],[ClassLength]],"")</f>
        <v>3.2786885245901641E-2</v>
      </c>
      <c r="AA352" s="25">
        <v>232.14</v>
      </c>
      <c r="AB352" s="25">
        <f t="shared" si="105"/>
        <v>13.655294117647058</v>
      </c>
      <c r="AC352" s="26">
        <f t="shared" si="95"/>
        <v>611.64705882352939</v>
      </c>
      <c r="AD352" s="26">
        <f t="shared" si="96"/>
        <v>14.941176470588236</v>
      </c>
      <c r="AE352">
        <f t="shared" si="97"/>
        <v>2022</v>
      </c>
      <c r="AG352">
        <v>12</v>
      </c>
      <c r="AH352" s="26">
        <f t="shared" si="98"/>
        <v>11.180327868852459</v>
      </c>
      <c r="AI352" t="str">
        <f t="shared" si="99"/>
        <v>PM</v>
      </c>
      <c r="AJ352" t="str">
        <f t="shared" si="100"/>
        <v>8-2022-3</v>
      </c>
      <c r="AK352">
        <f t="shared" si="101"/>
        <v>8</v>
      </c>
      <c r="AL352" s="26">
        <f>IFERROR(Table2[[#This Row],[Calories]]/Table2[[#This Row],[Splat]],"")</f>
        <v>35.89473684210526</v>
      </c>
      <c r="AM352">
        <f>COUNTIF(N$2:$N$938,N352)</f>
        <v>191</v>
      </c>
      <c r="AN352" t="str">
        <f>VLOOKUP(N352,'Helpful Tables'!A:D,4,FALSE)</f>
        <v>Washington, DC</v>
      </c>
      <c r="AO352" s="24">
        <f>COUNTIF(AN:AN,Table2[[#This Row],[State]])/COUNTA(AN:AN)</f>
        <v>0.54904051172707891</v>
      </c>
      <c r="AP352">
        <f>VLOOKUP(N352,'Helpful Tables'!A:B,2,FALSE)</f>
        <v>38.949649000000001</v>
      </c>
      <c r="AQ352">
        <f>VLOOKUP(N352,'Helpful Tables'!A:C,3,FALSE)</f>
        <v>-77.080878999999996</v>
      </c>
      <c r="AR352">
        <f>COUNTIF(P$2:$P$938,P352)</f>
        <v>25</v>
      </c>
      <c r="AS352" cm="1">
        <f t="array" ref="AS352">_xlfn.IFS(E352&lt;6,((E352/D352)*60)*0.5,AND(E352&gt;=6,E352&lt;9),((E352/D352)*60)*0.75,AND(E352&gt;=9,E352&lt;=11),((E352/D352)*60)*0.9,AND(E352=12),((E352/D352)*60)*1,AND(E352&gt;=13,E352&lt;=15),((E352/D352)*60)*1.2,AND(E352&gt;=16,E352&lt;=19),((E352/D352)*60)*1.5,E352&gt;=20,((E352/D352)*60)*1.8)</f>
        <v>28.032786885245905</v>
      </c>
      <c r="AT352" cm="1">
        <f t="array" ref="AT352">_xlfn.IFS(F352&lt;550,((F352/D352)*60)*0.5,AND(F352&gt;=550,F352&lt;575),((F352/D352)*60)*0.75,AND(F352&gt;=575,F352&lt;600),((F352/D352)*60)*0.9,AND(F352=600),((F352/D352)*60)*1,AND(F352&gt;=601,F352&lt;=625),((F352/D352)*60)*1.2,AND(F352&gt;=626,F352&lt;=650),((F352/D352)*60)*1.5,F352&gt;=651,((F352/D352)*60)*1.8)</f>
        <v>1207.4754098360656</v>
      </c>
      <c r="AU352">
        <f t="shared" si="89"/>
        <v>17.100000000000001</v>
      </c>
      <c r="AV352">
        <f t="shared" si="104"/>
        <v>497.62327868852464</v>
      </c>
      <c r="AW352">
        <f t="shared" si="90"/>
        <v>77.8</v>
      </c>
      <c r="AX352" t="str">
        <f t="shared" si="102"/>
        <v>Aug-2022</v>
      </c>
      <c r="AY352">
        <f>ROUNDUP(Table2[[#This Row],[Month]]/3,0)</f>
        <v>3</v>
      </c>
    </row>
    <row r="353" spans="1:51" x14ac:dyDescent="0.2">
      <c r="A353">
        <v>352</v>
      </c>
      <c r="B353">
        <f t="shared" si="91"/>
        <v>17</v>
      </c>
      <c r="C353" s="22">
        <v>44794</v>
      </c>
      <c r="D353">
        <f>SUM(Table2[[#This Row],[Gray Min]:[Red Min]])</f>
        <v>57</v>
      </c>
      <c r="E353">
        <v>10</v>
      </c>
      <c r="F353">
        <v>540</v>
      </c>
      <c r="G353">
        <v>116</v>
      </c>
      <c r="H353">
        <v>166</v>
      </c>
      <c r="I353">
        <v>21</v>
      </c>
      <c r="J353">
        <v>14</v>
      </c>
      <c r="K353">
        <v>12</v>
      </c>
      <c r="L353">
        <v>8</v>
      </c>
      <c r="M353">
        <v>2</v>
      </c>
      <c r="N353" t="s">
        <v>101</v>
      </c>
      <c r="O353" t="s">
        <v>45</v>
      </c>
      <c r="P353" t="s">
        <v>133</v>
      </c>
      <c r="Q353">
        <f t="shared" si="103"/>
        <v>2</v>
      </c>
      <c r="R353" t="str">
        <f t="shared" si="92"/>
        <v>8-2022</v>
      </c>
      <c r="S353" t="s">
        <v>104</v>
      </c>
      <c r="T353" t="str">
        <f t="shared" si="93"/>
        <v>Sunday</v>
      </c>
      <c r="U353">
        <f t="shared" si="94"/>
        <v>0</v>
      </c>
      <c r="V353" s="24">
        <f>IFERROR(Table2[[#This Row],[Gray Min]]/Table2[[#This Row],[ClassLength]],"")</f>
        <v>0.36842105263157893</v>
      </c>
      <c r="W353" s="24">
        <f>IFERROR(Table2[[#This Row],[Blue Min]]/Table2[[#This Row],[ClassLength]],"")</f>
        <v>0.24561403508771928</v>
      </c>
      <c r="X353" s="24">
        <f>IFERROR(Table2[[#This Row],[Green Min]]/Table2[[#This Row],[ClassLength]],"")</f>
        <v>0.21052631578947367</v>
      </c>
      <c r="Y353" s="24">
        <f>IFERROR(Table2[[#This Row],[Orange Min]]/Table2[[#This Row],[ClassLength]],"")</f>
        <v>0.14035087719298245</v>
      </c>
      <c r="Z353" s="24">
        <f>IFERROR(Table2[[#This Row],[Red Min]]/Table2[[#This Row],[ClassLength]],"")</f>
        <v>3.5087719298245612E-2</v>
      </c>
      <c r="AA353" s="25">
        <v>232.14</v>
      </c>
      <c r="AB353" s="25">
        <f t="shared" si="105"/>
        <v>13.655294117647058</v>
      </c>
      <c r="AC353" s="26">
        <f t="shared" si="95"/>
        <v>611.64705882352939</v>
      </c>
      <c r="AD353" s="26">
        <f t="shared" si="96"/>
        <v>14.941176470588236</v>
      </c>
      <c r="AE353">
        <f t="shared" si="97"/>
        <v>2022</v>
      </c>
      <c r="AG353">
        <v>12</v>
      </c>
      <c r="AH353" s="26">
        <f t="shared" si="98"/>
        <v>9.473684210526315</v>
      </c>
      <c r="AI353" t="str">
        <f t="shared" si="99"/>
        <v>AM</v>
      </c>
      <c r="AJ353" t="str">
        <f t="shared" si="100"/>
        <v>8-2022-4</v>
      </c>
      <c r="AK353">
        <f t="shared" si="101"/>
        <v>8</v>
      </c>
      <c r="AL353" s="26">
        <f>IFERROR(Table2[[#This Row],[Calories]]/Table2[[#This Row],[Splat]],"")</f>
        <v>54</v>
      </c>
      <c r="AM353">
        <f>COUNTIF(N$2:$N$938,N353)</f>
        <v>191</v>
      </c>
      <c r="AN353" t="str">
        <f>VLOOKUP(N353,'Helpful Tables'!A:D,4,FALSE)</f>
        <v>Washington, DC</v>
      </c>
      <c r="AO353" s="24">
        <f>COUNTIF(AN:AN,Table2[[#This Row],[State]])/COUNTA(AN:AN)</f>
        <v>0.54904051172707891</v>
      </c>
      <c r="AP353">
        <f>VLOOKUP(N353,'Helpful Tables'!A:B,2,FALSE)</f>
        <v>38.949649000000001</v>
      </c>
      <c r="AQ353">
        <f>VLOOKUP(N353,'Helpful Tables'!A:C,3,FALSE)</f>
        <v>-77.080878999999996</v>
      </c>
      <c r="AR353">
        <f>COUNTIF(P$2:$P$938,P353)</f>
        <v>25</v>
      </c>
      <c r="AS353" cm="1">
        <f t="array" ref="AS353">_xlfn.IFS(E353&lt;6,((E353/D353)*60)*0.5,AND(E353&gt;=6,E353&lt;9),((E353/D353)*60)*0.75,AND(E353&gt;=9,E353&lt;=11),((E353/D353)*60)*0.9,AND(E353=12),((E353/D353)*60)*1,AND(E353&gt;=13,E353&lt;=15),((E353/D353)*60)*1.2,AND(E353&gt;=16,E353&lt;=19),((E353/D353)*60)*1.5,E353&gt;=20,((E353/D353)*60)*1.8)</f>
        <v>9.473684210526315</v>
      </c>
      <c r="AT353" cm="1">
        <f t="array" ref="AT353">_xlfn.IFS(F353&lt;550,((F353/D353)*60)*0.5,AND(F353&gt;=550,F353&lt;575),((F353/D353)*60)*0.75,AND(F353&gt;=575,F353&lt;600),((F353/D353)*60)*0.9,AND(F353=600),((F353/D353)*60)*1,AND(F353&gt;=601,F353&lt;=625),((F353/D353)*60)*1.2,AND(F353&gt;=626,F353&lt;=650),((F353/D353)*60)*1.5,F353&gt;=651,((F353/D353)*60)*1.8)</f>
        <v>284.21052631578948</v>
      </c>
      <c r="AU353">
        <f t="shared" si="89"/>
        <v>-12.800000000000002</v>
      </c>
      <c r="AV353">
        <f t="shared" si="104"/>
        <v>114.91368421052631</v>
      </c>
      <c r="AW353">
        <f t="shared" si="90"/>
        <v>5.5</v>
      </c>
      <c r="AX353" t="str">
        <f t="shared" si="102"/>
        <v>Aug-2022</v>
      </c>
      <c r="AY353">
        <f>ROUNDUP(Table2[[#This Row],[Month]]/3,0)</f>
        <v>3</v>
      </c>
    </row>
    <row r="354" spans="1:51" x14ac:dyDescent="0.2">
      <c r="A354">
        <v>353</v>
      </c>
      <c r="B354">
        <f t="shared" si="91"/>
        <v>17</v>
      </c>
      <c r="C354" s="22">
        <v>44796</v>
      </c>
      <c r="D354">
        <f>SUM(Table2[[#This Row],[Gray Min]:[Red Min]])</f>
        <v>61</v>
      </c>
      <c r="E354">
        <v>9</v>
      </c>
      <c r="F354">
        <v>579</v>
      </c>
      <c r="G354">
        <v>116</v>
      </c>
      <c r="H354">
        <v>168</v>
      </c>
      <c r="I354">
        <v>21</v>
      </c>
      <c r="J354">
        <v>19</v>
      </c>
      <c r="K354">
        <v>12</v>
      </c>
      <c r="L354">
        <v>8</v>
      </c>
      <c r="M354">
        <v>1</v>
      </c>
      <c r="N354" t="s">
        <v>91</v>
      </c>
      <c r="O354" t="s">
        <v>57</v>
      </c>
      <c r="P354" t="s">
        <v>134</v>
      </c>
      <c r="Q354">
        <f t="shared" si="103"/>
        <v>2</v>
      </c>
      <c r="R354" t="str">
        <f t="shared" si="92"/>
        <v>8-2022</v>
      </c>
      <c r="S354" t="s">
        <v>104</v>
      </c>
      <c r="T354" t="str">
        <f t="shared" si="93"/>
        <v>Tuesday</v>
      </c>
      <c r="U354">
        <f t="shared" si="94"/>
        <v>0</v>
      </c>
      <c r="V354" s="24">
        <f>IFERROR(Table2[[#This Row],[Gray Min]]/Table2[[#This Row],[ClassLength]],"")</f>
        <v>0.34426229508196721</v>
      </c>
      <c r="W354" s="24">
        <f>IFERROR(Table2[[#This Row],[Blue Min]]/Table2[[#This Row],[ClassLength]],"")</f>
        <v>0.31147540983606559</v>
      </c>
      <c r="X354" s="24">
        <f>IFERROR(Table2[[#This Row],[Green Min]]/Table2[[#This Row],[ClassLength]],"")</f>
        <v>0.19672131147540983</v>
      </c>
      <c r="Y354" s="24">
        <f>IFERROR(Table2[[#This Row],[Orange Min]]/Table2[[#This Row],[ClassLength]],"")</f>
        <v>0.13114754098360656</v>
      </c>
      <c r="Z354" s="24">
        <f>IFERROR(Table2[[#This Row],[Red Min]]/Table2[[#This Row],[ClassLength]],"")</f>
        <v>1.6393442622950821E-2</v>
      </c>
      <c r="AA354" s="25">
        <v>232.14</v>
      </c>
      <c r="AB354" s="25">
        <f t="shared" si="105"/>
        <v>13.655294117647058</v>
      </c>
      <c r="AC354" s="26">
        <f t="shared" si="95"/>
        <v>611.64705882352939</v>
      </c>
      <c r="AD354" s="26">
        <f t="shared" si="96"/>
        <v>14.941176470588236</v>
      </c>
      <c r="AE354">
        <f t="shared" si="97"/>
        <v>2022</v>
      </c>
      <c r="AG354">
        <v>12</v>
      </c>
      <c r="AH354" s="26">
        <f t="shared" si="98"/>
        <v>9.4918032786885238</v>
      </c>
      <c r="AI354" t="str">
        <f t="shared" si="99"/>
        <v>PM</v>
      </c>
      <c r="AJ354" t="str">
        <f t="shared" si="100"/>
        <v>8-2022-4</v>
      </c>
      <c r="AK354">
        <f t="shared" si="101"/>
        <v>8</v>
      </c>
      <c r="AL354" s="26">
        <f>IFERROR(Table2[[#This Row],[Calories]]/Table2[[#This Row],[Splat]],"")</f>
        <v>64.333333333333329</v>
      </c>
      <c r="AM354">
        <f>COUNTIF(N$2:$N$938,N354)</f>
        <v>218</v>
      </c>
      <c r="AN354" t="str">
        <f>VLOOKUP(N354,'Helpful Tables'!A:D,4,FALSE)</f>
        <v>Washington, DC</v>
      </c>
      <c r="AO354" s="24">
        <f>COUNTIF(AN:AN,Table2[[#This Row],[State]])/COUNTA(AN:AN)</f>
        <v>0.54904051172707891</v>
      </c>
      <c r="AP354">
        <f>VLOOKUP(N354,'Helpful Tables'!A:B,2,FALSE)</f>
        <v>38.934710000000003</v>
      </c>
      <c r="AQ354">
        <f>VLOOKUP(N354,'Helpful Tables'!A:C,3,FALSE)</f>
        <v>-77.058222999999998</v>
      </c>
      <c r="AR354">
        <f>COUNTIF(P$2:$P$938,P354)</f>
        <v>9</v>
      </c>
      <c r="AS354" cm="1">
        <f t="array" ref="AS354">_xlfn.IFS(E354&lt;6,((E354/D354)*60)*0.5,AND(E354&gt;=6,E354&lt;9),((E354/D354)*60)*0.75,AND(E354&gt;=9,E354&lt;=11),((E354/D354)*60)*0.9,AND(E354=12),((E354/D354)*60)*1,AND(E354&gt;=13,E354&lt;=15),((E354/D354)*60)*1.2,AND(E354&gt;=16,E354&lt;=19),((E354/D354)*60)*1.5,E354&gt;=20,((E354/D354)*60)*1.8)</f>
        <v>7.9672131147540988</v>
      </c>
      <c r="AT354" cm="1">
        <f t="array" ref="AT354">_xlfn.IFS(F354&lt;550,((F354/D354)*60)*0.5,AND(F354&gt;=550,F354&lt;575),((F354/D354)*60)*0.75,AND(F354&gt;=575,F354&lt;600),((F354/D354)*60)*0.9,AND(F354=600),((F354/D354)*60)*1,AND(F354&gt;=601,F354&lt;=625),((F354/D354)*60)*1.2,AND(F354&gt;=626,F354&lt;=650),((F354/D354)*60)*1.5,F354&gt;=651,((F354/D354)*60)*1.8)</f>
        <v>512.55737704918022</v>
      </c>
      <c r="AU354">
        <f t="shared" si="89"/>
        <v>-19.800000000000004</v>
      </c>
      <c r="AV354">
        <f t="shared" si="104"/>
        <v>204.24983606557373</v>
      </c>
      <c r="AW354">
        <f t="shared" si="90"/>
        <v>13.4</v>
      </c>
      <c r="AX354" t="str">
        <f t="shared" si="102"/>
        <v>Aug-2022</v>
      </c>
      <c r="AY354">
        <f>ROUNDUP(Table2[[#This Row],[Month]]/3,0)</f>
        <v>3</v>
      </c>
    </row>
    <row r="355" spans="1:51" x14ac:dyDescent="0.2">
      <c r="A355">
        <v>354</v>
      </c>
      <c r="B355">
        <f t="shared" si="91"/>
        <v>17</v>
      </c>
      <c r="C355" s="22">
        <v>44798</v>
      </c>
      <c r="D355">
        <f>SUM(Table2[[#This Row],[Gray Min]:[Red Min]])</f>
        <v>64</v>
      </c>
      <c r="E355">
        <v>8</v>
      </c>
      <c r="F355">
        <v>601</v>
      </c>
      <c r="G355">
        <v>117</v>
      </c>
      <c r="H355">
        <v>161</v>
      </c>
      <c r="I355">
        <v>20</v>
      </c>
      <c r="J355">
        <v>17</v>
      </c>
      <c r="K355">
        <v>19</v>
      </c>
      <c r="L355">
        <v>8</v>
      </c>
      <c r="M355">
        <v>0</v>
      </c>
      <c r="N355" t="s">
        <v>101</v>
      </c>
      <c r="O355" t="s">
        <v>39</v>
      </c>
      <c r="P355" t="s">
        <v>118</v>
      </c>
      <c r="Q355">
        <f t="shared" si="103"/>
        <v>2</v>
      </c>
      <c r="R355" t="str">
        <f t="shared" si="92"/>
        <v>8-2022</v>
      </c>
      <c r="S355" t="s">
        <v>145</v>
      </c>
      <c r="T355" t="str">
        <f t="shared" si="93"/>
        <v>Thursday</v>
      </c>
      <c r="U355">
        <f t="shared" si="94"/>
        <v>0</v>
      </c>
      <c r="V355" s="24">
        <f>IFERROR(Table2[[#This Row],[Gray Min]]/Table2[[#This Row],[ClassLength]],"")</f>
        <v>0.3125</v>
      </c>
      <c r="W355" s="24">
        <f>IFERROR(Table2[[#This Row],[Blue Min]]/Table2[[#This Row],[ClassLength]],"")</f>
        <v>0.265625</v>
      </c>
      <c r="X355" s="24">
        <f>IFERROR(Table2[[#This Row],[Green Min]]/Table2[[#This Row],[ClassLength]],"")</f>
        <v>0.296875</v>
      </c>
      <c r="Y355" s="24">
        <f>IFERROR(Table2[[#This Row],[Orange Min]]/Table2[[#This Row],[ClassLength]],"")</f>
        <v>0.125</v>
      </c>
      <c r="Z355" s="24">
        <f>IFERROR(Table2[[#This Row],[Red Min]]/Table2[[#This Row],[ClassLength]],"")</f>
        <v>0</v>
      </c>
      <c r="AA355" s="25">
        <v>232.14</v>
      </c>
      <c r="AB355" s="25">
        <f t="shared" si="105"/>
        <v>13.655294117647058</v>
      </c>
      <c r="AC355" s="26">
        <f t="shared" si="95"/>
        <v>611.64705882352939</v>
      </c>
      <c r="AD355" s="26">
        <f t="shared" si="96"/>
        <v>14.941176470588236</v>
      </c>
      <c r="AE355">
        <f t="shared" si="97"/>
        <v>2022</v>
      </c>
      <c r="AG355">
        <v>12</v>
      </c>
      <c r="AH355" s="26">
        <f t="shared" si="98"/>
        <v>9.390625</v>
      </c>
      <c r="AI355" t="str">
        <f t="shared" si="99"/>
        <v>PM</v>
      </c>
      <c r="AJ355" t="str">
        <f t="shared" si="100"/>
        <v>8-2022-4</v>
      </c>
      <c r="AK355">
        <f t="shared" si="101"/>
        <v>8</v>
      </c>
      <c r="AL355" s="26">
        <f>IFERROR(Table2[[#This Row],[Calories]]/Table2[[#This Row],[Splat]],"")</f>
        <v>75.125</v>
      </c>
      <c r="AM355">
        <f>COUNTIF(N$2:$N$938,N355)</f>
        <v>191</v>
      </c>
      <c r="AN355" t="str">
        <f>VLOOKUP(N355,'Helpful Tables'!A:D,4,FALSE)</f>
        <v>Washington, DC</v>
      </c>
      <c r="AO355" s="24">
        <f>COUNTIF(AN:AN,Table2[[#This Row],[State]])/COUNTA(AN:AN)</f>
        <v>0.54904051172707891</v>
      </c>
      <c r="AP355">
        <f>VLOOKUP(N355,'Helpful Tables'!A:B,2,FALSE)</f>
        <v>38.949649000000001</v>
      </c>
      <c r="AQ355">
        <f>VLOOKUP(N355,'Helpful Tables'!A:C,3,FALSE)</f>
        <v>-77.080878999999996</v>
      </c>
      <c r="AR355">
        <f>COUNTIF(P$2:$P$938,P355)</f>
        <v>16</v>
      </c>
      <c r="AS355" cm="1">
        <f t="array" ref="AS355">_xlfn.IFS(E355&lt;6,((E355/D355)*60)*0.5,AND(E355&gt;=6,E355&lt;9),((E355/D355)*60)*0.75,AND(E355&gt;=9,E355&lt;=11),((E355/D355)*60)*0.9,AND(E355=12),((E355/D355)*60)*1,AND(E355&gt;=13,E355&lt;=15),((E355/D355)*60)*1.2,AND(E355&gt;=16,E355&lt;=19),((E355/D355)*60)*1.5,E355&gt;=20,((E355/D355)*60)*1.8)</f>
        <v>5.625</v>
      </c>
      <c r="AT355" cm="1">
        <f t="array" ref="AT355">_xlfn.IFS(F355&lt;550,((F355/D355)*60)*0.5,AND(F355&gt;=550,F355&lt;575),((F355/D355)*60)*0.75,AND(F355&gt;=575,F355&lt;600),((F355/D355)*60)*0.9,AND(F355=600),((F355/D355)*60)*1,AND(F355&gt;=601,F355&lt;=625),((F355/D355)*60)*1.2,AND(F355&gt;=626,F355&lt;=650),((F355/D355)*60)*1.5,F355&gt;=651,((F355/D355)*60)*1.8)</f>
        <v>676.125</v>
      </c>
      <c r="AU355">
        <f t="shared" si="89"/>
        <v>-9.5000000000000018</v>
      </c>
      <c r="AV355">
        <f t="shared" si="104"/>
        <v>270.8</v>
      </c>
      <c r="AW355">
        <f t="shared" si="90"/>
        <v>23.799999999999997</v>
      </c>
      <c r="AX355" t="str">
        <f t="shared" si="102"/>
        <v>Aug-2022</v>
      </c>
      <c r="AY355">
        <f>ROUNDUP(Table2[[#This Row],[Month]]/3,0)</f>
        <v>3</v>
      </c>
    </row>
    <row r="356" spans="1:51" x14ac:dyDescent="0.2">
      <c r="A356">
        <v>355</v>
      </c>
      <c r="B356">
        <f t="shared" si="91"/>
        <v>17</v>
      </c>
      <c r="C356" s="22">
        <v>44800</v>
      </c>
      <c r="D356">
        <f>SUM(Table2[[#This Row],[Gray Min]:[Red Min]])</f>
        <v>61</v>
      </c>
      <c r="E356">
        <v>18</v>
      </c>
      <c r="F356">
        <v>542</v>
      </c>
      <c r="G356">
        <v>113</v>
      </c>
      <c r="H356">
        <v>164</v>
      </c>
      <c r="I356">
        <v>28</v>
      </c>
      <c r="J356">
        <v>7</v>
      </c>
      <c r="K356">
        <v>8</v>
      </c>
      <c r="L356">
        <v>13</v>
      </c>
      <c r="M356">
        <v>5</v>
      </c>
      <c r="N356" t="s">
        <v>101</v>
      </c>
      <c r="O356" t="s">
        <v>45</v>
      </c>
      <c r="P356" t="s">
        <v>109</v>
      </c>
      <c r="Q356">
        <f t="shared" si="103"/>
        <v>2</v>
      </c>
      <c r="R356" t="str">
        <f t="shared" si="92"/>
        <v>8-2022</v>
      </c>
      <c r="S356" t="s">
        <v>104</v>
      </c>
      <c r="T356" t="str">
        <f t="shared" si="93"/>
        <v>Saturday</v>
      </c>
      <c r="U356">
        <f t="shared" si="94"/>
        <v>1</v>
      </c>
      <c r="V356" s="24">
        <f>IFERROR(Table2[[#This Row],[Gray Min]]/Table2[[#This Row],[ClassLength]],"")</f>
        <v>0.45901639344262296</v>
      </c>
      <c r="W356" s="24">
        <f>IFERROR(Table2[[#This Row],[Blue Min]]/Table2[[#This Row],[ClassLength]],"")</f>
        <v>0.11475409836065574</v>
      </c>
      <c r="X356" s="24">
        <f>IFERROR(Table2[[#This Row],[Green Min]]/Table2[[#This Row],[ClassLength]],"")</f>
        <v>0.13114754098360656</v>
      </c>
      <c r="Y356" s="24">
        <f>IFERROR(Table2[[#This Row],[Orange Min]]/Table2[[#This Row],[ClassLength]],"")</f>
        <v>0.21311475409836064</v>
      </c>
      <c r="Z356" s="24">
        <f>IFERROR(Table2[[#This Row],[Red Min]]/Table2[[#This Row],[ClassLength]],"")</f>
        <v>8.1967213114754092E-2</v>
      </c>
      <c r="AA356" s="25">
        <v>232.14</v>
      </c>
      <c r="AB356" s="25">
        <f t="shared" si="105"/>
        <v>13.655294117647058</v>
      </c>
      <c r="AC356" s="26">
        <f t="shared" si="95"/>
        <v>611.64705882352939</v>
      </c>
      <c r="AD356" s="26">
        <f t="shared" si="96"/>
        <v>14.941176470588236</v>
      </c>
      <c r="AE356">
        <f t="shared" si="97"/>
        <v>2022</v>
      </c>
      <c r="AG356">
        <v>12</v>
      </c>
      <c r="AH356" s="26">
        <f t="shared" si="98"/>
        <v>8.8852459016393439</v>
      </c>
      <c r="AI356" t="str">
        <f t="shared" si="99"/>
        <v>AM</v>
      </c>
      <c r="AJ356" t="str">
        <f t="shared" si="100"/>
        <v>8-2022-4</v>
      </c>
      <c r="AK356">
        <f t="shared" si="101"/>
        <v>8</v>
      </c>
      <c r="AL356" s="26">
        <f>IFERROR(Table2[[#This Row],[Calories]]/Table2[[#This Row],[Splat]],"")</f>
        <v>30.111111111111111</v>
      </c>
      <c r="AM356">
        <f>COUNTIF(N$2:$N$938,N356)</f>
        <v>191</v>
      </c>
      <c r="AN356" t="str">
        <f>VLOOKUP(N356,'Helpful Tables'!A:D,4,FALSE)</f>
        <v>Washington, DC</v>
      </c>
      <c r="AO356" s="24">
        <f>COUNTIF(AN:AN,Table2[[#This Row],[State]])/COUNTA(AN:AN)</f>
        <v>0.54904051172707891</v>
      </c>
      <c r="AP356">
        <f>VLOOKUP(N356,'Helpful Tables'!A:B,2,FALSE)</f>
        <v>38.949649000000001</v>
      </c>
      <c r="AQ356">
        <f>VLOOKUP(N356,'Helpful Tables'!A:C,3,FALSE)</f>
        <v>-77.080878999999996</v>
      </c>
      <c r="AR356">
        <f>COUNTIF(P$2:$P$938,P356)</f>
        <v>66</v>
      </c>
      <c r="AS356" cm="1">
        <f t="array" ref="AS356">_xlfn.IFS(E356&lt;6,((E356/D356)*60)*0.5,AND(E356&gt;=6,E356&lt;9),((E356/D356)*60)*0.75,AND(E356&gt;=9,E356&lt;=11),((E356/D356)*60)*0.9,AND(E356=12),((E356/D356)*60)*1,AND(E356&gt;=13,E356&lt;=15),((E356/D356)*60)*1.2,AND(E356&gt;=16,E356&lt;=19),((E356/D356)*60)*1.5,E356&gt;=20,((E356/D356)*60)*1.8)</f>
        <v>26.557377049180328</v>
      </c>
      <c r="AT356" cm="1">
        <f t="array" ref="AT356">_xlfn.IFS(F356&lt;550,((F356/D356)*60)*0.5,AND(F356&gt;=550,F356&lt;575),((F356/D356)*60)*0.75,AND(F356&gt;=575,F356&lt;600),((F356/D356)*60)*0.9,AND(F356=600),((F356/D356)*60)*1,AND(F356&gt;=601,F356&lt;=625),((F356/D356)*60)*1.2,AND(F356&gt;=626,F356&lt;=650),((F356/D356)*60)*1.5,F356&gt;=651,((F356/D356)*60)*1.8)</f>
        <v>266.55737704918033</v>
      </c>
      <c r="AU356">
        <f t="shared" si="89"/>
        <v>-7.3000000000000007</v>
      </c>
      <c r="AV356">
        <f t="shared" si="104"/>
        <v>115.78590163934427</v>
      </c>
      <c r="AW356">
        <f t="shared" si="90"/>
        <v>5.8999999999999995</v>
      </c>
      <c r="AX356" t="str">
        <f t="shared" si="102"/>
        <v>Aug-2022</v>
      </c>
      <c r="AY356">
        <f>ROUNDUP(Table2[[#This Row],[Month]]/3,0)</f>
        <v>3</v>
      </c>
    </row>
    <row r="357" spans="1:51" x14ac:dyDescent="0.2">
      <c r="A357">
        <v>356</v>
      </c>
      <c r="B357">
        <f t="shared" si="91"/>
        <v>17</v>
      </c>
      <c r="C357" s="22">
        <v>44803</v>
      </c>
      <c r="D357">
        <f>SUM(Table2[[#This Row],[Gray Min]:[Red Min]])</f>
        <v>60</v>
      </c>
      <c r="E357">
        <v>15</v>
      </c>
      <c r="F357">
        <v>629</v>
      </c>
      <c r="G357">
        <v>123</v>
      </c>
      <c r="H357">
        <v>168</v>
      </c>
      <c r="I357">
        <v>11</v>
      </c>
      <c r="J357">
        <v>24</v>
      </c>
      <c r="K357">
        <v>10</v>
      </c>
      <c r="L357">
        <v>12</v>
      </c>
      <c r="M357">
        <v>3</v>
      </c>
      <c r="N357" t="s">
        <v>91</v>
      </c>
      <c r="O357" t="s">
        <v>57</v>
      </c>
      <c r="P357" t="s">
        <v>134</v>
      </c>
      <c r="Q357">
        <f t="shared" si="103"/>
        <v>3</v>
      </c>
      <c r="R357" t="str">
        <f t="shared" si="92"/>
        <v>8-2022</v>
      </c>
      <c r="S357" t="s">
        <v>104</v>
      </c>
      <c r="T357" t="str">
        <f t="shared" si="93"/>
        <v>Tuesday</v>
      </c>
      <c r="U357">
        <f t="shared" si="94"/>
        <v>1</v>
      </c>
      <c r="V357" s="24">
        <f>IFERROR(Table2[[#This Row],[Gray Min]]/Table2[[#This Row],[ClassLength]],"")</f>
        <v>0.18333333333333332</v>
      </c>
      <c r="W357" s="24">
        <f>IFERROR(Table2[[#This Row],[Blue Min]]/Table2[[#This Row],[ClassLength]],"")</f>
        <v>0.4</v>
      </c>
      <c r="X357" s="24">
        <f>IFERROR(Table2[[#This Row],[Green Min]]/Table2[[#This Row],[ClassLength]],"")</f>
        <v>0.16666666666666666</v>
      </c>
      <c r="Y357" s="24">
        <f>IFERROR(Table2[[#This Row],[Orange Min]]/Table2[[#This Row],[ClassLength]],"")</f>
        <v>0.2</v>
      </c>
      <c r="Z357" s="24">
        <f>IFERROR(Table2[[#This Row],[Red Min]]/Table2[[#This Row],[ClassLength]],"")</f>
        <v>0.05</v>
      </c>
      <c r="AA357" s="25">
        <v>232.14</v>
      </c>
      <c r="AB357" s="25">
        <f t="shared" si="105"/>
        <v>13.655294117647058</v>
      </c>
      <c r="AC357" s="26">
        <f t="shared" si="95"/>
        <v>611.64705882352939</v>
      </c>
      <c r="AD357" s="26">
        <f t="shared" si="96"/>
        <v>14.941176470588236</v>
      </c>
      <c r="AE357">
        <f t="shared" si="97"/>
        <v>2022</v>
      </c>
      <c r="AG357">
        <v>12</v>
      </c>
      <c r="AH357" s="26">
        <f t="shared" si="98"/>
        <v>10.483333333333333</v>
      </c>
      <c r="AI357" t="str">
        <f t="shared" si="99"/>
        <v>PM</v>
      </c>
      <c r="AJ357" t="str">
        <f t="shared" si="100"/>
        <v>8-2022-5</v>
      </c>
      <c r="AK357">
        <f t="shared" si="101"/>
        <v>8</v>
      </c>
      <c r="AL357" s="26">
        <f>IFERROR(Table2[[#This Row],[Calories]]/Table2[[#This Row],[Splat]],"")</f>
        <v>41.93333333333333</v>
      </c>
      <c r="AM357">
        <f>COUNTIF(N$2:$N$938,N357)</f>
        <v>218</v>
      </c>
      <c r="AN357" t="str">
        <f>VLOOKUP(N357,'Helpful Tables'!A:D,4,FALSE)</f>
        <v>Washington, DC</v>
      </c>
      <c r="AO357" s="24">
        <f>COUNTIF(AN:AN,Table2[[#This Row],[State]])/COUNTA(AN:AN)</f>
        <v>0.54904051172707891</v>
      </c>
      <c r="AP357">
        <f>VLOOKUP(N357,'Helpful Tables'!A:B,2,FALSE)</f>
        <v>38.934710000000003</v>
      </c>
      <c r="AQ357">
        <f>VLOOKUP(N357,'Helpful Tables'!A:C,3,FALSE)</f>
        <v>-77.058222999999998</v>
      </c>
      <c r="AR357">
        <f>COUNTIF(P$2:$P$938,P357)</f>
        <v>9</v>
      </c>
      <c r="AS357" cm="1">
        <f t="array" ref="AS357">_xlfn.IFS(E357&lt;6,((E357/D357)*60)*0.5,AND(E357&gt;=6,E357&lt;9),((E357/D357)*60)*0.75,AND(E357&gt;=9,E357&lt;=11),((E357/D357)*60)*0.9,AND(E357=12),((E357/D357)*60)*1,AND(E357&gt;=13,E357&lt;=15),((E357/D357)*60)*1.2,AND(E357&gt;=16,E357&lt;=19),((E357/D357)*60)*1.5,E357&gt;=20,((E357/D357)*60)*1.8)</f>
        <v>18</v>
      </c>
      <c r="AT357" cm="1">
        <f t="array" ref="AT357">_xlfn.IFS(F357&lt;550,((F357/D357)*60)*0.5,AND(F357&gt;=550,F357&lt;575),((F357/D357)*60)*0.75,AND(F357&gt;=575,F357&lt;600),((F357/D357)*60)*0.9,AND(F357=600),((F357/D357)*60)*1,AND(F357&gt;=601,F357&lt;=625),((F357/D357)*60)*1.2,AND(F357&gt;=626,F357&lt;=650),((F357/D357)*60)*1.5,F357&gt;=651,((F357/D357)*60)*1.8)</f>
        <v>943.5</v>
      </c>
      <c r="AU357">
        <f t="shared" si="89"/>
        <v>-7.5</v>
      </c>
      <c r="AV357">
        <f t="shared" si="104"/>
        <v>383.1</v>
      </c>
      <c r="AW357">
        <f t="shared" si="90"/>
        <v>46.1</v>
      </c>
      <c r="AX357" t="str">
        <f t="shared" si="102"/>
        <v>Aug-2022</v>
      </c>
      <c r="AY357">
        <f>ROUNDUP(Table2[[#This Row],[Month]]/3,0)</f>
        <v>3</v>
      </c>
    </row>
    <row r="358" spans="1:51" x14ac:dyDescent="0.2">
      <c r="A358">
        <v>357</v>
      </c>
      <c r="B358">
        <f t="shared" si="91"/>
        <v>17</v>
      </c>
      <c r="C358" s="22">
        <v>44804</v>
      </c>
      <c r="D358">
        <f>SUM(Table2[[#This Row],[Gray Min]:[Red Min]])</f>
        <v>62</v>
      </c>
      <c r="E358">
        <v>23</v>
      </c>
      <c r="F358">
        <v>654</v>
      </c>
      <c r="G358">
        <v>125</v>
      </c>
      <c r="H358">
        <v>166</v>
      </c>
      <c r="I358">
        <v>9</v>
      </c>
      <c r="J358">
        <v>21</v>
      </c>
      <c r="K358">
        <v>9</v>
      </c>
      <c r="L358">
        <v>22</v>
      </c>
      <c r="M358">
        <v>1</v>
      </c>
      <c r="N358" t="s">
        <v>91</v>
      </c>
      <c r="O358" t="s">
        <v>57</v>
      </c>
      <c r="P358" t="s">
        <v>96</v>
      </c>
      <c r="Q358">
        <f t="shared" si="103"/>
        <v>1</v>
      </c>
      <c r="R358" t="str">
        <f t="shared" si="92"/>
        <v>8-2022</v>
      </c>
      <c r="S358" t="s">
        <v>104</v>
      </c>
      <c r="T358" t="str">
        <f t="shared" si="93"/>
        <v>Wednesday</v>
      </c>
      <c r="U358">
        <f t="shared" si="94"/>
        <v>1</v>
      </c>
      <c r="V358" s="24">
        <f>IFERROR(Table2[[#This Row],[Gray Min]]/Table2[[#This Row],[ClassLength]],"")</f>
        <v>0.14516129032258066</v>
      </c>
      <c r="W358" s="24">
        <f>IFERROR(Table2[[#This Row],[Blue Min]]/Table2[[#This Row],[ClassLength]],"")</f>
        <v>0.33870967741935482</v>
      </c>
      <c r="X358" s="24">
        <f>IFERROR(Table2[[#This Row],[Green Min]]/Table2[[#This Row],[ClassLength]],"")</f>
        <v>0.14516129032258066</v>
      </c>
      <c r="Y358" s="24">
        <f>IFERROR(Table2[[#This Row],[Orange Min]]/Table2[[#This Row],[ClassLength]],"")</f>
        <v>0.35483870967741937</v>
      </c>
      <c r="Z358" s="24">
        <f>IFERROR(Table2[[#This Row],[Red Min]]/Table2[[#This Row],[ClassLength]],"")</f>
        <v>1.6129032258064516E-2</v>
      </c>
      <c r="AA358" s="25">
        <v>232.14</v>
      </c>
      <c r="AB358" s="25">
        <f t="shared" si="105"/>
        <v>13.655294117647058</v>
      </c>
      <c r="AC358" s="26">
        <f t="shared" si="95"/>
        <v>611.64705882352939</v>
      </c>
      <c r="AD358" s="26">
        <f t="shared" si="96"/>
        <v>14.941176470588236</v>
      </c>
      <c r="AE358">
        <f t="shared" si="97"/>
        <v>2022</v>
      </c>
      <c r="AG358">
        <v>12</v>
      </c>
      <c r="AH358" s="26">
        <f t="shared" si="98"/>
        <v>10.548387096774194</v>
      </c>
      <c r="AI358" t="str">
        <f t="shared" si="99"/>
        <v>PM</v>
      </c>
      <c r="AJ358" t="str">
        <f t="shared" si="100"/>
        <v>8-2022-5</v>
      </c>
      <c r="AK358">
        <f t="shared" si="101"/>
        <v>8</v>
      </c>
      <c r="AL358" s="26">
        <f>IFERROR(Table2[[#This Row],[Calories]]/Table2[[#This Row],[Splat]],"")</f>
        <v>28.434782608695652</v>
      </c>
      <c r="AM358">
        <f>COUNTIF(N$2:$N$938,N358)</f>
        <v>218</v>
      </c>
      <c r="AN358" t="str">
        <f>VLOOKUP(N358,'Helpful Tables'!A:D,4,FALSE)</f>
        <v>Washington, DC</v>
      </c>
      <c r="AO358" s="24">
        <f>COUNTIF(AN:AN,Table2[[#This Row],[State]])/COUNTA(AN:AN)</f>
        <v>0.54904051172707891</v>
      </c>
      <c r="AP358">
        <f>VLOOKUP(N358,'Helpful Tables'!A:B,2,FALSE)</f>
        <v>38.934710000000003</v>
      </c>
      <c r="AQ358">
        <f>VLOOKUP(N358,'Helpful Tables'!A:C,3,FALSE)</f>
        <v>-77.058222999999998</v>
      </c>
      <c r="AR358">
        <f>COUNTIF(P$2:$P$938,P358)</f>
        <v>71</v>
      </c>
      <c r="AS358" cm="1">
        <f t="array" ref="AS358">_xlfn.IFS(E358&lt;6,((E358/D358)*60)*0.5,AND(E358&gt;=6,E358&lt;9),((E358/D358)*60)*0.75,AND(E358&gt;=9,E358&lt;=11),((E358/D358)*60)*0.9,AND(E358=12),((E358/D358)*60)*1,AND(E358&gt;=13,E358&lt;=15),((E358/D358)*60)*1.2,AND(E358&gt;=16,E358&lt;=19),((E358/D358)*60)*1.5,E358&gt;=20,((E358/D358)*60)*1.8)</f>
        <v>40.064516129032256</v>
      </c>
      <c r="AT358" cm="1">
        <f t="array" ref="AT358">_xlfn.IFS(F358&lt;550,((F358/D358)*60)*0.5,AND(F358&gt;=550,F358&lt;575),((F358/D358)*60)*0.75,AND(F358&gt;=575,F358&lt;600),((F358/D358)*60)*0.9,AND(F358=600),((F358/D358)*60)*1,AND(F358&gt;=601,F358&lt;=625),((F358/D358)*60)*1.2,AND(F358&gt;=626,F358&lt;=650),((F358/D358)*60)*1.5,F358&gt;=651,((F358/D358)*60)*1.8)</f>
        <v>1139.2258064516129</v>
      </c>
      <c r="AU358">
        <f t="shared" si="89"/>
        <v>7</v>
      </c>
      <c r="AV358">
        <f t="shared" si="104"/>
        <v>473.11612903225807</v>
      </c>
      <c r="AW358">
        <f t="shared" si="90"/>
        <v>68.2</v>
      </c>
      <c r="AX358" t="str">
        <f t="shared" si="102"/>
        <v>Aug-2022</v>
      </c>
      <c r="AY358">
        <f>ROUNDUP(Table2[[#This Row],[Month]]/3,0)</f>
        <v>3</v>
      </c>
    </row>
    <row r="359" spans="1:51" x14ac:dyDescent="0.2">
      <c r="A359">
        <v>358</v>
      </c>
      <c r="B359">
        <f t="shared" si="91"/>
        <v>14</v>
      </c>
      <c r="C359" s="22">
        <v>44806</v>
      </c>
      <c r="D359">
        <f>SUM(Table2[[#This Row],[Gray Min]:[Red Min]])</f>
        <v>59</v>
      </c>
      <c r="E359">
        <v>12</v>
      </c>
      <c r="F359">
        <v>518</v>
      </c>
      <c r="G359">
        <v>112</v>
      </c>
      <c r="H359">
        <v>168</v>
      </c>
      <c r="I359">
        <v>27</v>
      </c>
      <c r="J359">
        <v>9</v>
      </c>
      <c r="K359">
        <v>11</v>
      </c>
      <c r="L359">
        <v>11</v>
      </c>
      <c r="M359">
        <v>1</v>
      </c>
      <c r="N359" t="s">
        <v>101</v>
      </c>
      <c r="O359" t="s">
        <v>107</v>
      </c>
      <c r="P359" t="s">
        <v>118</v>
      </c>
      <c r="Q359">
        <f t="shared" si="103"/>
        <v>2</v>
      </c>
      <c r="R359" t="str">
        <f t="shared" si="92"/>
        <v>9-2022</v>
      </c>
      <c r="S359" t="s">
        <v>104</v>
      </c>
      <c r="T359" t="str">
        <f t="shared" si="93"/>
        <v>Friday</v>
      </c>
      <c r="U359">
        <f t="shared" si="94"/>
        <v>1</v>
      </c>
      <c r="V359" s="24">
        <f>IFERROR(Table2[[#This Row],[Gray Min]]/Table2[[#This Row],[ClassLength]],"")</f>
        <v>0.4576271186440678</v>
      </c>
      <c r="W359" s="24">
        <f>IFERROR(Table2[[#This Row],[Blue Min]]/Table2[[#This Row],[ClassLength]],"")</f>
        <v>0.15254237288135594</v>
      </c>
      <c r="X359" s="24">
        <f>IFERROR(Table2[[#This Row],[Green Min]]/Table2[[#This Row],[ClassLength]],"")</f>
        <v>0.1864406779661017</v>
      </c>
      <c r="Y359" s="24">
        <f>IFERROR(Table2[[#This Row],[Orange Min]]/Table2[[#This Row],[ClassLength]],"")</f>
        <v>0.1864406779661017</v>
      </c>
      <c r="Z359" s="24">
        <f>IFERROR(Table2[[#This Row],[Red Min]]/Table2[[#This Row],[ClassLength]],"")</f>
        <v>1.6949152542372881E-2</v>
      </c>
      <c r="AA359" s="25">
        <v>232.14</v>
      </c>
      <c r="AB359" s="25">
        <f t="shared" si="105"/>
        <v>16.581428571428571</v>
      </c>
      <c r="AC359" s="26">
        <f t="shared" si="95"/>
        <v>609.92857142857144</v>
      </c>
      <c r="AD359" s="26">
        <f t="shared" si="96"/>
        <v>15.071428571428571</v>
      </c>
      <c r="AE359">
        <f t="shared" si="97"/>
        <v>2022</v>
      </c>
      <c r="AG359">
        <v>12</v>
      </c>
      <c r="AH359" s="26">
        <f t="shared" si="98"/>
        <v>8.7796610169491522</v>
      </c>
      <c r="AI359" t="str">
        <f t="shared" si="99"/>
        <v>AM</v>
      </c>
      <c r="AJ359" t="str">
        <f t="shared" si="100"/>
        <v>9-2022-1</v>
      </c>
      <c r="AK359">
        <f t="shared" si="101"/>
        <v>9</v>
      </c>
      <c r="AL359" s="26">
        <f>IFERROR(Table2[[#This Row],[Calories]]/Table2[[#This Row],[Splat]],"")</f>
        <v>43.166666666666664</v>
      </c>
      <c r="AM359">
        <f>COUNTIF(N$2:$N$938,N359)</f>
        <v>191</v>
      </c>
      <c r="AN359" t="str">
        <f>VLOOKUP(N359,'Helpful Tables'!A:D,4,FALSE)</f>
        <v>Washington, DC</v>
      </c>
      <c r="AO359" s="24">
        <f>COUNTIF(AN:AN,Table2[[#This Row],[State]])/COUNTA(AN:AN)</f>
        <v>0.54904051172707891</v>
      </c>
      <c r="AP359">
        <f>VLOOKUP(N359,'Helpful Tables'!A:B,2,FALSE)</f>
        <v>38.949649000000001</v>
      </c>
      <c r="AQ359">
        <f>VLOOKUP(N359,'Helpful Tables'!A:C,3,FALSE)</f>
        <v>-77.080878999999996</v>
      </c>
      <c r="AR359">
        <f>COUNTIF(P$2:$P$938,P359)</f>
        <v>16</v>
      </c>
      <c r="AS359" cm="1">
        <f t="array" ref="AS359">_xlfn.IFS(E359&lt;6,((E359/D359)*60)*0.5,AND(E359&gt;=6,E359&lt;9),((E359/D359)*60)*0.75,AND(E359&gt;=9,E359&lt;=11),((E359/D359)*60)*0.9,AND(E359=12),((E359/D359)*60)*1,AND(E359&gt;=13,E359&lt;=15),((E359/D359)*60)*1.2,AND(E359&gt;=16,E359&lt;=19),((E359/D359)*60)*1.5,E359&gt;=20,((E359/D359)*60)*1.8)</f>
        <v>12.203389830508476</v>
      </c>
      <c r="AT359" cm="1">
        <f t="array" ref="AT359">_xlfn.IFS(F359&lt;550,((F359/D359)*60)*0.5,AND(F359&gt;=550,F359&lt;575),((F359/D359)*60)*0.75,AND(F359&gt;=575,F359&lt;600),((F359/D359)*60)*0.9,AND(F359=600),((F359/D359)*60)*1,AND(F359&gt;=601,F359&lt;=625),((F359/D359)*60)*1.2,AND(F359&gt;=626,F359&lt;=650),((F359/D359)*60)*1.5,F359&gt;=651,((F359/D359)*60)*1.8)</f>
        <v>263.38983050847457</v>
      </c>
      <c r="AU359">
        <f t="shared" si="89"/>
        <v>-13.299999999999997</v>
      </c>
      <c r="AV359">
        <f t="shared" si="104"/>
        <v>107.57728813559324</v>
      </c>
      <c r="AW359">
        <f t="shared" si="90"/>
        <v>3.2</v>
      </c>
      <c r="AX359" t="str">
        <f t="shared" si="102"/>
        <v>Sep-2022</v>
      </c>
      <c r="AY359">
        <f>ROUNDUP(Table2[[#This Row],[Month]]/3,0)</f>
        <v>3</v>
      </c>
    </row>
    <row r="360" spans="1:51" x14ac:dyDescent="0.2">
      <c r="A360">
        <v>359</v>
      </c>
      <c r="B360">
        <f t="shared" si="91"/>
        <v>14</v>
      </c>
      <c r="C360" s="22">
        <v>44808</v>
      </c>
      <c r="D360">
        <f>SUM(Table2[[#This Row],[Gray Min]:[Red Min]])</f>
        <v>58</v>
      </c>
      <c r="E360">
        <v>15</v>
      </c>
      <c r="F360">
        <v>614</v>
      </c>
      <c r="G360">
        <v>124</v>
      </c>
      <c r="H360">
        <v>162</v>
      </c>
      <c r="I360">
        <v>9</v>
      </c>
      <c r="J360">
        <v>16</v>
      </c>
      <c r="K360">
        <v>18</v>
      </c>
      <c r="L360">
        <v>11</v>
      </c>
      <c r="M360">
        <v>4</v>
      </c>
      <c r="N360" t="s">
        <v>101</v>
      </c>
      <c r="O360" t="s">
        <v>45</v>
      </c>
      <c r="P360" t="s">
        <v>102</v>
      </c>
      <c r="Q360">
        <f t="shared" si="103"/>
        <v>2</v>
      </c>
      <c r="R360" t="str">
        <f t="shared" si="92"/>
        <v>9-2022</v>
      </c>
      <c r="S360" t="s">
        <v>104</v>
      </c>
      <c r="T360" t="str">
        <f t="shared" si="93"/>
        <v>Sunday</v>
      </c>
      <c r="U360">
        <f t="shared" si="94"/>
        <v>1</v>
      </c>
      <c r="V360" s="24">
        <f>IFERROR(Table2[[#This Row],[Gray Min]]/Table2[[#This Row],[ClassLength]],"")</f>
        <v>0.15517241379310345</v>
      </c>
      <c r="W360" s="24">
        <f>IFERROR(Table2[[#This Row],[Blue Min]]/Table2[[#This Row],[ClassLength]],"")</f>
        <v>0.27586206896551724</v>
      </c>
      <c r="X360" s="24">
        <f>IFERROR(Table2[[#This Row],[Green Min]]/Table2[[#This Row],[ClassLength]],"")</f>
        <v>0.31034482758620691</v>
      </c>
      <c r="Y360" s="24">
        <f>IFERROR(Table2[[#This Row],[Orange Min]]/Table2[[#This Row],[ClassLength]],"")</f>
        <v>0.18965517241379309</v>
      </c>
      <c r="Z360" s="24">
        <f>IFERROR(Table2[[#This Row],[Red Min]]/Table2[[#This Row],[ClassLength]],"")</f>
        <v>6.8965517241379309E-2</v>
      </c>
      <c r="AA360" s="25">
        <v>232.14</v>
      </c>
      <c r="AB360" s="25">
        <f t="shared" si="105"/>
        <v>16.581428571428571</v>
      </c>
      <c r="AC360" s="26">
        <f t="shared" si="95"/>
        <v>609.92857142857144</v>
      </c>
      <c r="AD360" s="26">
        <f t="shared" si="96"/>
        <v>15.071428571428571</v>
      </c>
      <c r="AE360">
        <f t="shared" si="97"/>
        <v>2022</v>
      </c>
      <c r="AG360">
        <v>12</v>
      </c>
      <c r="AH360" s="26">
        <f t="shared" si="98"/>
        <v>10.586206896551724</v>
      </c>
      <c r="AI360" t="str">
        <f t="shared" si="99"/>
        <v>AM</v>
      </c>
      <c r="AJ360" t="str">
        <f t="shared" si="100"/>
        <v>9-2022-2</v>
      </c>
      <c r="AK360">
        <f t="shared" si="101"/>
        <v>9</v>
      </c>
      <c r="AL360" s="26">
        <f>IFERROR(Table2[[#This Row],[Calories]]/Table2[[#This Row],[Splat]],"")</f>
        <v>40.93333333333333</v>
      </c>
      <c r="AM360">
        <f>COUNTIF(N$2:$N$938,N360)</f>
        <v>191</v>
      </c>
      <c r="AN360" t="str">
        <f>VLOOKUP(N360,'Helpful Tables'!A:D,4,FALSE)</f>
        <v>Washington, DC</v>
      </c>
      <c r="AO360" s="24">
        <f>COUNTIF(AN:AN,Table2[[#This Row],[State]])/COUNTA(AN:AN)</f>
        <v>0.54904051172707891</v>
      </c>
      <c r="AP360">
        <f>VLOOKUP(N360,'Helpful Tables'!A:B,2,FALSE)</f>
        <v>38.949649000000001</v>
      </c>
      <c r="AQ360">
        <f>VLOOKUP(N360,'Helpful Tables'!A:C,3,FALSE)</f>
        <v>-77.080878999999996</v>
      </c>
      <c r="AR360">
        <f>COUNTIF(P$2:$P$938,P360)</f>
        <v>20</v>
      </c>
      <c r="AS360" cm="1">
        <f t="array" ref="AS360">_xlfn.IFS(E360&lt;6,((E360/D360)*60)*0.5,AND(E360&gt;=6,E360&lt;9),((E360/D360)*60)*0.75,AND(E360&gt;=9,E360&lt;=11),((E360/D360)*60)*0.9,AND(E360=12),((E360/D360)*60)*1,AND(E360&gt;=13,E360&lt;=15),((E360/D360)*60)*1.2,AND(E360&gt;=16,E360&lt;=19),((E360/D360)*60)*1.5,E360&gt;=20,((E360/D360)*60)*1.8)</f>
        <v>18.620689655172413</v>
      </c>
      <c r="AT360" cm="1">
        <f t="array" ref="AT360">_xlfn.IFS(F360&lt;550,((F360/D360)*60)*0.5,AND(F360&gt;=550,F360&lt;575),((F360/D360)*60)*0.75,AND(F360&gt;=575,F360&lt;600),((F360/D360)*60)*0.9,AND(F360=600),((F360/D360)*60)*1,AND(F360&gt;=601,F360&lt;=625),((F360/D360)*60)*1.2,AND(F360&gt;=626,F360&lt;=650),((F360/D360)*60)*1.5,F360&gt;=651,((F360/D360)*60)*1.8)</f>
        <v>762.20689655172418</v>
      </c>
      <c r="AU360">
        <f t="shared" si="89"/>
        <v>13.5</v>
      </c>
      <c r="AV360">
        <f t="shared" si="104"/>
        <v>315.03103448275863</v>
      </c>
      <c r="AW360">
        <f t="shared" si="90"/>
        <v>34.1</v>
      </c>
      <c r="AX360" t="str">
        <f t="shared" si="102"/>
        <v>Sep-2022</v>
      </c>
      <c r="AY360">
        <f>ROUNDUP(Table2[[#This Row],[Month]]/3,0)</f>
        <v>3</v>
      </c>
    </row>
    <row r="361" spans="1:51" x14ac:dyDescent="0.2">
      <c r="A361">
        <v>360</v>
      </c>
      <c r="B361">
        <f t="shared" si="91"/>
        <v>14</v>
      </c>
      <c r="C361" s="22">
        <v>44810</v>
      </c>
      <c r="D361">
        <f>SUM(Table2[[#This Row],[Gray Min]:[Red Min]])</f>
        <v>60</v>
      </c>
      <c r="E361">
        <v>13</v>
      </c>
      <c r="F361">
        <v>634</v>
      </c>
      <c r="G361">
        <v>124</v>
      </c>
      <c r="H361">
        <v>168</v>
      </c>
      <c r="I361">
        <v>9</v>
      </c>
      <c r="J361">
        <v>14</v>
      </c>
      <c r="K361">
        <v>24</v>
      </c>
      <c r="L361">
        <v>8</v>
      </c>
      <c r="M361">
        <v>5</v>
      </c>
      <c r="N361" t="s">
        <v>91</v>
      </c>
      <c r="O361" t="s">
        <v>57</v>
      </c>
      <c r="P361" t="s">
        <v>134</v>
      </c>
      <c r="Q361">
        <f t="shared" si="103"/>
        <v>2</v>
      </c>
      <c r="R361" t="str">
        <f t="shared" si="92"/>
        <v>9-2022</v>
      </c>
      <c r="S361" t="s">
        <v>104</v>
      </c>
      <c r="T361" t="str">
        <f t="shared" si="93"/>
        <v>Tuesday</v>
      </c>
      <c r="U361">
        <f t="shared" si="94"/>
        <v>1</v>
      </c>
      <c r="V361" s="24">
        <f>IFERROR(Table2[[#This Row],[Gray Min]]/Table2[[#This Row],[ClassLength]],"")</f>
        <v>0.15</v>
      </c>
      <c r="W361" s="24">
        <f>IFERROR(Table2[[#This Row],[Blue Min]]/Table2[[#This Row],[ClassLength]],"")</f>
        <v>0.23333333333333334</v>
      </c>
      <c r="X361" s="24">
        <f>IFERROR(Table2[[#This Row],[Green Min]]/Table2[[#This Row],[ClassLength]],"")</f>
        <v>0.4</v>
      </c>
      <c r="Y361" s="24">
        <f>IFERROR(Table2[[#This Row],[Orange Min]]/Table2[[#This Row],[ClassLength]],"")</f>
        <v>0.13333333333333333</v>
      </c>
      <c r="Z361" s="24">
        <f>IFERROR(Table2[[#This Row],[Red Min]]/Table2[[#This Row],[ClassLength]],"")</f>
        <v>8.3333333333333329E-2</v>
      </c>
      <c r="AA361" s="25">
        <v>232.14</v>
      </c>
      <c r="AB361" s="25">
        <f t="shared" si="105"/>
        <v>16.581428571428571</v>
      </c>
      <c r="AC361" s="26">
        <f t="shared" si="95"/>
        <v>609.92857142857144</v>
      </c>
      <c r="AD361" s="26">
        <f t="shared" si="96"/>
        <v>15.071428571428571</v>
      </c>
      <c r="AE361">
        <f t="shared" si="97"/>
        <v>2022</v>
      </c>
      <c r="AG361">
        <v>12</v>
      </c>
      <c r="AH361" s="26">
        <f t="shared" si="98"/>
        <v>10.566666666666666</v>
      </c>
      <c r="AI361" t="str">
        <f t="shared" si="99"/>
        <v>PM</v>
      </c>
      <c r="AJ361" t="str">
        <f t="shared" si="100"/>
        <v>9-2022-2</v>
      </c>
      <c r="AK361">
        <f t="shared" si="101"/>
        <v>9</v>
      </c>
      <c r="AL361" s="26">
        <f>IFERROR(Table2[[#This Row],[Calories]]/Table2[[#This Row],[Splat]],"")</f>
        <v>48.769230769230766</v>
      </c>
      <c r="AM361">
        <f>COUNTIF(N$2:$N$938,N361)</f>
        <v>218</v>
      </c>
      <c r="AN361" t="str">
        <f>VLOOKUP(N361,'Helpful Tables'!A:D,4,FALSE)</f>
        <v>Washington, DC</v>
      </c>
      <c r="AO361" s="24">
        <f>COUNTIF(AN:AN,Table2[[#This Row],[State]])/COUNTA(AN:AN)</f>
        <v>0.54904051172707891</v>
      </c>
      <c r="AP361">
        <f>VLOOKUP(N361,'Helpful Tables'!A:B,2,FALSE)</f>
        <v>38.934710000000003</v>
      </c>
      <c r="AQ361">
        <f>VLOOKUP(N361,'Helpful Tables'!A:C,3,FALSE)</f>
        <v>-77.058222999999998</v>
      </c>
      <c r="AR361">
        <f>COUNTIF(P$2:$P$938,P361)</f>
        <v>9</v>
      </c>
      <c r="AS361" cm="1">
        <f t="array" ref="AS361">_xlfn.IFS(E361&lt;6,((E361/D361)*60)*0.5,AND(E361&gt;=6,E361&lt;9),((E361/D361)*60)*0.75,AND(E361&gt;=9,E361&lt;=11),((E361/D361)*60)*0.9,AND(E361=12),((E361/D361)*60)*1,AND(E361&gt;=13,E361&lt;=15),((E361/D361)*60)*1.2,AND(E361&gt;=16,E361&lt;=19),((E361/D361)*60)*1.5,E361&gt;=20,((E361/D361)*60)*1.8)</f>
        <v>15.6</v>
      </c>
      <c r="AT361" cm="1">
        <f t="array" ref="AT361">_xlfn.IFS(F361&lt;550,((F361/D361)*60)*0.5,AND(F361&gt;=550,F361&lt;575),((F361/D361)*60)*0.75,AND(F361&gt;=575,F361&lt;600),((F361/D361)*60)*0.9,AND(F361=600),((F361/D361)*60)*1,AND(F361&gt;=601,F361&lt;=625),((F361/D361)*60)*1.2,AND(F361&gt;=626,F361&lt;=650),((F361/D361)*60)*1.5,F361&gt;=651,((F361/D361)*60)*1.8)</f>
        <v>951</v>
      </c>
      <c r="AU361">
        <f t="shared" si="89"/>
        <v>20.499999999999993</v>
      </c>
      <c r="AV361">
        <f t="shared" si="104"/>
        <v>390.74000000000007</v>
      </c>
      <c r="AW361">
        <f t="shared" si="90"/>
        <v>48.699999999999996</v>
      </c>
      <c r="AX361" t="str">
        <f t="shared" si="102"/>
        <v>Sep-2022</v>
      </c>
      <c r="AY361">
        <f>ROUNDUP(Table2[[#This Row],[Month]]/3,0)</f>
        <v>3</v>
      </c>
    </row>
    <row r="362" spans="1:51" x14ac:dyDescent="0.2">
      <c r="A362">
        <v>361</v>
      </c>
      <c r="B362">
        <f t="shared" si="91"/>
        <v>14</v>
      </c>
      <c r="C362" s="22">
        <v>44811</v>
      </c>
      <c r="D362">
        <f>SUM(Table2[[#This Row],[Gray Min]:[Red Min]])</f>
        <v>59</v>
      </c>
      <c r="E362">
        <v>15</v>
      </c>
      <c r="F362">
        <v>580</v>
      </c>
      <c r="G362">
        <v>119</v>
      </c>
      <c r="H362">
        <v>163</v>
      </c>
      <c r="I362">
        <v>17</v>
      </c>
      <c r="J362">
        <v>16</v>
      </c>
      <c r="K362">
        <v>11</v>
      </c>
      <c r="L362">
        <v>13</v>
      </c>
      <c r="M362">
        <v>2</v>
      </c>
      <c r="N362" t="s">
        <v>101</v>
      </c>
      <c r="O362" t="s">
        <v>39</v>
      </c>
      <c r="P362" t="s">
        <v>147</v>
      </c>
      <c r="Q362">
        <f t="shared" si="103"/>
        <v>1</v>
      </c>
      <c r="R362" t="str">
        <f t="shared" si="92"/>
        <v>9-2022</v>
      </c>
      <c r="S362" t="s">
        <v>104</v>
      </c>
      <c r="T362" t="str">
        <f t="shared" si="93"/>
        <v>Wednesday</v>
      </c>
      <c r="U362">
        <f t="shared" si="94"/>
        <v>1</v>
      </c>
      <c r="V362" s="24">
        <f>IFERROR(Table2[[#This Row],[Gray Min]]/Table2[[#This Row],[ClassLength]],"")</f>
        <v>0.28813559322033899</v>
      </c>
      <c r="W362" s="24">
        <f>IFERROR(Table2[[#This Row],[Blue Min]]/Table2[[#This Row],[ClassLength]],"")</f>
        <v>0.2711864406779661</v>
      </c>
      <c r="X362" s="24">
        <f>IFERROR(Table2[[#This Row],[Green Min]]/Table2[[#This Row],[ClassLength]],"")</f>
        <v>0.1864406779661017</v>
      </c>
      <c r="Y362" s="24">
        <f>IFERROR(Table2[[#This Row],[Orange Min]]/Table2[[#This Row],[ClassLength]],"")</f>
        <v>0.22033898305084745</v>
      </c>
      <c r="Z362" s="24">
        <f>IFERROR(Table2[[#This Row],[Red Min]]/Table2[[#This Row],[ClassLength]],"")</f>
        <v>3.3898305084745763E-2</v>
      </c>
      <c r="AA362" s="25">
        <v>232.14</v>
      </c>
      <c r="AB362" s="25">
        <f t="shared" si="105"/>
        <v>16.581428571428571</v>
      </c>
      <c r="AC362" s="26">
        <f t="shared" si="95"/>
        <v>609.92857142857144</v>
      </c>
      <c r="AD362" s="26">
        <f t="shared" si="96"/>
        <v>15.071428571428571</v>
      </c>
      <c r="AE362">
        <f t="shared" si="97"/>
        <v>2022</v>
      </c>
      <c r="AG362">
        <v>12</v>
      </c>
      <c r="AH362" s="26">
        <f t="shared" si="98"/>
        <v>9.8305084745762716</v>
      </c>
      <c r="AI362" t="str">
        <f t="shared" si="99"/>
        <v>PM</v>
      </c>
      <c r="AJ362" t="str">
        <f t="shared" si="100"/>
        <v>9-2022-2</v>
      </c>
      <c r="AK362">
        <f t="shared" si="101"/>
        <v>9</v>
      </c>
      <c r="AL362" s="26">
        <f>IFERROR(Table2[[#This Row],[Calories]]/Table2[[#This Row],[Splat]],"")</f>
        <v>38.666666666666664</v>
      </c>
      <c r="AM362">
        <f>COUNTIF(N$2:$N$938,N362)</f>
        <v>191</v>
      </c>
      <c r="AN362" t="str">
        <f>VLOOKUP(N362,'Helpful Tables'!A:D,4,FALSE)</f>
        <v>Washington, DC</v>
      </c>
      <c r="AO362" s="24">
        <f>COUNTIF(AN:AN,Table2[[#This Row],[State]])/COUNTA(AN:AN)</f>
        <v>0.54904051172707891</v>
      </c>
      <c r="AP362">
        <f>VLOOKUP(N362,'Helpful Tables'!A:B,2,FALSE)</f>
        <v>38.949649000000001</v>
      </c>
      <c r="AQ362">
        <f>VLOOKUP(N362,'Helpful Tables'!A:C,3,FALSE)</f>
        <v>-77.080878999999996</v>
      </c>
      <c r="AR362">
        <f>COUNTIF(P$2:$P$938,P362)</f>
        <v>17</v>
      </c>
      <c r="AS362" cm="1">
        <f t="array" ref="AS362">_xlfn.IFS(E362&lt;6,((E362/D362)*60)*0.5,AND(E362&gt;=6,E362&lt;9),((E362/D362)*60)*0.75,AND(E362&gt;=9,E362&lt;=11),((E362/D362)*60)*0.9,AND(E362=12),((E362/D362)*60)*1,AND(E362&gt;=13,E362&lt;=15),((E362/D362)*60)*1.2,AND(E362&gt;=16,E362&lt;=19),((E362/D362)*60)*1.5,E362&gt;=20,((E362/D362)*60)*1.8)</f>
        <v>18.305084745762709</v>
      </c>
      <c r="AT362" cm="1">
        <f t="array" ref="AT362">_xlfn.IFS(F362&lt;550,((F362/D362)*60)*0.5,AND(F362&gt;=550,F362&lt;575),((F362/D362)*60)*0.75,AND(F362&gt;=575,F362&lt;600),((F362/D362)*60)*0.9,AND(F362=600),((F362/D362)*60)*1,AND(F362&gt;=601,F362&lt;=625),((F362/D362)*60)*1.2,AND(F362&gt;=626,F362&lt;=650),((F362/D362)*60)*1.5,F362&gt;=651,((F362/D362)*60)*1.8)</f>
        <v>530.84745762711862</v>
      </c>
      <c r="AU362">
        <f t="shared" si="89"/>
        <v>-4.8999999999999986</v>
      </c>
      <c r="AV362">
        <f t="shared" si="104"/>
        <v>218.68101694915254</v>
      </c>
      <c r="AW362">
        <f t="shared" si="90"/>
        <v>16.5</v>
      </c>
      <c r="AX362" t="str">
        <f t="shared" si="102"/>
        <v>Sep-2022</v>
      </c>
      <c r="AY362">
        <f>ROUNDUP(Table2[[#This Row],[Month]]/3,0)</f>
        <v>3</v>
      </c>
    </row>
    <row r="363" spans="1:51" x14ac:dyDescent="0.2">
      <c r="A363">
        <v>362</v>
      </c>
      <c r="B363">
        <f t="shared" si="91"/>
        <v>14</v>
      </c>
      <c r="C363" s="22">
        <v>44813</v>
      </c>
      <c r="D363">
        <f>SUM(Table2[[#This Row],[Gray Min]:[Red Min]])</f>
        <v>55</v>
      </c>
      <c r="E363">
        <v>11</v>
      </c>
      <c r="F363">
        <v>538</v>
      </c>
      <c r="G363">
        <v>119</v>
      </c>
      <c r="H363">
        <v>161</v>
      </c>
      <c r="I363">
        <v>15</v>
      </c>
      <c r="J363">
        <v>15</v>
      </c>
      <c r="K363">
        <v>14</v>
      </c>
      <c r="L363">
        <v>10</v>
      </c>
      <c r="M363">
        <v>1</v>
      </c>
      <c r="N363" t="s">
        <v>91</v>
      </c>
      <c r="O363" t="s">
        <v>89</v>
      </c>
      <c r="P363" t="s">
        <v>148</v>
      </c>
      <c r="Q363">
        <f t="shared" si="103"/>
        <v>2</v>
      </c>
      <c r="R363" t="str">
        <f t="shared" si="92"/>
        <v>9-2022</v>
      </c>
      <c r="S363" t="s">
        <v>104</v>
      </c>
      <c r="T363" t="str">
        <f t="shared" si="93"/>
        <v>Friday</v>
      </c>
      <c r="U363">
        <f t="shared" si="94"/>
        <v>0</v>
      </c>
      <c r="V363" s="24">
        <f>IFERROR(Table2[[#This Row],[Gray Min]]/Table2[[#This Row],[ClassLength]],"")</f>
        <v>0.27272727272727271</v>
      </c>
      <c r="W363" s="24">
        <f>IFERROR(Table2[[#This Row],[Blue Min]]/Table2[[#This Row],[ClassLength]],"")</f>
        <v>0.27272727272727271</v>
      </c>
      <c r="X363" s="24">
        <f>IFERROR(Table2[[#This Row],[Green Min]]/Table2[[#This Row],[ClassLength]],"")</f>
        <v>0.25454545454545452</v>
      </c>
      <c r="Y363" s="24">
        <f>IFERROR(Table2[[#This Row],[Orange Min]]/Table2[[#This Row],[ClassLength]],"")</f>
        <v>0.18181818181818182</v>
      </c>
      <c r="Z363" s="24">
        <f>IFERROR(Table2[[#This Row],[Red Min]]/Table2[[#This Row],[ClassLength]],"")</f>
        <v>1.8181818181818181E-2</v>
      </c>
      <c r="AA363" s="25">
        <v>232.14</v>
      </c>
      <c r="AB363" s="25">
        <f t="shared" si="105"/>
        <v>16.581428571428571</v>
      </c>
      <c r="AC363" s="26">
        <f t="shared" si="95"/>
        <v>609.92857142857144</v>
      </c>
      <c r="AD363" s="26">
        <f t="shared" si="96"/>
        <v>15.071428571428571</v>
      </c>
      <c r="AE363">
        <f t="shared" si="97"/>
        <v>2022</v>
      </c>
      <c r="AG363">
        <v>12</v>
      </c>
      <c r="AH363" s="26">
        <f t="shared" si="98"/>
        <v>9.7818181818181813</v>
      </c>
      <c r="AI363" t="str">
        <f t="shared" si="99"/>
        <v>AM</v>
      </c>
      <c r="AJ363" t="str">
        <f t="shared" si="100"/>
        <v>9-2022-2</v>
      </c>
      <c r="AK363">
        <f t="shared" si="101"/>
        <v>9</v>
      </c>
      <c r="AL363" s="26">
        <f>IFERROR(Table2[[#This Row],[Calories]]/Table2[[#This Row],[Splat]],"")</f>
        <v>48.909090909090907</v>
      </c>
      <c r="AM363">
        <f>COUNTIF(N$2:$N$938,N363)</f>
        <v>218</v>
      </c>
      <c r="AN363" t="str">
        <f>VLOOKUP(N363,'Helpful Tables'!A:D,4,FALSE)</f>
        <v>Washington, DC</v>
      </c>
      <c r="AO363" s="24">
        <f>COUNTIF(AN:AN,Table2[[#This Row],[State]])/COUNTA(AN:AN)</f>
        <v>0.54904051172707891</v>
      </c>
      <c r="AP363">
        <f>VLOOKUP(N363,'Helpful Tables'!A:B,2,FALSE)</f>
        <v>38.934710000000003</v>
      </c>
      <c r="AQ363">
        <f>VLOOKUP(N363,'Helpful Tables'!A:C,3,FALSE)</f>
        <v>-77.058222999999998</v>
      </c>
      <c r="AR363">
        <f>COUNTIF(P$2:$P$938,P363)</f>
        <v>14</v>
      </c>
      <c r="AS363" cm="1">
        <f t="array" ref="AS363">_xlfn.IFS(E363&lt;6,((E363/D363)*60)*0.5,AND(E363&gt;=6,E363&lt;9),((E363/D363)*60)*0.75,AND(E363&gt;=9,E363&lt;=11),((E363/D363)*60)*0.9,AND(E363=12),((E363/D363)*60)*1,AND(E363&gt;=13,E363&lt;=15),((E363/D363)*60)*1.2,AND(E363&gt;=16,E363&lt;=19),((E363/D363)*60)*1.5,E363&gt;=20,((E363/D363)*60)*1.8)</f>
        <v>10.8</v>
      </c>
      <c r="AT363" cm="1">
        <f t="array" ref="AT363">_xlfn.IFS(F363&lt;550,((F363/D363)*60)*0.5,AND(F363&gt;=550,F363&lt;575),((F363/D363)*60)*0.75,AND(F363&gt;=575,F363&lt;600),((F363/D363)*60)*0.9,AND(F363=600),((F363/D363)*60)*1,AND(F363&gt;=601,F363&lt;=625),((F363/D363)*60)*1.2,AND(F363&gt;=626,F363&lt;=650),((F363/D363)*60)*1.5,F363&gt;=651,((F363/D363)*60)*1.8)</f>
        <v>293.45454545454544</v>
      </c>
      <c r="AU363">
        <f t="shared" si="89"/>
        <v>-3.1999999999999993</v>
      </c>
      <c r="AV363">
        <f t="shared" si="104"/>
        <v>121.06181818181817</v>
      </c>
      <c r="AW363">
        <f t="shared" si="90"/>
        <v>7.1</v>
      </c>
      <c r="AX363" t="str">
        <f t="shared" si="102"/>
        <v>Sep-2022</v>
      </c>
      <c r="AY363">
        <f>ROUNDUP(Table2[[#This Row],[Month]]/3,0)</f>
        <v>3</v>
      </c>
    </row>
    <row r="364" spans="1:51" x14ac:dyDescent="0.2">
      <c r="A364">
        <v>363</v>
      </c>
      <c r="B364">
        <f t="shared" si="91"/>
        <v>14</v>
      </c>
      <c r="C364" s="22">
        <v>44814</v>
      </c>
      <c r="D364">
        <f>SUM(Table2[[#This Row],[Gray Min]:[Red Min]])</f>
        <v>60</v>
      </c>
      <c r="E364">
        <v>17</v>
      </c>
      <c r="F364">
        <v>653</v>
      </c>
      <c r="G364">
        <v>126</v>
      </c>
      <c r="H364">
        <v>162</v>
      </c>
      <c r="I364">
        <v>11</v>
      </c>
      <c r="J364">
        <v>19</v>
      </c>
      <c r="K364">
        <v>13</v>
      </c>
      <c r="L364">
        <v>13</v>
      </c>
      <c r="M364">
        <v>4</v>
      </c>
      <c r="N364" t="s">
        <v>101</v>
      </c>
      <c r="O364" t="s">
        <v>45</v>
      </c>
      <c r="P364" t="s">
        <v>109</v>
      </c>
      <c r="Q364">
        <f t="shared" si="103"/>
        <v>1</v>
      </c>
      <c r="R364" t="str">
        <f t="shared" si="92"/>
        <v>9-2022</v>
      </c>
      <c r="S364" t="s">
        <v>104</v>
      </c>
      <c r="T364" t="str">
        <f t="shared" si="93"/>
        <v>Saturday</v>
      </c>
      <c r="U364">
        <f t="shared" si="94"/>
        <v>1</v>
      </c>
      <c r="V364" s="24">
        <f>IFERROR(Table2[[#This Row],[Gray Min]]/Table2[[#This Row],[ClassLength]],"")</f>
        <v>0.18333333333333332</v>
      </c>
      <c r="W364" s="24">
        <f>IFERROR(Table2[[#This Row],[Blue Min]]/Table2[[#This Row],[ClassLength]],"")</f>
        <v>0.31666666666666665</v>
      </c>
      <c r="X364" s="24">
        <f>IFERROR(Table2[[#This Row],[Green Min]]/Table2[[#This Row],[ClassLength]],"")</f>
        <v>0.21666666666666667</v>
      </c>
      <c r="Y364" s="24">
        <f>IFERROR(Table2[[#This Row],[Orange Min]]/Table2[[#This Row],[ClassLength]],"")</f>
        <v>0.21666666666666667</v>
      </c>
      <c r="Z364" s="24">
        <f>IFERROR(Table2[[#This Row],[Red Min]]/Table2[[#This Row],[ClassLength]],"")</f>
        <v>6.6666666666666666E-2</v>
      </c>
      <c r="AA364" s="25">
        <v>232.14</v>
      </c>
      <c r="AB364" s="25">
        <f t="shared" si="105"/>
        <v>16.581428571428571</v>
      </c>
      <c r="AC364" s="26">
        <f t="shared" si="95"/>
        <v>609.92857142857144</v>
      </c>
      <c r="AD364" s="26">
        <f t="shared" si="96"/>
        <v>15.071428571428571</v>
      </c>
      <c r="AE364">
        <f t="shared" si="97"/>
        <v>2022</v>
      </c>
      <c r="AG364">
        <v>12</v>
      </c>
      <c r="AH364" s="26">
        <f t="shared" si="98"/>
        <v>10.883333333333333</v>
      </c>
      <c r="AI364" t="str">
        <f t="shared" si="99"/>
        <v>AM</v>
      </c>
      <c r="AJ364" t="str">
        <f t="shared" si="100"/>
        <v>9-2022-2</v>
      </c>
      <c r="AK364">
        <f t="shared" si="101"/>
        <v>9</v>
      </c>
      <c r="AL364" s="26">
        <f>IFERROR(Table2[[#This Row],[Calories]]/Table2[[#This Row],[Splat]],"")</f>
        <v>38.411764705882355</v>
      </c>
      <c r="AM364">
        <f>COUNTIF(N$2:$N$938,N364)</f>
        <v>191</v>
      </c>
      <c r="AN364" t="str">
        <f>VLOOKUP(N364,'Helpful Tables'!A:D,4,FALSE)</f>
        <v>Washington, DC</v>
      </c>
      <c r="AO364" s="24">
        <f>COUNTIF(AN:AN,Table2[[#This Row],[State]])/COUNTA(AN:AN)</f>
        <v>0.54904051172707891</v>
      </c>
      <c r="AP364">
        <f>VLOOKUP(N364,'Helpful Tables'!A:B,2,FALSE)</f>
        <v>38.949649000000001</v>
      </c>
      <c r="AQ364">
        <f>VLOOKUP(N364,'Helpful Tables'!A:C,3,FALSE)</f>
        <v>-77.080878999999996</v>
      </c>
      <c r="AR364">
        <f>COUNTIF(P$2:$P$938,P364)</f>
        <v>66</v>
      </c>
      <c r="AS364" cm="1">
        <f t="array" ref="AS364">_xlfn.IFS(E364&lt;6,((E364/D364)*60)*0.5,AND(E364&gt;=6,E364&lt;9),((E364/D364)*60)*0.75,AND(E364&gt;=9,E364&lt;=11),((E364/D364)*60)*0.9,AND(E364=12),((E364/D364)*60)*1,AND(E364&gt;=13,E364&lt;=15),((E364/D364)*60)*1.2,AND(E364&gt;=16,E364&lt;=19),((E364/D364)*60)*1.5,E364&gt;=20,((E364/D364)*60)*1.8)</f>
        <v>25.5</v>
      </c>
      <c r="AT364" cm="1">
        <f t="array" ref="AT364">_xlfn.IFS(F364&lt;550,((F364/D364)*60)*0.5,AND(F364&gt;=550,F364&lt;575),((F364/D364)*60)*0.75,AND(F364&gt;=575,F364&lt;600),((F364/D364)*60)*0.9,AND(F364=600),((F364/D364)*60)*1,AND(F364&gt;=601,F364&lt;=625),((F364/D364)*60)*1.2,AND(F364&gt;=626,F364&lt;=650),((F364/D364)*60)*1.5,F364&gt;=651,((F364/D364)*60)*1.8)</f>
        <v>1175.4000000000001</v>
      </c>
      <c r="AU364">
        <f t="shared" si="89"/>
        <v>4.4000000000000021</v>
      </c>
      <c r="AV364">
        <f t="shared" si="104"/>
        <v>481.24000000000007</v>
      </c>
      <c r="AW364">
        <f t="shared" si="90"/>
        <v>70.099999999999994</v>
      </c>
      <c r="AX364" t="str">
        <f t="shared" si="102"/>
        <v>Sep-2022</v>
      </c>
      <c r="AY364">
        <f>ROUNDUP(Table2[[#This Row],[Month]]/3,0)</f>
        <v>3</v>
      </c>
    </row>
    <row r="365" spans="1:51" x14ac:dyDescent="0.2">
      <c r="A365">
        <v>364</v>
      </c>
      <c r="B365">
        <f t="shared" si="91"/>
        <v>14</v>
      </c>
      <c r="C365" s="22">
        <v>44817</v>
      </c>
      <c r="D365">
        <f>SUM(Table2[[#This Row],[Gray Min]:[Red Min]])</f>
        <v>60</v>
      </c>
      <c r="E365">
        <v>16</v>
      </c>
      <c r="F365">
        <v>633</v>
      </c>
      <c r="G365">
        <v>124</v>
      </c>
      <c r="H365">
        <v>168</v>
      </c>
      <c r="I365">
        <v>11</v>
      </c>
      <c r="J365">
        <v>16</v>
      </c>
      <c r="K365">
        <v>17</v>
      </c>
      <c r="L365">
        <v>15</v>
      </c>
      <c r="M365">
        <v>1</v>
      </c>
      <c r="N365" t="s">
        <v>91</v>
      </c>
      <c r="O365" t="s">
        <v>57</v>
      </c>
      <c r="P365" t="s">
        <v>134</v>
      </c>
      <c r="Q365">
        <f t="shared" si="103"/>
        <v>3</v>
      </c>
      <c r="R365" t="str">
        <f t="shared" si="92"/>
        <v>9-2022</v>
      </c>
      <c r="S365" t="s">
        <v>104</v>
      </c>
      <c r="T365" t="str">
        <f t="shared" si="93"/>
        <v>Tuesday</v>
      </c>
      <c r="U365">
        <f t="shared" si="94"/>
        <v>1</v>
      </c>
      <c r="V365" s="24">
        <f>IFERROR(Table2[[#This Row],[Gray Min]]/Table2[[#This Row],[ClassLength]],"")</f>
        <v>0.18333333333333332</v>
      </c>
      <c r="W365" s="24">
        <f>IFERROR(Table2[[#This Row],[Blue Min]]/Table2[[#This Row],[ClassLength]],"")</f>
        <v>0.26666666666666666</v>
      </c>
      <c r="X365" s="24">
        <f>IFERROR(Table2[[#This Row],[Green Min]]/Table2[[#This Row],[ClassLength]],"")</f>
        <v>0.28333333333333333</v>
      </c>
      <c r="Y365" s="24">
        <f>IFERROR(Table2[[#This Row],[Orange Min]]/Table2[[#This Row],[ClassLength]],"")</f>
        <v>0.25</v>
      </c>
      <c r="Z365" s="24">
        <f>IFERROR(Table2[[#This Row],[Red Min]]/Table2[[#This Row],[ClassLength]],"")</f>
        <v>1.6666666666666666E-2</v>
      </c>
      <c r="AA365" s="25">
        <v>232.14</v>
      </c>
      <c r="AB365" s="25">
        <f t="shared" si="105"/>
        <v>16.581428571428571</v>
      </c>
      <c r="AC365" s="26">
        <f t="shared" si="95"/>
        <v>609.92857142857144</v>
      </c>
      <c r="AD365" s="26">
        <f t="shared" si="96"/>
        <v>15.071428571428571</v>
      </c>
      <c r="AE365">
        <f t="shared" si="97"/>
        <v>2022</v>
      </c>
      <c r="AG365">
        <v>12</v>
      </c>
      <c r="AH365" s="26">
        <f t="shared" si="98"/>
        <v>10.55</v>
      </c>
      <c r="AI365" t="str">
        <f t="shared" si="99"/>
        <v>PM</v>
      </c>
      <c r="AJ365" t="str">
        <f t="shared" si="100"/>
        <v>9-2022-3</v>
      </c>
      <c r="AK365">
        <f t="shared" si="101"/>
        <v>9</v>
      </c>
      <c r="AL365" s="26">
        <f>IFERROR(Table2[[#This Row],[Calories]]/Table2[[#This Row],[Splat]],"")</f>
        <v>39.5625</v>
      </c>
      <c r="AM365">
        <f>COUNTIF(N$2:$N$938,N365)</f>
        <v>218</v>
      </c>
      <c r="AN365" t="str">
        <f>VLOOKUP(N365,'Helpful Tables'!A:D,4,FALSE)</f>
        <v>Washington, DC</v>
      </c>
      <c r="AO365" s="24">
        <f>COUNTIF(AN:AN,Table2[[#This Row],[State]])/COUNTA(AN:AN)</f>
        <v>0.54904051172707891</v>
      </c>
      <c r="AP365">
        <f>VLOOKUP(N365,'Helpful Tables'!A:B,2,FALSE)</f>
        <v>38.934710000000003</v>
      </c>
      <c r="AQ365">
        <f>VLOOKUP(N365,'Helpful Tables'!A:C,3,FALSE)</f>
        <v>-77.058222999999998</v>
      </c>
      <c r="AR365">
        <f>COUNTIF(P$2:$P$938,P365)</f>
        <v>9</v>
      </c>
      <c r="AS365" cm="1">
        <f t="array" ref="AS365">_xlfn.IFS(E365&lt;6,((E365/D365)*60)*0.5,AND(E365&gt;=6,E365&lt;9),((E365/D365)*60)*0.75,AND(E365&gt;=9,E365&lt;=11),((E365/D365)*60)*0.9,AND(E365=12),((E365/D365)*60)*1,AND(E365&gt;=13,E365&lt;=15),((E365/D365)*60)*1.2,AND(E365&gt;=16,E365&lt;=19),((E365/D365)*60)*1.5,E365&gt;=20,((E365/D365)*60)*1.8)</f>
        <v>24</v>
      </c>
      <c r="AT365" cm="1">
        <f t="array" ref="AT365">_xlfn.IFS(F365&lt;550,((F365/D365)*60)*0.5,AND(F365&gt;=550,F365&lt;575),((F365/D365)*60)*0.75,AND(F365&gt;=575,F365&lt;600),((F365/D365)*60)*0.9,AND(F365=600),((F365/D365)*60)*1,AND(F365&gt;=601,F365&lt;=625),((F365/D365)*60)*1.2,AND(F365&gt;=626,F365&lt;=650),((F365/D365)*60)*1.5,F365&gt;=651,((F365/D365)*60)*1.8)</f>
        <v>949.5</v>
      </c>
      <c r="AU365">
        <f t="shared" si="89"/>
        <v>10.599999999999998</v>
      </c>
      <c r="AV365">
        <f t="shared" si="104"/>
        <v>391.52000000000004</v>
      </c>
      <c r="AW365">
        <f t="shared" si="90"/>
        <v>48.8</v>
      </c>
      <c r="AX365" t="str">
        <f t="shared" si="102"/>
        <v>Sep-2022</v>
      </c>
      <c r="AY365">
        <f>ROUNDUP(Table2[[#This Row],[Month]]/3,0)</f>
        <v>3</v>
      </c>
    </row>
    <row r="366" spans="1:51" x14ac:dyDescent="0.2">
      <c r="A366">
        <v>365</v>
      </c>
      <c r="B366">
        <f t="shared" si="91"/>
        <v>14</v>
      </c>
      <c r="C366" s="22">
        <v>44819</v>
      </c>
      <c r="D366">
        <f>SUM(Table2[[#This Row],[Gray Min]:[Red Min]])</f>
        <v>56</v>
      </c>
      <c r="E366">
        <v>14</v>
      </c>
      <c r="F366">
        <v>601</v>
      </c>
      <c r="G366">
        <v>125</v>
      </c>
      <c r="H366">
        <v>163</v>
      </c>
      <c r="I366">
        <v>9</v>
      </c>
      <c r="J366">
        <v>20</v>
      </c>
      <c r="K366">
        <v>13</v>
      </c>
      <c r="L366">
        <v>10</v>
      </c>
      <c r="M366">
        <v>4</v>
      </c>
      <c r="N366" t="s">
        <v>101</v>
      </c>
      <c r="O366" t="s">
        <v>107</v>
      </c>
      <c r="P366" t="s">
        <v>134</v>
      </c>
      <c r="Q366">
        <f t="shared" si="103"/>
        <v>2</v>
      </c>
      <c r="R366" t="str">
        <f t="shared" si="92"/>
        <v>9-2022</v>
      </c>
      <c r="S366" t="s">
        <v>104</v>
      </c>
      <c r="T366" t="str">
        <f t="shared" si="93"/>
        <v>Thursday</v>
      </c>
      <c r="U366">
        <f t="shared" si="94"/>
        <v>1</v>
      </c>
      <c r="V366" s="24">
        <f>IFERROR(Table2[[#This Row],[Gray Min]]/Table2[[#This Row],[ClassLength]],"")</f>
        <v>0.16071428571428573</v>
      </c>
      <c r="W366" s="24">
        <f>IFERROR(Table2[[#This Row],[Blue Min]]/Table2[[#This Row],[ClassLength]],"")</f>
        <v>0.35714285714285715</v>
      </c>
      <c r="X366" s="24">
        <f>IFERROR(Table2[[#This Row],[Green Min]]/Table2[[#This Row],[ClassLength]],"")</f>
        <v>0.23214285714285715</v>
      </c>
      <c r="Y366" s="24">
        <f>IFERROR(Table2[[#This Row],[Orange Min]]/Table2[[#This Row],[ClassLength]],"")</f>
        <v>0.17857142857142858</v>
      </c>
      <c r="Z366" s="24">
        <f>IFERROR(Table2[[#This Row],[Red Min]]/Table2[[#This Row],[ClassLength]],"")</f>
        <v>7.1428571428571425E-2</v>
      </c>
      <c r="AA366" s="25">
        <v>232.14</v>
      </c>
      <c r="AB366" s="25">
        <f t="shared" si="105"/>
        <v>16.581428571428571</v>
      </c>
      <c r="AC366" s="26">
        <f t="shared" si="95"/>
        <v>609.92857142857144</v>
      </c>
      <c r="AD366" s="26">
        <f t="shared" si="96"/>
        <v>15.071428571428571</v>
      </c>
      <c r="AE366">
        <f t="shared" si="97"/>
        <v>2022</v>
      </c>
      <c r="AG366">
        <v>12</v>
      </c>
      <c r="AH366" s="26">
        <f t="shared" si="98"/>
        <v>10.732142857142858</v>
      </c>
      <c r="AI366" t="str">
        <f t="shared" si="99"/>
        <v>AM</v>
      </c>
      <c r="AJ366" t="str">
        <f t="shared" si="100"/>
        <v>9-2022-3</v>
      </c>
      <c r="AK366">
        <f t="shared" si="101"/>
        <v>9</v>
      </c>
      <c r="AL366" s="26">
        <f>IFERROR(Table2[[#This Row],[Calories]]/Table2[[#This Row],[Splat]],"")</f>
        <v>42.928571428571431</v>
      </c>
      <c r="AM366">
        <f>COUNTIF(N$2:$N$938,N366)</f>
        <v>191</v>
      </c>
      <c r="AN366" t="str">
        <f>VLOOKUP(N366,'Helpful Tables'!A:D,4,FALSE)</f>
        <v>Washington, DC</v>
      </c>
      <c r="AO366" s="24">
        <f>COUNTIF(AN:AN,Table2[[#This Row],[State]])/COUNTA(AN:AN)</f>
        <v>0.54904051172707891</v>
      </c>
      <c r="AP366">
        <f>VLOOKUP(N366,'Helpful Tables'!A:B,2,FALSE)</f>
        <v>38.949649000000001</v>
      </c>
      <c r="AQ366">
        <f>VLOOKUP(N366,'Helpful Tables'!A:C,3,FALSE)</f>
        <v>-77.080878999999996</v>
      </c>
      <c r="AR366">
        <f>COUNTIF(P$2:$P$938,P366)</f>
        <v>9</v>
      </c>
      <c r="AS366" cm="1">
        <f t="array" ref="AS366">_xlfn.IFS(E366&lt;6,((E366/D366)*60)*0.5,AND(E366&gt;=6,E366&lt;9),((E366/D366)*60)*0.75,AND(E366&gt;=9,E366&lt;=11),((E366/D366)*60)*0.9,AND(E366=12),((E366/D366)*60)*1,AND(E366&gt;=13,E366&lt;=15),((E366/D366)*60)*1.2,AND(E366&gt;=16,E366&lt;=19),((E366/D366)*60)*1.5,E366&gt;=20,((E366/D366)*60)*1.8)</f>
        <v>18</v>
      </c>
      <c r="AT366" cm="1">
        <f t="array" ref="AT366">_xlfn.IFS(F366&lt;550,((F366/D366)*60)*0.5,AND(F366&gt;=550,F366&lt;575),((F366/D366)*60)*0.75,AND(F366&gt;=575,F366&lt;600),((F366/D366)*60)*0.9,AND(F366=600),((F366/D366)*60)*1,AND(F366&gt;=601,F366&lt;=625),((F366/D366)*60)*1.2,AND(F366&gt;=626,F366&lt;=650),((F366/D366)*60)*1.5,F366&gt;=651,((F366/D366)*60)*1.8)</f>
        <v>772.71428571428567</v>
      </c>
      <c r="AU366">
        <f t="shared" ref="AU366:AU429" si="106">(I366*-1.2)+(J366*-1.1)+(K366*1.2)+(L366*1.3)+(M366*1.5)</f>
        <v>1.8000000000000043</v>
      </c>
      <c r="AV366">
        <f t="shared" si="104"/>
        <v>316.64571428571429</v>
      </c>
      <c r="AW366">
        <f t="shared" ref="AW366:AW429" si="107">PERCENTRANK(AV:AV,AV366)*100</f>
        <v>35.099999999999994</v>
      </c>
      <c r="AX366" t="str">
        <f t="shared" si="102"/>
        <v>Sep-2022</v>
      </c>
      <c r="AY366">
        <f>ROUNDUP(Table2[[#This Row],[Month]]/3,0)</f>
        <v>3</v>
      </c>
    </row>
    <row r="367" spans="1:51" x14ac:dyDescent="0.2">
      <c r="A367">
        <v>366</v>
      </c>
      <c r="B367">
        <f t="shared" si="91"/>
        <v>14</v>
      </c>
      <c r="C367" s="22">
        <v>44821</v>
      </c>
      <c r="D367">
        <f>SUM(Table2[[#This Row],[Gray Min]:[Red Min]])</f>
        <v>59</v>
      </c>
      <c r="E367">
        <v>20</v>
      </c>
      <c r="F367">
        <v>696</v>
      </c>
      <c r="G367">
        <v>131</v>
      </c>
      <c r="H367">
        <v>171</v>
      </c>
      <c r="I367">
        <v>6</v>
      </c>
      <c r="J367">
        <v>14</v>
      </c>
      <c r="K367">
        <v>19</v>
      </c>
      <c r="L367">
        <v>16</v>
      </c>
      <c r="M367">
        <v>4</v>
      </c>
      <c r="N367" t="s">
        <v>149</v>
      </c>
      <c r="O367" t="s">
        <v>81</v>
      </c>
      <c r="P367" t="s">
        <v>150</v>
      </c>
      <c r="Q367">
        <f t="shared" si="103"/>
        <v>2</v>
      </c>
      <c r="R367" t="str">
        <f t="shared" si="92"/>
        <v>9-2022</v>
      </c>
      <c r="S367" t="s">
        <v>104</v>
      </c>
      <c r="T367" t="str">
        <f t="shared" si="93"/>
        <v>Saturday</v>
      </c>
      <c r="U367">
        <f t="shared" si="94"/>
        <v>1</v>
      </c>
      <c r="V367" s="24">
        <f>IFERROR(Table2[[#This Row],[Gray Min]]/Table2[[#This Row],[ClassLength]],"")</f>
        <v>0.10169491525423729</v>
      </c>
      <c r="W367" s="24">
        <f>IFERROR(Table2[[#This Row],[Blue Min]]/Table2[[#This Row],[ClassLength]],"")</f>
        <v>0.23728813559322035</v>
      </c>
      <c r="X367" s="24">
        <f>IFERROR(Table2[[#This Row],[Green Min]]/Table2[[#This Row],[ClassLength]],"")</f>
        <v>0.32203389830508472</v>
      </c>
      <c r="Y367" s="24">
        <f>IFERROR(Table2[[#This Row],[Orange Min]]/Table2[[#This Row],[ClassLength]],"")</f>
        <v>0.2711864406779661</v>
      </c>
      <c r="Z367" s="24">
        <f>IFERROR(Table2[[#This Row],[Red Min]]/Table2[[#This Row],[ClassLength]],"")</f>
        <v>6.7796610169491525E-2</v>
      </c>
      <c r="AA367" s="25">
        <v>232.14</v>
      </c>
      <c r="AB367" s="25">
        <f t="shared" si="105"/>
        <v>16.581428571428571</v>
      </c>
      <c r="AC367" s="26">
        <f t="shared" si="95"/>
        <v>609.92857142857144</v>
      </c>
      <c r="AD367" s="26">
        <f t="shared" si="96"/>
        <v>15.071428571428571</v>
      </c>
      <c r="AE367">
        <f t="shared" si="97"/>
        <v>2022</v>
      </c>
      <c r="AG367">
        <v>12</v>
      </c>
      <c r="AH367" s="26">
        <f t="shared" si="98"/>
        <v>11.796610169491526</v>
      </c>
      <c r="AI367" t="str">
        <f t="shared" si="99"/>
        <v>AM</v>
      </c>
      <c r="AJ367" t="str">
        <f t="shared" si="100"/>
        <v>9-2022-3</v>
      </c>
      <c r="AK367">
        <f t="shared" si="101"/>
        <v>9</v>
      </c>
      <c r="AL367" s="26">
        <f>IFERROR(Table2[[#This Row],[Calories]]/Table2[[#This Row],[Splat]],"")</f>
        <v>34.799999999999997</v>
      </c>
      <c r="AM367">
        <f>COUNTIF(N$2:$N$938,N367)</f>
        <v>1</v>
      </c>
      <c r="AN367" t="str">
        <f>VLOOKUP(N367,'Helpful Tables'!A:D,4,FALSE)</f>
        <v>Missouri</v>
      </c>
      <c r="AO367" s="24">
        <f>COUNTIF(AN:AN,Table2[[#This Row],[State]])/COUNTA(AN:AN)</f>
        <v>1.0660980810234541E-3</v>
      </c>
      <c r="AP367">
        <f>VLOOKUP(N367,'Helpful Tables'!A:B,2,FALSE)</f>
        <v>38.643540000000002</v>
      </c>
      <c r="AQ367">
        <f>VLOOKUP(N367,'Helpful Tables'!A:C,3,FALSE)</f>
        <v>-90.261263999999997</v>
      </c>
      <c r="AR367">
        <f>COUNTIF(P$2:$P$938,P367)</f>
        <v>1</v>
      </c>
      <c r="AS367" cm="1">
        <f t="array" ref="AS367">_xlfn.IFS(E367&lt;6,((E367/D367)*60)*0.5,AND(E367&gt;=6,E367&lt;9),((E367/D367)*60)*0.75,AND(E367&gt;=9,E367&lt;=11),((E367/D367)*60)*0.9,AND(E367=12),((E367/D367)*60)*1,AND(E367&gt;=13,E367&lt;=15),((E367/D367)*60)*1.2,AND(E367&gt;=16,E367&lt;=19),((E367/D367)*60)*1.5,E367&gt;=20,((E367/D367)*60)*1.8)</f>
        <v>36.610169491525426</v>
      </c>
      <c r="AT367" cm="1">
        <f t="array" ref="AT367">_xlfn.IFS(F367&lt;550,((F367/D367)*60)*0.5,AND(F367&gt;=550,F367&lt;575),((F367/D367)*60)*0.75,AND(F367&gt;=575,F367&lt;600),((F367/D367)*60)*0.9,AND(F367=600),((F367/D367)*60)*1,AND(F367&gt;=601,F367&lt;=625),((F367/D367)*60)*1.2,AND(F367&gt;=626,F367&lt;=650),((F367/D367)*60)*1.5,F367&gt;=651,((F367/D367)*60)*1.8)</f>
        <v>1274.0338983050849</v>
      </c>
      <c r="AU367">
        <f t="shared" si="106"/>
        <v>27</v>
      </c>
      <c r="AV367">
        <f t="shared" si="104"/>
        <v>529.6576271186442</v>
      </c>
      <c r="AW367">
        <f t="shared" si="107"/>
        <v>93.5</v>
      </c>
      <c r="AX367" t="str">
        <f t="shared" si="102"/>
        <v>Sep-2022</v>
      </c>
      <c r="AY367">
        <f>ROUNDUP(Table2[[#This Row],[Month]]/3,0)</f>
        <v>3</v>
      </c>
    </row>
    <row r="368" spans="1:51" x14ac:dyDescent="0.2">
      <c r="A368">
        <v>367</v>
      </c>
      <c r="B368">
        <f t="shared" si="91"/>
        <v>14</v>
      </c>
      <c r="C368" s="22">
        <v>44824</v>
      </c>
      <c r="D368">
        <f>SUM(Table2[[#This Row],[Gray Min]:[Red Min]])</f>
        <v>53</v>
      </c>
      <c r="E368">
        <v>15</v>
      </c>
      <c r="F368">
        <v>630</v>
      </c>
      <c r="G368">
        <v>133</v>
      </c>
      <c r="H368">
        <v>168</v>
      </c>
      <c r="I368">
        <v>2</v>
      </c>
      <c r="J368">
        <v>10</v>
      </c>
      <c r="K368">
        <v>26</v>
      </c>
      <c r="L368">
        <v>10</v>
      </c>
      <c r="M368">
        <v>5</v>
      </c>
      <c r="N368" t="s">
        <v>152</v>
      </c>
      <c r="O368" t="s">
        <v>76</v>
      </c>
      <c r="P368" t="s">
        <v>153</v>
      </c>
      <c r="Q368">
        <f t="shared" si="103"/>
        <v>3</v>
      </c>
      <c r="R368" t="str">
        <f t="shared" si="92"/>
        <v>9-2022</v>
      </c>
      <c r="S368" t="s">
        <v>104</v>
      </c>
      <c r="T368" t="str">
        <f t="shared" si="93"/>
        <v>Tuesday</v>
      </c>
      <c r="U368">
        <f t="shared" si="94"/>
        <v>1</v>
      </c>
      <c r="V368" s="24">
        <f>IFERROR(Table2[[#This Row],[Gray Min]]/Table2[[#This Row],[ClassLength]],"")</f>
        <v>3.7735849056603772E-2</v>
      </c>
      <c r="W368" s="24">
        <f>IFERROR(Table2[[#This Row],[Blue Min]]/Table2[[#This Row],[ClassLength]],"")</f>
        <v>0.18867924528301888</v>
      </c>
      <c r="X368" s="24">
        <f>IFERROR(Table2[[#This Row],[Green Min]]/Table2[[#This Row],[ClassLength]],"")</f>
        <v>0.49056603773584906</v>
      </c>
      <c r="Y368" s="24">
        <f>IFERROR(Table2[[#This Row],[Orange Min]]/Table2[[#This Row],[ClassLength]],"")</f>
        <v>0.18867924528301888</v>
      </c>
      <c r="Z368" s="24">
        <f>IFERROR(Table2[[#This Row],[Red Min]]/Table2[[#This Row],[ClassLength]],"")</f>
        <v>9.4339622641509441E-2</v>
      </c>
      <c r="AA368" s="25">
        <v>232.14</v>
      </c>
      <c r="AB368" s="25">
        <f t="shared" si="105"/>
        <v>16.581428571428571</v>
      </c>
      <c r="AC368" s="26">
        <f t="shared" si="95"/>
        <v>609.92857142857144</v>
      </c>
      <c r="AD368" s="26">
        <f t="shared" si="96"/>
        <v>15.071428571428571</v>
      </c>
      <c r="AE368">
        <f t="shared" si="97"/>
        <v>2022</v>
      </c>
      <c r="AG368">
        <v>12</v>
      </c>
      <c r="AH368" s="26">
        <f t="shared" si="98"/>
        <v>11.886792452830189</v>
      </c>
      <c r="AI368" t="str">
        <f t="shared" si="99"/>
        <v>AM</v>
      </c>
      <c r="AJ368" t="str">
        <f t="shared" si="100"/>
        <v>9-2022-4</v>
      </c>
      <c r="AK368">
        <f t="shared" si="101"/>
        <v>9</v>
      </c>
      <c r="AL368" s="26">
        <f>IFERROR(Table2[[#This Row],[Calories]]/Table2[[#This Row],[Splat]],"")</f>
        <v>42</v>
      </c>
      <c r="AM368">
        <f>COUNTIF(N$2:$N$938,N368)</f>
        <v>1</v>
      </c>
      <c r="AN368" t="str">
        <f>VLOOKUP(N368,'Helpful Tables'!A:D,4,FALSE)</f>
        <v>Tennessee</v>
      </c>
      <c r="AO368" s="24">
        <f>COUNTIF(AN:AN,Table2[[#This Row],[State]])/COUNTA(AN:AN)</f>
        <v>1.0660980810234541E-3</v>
      </c>
      <c r="AP368">
        <f>VLOOKUP(N368,'Helpful Tables'!A:B,2,FALSE)</f>
        <v>36.152177000000002</v>
      </c>
      <c r="AQ368">
        <f>VLOOKUP(N368,'Helpful Tables'!A:C,3,FALSE)</f>
        <v>-86.793220000000005</v>
      </c>
      <c r="AR368">
        <f>COUNTIF(P$2:$P$938,P368)</f>
        <v>1</v>
      </c>
      <c r="AS368" cm="1">
        <f t="array" ref="AS368">_xlfn.IFS(E368&lt;6,((E368/D368)*60)*0.5,AND(E368&gt;=6,E368&lt;9),((E368/D368)*60)*0.75,AND(E368&gt;=9,E368&lt;=11),((E368/D368)*60)*0.9,AND(E368=12),((E368/D368)*60)*1,AND(E368&gt;=13,E368&lt;=15),((E368/D368)*60)*1.2,AND(E368&gt;=16,E368&lt;=19),((E368/D368)*60)*1.5,E368&gt;=20,((E368/D368)*60)*1.8)</f>
        <v>20.377358490566039</v>
      </c>
      <c r="AT368" cm="1">
        <f t="array" ref="AT368">_xlfn.IFS(F368&lt;550,((F368/D368)*60)*0.5,AND(F368&gt;=550,F368&lt;575),((F368/D368)*60)*0.75,AND(F368&gt;=575,F368&lt;600),((F368/D368)*60)*0.9,AND(F368=600),((F368/D368)*60)*1,AND(F368&gt;=601,F368&lt;=625),((F368/D368)*60)*1.2,AND(F368&gt;=626,F368&lt;=650),((F368/D368)*60)*1.5,F368&gt;=651,((F368/D368)*60)*1.8)</f>
        <v>1069.8113207547171</v>
      </c>
      <c r="AU368">
        <f t="shared" si="106"/>
        <v>38.299999999999997</v>
      </c>
      <c r="AV368">
        <f t="shared" si="104"/>
        <v>443.73547169811332</v>
      </c>
      <c r="AW368">
        <f t="shared" si="107"/>
        <v>65.600000000000009</v>
      </c>
      <c r="AX368" t="str">
        <f t="shared" si="102"/>
        <v>Sep-2022</v>
      </c>
      <c r="AY368">
        <f>ROUNDUP(Table2[[#This Row],[Month]]/3,0)</f>
        <v>3</v>
      </c>
    </row>
    <row r="369" spans="1:51" x14ac:dyDescent="0.2">
      <c r="A369">
        <v>368</v>
      </c>
      <c r="B369">
        <f t="shared" si="91"/>
        <v>14</v>
      </c>
      <c r="C369" s="22">
        <v>44826</v>
      </c>
      <c r="D369">
        <f>SUM(Table2[[#This Row],[Gray Min]:[Red Min]])</f>
        <v>54</v>
      </c>
      <c r="E369">
        <v>21</v>
      </c>
      <c r="F369">
        <v>643</v>
      </c>
      <c r="G369">
        <v>132</v>
      </c>
      <c r="H369">
        <v>163</v>
      </c>
      <c r="I369">
        <v>4</v>
      </c>
      <c r="J369">
        <v>12</v>
      </c>
      <c r="K369">
        <v>17</v>
      </c>
      <c r="L369">
        <v>17</v>
      </c>
      <c r="M369">
        <v>4</v>
      </c>
      <c r="N369" t="s">
        <v>91</v>
      </c>
      <c r="O369" t="s">
        <v>57</v>
      </c>
      <c r="P369" t="s">
        <v>98</v>
      </c>
      <c r="Q369">
        <f t="shared" si="103"/>
        <v>2</v>
      </c>
      <c r="R369" t="str">
        <f t="shared" si="92"/>
        <v>9-2022</v>
      </c>
      <c r="S369" t="s">
        <v>104</v>
      </c>
      <c r="T369" t="str">
        <f t="shared" si="93"/>
        <v>Thursday</v>
      </c>
      <c r="U369">
        <f t="shared" si="94"/>
        <v>1</v>
      </c>
      <c r="V369" s="24">
        <f>IFERROR(Table2[[#This Row],[Gray Min]]/Table2[[#This Row],[ClassLength]],"")</f>
        <v>7.407407407407407E-2</v>
      </c>
      <c r="W369" s="24">
        <f>IFERROR(Table2[[#This Row],[Blue Min]]/Table2[[#This Row],[ClassLength]],"")</f>
        <v>0.22222222222222221</v>
      </c>
      <c r="X369" s="24">
        <f>IFERROR(Table2[[#This Row],[Green Min]]/Table2[[#This Row],[ClassLength]],"")</f>
        <v>0.31481481481481483</v>
      </c>
      <c r="Y369" s="24">
        <f>IFERROR(Table2[[#This Row],[Orange Min]]/Table2[[#This Row],[ClassLength]],"")</f>
        <v>0.31481481481481483</v>
      </c>
      <c r="Z369" s="24">
        <f>IFERROR(Table2[[#This Row],[Red Min]]/Table2[[#This Row],[ClassLength]],"")</f>
        <v>7.407407407407407E-2</v>
      </c>
      <c r="AA369" s="25">
        <v>232.14</v>
      </c>
      <c r="AB369" s="25">
        <f t="shared" si="105"/>
        <v>16.581428571428571</v>
      </c>
      <c r="AC369" s="26">
        <f t="shared" si="95"/>
        <v>609.92857142857144</v>
      </c>
      <c r="AD369" s="26">
        <f t="shared" si="96"/>
        <v>15.071428571428571</v>
      </c>
      <c r="AE369">
        <f t="shared" si="97"/>
        <v>2022</v>
      </c>
      <c r="AG369">
        <v>12</v>
      </c>
      <c r="AH369" s="26">
        <f t="shared" si="98"/>
        <v>11.907407407407407</v>
      </c>
      <c r="AI369" t="str">
        <f t="shared" si="99"/>
        <v>PM</v>
      </c>
      <c r="AJ369" t="str">
        <f t="shared" si="100"/>
        <v>9-2022-4</v>
      </c>
      <c r="AK369">
        <f t="shared" si="101"/>
        <v>9</v>
      </c>
      <c r="AL369" s="26">
        <f>IFERROR(Table2[[#This Row],[Calories]]/Table2[[#This Row],[Splat]],"")</f>
        <v>30.61904761904762</v>
      </c>
      <c r="AM369">
        <f>COUNTIF(N$2:$N$938,N369)</f>
        <v>218</v>
      </c>
      <c r="AN369" t="str">
        <f>VLOOKUP(N369,'Helpful Tables'!A:D,4,FALSE)</f>
        <v>Washington, DC</v>
      </c>
      <c r="AO369" s="24">
        <f>COUNTIF(AN:AN,Table2[[#This Row],[State]])/COUNTA(AN:AN)</f>
        <v>0.54904051172707891</v>
      </c>
      <c r="AP369">
        <f>VLOOKUP(N369,'Helpful Tables'!A:B,2,FALSE)</f>
        <v>38.934710000000003</v>
      </c>
      <c r="AQ369">
        <f>VLOOKUP(N369,'Helpful Tables'!A:C,3,FALSE)</f>
        <v>-77.058222999999998</v>
      </c>
      <c r="AR369">
        <f>COUNTIF(P$2:$P$938,P369)</f>
        <v>28</v>
      </c>
      <c r="AS369" cm="1">
        <f t="array" ref="AS369">_xlfn.IFS(E369&lt;6,((E369/D369)*60)*0.5,AND(E369&gt;=6,E369&lt;9),((E369/D369)*60)*0.75,AND(E369&gt;=9,E369&lt;=11),((E369/D369)*60)*0.9,AND(E369=12),((E369/D369)*60)*1,AND(E369&gt;=13,E369&lt;=15),((E369/D369)*60)*1.2,AND(E369&gt;=16,E369&lt;=19),((E369/D369)*60)*1.5,E369&gt;=20,((E369/D369)*60)*1.8)</f>
        <v>42</v>
      </c>
      <c r="AT369" cm="1">
        <f t="array" ref="AT369">_xlfn.IFS(F369&lt;550,((F369/D369)*60)*0.5,AND(F369&gt;=550,F369&lt;575),((F369/D369)*60)*0.75,AND(F369&gt;=575,F369&lt;600),((F369/D369)*60)*0.9,AND(F369=600),((F369/D369)*60)*1,AND(F369&gt;=601,F369&lt;=625),((F369/D369)*60)*1.2,AND(F369&gt;=626,F369&lt;=650),((F369/D369)*60)*1.5,F369&gt;=651,((F369/D369)*60)*1.8)</f>
        <v>1071.6666666666665</v>
      </c>
      <c r="AU369">
        <f t="shared" si="106"/>
        <v>30.5</v>
      </c>
      <c r="AV369">
        <f t="shared" si="104"/>
        <v>451.56666666666666</v>
      </c>
      <c r="AW369">
        <f t="shared" si="107"/>
        <v>65.8</v>
      </c>
      <c r="AX369" t="str">
        <f t="shared" si="102"/>
        <v>Sep-2022</v>
      </c>
      <c r="AY369">
        <f>ROUNDUP(Table2[[#This Row],[Month]]/3,0)</f>
        <v>3</v>
      </c>
    </row>
    <row r="370" spans="1:51" x14ac:dyDescent="0.2">
      <c r="A370">
        <v>369</v>
      </c>
      <c r="B370">
        <f t="shared" si="91"/>
        <v>14</v>
      </c>
      <c r="C370" s="22">
        <v>44829</v>
      </c>
      <c r="D370">
        <f>SUM(Table2[[#This Row],[Gray Min]:[Red Min]])</f>
        <v>56</v>
      </c>
      <c r="E370">
        <v>15</v>
      </c>
      <c r="F370">
        <v>584</v>
      </c>
      <c r="G370">
        <v>122</v>
      </c>
      <c r="H370">
        <v>165</v>
      </c>
      <c r="I370">
        <v>15</v>
      </c>
      <c r="J370">
        <v>14</v>
      </c>
      <c r="K370">
        <v>12</v>
      </c>
      <c r="L370">
        <v>12</v>
      </c>
      <c r="M370">
        <v>3</v>
      </c>
      <c r="N370" t="s">
        <v>91</v>
      </c>
      <c r="O370" t="s">
        <v>79</v>
      </c>
      <c r="P370" t="s">
        <v>100</v>
      </c>
      <c r="Q370">
        <f t="shared" si="103"/>
        <v>3</v>
      </c>
      <c r="R370" t="str">
        <f t="shared" si="92"/>
        <v>9-2022</v>
      </c>
      <c r="S370" t="s">
        <v>104</v>
      </c>
      <c r="T370" t="str">
        <f t="shared" si="93"/>
        <v>Sunday</v>
      </c>
      <c r="U370">
        <f t="shared" si="94"/>
        <v>1</v>
      </c>
      <c r="V370" s="24">
        <f>IFERROR(Table2[[#This Row],[Gray Min]]/Table2[[#This Row],[ClassLength]],"")</f>
        <v>0.26785714285714285</v>
      </c>
      <c r="W370" s="24">
        <f>IFERROR(Table2[[#This Row],[Blue Min]]/Table2[[#This Row],[ClassLength]],"")</f>
        <v>0.25</v>
      </c>
      <c r="X370" s="24">
        <f>IFERROR(Table2[[#This Row],[Green Min]]/Table2[[#This Row],[ClassLength]],"")</f>
        <v>0.21428571428571427</v>
      </c>
      <c r="Y370" s="24">
        <f>IFERROR(Table2[[#This Row],[Orange Min]]/Table2[[#This Row],[ClassLength]],"")</f>
        <v>0.21428571428571427</v>
      </c>
      <c r="Z370" s="24">
        <f>IFERROR(Table2[[#This Row],[Red Min]]/Table2[[#This Row],[ClassLength]],"")</f>
        <v>5.3571428571428568E-2</v>
      </c>
      <c r="AA370" s="25">
        <v>232.14</v>
      </c>
      <c r="AB370" s="25">
        <f t="shared" si="105"/>
        <v>16.581428571428571</v>
      </c>
      <c r="AC370" s="26">
        <f t="shared" si="95"/>
        <v>609.92857142857144</v>
      </c>
      <c r="AD370" s="26">
        <f t="shared" si="96"/>
        <v>15.071428571428571</v>
      </c>
      <c r="AE370">
        <f t="shared" si="97"/>
        <v>2022</v>
      </c>
      <c r="AG370">
        <v>12</v>
      </c>
      <c r="AH370" s="26">
        <f t="shared" si="98"/>
        <v>10.428571428571429</v>
      </c>
      <c r="AI370" t="str">
        <f t="shared" si="99"/>
        <v>AM</v>
      </c>
      <c r="AJ370" t="str">
        <f t="shared" si="100"/>
        <v>9-2022-5</v>
      </c>
      <c r="AK370">
        <f t="shared" si="101"/>
        <v>9</v>
      </c>
      <c r="AL370" s="26">
        <f>IFERROR(Table2[[#This Row],[Calories]]/Table2[[#This Row],[Splat]],"")</f>
        <v>38.93333333333333</v>
      </c>
      <c r="AM370">
        <f>COUNTIF(N$2:$N$938,N370)</f>
        <v>218</v>
      </c>
      <c r="AN370" t="str">
        <f>VLOOKUP(N370,'Helpful Tables'!A:D,4,FALSE)</f>
        <v>Washington, DC</v>
      </c>
      <c r="AO370" s="24">
        <f>COUNTIF(AN:AN,Table2[[#This Row],[State]])/COUNTA(AN:AN)</f>
        <v>0.54904051172707891</v>
      </c>
      <c r="AP370">
        <f>VLOOKUP(N370,'Helpful Tables'!A:B,2,FALSE)</f>
        <v>38.934710000000003</v>
      </c>
      <c r="AQ370">
        <f>VLOOKUP(N370,'Helpful Tables'!A:C,3,FALSE)</f>
        <v>-77.058222999999998</v>
      </c>
      <c r="AR370">
        <f>COUNTIF(P$2:$P$938,P370)</f>
        <v>35</v>
      </c>
      <c r="AS370" cm="1">
        <f t="array" ref="AS370">_xlfn.IFS(E370&lt;6,((E370/D370)*60)*0.5,AND(E370&gt;=6,E370&lt;9),((E370/D370)*60)*0.75,AND(E370&gt;=9,E370&lt;=11),((E370/D370)*60)*0.9,AND(E370=12),((E370/D370)*60)*1,AND(E370&gt;=13,E370&lt;=15),((E370/D370)*60)*1.2,AND(E370&gt;=16,E370&lt;=19),((E370/D370)*60)*1.5,E370&gt;=20,((E370/D370)*60)*1.8)</f>
        <v>19.285714285714281</v>
      </c>
      <c r="AT370" cm="1">
        <f t="array" ref="AT370">_xlfn.IFS(F370&lt;550,((F370/D370)*60)*0.5,AND(F370&gt;=550,F370&lt;575),((F370/D370)*60)*0.75,AND(F370&gt;=575,F370&lt;600),((F370/D370)*60)*0.9,AND(F370=600),((F370/D370)*60)*1,AND(F370&gt;=601,F370&lt;=625),((F370/D370)*60)*1.2,AND(F370&gt;=626,F370&lt;=650),((F370/D370)*60)*1.5,F370&gt;=651,((F370/D370)*60)*1.8)</f>
        <v>563.14285714285722</v>
      </c>
      <c r="AU370">
        <f t="shared" si="106"/>
        <v>1.0999999999999943</v>
      </c>
      <c r="AV370">
        <f t="shared" si="104"/>
        <v>233.19142857142862</v>
      </c>
      <c r="AW370">
        <f t="shared" si="107"/>
        <v>20.5</v>
      </c>
      <c r="AX370" t="str">
        <f t="shared" si="102"/>
        <v>Sep-2022</v>
      </c>
      <c r="AY370">
        <f>ROUNDUP(Table2[[#This Row],[Month]]/3,0)</f>
        <v>3</v>
      </c>
    </row>
    <row r="371" spans="1:51" x14ac:dyDescent="0.2">
      <c r="A371">
        <v>370</v>
      </c>
      <c r="B371">
        <f t="shared" si="91"/>
        <v>14</v>
      </c>
      <c r="C371" s="22">
        <v>44830</v>
      </c>
      <c r="D371">
        <f>SUM(Table2[[#This Row],[Gray Min]:[Red Min]])</f>
        <v>56</v>
      </c>
      <c r="E371">
        <v>15</v>
      </c>
      <c r="F371">
        <v>608</v>
      </c>
      <c r="G371">
        <v>125</v>
      </c>
      <c r="H371">
        <v>169</v>
      </c>
      <c r="I371">
        <v>10</v>
      </c>
      <c r="J371">
        <v>17</v>
      </c>
      <c r="K371">
        <v>14</v>
      </c>
      <c r="L371">
        <v>11</v>
      </c>
      <c r="M371">
        <v>4</v>
      </c>
      <c r="N371" t="s">
        <v>91</v>
      </c>
      <c r="O371" t="s">
        <v>57</v>
      </c>
      <c r="P371" t="s">
        <v>155</v>
      </c>
      <c r="Q371">
        <f t="shared" si="103"/>
        <v>1</v>
      </c>
      <c r="R371" t="str">
        <f t="shared" si="92"/>
        <v>9-2022</v>
      </c>
      <c r="S371" t="s">
        <v>117</v>
      </c>
      <c r="T371" t="str">
        <f t="shared" si="93"/>
        <v>Monday</v>
      </c>
      <c r="U371">
        <f t="shared" si="94"/>
        <v>1</v>
      </c>
      <c r="V371" s="24">
        <f>IFERROR(Table2[[#This Row],[Gray Min]]/Table2[[#This Row],[ClassLength]],"")</f>
        <v>0.17857142857142858</v>
      </c>
      <c r="W371" s="24">
        <f>IFERROR(Table2[[#This Row],[Blue Min]]/Table2[[#This Row],[ClassLength]],"")</f>
        <v>0.30357142857142855</v>
      </c>
      <c r="X371" s="24">
        <f>IFERROR(Table2[[#This Row],[Green Min]]/Table2[[#This Row],[ClassLength]],"")</f>
        <v>0.25</v>
      </c>
      <c r="Y371" s="24">
        <f>IFERROR(Table2[[#This Row],[Orange Min]]/Table2[[#This Row],[ClassLength]],"")</f>
        <v>0.19642857142857142</v>
      </c>
      <c r="Z371" s="24">
        <f>IFERROR(Table2[[#This Row],[Red Min]]/Table2[[#This Row],[ClassLength]],"")</f>
        <v>7.1428571428571425E-2</v>
      </c>
      <c r="AA371" s="25">
        <v>232.14</v>
      </c>
      <c r="AB371" s="25">
        <f t="shared" si="105"/>
        <v>16.581428571428571</v>
      </c>
      <c r="AC371" s="26">
        <f t="shared" si="95"/>
        <v>609.92857142857144</v>
      </c>
      <c r="AD371" s="26">
        <f t="shared" si="96"/>
        <v>15.071428571428571</v>
      </c>
      <c r="AE371">
        <f t="shared" si="97"/>
        <v>2022</v>
      </c>
      <c r="AG371">
        <v>12</v>
      </c>
      <c r="AH371" s="26">
        <f t="shared" si="98"/>
        <v>10.857142857142858</v>
      </c>
      <c r="AI371" t="str">
        <f t="shared" si="99"/>
        <v>PM</v>
      </c>
      <c r="AJ371" t="str">
        <f t="shared" si="100"/>
        <v>9-2022-5</v>
      </c>
      <c r="AK371">
        <f t="shared" si="101"/>
        <v>9</v>
      </c>
      <c r="AL371" s="26">
        <f>IFERROR(Table2[[#This Row],[Calories]]/Table2[[#This Row],[Splat]],"")</f>
        <v>40.533333333333331</v>
      </c>
      <c r="AM371">
        <f>COUNTIF(N$2:$N$938,N371)</f>
        <v>218</v>
      </c>
      <c r="AN371" t="str">
        <f>VLOOKUP(N371,'Helpful Tables'!A:D,4,FALSE)</f>
        <v>Washington, DC</v>
      </c>
      <c r="AO371" s="24">
        <f>COUNTIF(AN:AN,Table2[[#This Row],[State]])/COUNTA(AN:AN)</f>
        <v>0.54904051172707891</v>
      </c>
      <c r="AP371">
        <f>VLOOKUP(N371,'Helpful Tables'!A:B,2,FALSE)</f>
        <v>38.934710000000003</v>
      </c>
      <c r="AQ371">
        <f>VLOOKUP(N371,'Helpful Tables'!A:C,3,FALSE)</f>
        <v>-77.058222999999998</v>
      </c>
      <c r="AR371">
        <f>COUNTIF(P$2:$P$938,P371)</f>
        <v>13</v>
      </c>
      <c r="AS371" cm="1">
        <f t="array" ref="AS371">_xlfn.IFS(E371&lt;6,((E371/D371)*60)*0.5,AND(E371&gt;=6,E371&lt;9),((E371/D371)*60)*0.75,AND(E371&gt;=9,E371&lt;=11),((E371/D371)*60)*0.9,AND(E371=12),((E371/D371)*60)*1,AND(E371&gt;=13,E371&lt;=15),((E371/D371)*60)*1.2,AND(E371&gt;=16,E371&lt;=19),((E371/D371)*60)*1.5,E371&gt;=20,((E371/D371)*60)*1.8)</f>
        <v>19.285714285714281</v>
      </c>
      <c r="AT371" cm="1">
        <f t="array" ref="AT371">_xlfn.IFS(F371&lt;550,((F371/D371)*60)*0.5,AND(F371&gt;=550,F371&lt;575),((F371/D371)*60)*0.75,AND(F371&gt;=575,F371&lt;600),((F371/D371)*60)*0.9,AND(F371=600),((F371/D371)*60)*1,AND(F371&gt;=601,F371&lt;=625),((F371/D371)*60)*1.2,AND(F371&gt;=626,F371&lt;=650),((F371/D371)*60)*1.5,F371&gt;=651,((F371/D371)*60)*1.8)</f>
        <v>781.71428571428567</v>
      </c>
      <c r="AU371">
        <f t="shared" si="106"/>
        <v>6.3999999999999986</v>
      </c>
      <c r="AV371">
        <f t="shared" si="104"/>
        <v>321.68</v>
      </c>
      <c r="AW371">
        <f t="shared" si="107"/>
        <v>37.799999999999997</v>
      </c>
      <c r="AX371" t="str">
        <f t="shared" si="102"/>
        <v>Sep-2022</v>
      </c>
      <c r="AY371">
        <f>ROUNDUP(Table2[[#This Row],[Month]]/3,0)</f>
        <v>3</v>
      </c>
    </row>
    <row r="372" spans="1:51" x14ac:dyDescent="0.2">
      <c r="A372">
        <v>371</v>
      </c>
      <c r="B372">
        <f t="shared" si="91"/>
        <v>14</v>
      </c>
      <c r="C372" s="22">
        <v>44834</v>
      </c>
      <c r="D372">
        <f>SUM(Table2[[#This Row],[Gray Min]:[Red Min]])</f>
        <v>59</v>
      </c>
      <c r="E372">
        <v>12</v>
      </c>
      <c r="F372">
        <v>607</v>
      </c>
      <c r="G372">
        <v>121</v>
      </c>
      <c r="H372">
        <v>162</v>
      </c>
      <c r="I372">
        <v>14</v>
      </c>
      <c r="J372">
        <v>17</v>
      </c>
      <c r="K372">
        <v>16</v>
      </c>
      <c r="L372">
        <v>11</v>
      </c>
      <c r="M372">
        <v>1</v>
      </c>
      <c r="N372" t="s">
        <v>101</v>
      </c>
      <c r="O372" t="s">
        <v>107</v>
      </c>
      <c r="P372" t="s">
        <v>155</v>
      </c>
      <c r="Q372">
        <f t="shared" si="103"/>
        <v>4</v>
      </c>
      <c r="R372" t="str">
        <f t="shared" si="92"/>
        <v>9-2022</v>
      </c>
      <c r="S372" t="s">
        <v>104</v>
      </c>
      <c r="T372" t="str">
        <f t="shared" si="93"/>
        <v>Friday</v>
      </c>
      <c r="U372">
        <f t="shared" si="94"/>
        <v>1</v>
      </c>
      <c r="V372" s="24">
        <f>IFERROR(Table2[[#This Row],[Gray Min]]/Table2[[#This Row],[ClassLength]],"")</f>
        <v>0.23728813559322035</v>
      </c>
      <c r="W372" s="24">
        <f>IFERROR(Table2[[#This Row],[Blue Min]]/Table2[[#This Row],[ClassLength]],"")</f>
        <v>0.28813559322033899</v>
      </c>
      <c r="X372" s="24">
        <f>IFERROR(Table2[[#This Row],[Green Min]]/Table2[[#This Row],[ClassLength]],"")</f>
        <v>0.2711864406779661</v>
      </c>
      <c r="Y372" s="24">
        <f>IFERROR(Table2[[#This Row],[Orange Min]]/Table2[[#This Row],[ClassLength]],"")</f>
        <v>0.1864406779661017</v>
      </c>
      <c r="Z372" s="24">
        <f>IFERROR(Table2[[#This Row],[Red Min]]/Table2[[#This Row],[ClassLength]],"")</f>
        <v>1.6949152542372881E-2</v>
      </c>
      <c r="AA372" s="25">
        <v>232.14</v>
      </c>
      <c r="AB372" s="25">
        <f t="shared" si="105"/>
        <v>16.581428571428571</v>
      </c>
      <c r="AC372" s="26">
        <f t="shared" si="95"/>
        <v>609.92857142857144</v>
      </c>
      <c r="AD372" s="26">
        <f t="shared" si="96"/>
        <v>15.071428571428571</v>
      </c>
      <c r="AE372">
        <f t="shared" si="97"/>
        <v>2022</v>
      </c>
      <c r="AG372">
        <v>12</v>
      </c>
      <c r="AH372" s="26">
        <f t="shared" si="98"/>
        <v>10.288135593220339</v>
      </c>
      <c r="AI372" t="str">
        <f t="shared" si="99"/>
        <v>AM</v>
      </c>
      <c r="AJ372" t="str">
        <f t="shared" si="100"/>
        <v>9-2022-5</v>
      </c>
      <c r="AK372">
        <f t="shared" si="101"/>
        <v>9</v>
      </c>
      <c r="AL372" s="26">
        <f>IFERROR(Table2[[#This Row],[Calories]]/Table2[[#This Row],[Splat]],"")</f>
        <v>50.583333333333336</v>
      </c>
      <c r="AM372">
        <f>COUNTIF(N$2:$N$938,N372)</f>
        <v>191</v>
      </c>
      <c r="AN372" t="str">
        <f>VLOOKUP(N372,'Helpful Tables'!A:D,4,FALSE)</f>
        <v>Washington, DC</v>
      </c>
      <c r="AO372" s="24">
        <f>COUNTIF(AN:AN,Table2[[#This Row],[State]])/COUNTA(AN:AN)</f>
        <v>0.54904051172707891</v>
      </c>
      <c r="AP372">
        <f>VLOOKUP(N372,'Helpful Tables'!A:B,2,FALSE)</f>
        <v>38.949649000000001</v>
      </c>
      <c r="AQ372">
        <f>VLOOKUP(N372,'Helpful Tables'!A:C,3,FALSE)</f>
        <v>-77.080878999999996</v>
      </c>
      <c r="AR372">
        <f>COUNTIF(P$2:$P$938,P372)</f>
        <v>13</v>
      </c>
      <c r="AS372" cm="1">
        <f t="array" ref="AS372">_xlfn.IFS(E372&lt;6,((E372/D372)*60)*0.5,AND(E372&gt;=6,E372&lt;9),((E372/D372)*60)*0.75,AND(E372&gt;=9,E372&lt;=11),((E372/D372)*60)*0.9,AND(E372=12),((E372/D372)*60)*1,AND(E372&gt;=13,E372&lt;=15),((E372/D372)*60)*1.2,AND(E372&gt;=16,E372&lt;=19),((E372/D372)*60)*1.5,E372&gt;=20,((E372/D372)*60)*1.8)</f>
        <v>12.203389830508476</v>
      </c>
      <c r="AT372" cm="1">
        <f t="array" ref="AT372">_xlfn.IFS(F372&lt;550,((F372/D372)*60)*0.5,AND(F372&gt;=550,F372&lt;575),((F372/D372)*60)*0.75,AND(F372&gt;=575,F372&lt;600),((F372/D372)*60)*0.9,AND(F372=600),((F372/D372)*60)*1,AND(F372&gt;=601,F372&lt;=625),((F372/D372)*60)*1.2,AND(F372&gt;=626,F372&lt;=650),((F372/D372)*60)*1.5,F372&gt;=651,((F372/D372)*60)*1.8)</f>
        <v>740.74576271186436</v>
      </c>
      <c r="AU372">
        <f t="shared" si="106"/>
        <v>-0.5</v>
      </c>
      <c r="AV372">
        <f t="shared" si="104"/>
        <v>301.07966101694916</v>
      </c>
      <c r="AW372">
        <f t="shared" si="107"/>
        <v>27</v>
      </c>
      <c r="AX372" t="str">
        <f t="shared" si="102"/>
        <v>Sep-2022</v>
      </c>
      <c r="AY372">
        <f>ROUNDUP(Table2[[#This Row],[Month]]/3,0)</f>
        <v>3</v>
      </c>
    </row>
    <row r="373" spans="1:51" x14ac:dyDescent="0.2">
      <c r="A373">
        <v>372</v>
      </c>
      <c r="B373">
        <f t="shared" si="91"/>
        <v>15</v>
      </c>
      <c r="C373" s="22">
        <v>44836</v>
      </c>
      <c r="D373">
        <f>SUM(Table2[[#This Row],[Gray Min]:[Red Min]])</f>
        <v>57</v>
      </c>
      <c r="E373">
        <v>15</v>
      </c>
      <c r="F373">
        <v>629</v>
      </c>
      <c r="G373">
        <v>127</v>
      </c>
      <c r="H373">
        <v>160</v>
      </c>
      <c r="I373">
        <v>10</v>
      </c>
      <c r="J373">
        <v>13</v>
      </c>
      <c r="K373">
        <v>19</v>
      </c>
      <c r="L373">
        <v>13</v>
      </c>
      <c r="M373">
        <v>2</v>
      </c>
      <c r="N373" t="s">
        <v>101</v>
      </c>
      <c r="O373" t="s">
        <v>45</v>
      </c>
      <c r="P373" t="s">
        <v>102</v>
      </c>
      <c r="Q373">
        <f t="shared" si="103"/>
        <v>2</v>
      </c>
      <c r="R373" t="str">
        <f t="shared" si="92"/>
        <v>10-2022</v>
      </c>
      <c r="S373" t="s">
        <v>104</v>
      </c>
      <c r="T373" t="str">
        <f t="shared" si="93"/>
        <v>Sunday</v>
      </c>
      <c r="U373">
        <f t="shared" si="94"/>
        <v>1</v>
      </c>
      <c r="V373" s="24">
        <f>IFERROR(Table2[[#This Row],[Gray Min]]/Table2[[#This Row],[ClassLength]],"")</f>
        <v>0.17543859649122806</v>
      </c>
      <c r="W373" s="24">
        <f>IFERROR(Table2[[#This Row],[Blue Min]]/Table2[[#This Row],[ClassLength]],"")</f>
        <v>0.22807017543859648</v>
      </c>
      <c r="X373" s="24">
        <f>IFERROR(Table2[[#This Row],[Green Min]]/Table2[[#This Row],[ClassLength]],"")</f>
        <v>0.33333333333333331</v>
      </c>
      <c r="Y373" s="24">
        <f>IFERROR(Table2[[#This Row],[Orange Min]]/Table2[[#This Row],[ClassLength]],"")</f>
        <v>0.22807017543859648</v>
      </c>
      <c r="Z373" s="24">
        <f>IFERROR(Table2[[#This Row],[Red Min]]/Table2[[#This Row],[ClassLength]],"")</f>
        <v>3.5087719298245612E-2</v>
      </c>
      <c r="AA373" s="25">
        <v>232.14</v>
      </c>
      <c r="AB373" s="25">
        <f t="shared" si="105"/>
        <v>15.475999999999999</v>
      </c>
      <c r="AC373" s="26">
        <f t="shared" si="95"/>
        <v>612.13333333333333</v>
      </c>
      <c r="AD373" s="26">
        <f t="shared" si="96"/>
        <v>14.4</v>
      </c>
      <c r="AE373">
        <f t="shared" si="97"/>
        <v>2022</v>
      </c>
      <c r="AG373">
        <v>12</v>
      </c>
      <c r="AH373" s="26">
        <f t="shared" si="98"/>
        <v>11.035087719298245</v>
      </c>
      <c r="AI373" t="str">
        <f t="shared" si="99"/>
        <v>AM</v>
      </c>
      <c r="AJ373" t="str">
        <f t="shared" si="100"/>
        <v>10-2022-2</v>
      </c>
      <c r="AK373">
        <f t="shared" si="101"/>
        <v>10</v>
      </c>
      <c r="AL373" s="26">
        <f>IFERROR(Table2[[#This Row],[Calories]]/Table2[[#This Row],[Splat]],"")</f>
        <v>41.93333333333333</v>
      </c>
      <c r="AM373">
        <f>COUNTIF(N$2:$N$938,N373)</f>
        <v>191</v>
      </c>
      <c r="AN373" t="str">
        <f>VLOOKUP(N373,'Helpful Tables'!A:D,4,FALSE)</f>
        <v>Washington, DC</v>
      </c>
      <c r="AO373" s="24">
        <f>COUNTIF(AN:AN,Table2[[#This Row],[State]])/COUNTA(AN:AN)</f>
        <v>0.54904051172707891</v>
      </c>
      <c r="AP373">
        <f>VLOOKUP(N373,'Helpful Tables'!A:B,2,FALSE)</f>
        <v>38.949649000000001</v>
      </c>
      <c r="AQ373">
        <f>VLOOKUP(N373,'Helpful Tables'!A:C,3,FALSE)</f>
        <v>-77.080878999999996</v>
      </c>
      <c r="AR373">
        <f>COUNTIF(P$2:$P$938,P373)</f>
        <v>20</v>
      </c>
      <c r="AS373" cm="1">
        <f t="array" ref="AS373">_xlfn.IFS(E373&lt;6,((E373/D373)*60)*0.5,AND(E373&gt;=6,E373&lt;9),((E373/D373)*60)*0.75,AND(E373&gt;=9,E373&lt;=11),((E373/D373)*60)*0.9,AND(E373=12),((E373/D373)*60)*1,AND(E373&gt;=13,E373&lt;=15),((E373/D373)*60)*1.2,AND(E373&gt;=16,E373&lt;=19),((E373/D373)*60)*1.5,E373&gt;=20,((E373/D373)*60)*1.8)</f>
        <v>18.94736842105263</v>
      </c>
      <c r="AT373" cm="1">
        <f t="array" ref="AT373">_xlfn.IFS(F373&lt;550,((F373/D373)*60)*0.5,AND(F373&gt;=550,F373&lt;575),((F373/D373)*60)*0.75,AND(F373&gt;=575,F373&lt;600),((F373/D373)*60)*0.9,AND(F373=600),((F373/D373)*60)*1,AND(F373&gt;=601,F373&lt;=625),((F373/D373)*60)*1.2,AND(F373&gt;=626,F373&lt;=650),((F373/D373)*60)*1.5,F373&gt;=651,((F373/D373)*60)*1.8)</f>
        <v>993.15789473684208</v>
      </c>
      <c r="AU373">
        <f t="shared" si="106"/>
        <v>16.400000000000002</v>
      </c>
      <c r="AV373">
        <f t="shared" si="104"/>
        <v>408.12210526315789</v>
      </c>
      <c r="AW373">
        <f t="shared" si="107"/>
        <v>57.699999999999996</v>
      </c>
      <c r="AX373" t="str">
        <f t="shared" si="102"/>
        <v>Oct-2022</v>
      </c>
      <c r="AY373">
        <f>ROUNDUP(Table2[[#This Row],[Month]]/3,0)</f>
        <v>4</v>
      </c>
    </row>
    <row r="374" spans="1:51" x14ac:dyDescent="0.2">
      <c r="A374">
        <v>373</v>
      </c>
      <c r="B374">
        <f t="shared" si="91"/>
        <v>15</v>
      </c>
      <c r="C374" s="22">
        <v>44837</v>
      </c>
      <c r="D374">
        <f>SUM(Table2[[#This Row],[Gray Min]:[Red Min]])</f>
        <v>63</v>
      </c>
      <c r="E374">
        <v>9</v>
      </c>
      <c r="F374">
        <v>497</v>
      </c>
      <c r="G374">
        <v>106</v>
      </c>
      <c r="H374">
        <v>163</v>
      </c>
      <c r="I374">
        <v>31</v>
      </c>
      <c r="J374">
        <v>9</v>
      </c>
      <c r="K374">
        <v>14</v>
      </c>
      <c r="L374">
        <v>8</v>
      </c>
      <c r="M374">
        <v>1</v>
      </c>
      <c r="N374" t="s">
        <v>91</v>
      </c>
      <c r="O374" t="s">
        <v>57</v>
      </c>
      <c r="P374" t="s">
        <v>148</v>
      </c>
      <c r="Q374">
        <f t="shared" si="103"/>
        <v>1</v>
      </c>
      <c r="R374" t="str">
        <f t="shared" si="92"/>
        <v>10-2022</v>
      </c>
      <c r="S374" t="s">
        <v>117</v>
      </c>
      <c r="T374" t="str">
        <f t="shared" si="93"/>
        <v>Monday</v>
      </c>
      <c r="U374">
        <f t="shared" si="94"/>
        <v>0</v>
      </c>
      <c r="V374" s="24">
        <f>IFERROR(Table2[[#This Row],[Gray Min]]/Table2[[#This Row],[ClassLength]],"")</f>
        <v>0.49206349206349204</v>
      </c>
      <c r="W374" s="24">
        <f>IFERROR(Table2[[#This Row],[Blue Min]]/Table2[[#This Row],[ClassLength]],"")</f>
        <v>0.14285714285714285</v>
      </c>
      <c r="X374" s="24">
        <f>IFERROR(Table2[[#This Row],[Green Min]]/Table2[[#This Row],[ClassLength]],"")</f>
        <v>0.22222222222222221</v>
      </c>
      <c r="Y374" s="24">
        <f>IFERROR(Table2[[#This Row],[Orange Min]]/Table2[[#This Row],[ClassLength]],"")</f>
        <v>0.12698412698412698</v>
      </c>
      <c r="Z374" s="24">
        <f>IFERROR(Table2[[#This Row],[Red Min]]/Table2[[#This Row],[ClassLength]],"")</f>
        <v>1.5873015873015872E-2</v>
      </c>
      <c r="AA374" s="25">
        <v>232.14</v>
      </c>
      <c r="AB374" s="25">
        <f t="shared" si="105"/>
        <v>15.475999999999999</v>
      </c>
      <c r="AC374" s="26">
        <f t="shared" si="95"/>
        <v>612.13333333333333</v>
      </c>
      <c r="AD374" s="26">
        <f t="shared" si="96"/>
        <v>14.4</v>
      </c>
      <c r="AE374">
        <f t="shared" si="97"/>
        <v>2022</v>
      </c>
      <c r="AG374">
        <v>12</v>
      </c>
      <c r="AH374" s="26">
        <f t="shared" si="98"/>
        <v>7.8888888888888893</v>
      </c>
      <c r="AI374" t="str">
        <f t="shared" si="99"/>
        <v>PM</v>
      </c>
      <c r="AJ374" t="str">
        <f t="shared" si="100"/>
        <v>10-2022-2</v>
      </c>
      <c r="AK374">
        <f t="shared" si="101"/>
        <v>10</v>
      </c>
      <c r="AL374" s="26">
        <f>IFERROR(Table2[[#This Row],[Calories]]/Table2[[#This Row],[Splat]],"")</f>
        <v>55.222222222222221</v>
      </c>
      <c r="AM374">
        <f>COUNTIF(N$2:$N$938,N374)</f>
        <v>218</v>
      </c>
      <c r="AN374" t="str">
        <f>VLOOKUP(N374,'Helpful Tables'!A:D,4,FALSE)</f>
        <v>Washington, DC</v>
      </c>
      <c r="AO374" s="24">
        <f>COUNTIF(AN:AN,Table2[[#This Row],[State]])/COUNTA(AN:AN)</f>
        <v>0.54904051172707891</v>
      </c>
      <c r="AP374">
        <f>VLOOKUP(N374,'Helpful Tables'!A:B,2,FALSE)</f>
        <v>38.934710000000003</v>
      </c>
      <c r="AQ374">
        <f>VLOOKUP(N374,'Helpful Tables'!A:C,3,FALSE)</f>
        <v>-77.058222999999998</v>
      </c>
      <c r="AR374">
        <f>COUNTIF(P$2:$P$938,P374)</f>
        <v>14</v>
      </c>
      <c r="AS374" cm="1">
        <f t="array" ref="AS374">_xlfn.IFS(E374&lt;6,((E374/D374)*60)*0.5,AND(E374&gt;=6,E374&lt;9),((E374/D374)*60)*0.75,AND(E374&gt;=9,E374&lt;=11),((E374/D374)*60)*0.9,AND(E374=12),((E374/D374)*60)*1,AND(E374&gt;=13,E374&lt;=15),((E374/D374)*60)*1.2,AND(E374&gt;=16,E374&lt;=19),((E374/D374)*60)*1.5,E374&gt;=20,((E374/D374)*60)*1.8)</f>
        <v>7.7142857142857144</v>
      </c>
      <c r="AT374" cm="1">
        <f t="array" ref="AT374">_xlfn.IFS(F374&lt;550,((F374/D374)*60)*0.5,AND(F374&gt;=550,F374&lt;575),((F374/D374)*60)*0.75,AND(F374&gt;=575,F374&lt;600),((F374/D374)*60)*0.9,AND(F374=600),((F374/D374)*60)*1,AND(F374&gt;=601,F374&lt;=625),((F374/D374)*60)*1.2,AND(F374&gt;=626,F374&lt;=650),((F374/D374)*60)*1.5,F374&gt;=651,((F374/D374)*60)*1.8)</f>
        <v>236.66666666666669</v>
      </c>
      <c r="AU374">
        <f t="shared" si="106"/>
        <v>-18.399999999999991</v>
      </c>
      <c r="AV374">
        <f t="shared" si="104"/>
        <v>94.072380952380982</v>
      </c>
      <c r="AW374">
        <f t="shared" si="107"/>
        <v>0.3</v>
      </c>
      <c r="AX374" t="str">
        <f t="shared" si="102"/>
        <v>Oct-2022</v>
      </c>
      <c r="AY374">
        <f>ROUNDUP(Table2[[#This Row],[Month]]/3,0)</f>
        <v>4</v>
      </c>
    </row>
    <row r="375" spans="1:51" x14ac:dyDescent="0.2">
      <c r="A375">
        <v>374</v>
      </c>
      <c r="B375">
        <f t="shared" si="91"/>
        <v>15</v>
      </c>
      <c r="C375" s="22">
        <v>44840</v>
      </c>
      <c r="D375">
        <f>SUM(Table2[[#This Row],[Gray Min]:[Red Min]])</f>
        <v>62</v>
      </c>
      <c r="E375">
        <v>10</v>
      </c>
      <c r="F375">
        <v>593</v>
      </c>
      <c r="G375">
        <v>117</v>
      </c>
      <c r="H375">
        <v>164</v>
      </c>
      <c r="I375">
        <v>18</v>
      </c>
      <c r="J375">
        <v>18</v>
      </c>
      <c r="K375">
        <v>16</v>
      </c>
      <c r="L375">
        <v>8</v>
      </c>
      <c r="M375">
        <v>2</v>
      </c>
      <c r="N375" t="s">
        <v>101</v>
      </c>
      <c r="O375" t="s">
        <v>39</v>
      </c>
      <c r="P375" t="s">
        <v>118</v>
      </c>
      <c r="Q375">
        <f t="shared" si="103"/>
        <v>3</v>
      </c>
      <c r="R375" t="str">
        <f t="shared" si="92"/>
        <v>10-2022</v>
      </c>
      <c r="S375" t="s">
        <v>104</v>
      </c>
      <c r="T375" t="str">
        <f t="shared" si="93"/>
        <v>Thursday</v>
      </c>
      <c r="U375">
        <f t="shared" si="94"/>
        <v>0</v>
      </c>
      <c r="V375" s="24">
        <f>IFERROR(Table2[[#This Row],[Gray Min]]/Table2[[#This Row],[ClassLength]],"")</f>
        <v>0.29032258064516131</v>
      </c>
      <c r="W375" s="24">
        <f>IFERROR(Table2[[#This Row],[Blue Min]]/Table2[[#This Row],[ClassLength]],"")</f>
        <v>0.29032258064516131</v>
      </c>
      <c r="X375" s="24">
        <f>IFERROR(Table2[[#This Row],[Green Min]]/Table2[[#This Row],[ClassLength]],"")</f>
        <v>0.25806451612903225</v>
      </c>
      <c r="Y375" s="24">
        <f>IFERROR(Table2[[#This Row],[Orange Min]]/Table2[[#This Row],[ClassLength]],"")</f>
        <v>0.12903225806451613</v>
      </c>
      <c r="Z375" s="24">
        <f>IFERROR(Table2[[#This Row],[Red Min]]/Table2[[#This Row],[ClassLength]],"")</f>
        <v>3.2258064516129031E-2</v>
      </c>
      <c r="AA375" s="25">
        <v>232.14</v>
      </c>
      <c r="AB375" s="25">
        <f t="shared" si="105"/>
        <v>15.475999999999999</v>
      </c>
      <c r="AC375" s="26">
        <f t="shared" si="95"/>
        <v>612.13333333333333</v>
      </c>
      <c r="AD375" s="26">
        <f t="shared" si="96"/>
        <v>14.4</v>
      </c>
      <c r="AE375">
        <f t="shared" si="97"/>
        <v>2022</v>
      </c>
      <c r="AG375">
        <v>12</v>
      </c>
      <c r="AH375" s="26">
        <f t="shared" si="98"/>
        <v>9.564516129032258</v>
      </c>
      <c r="AI375" t="str">
        <f t="shared" si="99"/>
        <v>PM</v>
      </c>
      <c r="AJ375" t="str">
        <f t="shared" si="100"/>
        <v>10-2022-2</v>
      </c>
      <c r="AK375">
        <f t="shared" si="101"/>
        <v>10</v>
      </c>
      <c r="AL375" s="26">
        <f>IFERROR(Table2[[#This Row],[Calories]]/Table2[[#This Row],[Splat]],"")</f>
        <v>59.3</v>
      </c>
      <c r="AM375">
        <f>COUNTIF(N$2:$N$938,N375)</f>
        <v>191</v>
      </c>
      <c r="AN375" t="str">
        <f>VLOOKUP(N375,'Helpful Tables'!A:D,4,FALSE)</f>
        <v>Washington, DC</v>
      </c>
      <c r="AO375" s="24">
        <f>COUNTIF(AN:AN,Table2[[#This Row],[State]])/COUNTA(AN:AN)</f>
        <v>0.54904051172707891</v>
      </c>
      <c r="AP375">
        <f>VLOOKUP(N375,'Helpful Tables'!A:B,2,FALSE)</f>
        <v>38.949649000000001</v>
      </c>
      <c r="AQ375">
        <f>VLOOKUP(N375,'Helpful Tables'!A:C,3,FALSE)</f>
        <v>-77.080878999999996</v>
      </c>
      <c r="AR375">
        <f>COUNTIF(P$2:$P$938,P375)</f>
        <v>16</v>
      </c>
      <c r="AS375" cm="1">
        <f t="array" ref="AS375">_xlfn.IFS(E375&lt;6,((E375/D375)*60)*0.5,AND(E375&gt;=6,E375&lt;9),((E375/D375)*60)*0.75,AND(E375&gt;=9,E375&lt;=11),((E375/D375)*60)*0.9,AND(E375=12),((E375/D375)*60)*1,AND(E375&gt;=13,E375&lt;=15),((E375/D375)*60)*1.2,AND(E375&gt;=16,E375&lt;=19),((E375/D375)*60)*1.5,E375&gt;=20,((E375/D375)*60)*1.8)</f>
        <v>8.7096774193548399</v>
      </c>
      <c r="AT375" cm="1">
        <f t="array" ref="AT375">_xlfn.IFS(F375&lt;550,((F375/D375)*60)*0.5,AND(F375&gt;=550,F375&lt;575),((F375/D375)*60)*0.75,AND(F375&gt;=575,F375&lt;600),((F375/D375)*60)*0.9,AND(F375=600),((F375/D375)*60)*1,AND(F375&gt;=601,F375&lt;=625),((F375/D375)*60)*1.2,AND(F375&gt;=626,F375&lt;=650),((F375/D375)*60)*1.5,F375&gt;=651,((F375/D375)*60)*1.8)</f>
        <v>516.48387096774195</v>
      </c>
      <c r="AU375">
        <f t="shared" si="106"/>
        <v>-8.7999999999999989</v>
      </c>
      <c r="AV375">
        <f t="shared" si="104"/>
        <v>208.31741935483876</v>
      </c>
      <c r="AW375">
        <f t="shared" si="107"/>
        <v>13.700000000000001</v>
      </c>
      <c r="AX375" t="str">
        <f t="shared" si="102"/>
        <v>Oct-2022</v>
      </c>
      <c r="AY375">
        <f>ROUNDUP(Table2[[#This Row],[Month]]/3,0)</f>
        <v>4</v>
      </c>
    </row>
    <row r="376" spans="1:51" x14ac:dyDescent="0.2">
      <c r="A376">
        <v>375</v>
      </c>
      <c r="B376">
        <f t="shared" si="91"/>
        <v>15</v>
      </c>
      <c r="C376" s="22">
        <v>44842</v>
      </c>
      <c r="D376">
        <f>SUM(Table2[[#This Row],[Gray Min]:[Red Min]])</f>
        <v>58</v>
      </c>
      <c r="E376">
        <v>13</v>
      </c>
      <c r="F376">
        <v>627</v>
      </c>
      <c r="G376">
        <v>126</v>
      </c>
      <c r="H376">
        <v>165</v>
      </c>
      <c r="I376">
        <v>8</v>
      </c>
      <c r="J376">
        <v>15</v>
      </c>
      <c r="K376">
        <v>22</v>
      </c>
      <c r="L376">
        <v>10</v>
      </c>
      <c r="M376">
        <v>3</v>
      </c>
      <c r="N376" t="s">
        <v>156</v>
      </c>
      <c r="O376" t="s">
        <v>76</v>
      </c>
      <c r="P376" t="s">
        <v>157</v>
      </c>
      <c r="Q376">
        <f t="shared" si="103"/>
        <v>2</v>
      </c>
      <c r="R376" t="str">
        <f t="shared" si="92"/>
        <v>10-2022</v>
      </c>
      <c r="S376" t="s">
        <v>117</v>
      </c>
      <c r="T376" t="str">
        <f t="shared" si="93"/>
        <v>Saturday</v>
      </c>
      <c r="U376">
        <f t="shared" si="94"/>
        <v>1</v>
      </c>
      <c r="V376" s="24">
        <f>IFERROR(Table2[[#This Row],[Gray Min]]/Table2[[#This Row],[ClassLength]],"")</f>
        <v>0.13793103448275862</v>
      </c>
      <c r="W376" s="24">
        <f>IFERROR(Table2[[#This Row],[Blue Min]]/Table2[[#This Row],[ClassLength]],"")</f>
        <v>0.25862068965517243</v>
      </c>
      <c r="X376" s="24">
        <f>IFERROR(Table2[[#This Row],[Green Min]]/Table2[[#This Row],[ClassLength]],"")</f>
        <v>0.37931034482758619</v>
      </c>
      <c r="Y376" s="24">
        <f>IFERROR(Table2[[#This Row],[Orange Min]]/Table2[[#This Row],[ClassLength]],"")</f>
        <v>0.17241379310344829</v>
      </c>
      <c r="Z376" s="24">
        <f>IFERROR(Table2[[#This Row],[Red Min]]/Table2[[#This Row],[ClassLength]],"")</f>
        <v>5.1724137931034482E-2</v>
      </c>
      <c r="AA376" s="25">
        <v>232.14</v>
      </c>
      <c r="AB376" s="25">
        <f t="shared" si="105"/>
        <v>15.475999999999999</v>
      </c>
      <c r="AC376" s="26">
        <f t="shared" si="95"/>
        <v>612.13333333333333</v>
      </c>
      <c r="AD376" s="26">
        <f t="shared" si="96"/>
        <v>14.4</v>
      </c>
      <c r="AE376">
        <f t="shared" si="97"/>
        <v>2022</v>
      </c>
      <c r="AG376">
        <v>12</v>
      </c>
      <c r="AH376" s="26">
        <f t="shared" si="98"/>
        <v>10.810344827586206</v>
      </c>
      <c r="AI376" t="str">
        <f t="shared" si="99"/>
        <v>AM</v>
      </c>
      <c r="AJ376" t="str">
        <f t="shared" si="100"/>
        <v>10-2022-2</v>
      </c>
      <c r="AK376">
        <f t="shared" si="101"/>
        <v>10</v>
      </c>
      <c r="AL376" s="26">
        <f>IFERROR(Table2[[#This Row],[Calories]]/Table2[[#This Row],[Splat]],"")</f>
        <v>48.230769230769234</v>
      </c>
      <c r="AM376">
        <f>COUNTIF(N$2:$N$938,N376)</f>
        <v>1</v>
      </c>
      <c r="AN376" t="str">
        <f>VLOOKUP(N376,'Helpful Tables'!A:D,4,FALSE)</f>
        <v>Texas</v>
      </c>
      <c r="AO376" s="24">
        <f>COUNTIF(AN:AN,Table2[[#This Row],[State]])/COUNTA(AN:AN)</f>
        <v>1.0660980810234541E-3</v>
      </c>
      <c r="AP376">
        <f>VLOOKUP(N376,'Helpful Tables'!A:B,2,FALSE)</f>
        <v>32.752273000000002</v>
      </c>
      <c r="AQ376">
        <f>VLOOKUP(N376,'Helpful Tables'!A:C,3,FALSE)</f>
        <v>-97.354583000000005</v>
      </c>
      <c r="AR376">
        <f>COUNTIF(P$2:$P$938,P376)</f>
        <v>1</v>
      </c>
      <c r="AS376" cm="1">
        <f t="array" ref="AS376">_xlfn.IFS(E376&lt;6,((E376/D376)*60)*0.5,AND(E376&gt;=6,E376&lt;9),((E376/D376)*60)*0.75,AND(E376&gt;=9,E376&lt;=11),((E376/D376)*60)*0.9,AND(E376=12),((E376/D376)*60)*1,AND(E376&gt;=13,E376&lt;=15),((E376/D376)*60)*1.2,AND(E376&gt;=16,E376&lt;=19),((E376/D376)*60)*1.5,E376&gt;=20,((E376/D376)*60)*1.8)</f>
        <v>16.137931034482758</v>
      </c>
      <c r="AT376" cm="1">
        <f t="array" ref="AT376">_xlfn.IFS(F376&lt;550,((F376/D376)*60)*0.5,AND(F376&gt;=550,F376&lt;575),((F376/D376)*60)*0.75,AND(F376&gt;=575,F376&lt;600),((F376/D376)*60)*0.9,AND(F376=600),((F376/D376)*60)*1,AND(F376&gt;=601,F376&lt;=625),((F376/D376)*60)*1.2,AND(F376&gt;=626,F376&lt;=650),((F376/D376)*60)*1.5,F376&gt;=651,((F376/D376)*60)*1.8)</f>
        <v>972.93103448275849</v>
      </c>
      <c r="AU376">
        <f t="shared" si="106"/>
        <v>17.799999999999997</v>
      </c>
      <c r="AV376">
        <f t="shared" si="104"/>
        <v>399.18758620689653</v>
      </c>
      <c r="AW376">
        <f t="shared" si="107"/>
        <v>52.6</v>
      </c>
      <c r="AX376" t="str">
        <f t="shared" si="102"/>
        <v>Oct-2022</v>
      </c>
      <c r="AY376">
        <f>ROUNDUP(Table2[[#This Row],[Month]]/3,0)</f>
        <v>4</v>
      </c>
    </row>
    <row r="377" spans="1:51" x14ac:dyDescent="0.2">
      <c r="A377">
        <v>376</v>
      </c>
      <c r="B377">
        <f t="shared" si="91"/>
        <v>15</v>
      </c>
      <c r="C377" s="22">
        <v>44845</v>
      </c>
      <c r="D377">
        <f>SUM(Table2[[#This Row],[Gray Min]:[Red Min]])</f>
        <v>58</v>
      </c>
      <c r="E377">
        <v>14</v>
      </c>
      <c r="F377">
        <v>632</v>
      </c>
      <c r="G377">
        <v>126</v>
      </c>
      <c r="H377">
        <v>166</v>
      </c>
      <c r="I377">
        <v>8</v>
      </c>
      <c r="J377">
        <v>18</v>
      </c>
      <c r="K377">
        <v>18</v>
      </c>
      <c r="L377">
        <v>9</v>
      </c>
      <c r="M377">
        <v>5</v>
      </c>
      <c r="N377" t="s">
        <v>101</v>
      </c>
      <c r="O377" t="s">
        <v>39</v>
      </c>
      <c r="P377" t="s">
        <v>109</v>
      </c>
      <c r="Q377">
        <f t="shared" si="103"/>
        <v>3</v>
      </c>
      <c r="R377" t="str">
        <f t="shared" si="92"/>
        <v>10-2022</v>
      </c>
      <c r="S377" t="s">
        <v>145</v>
      </c>
      <c r="T377" t="str">
        <f t="shared" si="93"/>
        <v>Tuesday</v>
      </c>
      <c r="U377">
        <f t="shared" si="94"/>
        <v>1</v>
      </c>
      <c r="V377" s="24">
        <f>IFERROR(Table2[[#This Row],[Gray Min]]/Table2[[#This Row],[ClassLength]],"")</f>
        <v>0.13793103448275862</v>
      </c>
      <c r="W377" s="24">
        <f>IFERROR(Table2[[#This Row],[Blue Min]]/Table2[[#This Row],[ClassLength]],"")</f>
        <v>0.31034482758620691</v>
      </c>
      <c r="X377" s="24">
        <f>IFERROR(Table2[[#This Row],[Green Min]]/Table2[[#This Row],[ClassLength]],"")</f>
        <v>0.31034482758620691</v>
      </c>
      <c r="Y377" s="24">
        <f>IFERROR(Table2[[#This Row],[Orange Min]]/Table2[[#This Row],[ClassLength]],"")</f>
        <v>0.15517241379310345</v>
      </c>
      <c r="Z377" s="24">
        <f>IFERROR(Table2[[#This Row],[Red Min]]/Table2[[#This Row],[ClassLength]],"")</f>
        <v>8.6206896551724144E-2</v>
      </c>
      <c r="AA377" s="25">
        <v>232.14</v>
      </c>
      <c r="AB377" s="25">
        <f t="shared" si="105"/>
        <v>15.475999999999999</v>
      </c>
      <c r="AC377" s="26">
        <f t="shared" si="95"/>
        <v>612.13333333333333</v>
      </c>
      <c r="AD377" s="26">
        <f t="shared" si="96"/>
        <v>14.4</v>
      </c>
      <c r="AE377">
        <f t="shared" si="97"/>
        <v>2022</v>
      </c>
      <c r="AG377">
        <v>12</v>
      </c>
      <c r="AH377" s="26">
        <f t="shared" si="98"/>
        <v>10.896551724137931</v>
      </c>
      <c r="AI377" t="str">
        <f t="shared" si="99"/>
        <v>PM</v>
      </c>
      <c r="AJ377" t="str">
        <f t="shared" si="100"/>
        <v>10-2022-3</v>
      </c>
      <c r="AK377">
        <f t="shared" si="101"/>
        <v>10</v>
      </c>
      <c r="AL377" s="26">
        <f>IFERROR(Table2[[#This Row],[Calories]]/Table2[[#This Row],[Splat]],"")</f>
        <v>45.142857142857146</v>
      </c>
      <c r="AM377">
        <f>COUNTIF(N$2:$N$938,N377)</f>
        <v>191</v>
      </c>
      <c r="AN377" t="str">
        <f>VLOOKUP(N377,'Helpful Tables'!A:D,4,FALSE)</f>
        <v>Washington, DC</v>
      </c>
      <c r="AO377" s="24">
        <f>COUNTIF(AN:AN,Table2[[#This Row],[State]])/COUNTA(AN:AN)</f>
        <v>0.54904051172707891</v>
      </c>
      <c r="AP377">
        <f>VLOOKUP(N377,'Helpful Tables'!A:B,2,FALSE)</f>
        <v>38.949649000000001</v>
      </c>
      <c r="AQ377">
        <f>VLOOKUP(N377,'Helpful Tables'!A:C,3,FALSE)</f>
        <v>-77.080878999999996</v>
      </c>
      <c r="AR377">
        <f>COUNTIF(P$2:$P$938,P377)</f>
        <v>66</v>
      </c>
      <c r="AS377" cm="1">
        <f t="array" ref="AS377">_xlfn.IFS(E377&lt;6,((E377/D377)*60)*0.5,AND(E377&gt;=6,E377&lt;9),((E377/D377)*60)*0.75,AND(E377&gt;=9,E377&lt;=11),((E377/D377)*60)*0.9,AND(E377=12),((E377/D377)*60)*1,AND(E377&gt;=13,E377&lt;=15),((E377/D377)*60)*1.2,AND(E377&gt;=16,E377&lt;=19),((E377/D377)*60)*1.5,E377&gt;=20,((E377/D377)*60)*1.8)</f>
        <v>17.379310344827587</v>
      </c>
      <c r="AT377" cm="1">
        <f t="array" ref="AT377">_xlfn.IFS(F377&lt;550,((F377/D377)*60)*0.5,AND(F377&gt;=550,F377&lt;575),((F377/D377)*60)*0.75,AND(F377&gt;=575,F377&lt;600),((F377/D377)*60)*0.9,AND(F377=600),((F377/D377)*60)*1,AND(F377&gt;=601,F377&lt;=625),((F377/D377)*60)*1.2,AND(F377&gt;=626,F377&lt;=650),((F377/D377)*60)*1.5,F377&gt;=651,((F377/D377)*60)*1.8)</f>
        <v>980.68965517241372</v>
      </c>
      <c r="AU377">
        <f t="shared" si="106"/>
        <v>11.4</v>
      </c>
      <c r="AV377">
        <f t="shared" si="104"/>
        <v>401.50758620689652</v>
      </c>
      <c r="AW377">
        <f t="shared" si="107"/>
        <v>53.800000000000004</v>
      </c>
      <c r="AX377" t="str">
        <f t="shared" si="102"/>
        <v>Oct-2022</v>
      </c>
      <c r="AY377">
        <f>ROUNDUP(Table2[[#This Row],[Month]]/3,0)</f>
        <v>4</v>
      </c>
    </row>
    <row r="378" spans="1:51" x14ac:dyDescent="0.2">
      <c r="A378">
        <v>377</v>
      </c>
      <c r="B378">
        <f t="shared" si="91"/>
        <v>15</v>
      </c>
      <c r="C378" s="22">
        <v>44846</v>
      </c>
      <c r="D378">
        <f>SUM(Table2[[#This Row],[Gray Min]:[Red Min]])</f>
        <v>58</v>
      </c>
      <c r="E378">
        <v>12</v>
      </c>
      <c r="F378">
        <v>591</v>
      </c>
      <c r="G378">
        <v>122</v>
      </c>
      <c r="H378">
        <v>163</v>
      </c>
      <c r="I378">
        <v>11</v>
      </c>
      <c r="J378">
        <v>22</v>
      </c>
      <c r="K378">
        <v>13</v>
      </c>
      <c r="L378">
        <v>9</v>
      </c>
      <c r="M378">
        <v>3</v>
      </c>
      <c r="N378" t="s">
        <v>91</v>
      </c>
      <c r="O378" t="s">
        <v>57</v>
      </c>
      <c r="P378" t="s">
        <v>96</v>
      </c>
      <c r="Q378">
        <f t="shared" si="103"/>
        <v>1</v>
      </c>
      <c r="R378" t="str">
        <f t="shared" si="92"/>
        <v>10-2022</v>
      </c>
      <c r="S378" t="s">
        <v>117</v>
      </c>
      <c r="T378" t="str">
        <f t="shared" si="93"/>
        <v>Wednesday</v>
      </c>
      <c r="U378">
        <f t="shared" si="94"/>
        <v>1</v>
      </c>
      <c r="V378" s="24">
        <f>IFERROR(Table2[[#This Row],[Gray Min]]/Table2[[#This Row],[ClassLength]],"")</f>
        <v>0.18965517241379309</v>
      </c>
      <c r="W378" s="24">
        <f>IFERROR(Table2[[#This Row],[Blue Min]]/Table2[[#This Row],[ClassLength]],"")</f>
        <v>0.37931034482758619</v>
      </c>
      <c r="X378" s="24">
        <f>IFERROR(Table2[[#This Row],[Green Min]]/Table2[[#This Row],[ClassLength]],"")</f>
        <v>0.22413793103448276</v>
      </c>
      <c r="Y378" s="24">
        <f>IFERROR(Table2[[#This Row],[Orange Min]]/Table2[[#This Row],[ClassLength]],"")</f>
        <v>0.15517241379310345</v>
      </c>
      <c r="Z378" s="24">
        <f>IFERROR(Table2[[#This Row],[Red Min]]/Table2[[#This Row],[ClassLength]],"")</f>
        <v>5.1724137931034482E-2</v>
      </c>
      <c r="AA378" s="25">
        <v>232.14</v>
      </c>
      <c r="AB378" s="25">
        <f t="shared" si="105"/>
        <v>15.475999999999999</v>
      </c>
      <c r="AC378" s="26">
        <f t="shared" si="95"/>
        <v>612.13333333333333</v>
      </c>
      <c r="AD378" s="26">
        <f t="shared" si="96"/>
        <v>14.4</v>
      </c>
      <c r="AE378">
        <f t="shared" si="97"/>
        <v>2022</v>
      </c>
      <c r="AG378">
        <v>12</v>
      </c>
      <c r="AH378" s="26">
        <f t="shared" si="98"/>
        <v>10.189655172413794</v>
      </c>
      <c r="AI378" t="str">
        <f t="shared" si="99"/>
        <v>PM</v>
      </c>
      <c r="AJ378" t="str">
        <f t="shared" si="100"/>
        <v>10-2022-3</v>
      </c>
      <c r="AK378">
        <f t="shared" si="101"/>
        <v>10</v>
      </c>
      <c r="AL378" s="26">
        <f>IFERROR(Table2[[#This Row],[Calories]]/Table2[[#This Row],[Splat]],"")</f>
        <v>49.25</v>
      </c>
      <c r="AM378">
        <f>COUNTIF(N$2:$N$938,N378)</f>
        <v>218</v>
      </c>
      <c r="AN378" t="str">
        <f>VLOOKUP(N378,'Helpful Tables'!A:D,4,FALSE)</f>
        <v>Washington, DC</v>
      </c>
      <c r="AO378" s="24">
        <f>COUNTIF(AN:AN,Table2[[#This Row],[State]])/COUNTA(AN:AN)</f>
        <v>0.54904051172707891</v>
      </c>
      <c r="AP378">
        <f>VLOOKUP(N378,'Helpful Tables'!A:B,2,FALSE)</f>
        <v>38.934710000000003</v>
      </c>
      <c r="AQ378">
        <f>VLOOKUP(N378,'Helpful Tables'!A:C,3,FALSE)</f>
        <v>-77.058222999999998</v>
      </c>
      <c r="AR378">
        <f>COUNTIF(P$2:$P$938,P378)</f>
        <v>71</v>
      </c>
      <c r="AS378" cm="1">
        <f t="array" ref="AS378">_xlfn.IFS(E378&lt;6,((E378/D378)*60)*0.5,AND(E378&gt;=6,E378&lt;9),((E378/D378)*60)*0.75,AND(E378&gt;=9,E378&lt;=11),((E378/D378)*60)*0.9,AND(E378=12),((E378/D378)*60)*1,AND(E378&gt;=13,E378&lt;=15),((E378/D378)*60)*1.2,AND(E378&gt;=16,E378&lt;=19),((E378/D378)*60)*1.5,E378&gt;=20,((E378/D378)*60)*1.8)</f>
        <v>12.413793103448276</v>
      </c>
      <c r="AT378" cm="1">
        <f t="array" ref="AT378">_xlfn.IFS(F378&lt;550,((F378/D378)*60)*0.5,AND(F378&gt;=550,F378&lt;575),((F378/D378)*60)*0.75,AND(F378&gt;=575,F378&lt;600),((F378/D378)*60)*0.9,AND(F378=600),((F378/D378)*60)*1,AND(F378&gt;=601,F378&lt;=625),((F378/D378)*60)*1.2,AND(F378&gt;=626,F378&lt;=650),((F378/D378)*60)*1.5,F378&gt;=651,((F378/D378)*60)*1.8)</f>
        <v>550.24137931034488</v>
      </c>
      <c r="AU378">
        <f t="shared" si="106"/>
        <v>-5.6000000000000032</v>
      </c>
      <c r="AV378">
        <f t="shared" si="104"/>
        <v>223.94206896551725</v>
      </c>
      <c r="AW378">
        <f t="shared" si="107"/>
        <v>17.8</v>
      </c>
      <c r="AX378" t="str">
        <f t="shared" si="102"/>
        <v>Oct-2022</v>
      </c>
      <c r="AY378">
        <f>ROUNDUP(Table2[[#This Row],[Month]]/3,0)</f>
        <v>4</v>
      </c>
    </row>
    <row r="379" spans="1:51" x14ac:dyDescent="0.2">
      <c r="A379">
        <v>378</v>
      </c>
      <c r="B379">
        <f t="shared" si="91"/>
        <v>15</v>
      </c>
      <c r="C379" s="22">
        <v>44848</v>
      </c>
      <c r="D379">
        <f>SUM(Table2[[#This Row],[Gray Min]:[Red Min]])</f>
        <v>60</v>
      </c>
      <c r="E379">
        <v>21</v>
      </c>
      <c r="F379">
        <v>677</v>
      </c>
      <c r="G379">
        <v>129</v>
      </c>
      <c r="H379">
        <v>173</v>
      </c>
      <c r="I379">
        <v>11</v>
      </c>
      <c r="J379">
        <v>19</v>
      </c>
      <c r="K379">
        <v>9</v>
      </c>
      <c r="L379">
        <v>4</v>
      </c>
      <c r="M379">
        <v>17</v>
      </c>
      <c r="N379" t="s">
        <v>91</v>
      </c>
      <c r="O379" t="s">
        <v>89</v>
      </c>
      <c r="P379" t="s">
        <v>148</v>
      </c>
      <c r="Q379">
        <f t="shared" si="103"/>
        <v>2</v>
      </c>
      <c r="R379" t="str">
        <f t="shared" si="92"/>
        <v>10-2022</v>
      </c>
      <c r="S379" t="s">
        <v>104</v>
      </c>
      <c r="T379" t="str">
        <f t="shared" si="93"/>
        <v>Friday</v>
      </c>
      <c r="U379">
        <f t="shared" si="94"/>
        <v>1</v>
      </c>
      <c r="V379" s="24">
        <f>IFERROR(Table2[[#This Row],[Gray Min]]/Table2[[#This Row],[ClassLength]],"")</f>
        <v>0.18333333333333332</v>
      </c>
      <c r="W379" s="24">
        <f>IFERROR(Table2[[#This Row],[Blue Min]]/Table2[[#This Row],[ClassLength]],"")</f>
        <v>0.31666666666666665</v>
      </c>
      <c r="X379" s="24">
        <f>IFERROR(Table2[[#This Row],[Green Min]]/Table2[[#This Row],[ClassLength]],"")</f>
        <v>0.15</v>
      </c>
      <c r="Y379" s="24">
        <f>IFERROR(Table2[[#This Row],[Orange Min]]/Table2[[#This Row],[ClassLength]],"")</f>
        <v>6.6666666666666666E-2</v>
      </c>
      <c r="Z379" s="24">
        <f>IFERROR(Table2[[#This Row],[Red Min]]/Table2[[#This Row],[ClassLength]],"")</f>
        <v>0.28333333333333333</v>
      </c>
      <c r="AA379" s="25">
        <v>232.14</v>
      </c>
      <c r="AB379" s="25">
        <f t="shared" si="105"/>
        <v>15.475999999999999</v>
      </c>
      <c r="AC379" s="26">
        <f t="shared" si="95"/>
        <v>612.13333333333333</v>
      </c>
      <c r="AD379" s="26">
        <f t="shared" si="96"/>
        <v>14.4</v>
      </c>
      <c r="AE379">
        <f t="shared" si="97"/>
        <v>2022</v>
      </c>
      <c r="AG379">
        <v>12</v>
      </c>
      <c r="AH379" s="26">
        <f t="shared" si="98"/>
        <v>11.283333333333333</v>
      </c>
      <c r="AI379" t="str">
        <f t="shared" si="99"/>
        <v>AM</v>
      </c>
      <c r="AJ379" t="str">
        <f t="shared" si="100"/>
        <v>10-2022-3</v>
      </c>
      <c r="AK379">
        <f t="shared" si="101"/>
        <v>10</v>
      </c>
      <c r="AL379" s="26">
        <f>IFERROR(Table2[[#This Row],[Calories]]/Table2[[#This Row],[Splat]],"")</f>
        <v>32.238095238095241</v>
      </c>
      <c r="AM379">
        <f>COUNTIF(N$2:$N$938,N379)</f>
        <v>218</v>
      </c>
      <c r="AN379" t="str">
        <f>VLOOKUP(N379,'Helpful Tables'!A:D,4,FALSE)</f>
        <v>Washington, DC</v>
      </c>
      <c r="AO379" s="24">
        <f>COUNTIF(AN:AN,Table2[[#This Row],[State]])/COUNTA(AN:AN)</f>
        <v>0.54904051172707891</v>
      </c>
      <c r="AP379">
        <f>VLOOKUP(N379,'Helpful Tables'!A:B,2,FALSE)</f>
        <v>38.934710000000003</v>
      </c>
      <c r="AQ379">
        <f>VLOOKUP(N379,'Helpful Tables'!A:C,3,FALSE)</f>
        <v>-77.058222999999998</v>
      </c>
      <c r="AR379">
        <f>COUNTIF(P$2:$P$938,P379)</f>
        <v>14</v>
      </c>
      <c r="AS379" cm="1">
        <f t="array" ref="AS379">_xlfn.IFS(E379&lt;6,((E379/D379)*60)*0.5,AND(E379&gt;=6,E379&lt;9),((E379/D379)*60)*0.75,AND(E379&gt;=9,E379&lt;=11),((E379/D379)*60)*0.9,AND(E379=12),((E379/D379)*60)*1,AND(E379&gt;=13,E379&lt;=15),((E379/D379)*60)*1.2,AND(E379&gt;=16,E379&lt;=19),((E379/D379)*60)*1.5,E379&gt;=20,((E379/D379)*60)*1.8)</f>
        <v>37.800000000000004</v>
      </c>
      <c r="AT379" cm="1">
        <f t="array" ref="AT379">_xlfn.IFS(F379&lt;550,((F379/D379)*60)*0.5,AND(F379&gt;=550,F379&lt;575),((F379/D379)*60)*0.75,AND(F379&gt;=575,F379&lt;600),((F379/D379)*60)*0.9,AND(F379=600),((F379/D379)*60)*1,AND(F379&gt;=601,F379&lt;=625),((F379/D379)*60)*1.2,AND(F379&gt;=626,F379&lt;=650),((F379/D379)*60)*1.5,F379&gt;=651,((F379/D379)*60)*1.8)</f>
        <v>1218.6000000000001</v>
      </c>
      <c r="AU379">
        <f t="shared" si="106"/>
        <v>7.399999999999995</v>
      </c>
      <c r="AV379">
        <f t="shared" si="104"/>
        <v>504.04000000000008</v>
      </c>
      <c r="AW379">
        <f t="shared" si="107"/>
        <v>81.699999999999989</v>
      </c>
      <c r="AX379" t="str">
        <f t="shared" si="102"/>
        <v>Oct-2022</v>
      </c>
      <c r="AY379">
        <f>ROUNDUP(Table2[[#This Row],[Month]]/3,0)</f>
        <v>4</v>
      </c>
    </row>
    <row r="380" spans="1:51" x14ac:dyDescent="0.2">
      <c r="A380">
        <v>379</v>
      </c>
      <c r="B380">
        <f t="shared" si="91"/>
        <v>15</v>
      </c>
      <c r="C380" s="22">
        <v>44849</v>
      </c>
      <c r="D380">
        <f>SUM(Table2[[#This Row],[Gray Min]:[Red Min]])</f>
        <v>60</v>
      </c>
      <c r="E380">
        <v>15</v>
      </c>
      <c r="F380">
        <v>655</v>
      </c>
      <c r="G380">
        <v>126</v>
      </c>
      <c r="H380">
        <v>163</v>
      </c>
      <c r="I380">
        <v>12</v>
      </c>
      <c r="J380">
        <v>11</v>
      </c>
      <c r="K380">
        <v>22</v>
      </c>
      <c r="L380">
        <v>14</v>
      </c>
      <c r="M380">
        <v>1</v>
      </c>
      <c r="N380" t="s">
        <v>91</v>
      </c>
      <c r="O380" t="s">
        <v>159</v>
      </c>
      <c r="P380" t="s">
        <v>148</v>
      </c>
      <c r="Q380">
        <f t="shared" si="103"/>
        <v>1</v>
      </c>
      <c r="R380" t="str">
        <f t="shared" si="92"/>
        <v>10-2022</v>
      </c>
      <c r="S380" t="s">
        <v>104</v>
      </c>
      <c r="T380" t="str">
        <f t="shared" si="93"/>
        <v>Saturday</v>
      </c>
      <c r="U380">
        <f t="shared" si="94"/>
        <v>1</v>
      </c>
      <c r="V380" s="24">
        <f>IFERROR(Table2[[#This Row],[Gray Min]]/Table2[[#This Row],[ClassLength]],"")</f>
        <v>0.2</v>
      </c>
      <c r="W380" s="24">
        <f>IFERROR(Table2[[#This Row],[Blue Min]]/Table2[[#This Row],[ClassLength]],"")</f>
        <v>0.18333333333333332</v>
      </c>
      <c r="X380" s="24">
        <f>IFERROR(Table2[[#This Row],[Green Min]]/Table2[[#This Row],[ClassLength]],"")</f>
        <v>0.36666666666666664</v>
      </c>
      <c r="Y380" s="24">
        <f>IFERROR(Table2[[#This Row],[Orange Min]]/Table2[[#This Row],[ClassLength]],"")</f>
        <v>0.23333333333333334</v>
      </c>
      <c r="Z380" s="24">
        <f>IFERROR(Table2[[#This Row],[Red Min]]/Table2[[#This Row],[ClassLength]],"")</f>
        <v>1.6666666666666666E-2</v>
      </c>
      <c r="AA380" s="25">
        <v>232.14</v>
      </c>
      <c r="AB380" s="25">
        <f t="shared" si="105"/>
        <v>15.475999999999999</v>
      </c>
      <c r="AC380" s="26">
        <f t="shared" si="95"/>
        <v>612.13333333333333</v>
      </c>
      <c r="AD380" s="26">
        <f t="shared" si="96"/>
        <v>14.4</v>
      </c>
      <c r="AE380">
        <f t="shared" si="97"/>
        <v>2022</v>
      </c>
      <c r="AG380">
        <v>12</v>
      </c>
      <c r="AH380" s="26">
        <f t="shared" si="98"/>
        <v>10.916666666666666</v>
      </c>
      <c r="AI380" t="str">
        <f t="shared" si="99"/>
        <v>AM</v>
      </c>
      <c r="AJ380" t="str">
        <f t="shared" si="100"/>
        <v>10-2022-3</v>
      </c>
      <c r="AK380">
        <f t="shared" si="101"/>
        <v>10</v>
      </c>
      <c r="AL380" s="26">
        <f>IFERROR(Table2[[#This Row],[Calories]]/Table2[[#This Row],[Splat]],"")</f>
        <v>43.666666666666664</v>
      </c>
      <c r="AM380">
        <f>COUNTIF(N$2:$N$938,N380)</f>
        <v>218</v>
      </c>
      <c r="AN380" t="str">
        <f>VLOOKUP(N380,'Helpful Tables'!A:D,4,FALSE)</f>
        <v>Washington, DC</v>
      </c>
      <c r="AO380" s="24">
        <f>COUNTIF(AN:AN,Table2[[#This Row],[State]])/COUNTA(AN:AN)</f>
        <v>0.54904051172707891</v>
      </c>
      <c r="AP380">
        <f>VLOOKUP(N380,'Helpful Tables'!A:B,2,FALSE)</f>
        <v>38.934710000000003</v>
      </c>
      <c r="AQ380">
        <f>VLOOKUP(N380,'Helpful Tables'!A:C,3,FALSE)</f>
        <v>-77.058222999999998</v>
      </c>
      <c r="AR380">
        <f>COUNTIF(P$2:$P$938,P380)</f>
        <v>14</v>
      </c>
      <c r="AS380" cm="1">
        <f t="array" ref="AS380">_xlfn.IFS(E380&lt;6,((E380/D380)*60)*0.5,AND(E380&gt;=6,E380&lt;9),((E380/D380)*60)*0.75,AND(E380&gt;=9,E380&lt;=11),((E380/D380)*60)*0.9,AND(E380=12),((E380/D380)*60)*1,AND(E380&gt;=13,E380&lt;=15),((E380/D380)*60)*1.2,AND(E380&gt;=16,E380&lt;=19),((E380/D380)*60)*1.5,E380&gt;=20,((E380/D380)*60)*1.8)</f>
        <v>18</v>
      </c>
      <c r="AT380" cm="1">
        <f t="array" ref="AT380">_xlfn.IFS(F380&lt;550,((F380/D380)*60)*0.5,AND(F380&gt;=550,F380&lt;575),((F380/D380)*60)*0.75,AND(F380&gt;=575,F380&lt;600),((F380/D380)*60)*0.9,AND(F380=600),((F380/D380)*60)*1,AND(F380&gt;=601,F380&lt;=625),((F380/D380)*60)*1.2,AND(F380&gt;=626,F380&lt;=650),((F380/D380)*60)*1.5,F380&gt;=651,((F380/D380)*60)*1.8)</f>
        <v>1179</v>
      </c>
      <c r="AU380">
        <f t="shared" si="106"/>
        <v>19.599999999999998</v>
      </c>
      <c r="AV380">
        <f t="shared" si="104"/>
        <v>482.72</v>
      </c>
      <c r="AW380">
        <f t="shared" si="107"/>
        <v>70.599999999999994</v>
      </c>
      <c r="AX380" t="str">
        <f t="shared" si="102"/>
        <v>Oct-2022</v>
      </c>
      <c r="AY380">
        <f>ROUNDUP(Table2[[#This Row],[Month]]/3,0)</f>
        <v>4</v>
      </c>
    </row>
    <row r="381" spans="1:51" x14ac:dyDescent="0.2">
      <c r="A381">
        <v>380</v>
      </c>
      <c r="B381">
        <f t="shared" si="91"/>
        <v>15</v>
      </c>
      <c r="C381" s="22">
        <v>44852</v>
      </c>
      <c r="D381">
        <f>SUM(Table2[[#This Row],[Gray Min]:[Red Min]])</f>
        <v>56</v>
      </c>
      <c r="E381">
        <v>12</v>
      </c>
      <c r="F381">
        <v>536</v>
      </c>
      <c r="G381">
        <v>117</v>
      </c>
      <c r="H381">
        <v>160</v>
      </c>
      <c r="I381">
        <v>19</v>
      </c>
      <c r="J381">
        <v>14</v>
      </c>
      <c r="K381">
        <v>11</v>
      </c>
      <c r="L381">
        <v>12</v>
      </c>
      <c r="M381">
        <v>0</v>
      </c>
      <c r="N381" t="s">
        <v>101</v>
      </c>
      <c r="O381" t="s">
        <v>107</v>
      </c>
      <c r="P381" t="s">
        <v>118</v>
      </c>
      <c r="Q381">
        <f t="shared" si="103"/>
        <v>3</v>
      </c>
      <c r="R381" t="str">
        <f t="shared" si="92"/>
        <v>10-2022</v>
      </c>
      <c r="S381" t="s">
        <v>104</v>
      </c>
      <c r="T381" t="str">
        <f t="shared" si="93"/>
        <v>Tuesday</v>
      </c>
      <c r="U381">
        <f t="shared" si="94"/>
        <v>1</v>
      </c>
      <c r="V381" s="24">
        <f>IFERROR(Table2[[#This Row],[Gray Min]]/Table2[[#This Row],[ClassLength]],"")</f>
        <v>0.3392857142857143</v>
      </c>
      <c r="W381" s="24">
        <f>IFERROR(Table2[[#This Row],[Blue Min]]/Table2[[#This Row],[ClassLength]],"")</f>
        <v>0.25</v>
      </c>
      <c r="X381" s="24">
        <f>IFERROR(Table2[[#This Row],[Green Min]]/Table2[[#This Row],[ClassLength]],"")</f>
        <v>0.19642857142857142</v>
      </c>
      <c r="Y381" s="24">
        <f>IFERROR(Table2[[#This Row],[Orange Min]]/Table2[[#This Row],[ClassLength]],"")</f>
        <v>0.21428571428571427</v>
      </c>
      <c r="Z381" s="24">
        <f>IFERROR(Table2[[#This Row],[Red Min]]/Table2[[#This Row],[ClassLength]],"")</f>
        <v>0</v>
      </c>
      <c r="AA381" s="25">
        <v>232.14</v>
      </c>
      <c r="AB381" s="25">
        <f t="shared" si="105"/>
        <v>15.475999999999999</v>
      </c>
      <c r="AC381" s="26">
        <f t="shared" si="95"/>
        <v>612.13333333333333</v>
      </c>
      <c r="AD381" s="26">
        <f t="shared" si="96"/>
        <v>14.4</v>
      </c>
      <c r="AE381">
        <f t="shared" si="97"/>
        <v>2022</v>
      </c>
      <c r="AG381">
        <v>12</v>
      </c>
      <c r="AH381" s="26">
        <f t="shared" si="98"/>
        <v>9.5714285714285712</v>
      </c>
      <c r="AI381" t="str">
        <f t="shared" si="99"/>
        <v>AM</v>
      </c>
      <c r="AJ381" t="str">
        <f t="shared" si="100"/>
        <v>10-2022-4</v>
      </c>
      <c r="AK381">
        <f t="shared" si="101"/>
        <v>10</v>
      </c>
      <c r="AL381" s="26">
        <f>IFERROR(Table2[[#This Row],[Calories]]/Table2[[#This Row],[Splat]],"")</f>
        <v>44.666666666666664</v>
      </c>
      <c r="AM381">
        <f>COUNTIF(N$2:$N$938,N381)</f>
        <v>191</v>
      </c>
      <c r="AN381" t="str">
        <f>VLOOKUP(N381,'Helpful Tables'!A:D,4,FALSE)</f>
        <v>Washington, DC</v>
      </c>
      <c r="AO381" s="24">
        <f>COUNTIF(AN:AN,Table2[[#This Row],[State]])/COUNTA(AN:AN)</f>
        <v>0.54904051172707891</v>
      </c>
      <c r="AP381">
        <f>VLOOKUP(N381,'Helpful Tables'!A:B,2,FALSE)</f>
        <v>38.949649000000001</v>
      </c>
      <c r="AQ381">
        <f>VLOOKUP(N381,'Helpful Tables'!A:C,3,FALSE)</f>
        <v>-77.080878999999996</v>
      </c>
      <c r="AR381">
        <f>COUNTIF(P$2:$P$938,P381)</f>
        <v>16</v>
      </c>
      <c r="AS381" cm="1">
        <f t="array" ref="AS381">_xlfn.IFS(E381&lt;6,((E381/D381)*60)*0.5,AND(E381&gt;=6,E381&lt;9),((E381/D381)*60)*0.75,AND(E381&gt;=9,E381&lt;=11),((E381/D381)*60)*0.9,AND(E381=12),((E381/D381)*60)*1,AND(E381&gt;=13,E381&lt;=15),((E381/D381)*60)*1.2,AND(E381&gt;=16,E381&lt;=19),((E381/D381)*60)*1.5,E381&gt;=20,((E381/D381)*60)*1.8)</f>
        <v>12.857142857142856</v>
      </c>
      <c r="AT381" cm="1">
        <f t="array" ref="AT381">_xlfn.IFS(F381&lt;550,((F381/D381)*60)*0.5,AND(F381&gt;=550,F381&lt;575),((F381/D381)*60)*0.75,AND(F381&gt;=575,F381&lt;600),((F381/D381)*60)*0.9,AND(F381=600),((F381/D381)*60)*1,AND(F381&gt;=601,F381&lt;=625),((F381/D381)*60)*1.2,AND(F381&gt;=626,F381&lt;=650),((F381/D381)*60)*1.5,F381&gt;=651,((F381/D381)*60)*1.8)</f>
        <v>287.14285714285711</v>
      </c>
      <c r="AU381">
        <f t="shared" si="106"/>
        <v>-9.4000000000000021</v>
      </c>
      <c r="AV381">
        <f t="shared" si="104"/>
        <v>118.11999999999999</v>
      </c>
      <c r="AW381">
        <f t="shared" si="107"/>
        <v>6.5</v>
      </c>
      <c r="AX381" t="str">
        <f t="shared" si="102"/>
        <v>Oct-2022</v>
      </c>
      <c r="AY381">
        <f>ROUNDUP(Table2[[#This Row],[Month]]/3,0)</f>
        <v>4</v>
      </c>
    </row>
    <row r="382" spans="1:51" x14ac:dyDescent="0.2">
      <c r="A382">
        <v>381</v>
      </c>
      <c r="B382">
        <f t="shared" si="91"/>
        <v>15</v>
      </c>
      <c r="C382" s="22">
        <v>44854</v>
      </c>
      <c r="D382">
        <f>SUM(Table2[[#This Row],[Gray Min]:[Red Min]])</f>
        <v>54</v>
      </c>
      <c r="E382">
        <v>14</v>
      </c>
      <c r="F382">
        <v>579</v>
      </c>
      <c r="G382">
        <v>125</v>
      </c>
      <c r="H382">
        <v>166</v>
      </c>
      <c r="I382">
        <v>13</v>
      </c>
      <c r="J382">
        <v>12</v>
      </c>
      <c r="K382">
        <v>15</v>
      </c>
      <c r="L382">
        <v>11</v>
      </c>
      <c r="M382">
        <v>3</v>
      </c>
      <c r="N382" t="s">
        <v>91</v>
      </c>
      <c r="O382" t="s">
        <v>26</v>
      </c>
      <c r="P382" t="s">
        <v>98</v>
      </c>
      <c r="Q382">
        <f t="shared" si="103"/>
        <v>2</v>
      </c>
      <c r="R382" t="str">
        <f t="shared" si="92"/>
        <v>10-2022</v>
      </c>
      <c r="S382" t="s">
        <v>104</v>
      </c>
      <c r="T382" t="str">
        <f t="shared" si="93"/>
        <v>Thursday</v>
      </c>
      <c r="U382">
        <f t="shared" si="94"/>
        <v>1</v>
      </c>
      <c r="V382" s="24">
        <f>IFERROR(Table2[[#This Row],[Gray Min]]/Table2[[#This Row],[ClassLength]],"")</f>
        <v>0.24074074074074073</v>
      </c>
      <c r="W382" s="24">
        <f>IFERROR(Table2[[#This Row],[Blue Min]]/Table2[[#This Row],[ClassLength]],"")</f>
        <v>0.22222222222222221</v>
      </c>
      <c r="X382" s="24">
        <f>IFERROR(Table2[[#This Row],[Green Min]]/Table2[[#This Row],[ClassLength]],"")</f>
        <v>0.27777777777777779</v>
      </c>
      <c r="Y382" s="24">
        <f>IFERROR(Table2[[#This Row],[Orange Min]]/Table2[[#This Row],[ClassLength]],"")</f>
        <v>0.20370370370370369</v>
      </c>
      <c r="Z382" s="24">
        <f>IFERROR(Table2[[#This Row],[Red Min]]/Table2[[#This Row],[ClassLength]],"")</f>
        <v>5.5555555555555552E-2</v>
      </c>
      <c r="AA382" s="25">
        <v>232.14</v>
      </c>
      <c r="AB382" s="25">
        <f t="shared" si="105"/>
        <v>15.475999999999999</v>
      </c>
      <c r="AC382" s="26">
        <f t="shared" si="95"/>
        <v>612.13333333333333</v>
      </c>
      <c r="AD382" s="26">
        <f t="shared" si="96"/>
        <v>14.4</v>
      </c>
      <c r="AE382">
        <f t="shared" si="97"/>
        <v>2022</v>
      </c>
      <c r="AG382">
        <v>12</v>
      </c>
      <c r="AH382" s="26">
        <f t="shared" si="98"/>
        <v>10.722222222222221</v>
      </c>
      <c r="AI382" t="str">
        <f t="shared" si="99"/>
        <v>PM</v>
      </c>
      <c r="AJ382" t="str">
        <f t="shared" si="100"/>
        <v>10-2022-4</v>
      </c>
      <c r="AK382">
        <f t="shared" si="101"/>
        <v>10</v>
      </c>
      <c r="AL382" s="26">
        <f>IFERROR(Table2[[#This Row],[Calories]]/Table2[[#This Row],[Splat]],"")</f>
        <v>41.357142857142854</v>
      </c>
      <c r="AM382">
        <f>COUNTIF(N$2:$N$938,N382)</f>
        <v>218</v>
      </c>
      <c r="AN382" t="str">
        <f>VLOOKUP(N382,'Helpful Tables'!A:D,4,FALSE)</f>
        <v>Washington, DC</v>
      </c>
      <c r="AO382" s="24">
        <f>COUNTIF(AN:AN,Table2[[#This Row],[State]])/COUNTA(AN:AN)</f>
        <v>0.54904051172707891</v>
      </c>
      <c r="AP382">
        <f>VLOOKUP(N382,'Helpful Tables'!A:B,2,FALSE)</f>
        <v>38.934710000000003</v>
      </c>
      <c r="AQ382">
        <f>VLOOKUP(N382,'Helpful Tables'!A:C,3,FALSE)</f>
        <v>-77.058222999999998</v>
      </c>
      <c r="AR382">
        <f>COUNTIF(P$2:$P$938,P382)</f>
        <v>28</v>
      </c>
      <c r="AS382" cm="1">
        <f t="array" ref="AS382">_xlfn.IFS(E382&lt;6,((E382/D382)*60)*0.5,AND(E382&gt;=6,E382&lt;9),((E382/D382)*60)*0.75,AND(E382&gt;=9,E382&lt;=11),((E382/D382)*60)*0.9,AND(E382=12),((E382/D382)*60)*1,AND(E382&gt;=13,E382&lt;=15),((E382/D382)*60)*1.2,AND(E382&gt;=16,E382&lt;=19),((E382/D382)*60)*1.5,E382&gt;=20,((E382/D382)*60)*1.8)</f>
        <v>18.666666666666664</v>
      </c>
      <c r="AT382" cm="1">
        <f t="array" ref="AT382">_xlfn.IFS(F382&lt;550,((F382/D382)*60)*0.5,AND(F382&gt;=550,F382&lt;575),((F382/D382)*60)*0.75,AND(F382&gt;=575,F382&lt;600),((F382/D382)*60)*0.9,AND(F382=600),((F382/D382)*60)*1,AND(F382&gt;=601,F382&lt;=625),((F382/D382)*60)*1.2,AND(F382&gt;=626,F382&lt;=650),((F382/D382)*60)*1.5,F382&gt;=651,((F382/D382)*60)*1.8)</f>
        <v>579</v>
      </c>
      <c r="AU382">
        <f t="shared" si="106"/>
        <v>8</v>
      </c>
      <c r="AV382">
        <f t="shared" si="104"/>
        <v>240.66666666666669</v>
      </c>
      <c r="AW382">
        <f t="shared" si="107"/>
        <v>22.1</v>
      </c>
      <c r="AX382" t="str">
        <f t="shared" si="102"/>
        <v>Oct-2022</v>
      </c>
      <c r="AY382">
        <f>ROUNDUP(Table2[[#This Row],[Month]]/3,0)</f>
        <v>4</v>
      </c>
    </row>
    <row r="383" spans="1:51" x14ac:dyDescent="0.2">
      <c r="A383">
        <v>382</v>
      </c>
      <c r="B383">
        <f t="shared" si="91"/>
        <v>15</v>
      </c>
      <c r="C383" s="22">
        <v>44858</v>
      </c>
      <c r="D383">
        <f>SUM(Table2[[#This Row],[Gray Min]:[Red Min]])</f>
        <v>58</v>
      </c>
      <c r="E383">
        <v>13</v>
      </c>
      <c r="F383">
        <v>613</v>
      </c>
      <c r="G383">
        <v>124</v>
      </c>
      <c r="H383">
        <v>167</v>
      </c>
      <c r="I383">
        <v>9</v>
      </c>
      <c r="J383">
        <v>15</v>
      </c>
      <c r="K383">
        <v>21</v>
      </c>
      <c r="L383">
        <v>9</v>
      </c>
      <c r="M383">
        <v>4</v>
      </c>
      <c r="N383" t="s">
        <v>91</v>
      </c>
      <c r="O383" t="s">
        <v>57</v>
      </c>
      <c r="P383" t="s">
        <v>148</v>
      </c>
      <c r="Q383">
        <f t="shared" si="103"/>
        <v>4</v>
      </c>
      <c r="R383" t="str">
        <f t="shared" si="92"/>
        <v>10-2022</v>
      </c>
      <c r="S383" t="s">
        <v>117</v>
      </c>
      <c r="T383" t="str">
        <f t="shared" si="93"/>
        <v>Monday</v>
      </c>
      <c r="U383">
        <f t="shared" si="94"/>
        <v>1</v>
      </c>
      <c r="V383" s="24">
        <f>IFERROR(Table2[[#This Row],[Gray Min]]/Table2[[#This Row],[ClassLength]],"")</f>
        <v>0.15517241379310345</v>
      </c>
      <c r="W383" s="24">
        <f>IFERROR(Table2[[#This Row],[Blue Min]]/Table2[[#This Row],[ClassLength]],"")</f>
        <v>0.25862068965517243</v>
      </c>
      <c r="X383" s="24">
        <f>IFERROR(Table2[[#This Row],[Green Min]]/Table2[[#This Row],[ClassLength]],"")</f>
        <v>0.36206896551724138</v>
      </c>
      <c r="Y383" s="24">
        <f>IFERROR(Table2[[#This Row],[Orange Min]]/Table2[[#This Row],[ClassLength]],"")</f>
        <v>0.15517241379310345</v>
      </c>
      <c r="Z383" s="24">
        <f>IFERROR(Table2[[#This Row],[Red Min]]/Table2[[#This Row],[ClassLength]],"")</f>
        <v>6.8965517241379309E-2</v>
      </c>
      <c r="AA383" s="25">
        <v>232.14</v>
      </c>
      <c r="AB383" s="25">
        <f t="shared" si="105"/>
        <v>15.475999999999999</v>
      </c>
      <c r="AC383" s="26">
        <f t="shared" si="95"/>
        <v>612.13333333333333</v>
      </c>
      <c r="AD383" s="26">
        <f t="shared" si="96"/>
        <v>14.4</v>
      </c>
      <c r="AE383">
        <f t="shared" si="97"/>
        <v>2022</v>
      </c>
      <c r="AG383">
        <v>12</v>
      </c>
      <c r="AH383" s="26">
        <f t="shared" si="98"/>
        <v>10.568965517241379</v>
      </c>
      <c r="AI383" t="str">
        <f t="shared" si="99"/>
        <v>PM</v>
      </c>
      <c r="AJ383" t="str">
        <f t="shared" si="100"/>
        <v>10-2022-5</v>
      </c>
      <c r="AK383">
        <f t="shared" si="101"/>
        <v>10</v>
      </c>
      <c r="AL383" s="26">
        <f>IFERROR(Table2[[#This Row],[Calories]]/Table2[[#This Row],[Splat]],"")</f>
        <v>47.153846153846153</v>
      </c>
      <c r="AM383">
        <f>COUNTIF(N$2:$N$938,N383)</f>
        <v>218</v>
      </c>
      <c r="AN383" t="str">
        <f>VLOOKUP(N383,'Helpful Tables'!A:D,4,FALSE)</f>
        <v>Washington, DC</v>
      </c>
      <c r="AO383" s="24">
        <f>COUNTIF(AN:AN,Table2[[#This Row],[State]])/COUNTA(AN:AN)</f>
        <v>0.54904051172707891</v>
      </c>
      <c r="AP383">
        <f>VLOOKUP(N383,'Helpful Tables'!A:B,2,FALSE)</f>
        <v>38.934710000000003</v>
      </c>
      <c r="AQ383">
        <f>VLOOKUP(N383,'Helpful Tables'!A:C,3,FALSE)</f>
        <v>-77.058222999999998</v>
      </c>
      <c r="AR383">
        <f>COUNTIF(P$2:$P$938,P383)</f>
        <v>14</v>
      </c>
      <c r="AS383" cm="1">
        <f t="array" ref="AS383">_xlfn.IFS(E383&lt;6,((E383/D383)*60)*0.5,AND(E383&gt;=6,E383&lt;9),((E383/D383)*60)*0.75,AND(E383&gt;=9,E383&lt;=11),((E383/D383)*60)*0.9,AND(E383=12),((E383/D383)*60)*1,AND(E383&gt;=13,E383&lt;=15),((E383/D383)*60)*1.2,AND(E383&gt;=16,E383&lt;=19),((E383/D383)*60)*1.5,E383&gt;=20,((E383/D383)*60)*1.8)</f>
        <v>16.137931034482758</v>
      </c>
      <c r="AT383" cm="1">
        <f t="array" ref="AT383">_xlfn.IFS(F383&lt;550,((F383/D383)*60)*0.5,AND(F383&gt;=550,F383&lt;575),((F383/D383)*60)*0.75,AND(F383&gt;=575,F383&lt;600),((F383/D383)*60)*0.9,AND(F383=600),((F383/D383)*60)*1,AND(F383&gt;=601,F383&lt;=625),((F383/D383)*60)*1.2,AND(F383&gt;=626,F383&lt;=650),((F383/D383)*60)*1.5,F383&gt;=651,((F383/D383)*60)*1.8)</f>
        <v>760.9655172413793</v>
      </c>
      <c r="AU383">
        <f t="shared" si="106"/>
        <v>15.600000000000003</v>
      </c>
      <c r="AV383">
        <f t="shared" si="104"/>
        <v>313.96137931034485</v>
      </c>
      <c r="AW383">
        <f t="shared" si="107"/>
        <v>33</v>
      </c>
      <c r="AX383" t="str">
        <f t="shared" si="102"/>
        <v>Oct-2022</v>
      </c>
      <c r="AY383">
        <f>ROUNDUP(Table2[[#This Row],[Month]]/3,0)</f>
        <v>4</v>
      </c>
    </row>
    <row r="384" spans="1:51" x14ac:dyDescent="0.2">
      <c r="A384">
        <v>383</v>
      </c>
      <c r="B384">
        <f t="shared" si="91"/>
        <v>15</v>
      </c>
      <c r="C384" s="22">
        <v>44860</v>
      </c>
      <c r="D384">
        <f>SUM(Table2[[#This Row],[Gray Min]:[Red Min]])</f>
        <v>57</v>
      </c>
      <c r="E384">
        <v>18</v>
      </c>
      <c r="F384">
        <v>649</v>
      </c>
      <c r="G384">
        <v>129</v>
      </c>
      <c r="H384">
        <v>170</v>
      </c>
      <c r="I384">
        <v>7</v>
      </c>
      <c r="J384">
        <v>13</v>
      </c>
      <c r="K384">
        <v>19</v>
      </c>
      <c r="L384">
        <v>12</v>
      </c>
      <c r="M384">
        <v>6</v>
      </c>
      <c r="N384" t="s">
        <v>160</v>
      </c>
      <c r="O384" t="s">
        <v>143</v>
      </c>
      <c r="P384" t="s">
        <v>161</v>
      </c>
      <c r="Q384">
        <f t="shared" si="103"/>
        <v>2</v>
      </c>
      <c r="R384" t="str">
        <f t="shared" si="92"/>
        <v>10-2022</v>
      </c>
      <c r="S384" t="s">
        <v>117</v>
      </c>
      <c r="T384" t="str">
        <f t="shared" si="93"/>
        <v>Wednesday</v>
      </c>
      <c r="U384">
        <f t="shared" si="94"/>
        <v>1</v>
      </c>
      <c r="V384" s="24">
        <f>IFERROR(Table2[[#This Row],[Gray Min]]/Table2[[#This Row],[ClassLength]],"")</f>
        <v>0.12280701754385964</v>
      </c>
      <c r="W384" s="24">
        <f>IFERROR(Table2[[#This Row],[Blue Min]]/Table2[[#This Row],[ClassLength]],"")</f>
        <v>0.22807017543859648</v>
      </c>
      <c r="X384" s="24">
        <f>IFERROR(Table2[[#This Row],[Green Min]]/Table2[[#This Row],[ClassLength]],"")</f>
        <v>0.33333333333333331</v>
      </c>
      <c r="Y384" s="24">
        <f>IFERROR(Table2[[#This Row],[Orange Min]]/Table2[[#This Row],[ClassLength]],"")</f>
        <v>0.21052631578947367</v>
      </c>
      <c r="Z384" s="24">
        <f>IFERROR(Table2[[#This Row],[Red Min]]/Table2[[#This Row],[ClassLength]],"")</f>
        <v>0.10526315789473684</v>
      </c>
      <c r="AA384" s="25">
        <v>232.14</v>
      </c>
      <c r="AB384" s="25">
        <f t="shared" si="105"/>
        <v>15.475999999999999</v>
      </c>
      <c r="AC384" s="26">
        <f t="shared" si="95"/>
        <v>612.13333333333333</v>
      </c>
      <c r="AD384" s="26">
        <f t="shared" si="96"/>
        <v>14.4</v>
      </c>
      <c r="AE384">
        <f t="shared" si="97"/>
        <v>2022</v>
      </c>
      <c r="AG384">
        <v>12</v>
      </c>
      <c r="AH384" s="26">
        <f t="shared" si="98"/>
        <v>11.385964912280702</v>
      </c>
      <c r="AI384" t="str">
        <f t="shared" si="99"/>
        <v>PM</v>
      </c>
      <c r="AJ384" t="str">
        <f t="shared" si="100"/>
        <v>10-2022-5</v>
      </c>
      <c r="AK384">
        <f t="shared" si="101"/>
        <v>10</v>
      </c>
      <c r="AL384" s="26">
        <f>IFERROR(Table2[[#This Row],[Calories]]/Table2[[#This Row],[Splat]],"")</f>
        <v>36.055555555555557</v>
      </c>
      <c r="AM384">
        <f>COUNTIF(N$2:$N$938,N384)</f>
        <v>9</v>
      </c>
      <c r="AN384" t="str">
        <f>VLOOKUP(N384,'Helpful Tables'!A:D,4,FALSE)</f>
        <v>Virginia</v>
      </c>
      <c r="AO384" s="24">
        <f>COUNTIF(AN:AN,Table2[[#This Row],[State]])/COUNTA(AN:AN)</f>
        <v>5.6503198294243072E-2</v>
      </c>
      <c r="AP384">
        <f>VLOOKUP(N384,'Helpful Tables'!A:B,2,FALSE)</f>
        <v>38.880467000000003</v>
      </c>
      <c r="AQ384">
        <f>VLOOKUP(N384,'Helpful Tables'!A:C,3,FALSE)</f>
        <v>-77.111583999999993</v>
      </c>
      <c r="AR384">
        <f>COUNTIF(P$2:$P$938,P384)</f>
        <v>7</v>
      </c>
      <c r="AS384" cm="1">
        <f t="array" ref="AS384">_xlfn.IFS(E384&lt;6,((E384/D384)*60)*0.5,AND(E384&gt;=6,E384&lt;9),((E384/D384)*60)*0.75,AND(E384&gt;=9,E384&lt;=11),((E384/D384)*60)*0.9,AND(E384=12),((E384/D384)*60)*1,AND(E384&gt;=13,E384&lt;=15),((E384/D384)*60)*1.2,AND(E384&gt;=16,E384&lt;=19),((E384/D384)*60)*1.5,E384&gt;=20,((E384/D384)*60)*1.8)</f>
        <v>28.421052631578945</v>
      </c>
      <c r="AT384" cm="1">
        <f t="array" ref="AT384">_xlfn.IFS(F384&lt;550,((F384/D384)*60)*0.5,AND(F384&gt;=550,F384&lt;575),((F384/D384)*60)*0.75,AND(F384&gt;=575,F384&lt;600),((F384/D384)*60)*0.9,AND(F384=600),((F384/D384)*60)*1,AND(F384&gt;=601,F384&lt;=625),((F384/D384)*60)*1.2,AND(F384&gt;=626,F384&lt;=650),((F384/D384)*60)*1.5,F384&gt;=651,((F384/D384)*60)*1.8)</f>
        <v>1024.7368421052631</v>
      </c>
      <c r="AU384">
        <f t="shared" si="106"/>
        <v>24.7</v>
      </c>
      <c r="AV384">
        <f t="shared" si="104"/>
        <v>426.20315789473682</v>
      </c>
      <c r="AW384">
        <f t="shared" si="107"/>
        <v>64</v>
      </c>
      <c r="AX384" t="str">
        <f t="shared" si="102"/>
        <v>Oct-2022</v>
      </c>
      <c r="AY384">
        <f>ROUNDUP(Table2[[#This Row],[Month]]/3,0)</f>
        <v>4</v>
      </c>
    </row>
    <row r="385" spans="1:51" x14ac:dyDescent="0.2">
      <c r="A385">
        <v>384</v>
      </c>
      <c r="B385">
        <f t="shared" si="91"/>
        <v>15</v>
      </c>
      <c r="C385" s="22">
        <v>44862</v>
      </c>
      <c r="D385">
        <f>SUM(Table2[[#This Row],[Gray Min]:[Red Min]])</f>
        <v>60</v>
      </c>
      <c r="E385">
        <v>17</v>
      </c>
      <c r="F385">
        <v>679</v>
      </c>
      <c r="G385">
        <v>130</v>
      </c>
      <c r="H385">
        <v>169</v>
      </c>
      <c r="I385">
        <v>5</v>
      </c>
      <c r="J385">
        <v>16</v>
      </c>
      <c r="K385">
        <v>22</v>
      </c>
      <c r="L385">
        <v>14</v>
      </c>
      <c r="M385">
        <v>3</v>
      </c>
      <c r="N385" t="s">
        <v>91</v>
      </c>
      <c r="O385" t="s">
        <v>89</v>
      </c>
      <c r="P385" t="s">
        <v>148</v>
      </c>
      <c r="Q385">
        <f t="shared" si="103"/>
        <v>2</v>
      </c>
      <c r="R385" t="str">
        <f t="shared" si="92"/>
        <v>10-2022</v>
      </c>
      <c r="S385" t="s">
        <v>117</v>
      </c>
      <c r="T385" t="str">
        <f t="shared" si="93"/>
        <v>Friday</v>
      </c>
      <c r="U385">
        <f t="shared" si="94"/>
        <v>1</v>
      </c>
      <c r="V385" s="24">
        <f>IFERROR(Table2[[#This Row],[Gray Min]]/Table2[[#This Row],[ClassLength]],"")</f>
        <v>8.3333333333333329E-2</v>
      </c>
      <c r="W385" s="24">
        <f>IFERROR(Table2[[#This Row],[Blue Min]]/Table2[[#This Row],[ClassLength]],"")</f>
        <v>0.26666666666666666</v>
      </c>
      <c r="X385" s="24">
        <f>IFERROR(Table2[[#This Row],[Green Min]]/Table2[[#This Row],[ClassLength]],"")</f>
        <v>0.36666666666666664</v>
      </c>
      <c r="Y385" s="24">
        <f>IFERROR(Table2[[#This Row],[Orange Min]]/Table2[[#This Row],[ClassLength]],"")</f>
        <v>0.23333333333333334</v>
      </c>
      <c r="Z385" s="24">
        <f>IFERROR(Table2[[#This Row],[Red Min]]/Table2[[#This Row],[ClassLength]],"")</f>
        <v>0.05</v>
      </c>
      <c r="AA385" s="25">
        <v>232.14</v>
      </c>
      <c r="AB385" s="25">
        <f t="shared" si="105"/>
        <v>15.475999999999999</v>
      </c>
      <c r="AC385" s="26">
        <f t="shared" si="95"/>
        <v>612.13333333333333</v>
      </c>
      <c r="AD385" s="26">
        <f t="shared" si="96"/>
        <v>14.4</v>
      </c>
      <c r="AE385">
        <f t="shared" si="97"/>
        <v>2022</v>
      </c>
      <c r="AG385">
        <v>12</v>
      </c>
      <c r="AH385" s="26">
        <f t="shared" si="98"/>
        <v>11.316666666666666</v>
      </c>
      <c r="AI385" t="str">
        <f t="shared" si="99"/>
        <v>AM</v>
      </c>
      <c r="AJ385" t="str">
        <f t="shared" si="100"/>
        <v>10-2022-5</v>
      </c>
      <c r="AK385">
        <f t="shared" si="101"/>
        <v>10</v>
      </c>
      <c r="AL385" s="26">
        <f>IFERROR(Table2[[#This Row],[Calories]]/Table2[[#This Row],[Splat]],"")</f>
        <v>39.941176470588232</v>
      </c>
      <c r="AM385">
        <f>COUNTIF(N$2:$N$938,N385)</f>
        <v>218</v>
      </c>
      <c r="AN385" t="str">
        <f>VLOOKUP(N385,'Helpful Tables'!A:D,4,FALSE)</f>
        <v>Washington, DC</v>
      </c>
      <c r="AO385" s="24">
        <f>COUNTIF(AN:AN,Table2[[#This Row],[State]])/COUNTA(AN:AN)</f>
        <v>0.54904051172707891</v>
      </c>
      <c r="AP385">
        <f>VLOOKUP(N385,'Helpful Tables'!A:B,2,FALSE)</f>
        <v>38.934710000000003</v>
      </c>
      <c r="AQ385">
        <f>VLOOKUP(N385,'Helpful Tables'!A:C,3,FALSE)</f>
        <v>-77.058222999999998</v>
      </c>
      <c r="AR385">
        <f>COUNTIF(P$2:$P$938,P385)</f>
        <v>14</v>
      </c>
      <c r="AS385" cm="1">
        <f t="array" ref="AS385">_xlfn.IFS(E385&lt;6,((E385/D385)*60)*0.5,AND(E385&gt;=6,E385&lt;9),((E385/D385)*60)*0.75,AND(E385&gt;=9,E385&lt;=11),((E385/D385)*60)*0.9,AND(E385=12),((E385/D385)*60)*1,AND(E385&gt;=13,E385&lt;=15),((E385/D385)*60)*1.2,AND(E385&gt;=16,E385&lt;=19),((E385/D385)*60)*1.5,E385&gt;=20,((E385/D385)*60)*1.8)</f>
        <v>25.5</v>
      </c>
      <c r="AT385" cm="1">
        <f t="array" ref="AT385">_xlfn.IFS(F385&lt;550,((F385/D385)*60)*0.5,AND(F385&gt;=550,F385&lt;575),((F385/D385)*60)*0.75,AND(F385&gt;=575,F385&lt;600),((F385/D385)*60)*0.9,AND(F385=600),((F385/D385)*60)*1,AND(F385&gt;=601,F385&lt;=625),((F385/D385)*60)*1.2,AND(F385&gt;=626,F385&lt;=650),((F385/D385)*60)*1.5,F385&gt;=651,((F385/D385)*60)*1.8)</f>
        <v>1222.2</v>
      </c>
      <c r="AU385">
        <f t="shared" si="106"/>
        <v>25.499999999999996</v>
      </c>
      <c r="AV385">
        <f t="shared" si="104"/>
        <v>504.18000000000006</v>
      </c>
      <c r="AW385">
        <f t="shared" si="107"/>
        <v>82</v>
      </c>
      <c r="AX385" t="str">
        <f t="shared" si="102"/>
        <v>Oct-2022</v>
      </c>
      <c r="AY385">
        <f>ROUNDUP(Table2[[#This Row],[Month]]/3,0)</f>
        <v>4</v>
      </c>
    </row>
    <row r="386" spans="1:51" x14ac:dyDescent="0.2">
      <c r="A386">
        <v>385</v>
      </c>
      <c r="B386">
        <f t="shared" ref="B386:B449" si="108">COUNTIF(R:R,R386)</f>
        <v>15</v>
      </c>
      <c r="C386" s="22">
        <v>44864</v>
      </c>
      <c r="D386">
        <f>SUM(Table2[[#This Row],[Gray Min]:[Red Min]])</f>
        <v>58</v>
      </c>
      <c r="E386">
        <v>20</v>
      </c>
      <c r="F386">
        <v>638</v>
      </c>
      <c r="G386">
        <v>126</v>
      </c>
      <c r="H386">
        <v>167</v>
      </c>
      <c r="I386">
        <v>11</v>
      </c>
      <c r="J386">
        <v>17</v>
      </c>
      <c r="K386">
        <v>10</v>
      </c>
      <c r="L386">
        <v>17</v>
      </c>
      <c r="M386">
        <v>3</v>
      </c>
      <c r="N386" t="s">
        <v>101</v>
      </c>
      <c r="O386" t="s">
        <v>45</v>
      </c>
      <c r="P386" t="s">
        <v>155</v>
      </c>
      <c r="Q386">
        <f t="shared" si="103"/>
        <v>2</v>
      </c>
      <c r="R386" t="str">
        <f t="shared" ref="R386:R449" si="109">MONTH(C386)&amp;"-"&amp;YEAR(C386)</f>
        <v>10-2022</v>
      </c>
      <c r="S386" t="s">
        <v>104</v>
      </c>
      <c r="T386" t="str">
        <f t="shared" ref="T386:T449" si="110">IF(WEEKDAY(C386)=1,"Sunday",IF(WEEKDAY(C386)=2,"Monday",IF(WEEKDAY(C386)=3,"Tuesday",IF(WEEKDAY(C386)=4,"Wednesday",IF(WEEKDAY(C386)=5,"Thursday",IF(WEEKDAY(C386)=6,"Friday","Saturday"))))))</f>
        <v>Sunday</v>
      </c>
      <c r="U386">
        <f t="shared" ref="U386:U449" si="111">IF(E386&gt;=12,1,0)</f>
        <v>1</v>
      </c>
      <c r="V386" s="24">
        <f>IFERROR(Table2[[#This Row],[Gray Min]]/Table2[[#This Row],[ClassLength]],"")</f>
        <v>0.18965517241379309</v>
      </c>
      <c r="W386" s="24">
        <f>IFERROR(Table2[[#This Row],[Blue Min]]/Table2[[#This Row],[ClassLength]],"")</f>
        <v>0.29310344827586204</v>
      </c>
      <c r="X386" s="24">
        <f>IFERROR(Table2[[#This Row],[Green Min]]/Table2[[#This Row],[ClassLength]],"")</f>
        <v>0.17241379310344829</v>
      </c>
      <c r="Y386" s="24">
        <f>IFERROR(Table2[[#This Row],[Orange Min]]/Table2[[#This Row],[ClassLength]],"")</f>
        <v>0.29310344827586204</v>
      </c>
      <c r="Z386" s="24">
        <f>IFERROR(Table2[[#This Row],[Red Min]]/Table2[[#This Row],[ClassLength]],"")</f>
        <v>5.1724137931034482E-2</v>
      </c>
      <c r="AA386" s="25">
        <v>232.14</v>
      </c>
      <c r="AB386" s="25">
        <f t="shared" si="105"/>
        <v>15.475999999999999</v>
      </c>
      <c r="AC386" s="26">
        <f t="shared" ref="AC386:AC449" si="112">AVERAGEIF(R:R,R386,F:F)</f>
        <v>612.13333333333333</v>
      </c>
      <c r="AD386" s="26">
        <f t="shared" ref="AD386:AD449" si="113">AVERAGEIF(R:R,R386,E:E)</f>
        <v>14.4</v>
      </c>
      <c r="AE386">
        <f t="shared" ref="AE386:AE449" si="114">YEAR(C386)</f>
        <v>2022</v>
      </c>
      <c r="AG386">
        <v>12</v>
      </c>
      <c r="AH386" s="26">
        <f t="shared" ref="AH386:AH449" si="115">F386/D386</f>
        <v>11</v>
      </c>
      <c r="AI386" t="str">
        <f t="shared" ref="AI386:AI449" si="116">RIGHT(O386,2)</f>
        <v>AM</v>
      </c>
      <c r="AJ386" t="str">
        <f t="shared" ref="AJ386:AJ449" si="117">R386&amp;"-"&amp;WEEKNUM(C386,1)-WEEKNUM(DATE(YEAR(C386),MONTH(C386),1),1)+1</f>
        <v>10-2022-6</v>
      </c>
      <c r="AK386">
        <f t="shared" ref="AK386:AK449" si="118">MONTH(C386)</f>
        <v>10</v>
      </c>
      <c r="AL386" s="26">
        <f>IFERROR(Table2[[#This Row],[Calories]]/Table2[[#This Row],[Splat]],"")</f>
        <v>31.9</v>
      </c>
      <c r="AM386">
        <f>COUNTIF(N$2:$N$938,N386)</f>
        <v>191</v>
      </c>
      <c r="AN386" t="str">
        <f>VLOOKUP(N386,'Helpful Tables'!A:D,4,FALSE)</f>
        <v>Washington, DC</v>
      </c>
      <c r="AO386" s="24">
        <f>COUNTIF(AN:AN,Table2[[#This Row],[State]])/COUNTA(AN:AN)</f>
        <v>0.54904051172707891</v>
      </c>
      <c r="AP386">
        <f>VLOOKUP(N386,'Helpful Tables'!A:B,2,FALSE)</f>
        <v>38.949649000000001</v>
      </c>
      <c r="AQ386">
        <f>VLOOKUP(N386,'Helpful Tables'!A:C,3,FALSE)</f>
        <v>-77.080878999999996</v>
      </c>
      <c r="AR386">
        <f>COUNTIF(P$2:$P$938,P386)</f>
        <v>13</v>
      </c>
      <c r="AS386" cm="1">
        <f t="array" ref="AS386">_xlfn.IFS(E386&lt;6,((E386/D386)*60)*0.5,AND(E386&gt;=6,E386&lt;9),((E386/D386)*60)*0.75,AND(E386&gt;=9,E386&lt;=11),((E386/D386)*60)*0.9,AND(E386=12),((E386/D386)*60)*1,AND(E386&gt;=13,E386&lt;=15),((E386/D386)*60)*1.2,AND(E386&gt;=16,E386&lt;=19),((E386/D386)*60)*1.5,E386&gt;=20,((E386/D386)*60)*1.8)</f>
        <v>37.241379310344833</v>
      </c>
      <c r="AT386" cm="1">
        <f t="array" ref="AT386">_xlfn.IFS(F386&lt;550,((F386/D386)*60)*0.5,AND(F386&gt;=550,F386&lt;575),((F386/D386)*60)*0.75,AND(F386&gt;=575,F386&lt;600),((F386/D386)*60)*0.9,AND(F386=600),((F386/D386)*60)*1,AND(F386&gt;=601,F386&lt;=625),((F386/D386)*60)*1.2,AND(F386&gt;=626,F386&lt;=650),((F386/D386)*60)*1.5,F386&gt;=651,((F386/D386)*60)*1.8)</f>
        <v>990</v>
      </c>
      <c r="AU386">
        <f t="shared" si="106"/>
        <v>6.6999999999999993</v>
      </c>
      <c r="AV386">
        <f t="shared" si="104"/>
        <v>412.23655172413788</v>
      </c>
      <c r="AW386">
        <f t="shared" si="107"/>
        <v>59.099999999999994</v>
      </c>
      <c r="AX386" t="str">
        <f t="shared" ref="AX386:AX449" si="119">_xlfn.CONCAT(TEXT(C386,"mmm"),"-",AE386)</f>
        <v>Oct-2022</v>
      </c>
      <c r="AY386">
        <f>ROUNDUP(Table2[[#This Row],[Month]]/3,0)</f>
        <v>4</v>
      </c>
    </row>
    <row r="387" spans="1:51" x14ac:dyDescent="0.2">
      <c r="A387">
        <v>386</v>
      </c>
      <c r="B387">
        <f t="shared" si="108"/>
        <v>15</v>
      </c>
      <c r="C387" s="22">
        <v>44865</v>
      </c>
      <c r="D387">
        <f>SUM(Table2[[#This Row],[Gray Min]:[Red Min]])</f>
        <v>54</v>
      </c>
      <c r="E387">
        <v>13</v>
      </c>
      <c r="F387">
        <v>587</v>
      </c>
      <c r="G387">
        <v>124</v>
      </c>
      <c r="H387">
        <v>161</v>
      </c>
      <c r="I387">
        <v>10</v>
      </c>
      <c r="J387">
        <v>12</v>
      </c>
      <c r="K387">
        <v>19</v>
      </c>
      <c r="L387">
        <v>12</v>
      </c>
      <c r="M387">
        <v>1</v>
      </c>
      <c r="N387" t="s">
        <v>91</v>
      </c>
      <c r="O387" t="s">
        <v>57</v>
      </c>
      <c r="P387" t="s">
        <v>148</v>
      </c>
      <c r="Q387">
        <f t="shared" ref="Q387:Q450" si="120">C387-C386</f>
        <v>1</v>
      </c>
      <c r="R387" t="str">
        <f t="shared" si="109"/>
        <v>10-2022</v>
      </c>
      <c r="S387" t="s">
        <v>117</v>
      </c>
      <c r="T387" t="str">
        <f t="shared" si="110"/>
        <v>Monday</v>
      </c>
      <c r="U387">
        <f t="shared" si="111"/>
        <v>1</v>
      </c>
      <c r="V387" s="24">
        <f>IFERROR(Table2[[#This Row],[Gray Min]]/Table2[[#This Row],[ClassLength]],"")</f>
        <v>0.18518518518518517</v>
      </c>
      <c r="W387" s="24">
        <f>IFERROR(Table2[[#This Row],[Blue Min]]/Table2[[#This Row],[ClassLength]],"")</f>
        <v>0.22222222222222221</v>
      </c>
      <c r="X387" s="24">
        <f>IFERROR(Table2[[#This Row],[Green Min]]/Table2[[#This Row],[ClassLength]],"")</f>
        <v>0.35185185185185186</v>
      </c>
      <c r="Y387" s="24">
        <f>IFERROR(Table2[[#This Row],[Orange Min]]/Table2[[#This Row],[ClassLength]],"")</f>
        <v>0.22222222222222221</v>
      </c>
      <c r="Z387" s="24">
        <f>IFERROR(Table2[[#This Row],[Red Min]]/Table2[[#This Row],[ClassLength]],"")</f>
        <v>1.8518518518518517E-2</v>
      </c>
      <c r="AA387" s="25">
        <v>232.14</v>
      </c>
      <c r="AB387" s="25">
        <f t="shared" si="105"/>
        <v>15.475999999999999</v>
      </c>
      <c r="AC387" s="26">
        <f t="shared" si="112"/>
        <v>612.13333333333333</v>
      </c>
      <c r="AD387" s="26">
        <f t="shared" si="113"/>
        <v>14.4</v>
      </c>
      <c r="AE387">
        <f t="shared" si="114"/>
        <v>2022</v>
      </c>
      <c r="AG387">
        <v>12</v>
      </c>
      <c r="AH387" s="26">
        <f t="shared" si="115"/>
        <v>10.87037037037037</v>
      </c>
      <c r="AI387" t="str">
        <f t="shared" si="116"/>
        <v>PM</v>
      </c>
      <c r="AJ387" t="str">
        <f t="shared" si="117"/>
        <v>10-2022-6</v>
      </c>
      <c r="AK387">
        <f t="shared" si="118"/>
        <v>10</v>
      </c>
      <c r="AL387" s="26">
        <f>IFERROR(Table2[[#This Row],[Calories]]/Table2[[#This Row],[Splat]],"")</f>
        <v>45.153846153846153</v>
      </c>
      <c r="AM387">
        <f>COUNTIF(N$2:$N$938,N387)</f>
        <v>218</v>
      </c>
      <c r="AN387" t="str">
        <f>VLOOKUP(N387,'Helpful Tables'!A:D,4,FALSE)</f>
        <v>Washington, DC</v>
      </c>
      <c r="AO387" s="24">
        <f>COUNTIF(AN:AN,Table2[[#This Row],[State]])/COUNTA(AN:AN)</f>
        <v>0.54904051172707891</v>
      </c>
      <c r="AP387">
        <f>VLOOKUP(N387,'Helpful Tables'!A:B,2,FALSE)</f>
        <v>38.934710000000003</v>
      </c>
      <c r="AQ387">
        <f>VLOOKUP(N387,'Helpful Tables'!A:C,3,FALSE)</f>
        <v>-77.058222999999998</v>
      </c>
      <c r="AR387">
        <f>COUNTIF(P$2:$P$938,P387)</f>
        <v>14</v>
      </c>
      <c r="AS387" cm="1">
        <f t="array" ref="AS387">_xlfn.IFS(E387&lt;6,((E387/D387)*60)*0.5,AND(E387&gt;=6,E387&lt;9),((E387/D387)*60)*0.75,AND(E387&gt;=9,E387&lt;=11),((E387/D387)*60)*0.9,AND(E387=12),((E387/D387)*60)*1,AND(E387&gt;=13,E387&lt;=15),((E387/D387)*60)*1.2,AND(E387&gt;=16,E387&lt;=19),((E387/D387)*60)*1.5,E387&gt;=20,((E387/D387)*60)*1.8)</f>
        <v>17.333333333333332</v>
      </c>
      <c r="AT387" cm="1">
        <f t="array" ref="AT387">_xlfn.IFS(F387&lt;550,((F387/D387)*60)*0.5,AND(F387&gt;=550,F387&lt;575),((F387/D387)*60)*0.75,AND(F387&gt;=575,F387&lt;600),((F387/D387)*60)*0.9,AND(F387=600),((F387/D387)*60)*1,AND(F387&gt;=601,F387&lt;=625),((F387/D387)*60)*1.2,AND(F387&gt;=626,F387&lt;=650),((F387/D387)*60)*1.5,F387&gt;=651,((F387/D387)*60)*1.8)</f>
        <v>587</v>
      </c>
      <c r="AU387">
        <f t="shared" si="106"/>
        <v>14.7</v>
      </c>
      <c r="AV387">
        <f t="shared" ref="AV387:AV450" si="121">(AS387*0.4)+(AT387*0.4)+(AU387*0.2)</f>
        <v>244.67333333333335</v>
      </c>
      <c r="AW387">
        <f t="shared" si="107"/>
        <v>22.5</v>
      </c>
      <c r="AX387" t="str">
        <f t="shared" si="119"/>
        <v>Oct-2022</v>
      </c>
      <c r="AY387">
        <f>ROUNDUP(Table2[[#This Row],[Month]]/3,0)</f>
        <v>4</v>
      </c>
    </row>
    <row r="388" spans="1:51" x14ac:dyDescent="0.2">
      <c r="A388">
        <v>387</v>
      </c>
      <c r="B388">
        <f t="shared" si="108"/>
        <v>16</v>
      </c>
      <c r="C388" s="22">
        <v>44867</v>
      </c>
      <c r="D388">
        <f>SUM(Table2[[#This Row],[Gray Min]:[Red Min]])</f>
        <v>57</v>
      </c>
      <c r="E388">
        <v>17</v>
      </c>
      <c r="F388">
        <v>657</v>
      </c>
      <c r="G388">
        <v>130</v>
      </c>
      <c r="H388">
        <v>165</v>
      </c>
      <c r="I388">
        <v>6</v>
      </c>
      <c r="J388">
        <v>13</v>
      </c>
      <c r="K388">
        <v>21</v>
      </c>
      <c r="L388">
        <v>14</v>
      </c>
      <c r="M388">
        <v>3</v>
      </c>
      <c r="N388" t="s">
        <v>101</v>
      </c>
      <c r="O388" t="s">
        <v>39</v>
      </c>
      <c r="P388" t="s">
        <v>147</v>
      </c>
      <c r="Q388">
        <f t="shared" si="120"/>
        <v>2</v>
      </c>
      <c r="R388" t="str">
        <f t="shared" si="109"/>
        <v>11-2022</v>
      </c>
      <c r="S388" t="s">
        <v>104</v>
      </c>
      <c r="T388" t="str">
        <f t="shared" si="110"/>
        <v>Wednesday</v>
      </c>
      <c r="U388">
        <f t="shared" si="111"/>
        <v>1</v>
      </c>
      <c r="V388" s="24">
        <f>IFERROR(Table2[[#This Row],[Gray Min]]/Table2[[#This Row],[ClassLength]],"")</f>
        <v>0.10526315789473684</v>
      </c>
      <c r="W388" s="24">
        <f>IFERROR(Table2[[#This Row],[Blue Min]]/Table2[[#This Row],[ClassLength]],"")</f>
        <v>0.22807017543859648</v>
      </c>
      <c r="X388" s="24">
        <f>IFERROR(Table2[[#This Row],[Green Min]]/Table2[[#This Row],[ClassLength]],"")</f>
        <v>0.36842105263157893</v>
      </c>
      <c r="Y388" s="24">
        <f>IFERROR(Table2[[#This Row],[Orange Min]]/Table2[[#This Row],[ClassLength]],"")</f>
        <v>0.24561403508771928</v>
      </c>
      <c r="Z388" s="24">
        <f>IFERROR(Table2[[#This Row],[Red Min]]/Table2[[#This Row],[ClassLength]],"")</f>
        <v>5.2631578947368418E-2</v>
      </c>
      <c r="AA388" s="25">
        <v>232.14</v>
      </c>
      <c r="AB388" s="25">
        <f t="shared" si="105"/>
        <v>14.508749999999999</v>
      </c>
      <c r="AC388" s="26">
        <f t="shared" si="112"/>
        <v>636</v>
      </c>
      <c r="AD388" s="26">
        <f t="shared" si="113"/>
        <v>17</v>
      </c>
      <c r="AE388">
        <f t="shared" si="114"/>
        <v>2022</v>
      </c>
      <c r="AG388">
        <v>12</v>
      </c>
      <c r="AH388" s="26">
        <f t="shared" si="115"/>
        <v>11.526315789473685</v>
      </c>
      <c r="AI388" t="str">
        <f t="shared" si="116"/>
        <v>PM</v>
      </c>
      <c r="AJ388" t="str">
        <f t="shared" si="117"/>
        <v>11-2022-1</v>
      </c>
      <c r="AK388">
        <f t="shared" si="118"/>
        <v>11</v>
      </c>
      <c r="AL388" s="26">
        <f>IFERROR(Table2[[#This Row],[Calories]]/Table2[[#This Row],[Splat]],"")</f>
        <v>38.647058823529413</v>
      </c>
      <c r="AM388">
        <f>COUNTIF(N$2:$N$938,N388)</f>
        <v>191</v>
      </c>
      <c r="AN388" t="str">
        <f>VLOOKUP(N388,'Helpful Tables'!A:D,4,FALSE)</f>
        <v>Washington, DC</v>
      </c>
      <c r="AO388" s="24">
        <f>COUNTIF(AN:AN,Table2[[#This Row],[State]])/COUNTA(AN:AN)</f>
        <v>0.54904051172707891</v>
      </c>
      <c r="AP388">
        <f>VLOOKUP(N388,'Helpful Tables'!A:B,2,FALSE)</f>
        <v>38.949649000000001</v>
      </c>
      <c r="AQ388">
        <f>VLOOKUP(N388,'Helpful Tables'!A:C,3,FALSE)</f>
        <v>-77.080878999999996</v>
      </c>
      <c r="AR388">
        <f>COUNTIF(P$2:$P$938,P388)</f>
        <v>17</v>
      </c>
      <c r="AS388" cm="1">
        <f t="array" ref="AS388">_xlfn.IFS(E388&lt;6,((E388/D388)*60)*0.5,AND(E388&gt;=6,E388&lt;9),((E388/D388)*60)*0.75,AND(E388&gt;=9,E388&lt;=11),((E388/D388)*60)*0.9,AND(E388=12),((E388/D388)*60)*1,AND(E388&gt;=13,E388&lt;=15),((E388/D388)*60)*1.2,AND(E388&gt;=16,E388&lt;=19),((E388/D388)*60)*1.5,E388&gt;=20,((E388/D388)*60)*1.8)</f>
        <v>26.842105263157897</v>
      </c>
      <c r="AT388" cm="1">
        <f t="array" ref="AT388">_xlfn.IFS(F388&lt;550,((F388/D388)*60)*0.5,AND(F388&gt;=550,F388&lt;575),((F388/D388)*60)*0.75,AND(F388&gt;=575,F388&lt;600),((F388/D388)*60)*0.9,AND(F388=600),((F388/D388)*60)*1,AND(F388&gt;=601,F388&lt;=625),((F388/D388)*60)*1.2,AND(F388&gt;=626,F388&lt;=650),((F388/D388)*60)*1.5,F388&gt;=651,((F388/D388)*60)*1.8)</f>
        <v>1244.8421052631579</v>
      </c>
      <c r="AU388">
        <f t="shared" si="106"/>
        <v>26.4</v>
      </c>
      <c r="AV388">
        <f t="shared" si="121"/>
        <v>513.95368421052638</v>
      </c>
      <c r="AW388">
        <f t="shared" si="107"/>
        <v>87.6</v>
      </c>
      <c r="AX388" t="str">
        <f t="shared" si="119"/>
        <v>Nov-2022</v>
      </c>
      <c r="AY388">
        <f>ROUNDUP(Table2[[#This Row],[Month]]/3,0)</f>
        <v>4</v>
      </c>
    </row>
    <row r="389" spans="1:51" x14ac:dyDescent="0.2">
      <c r="A389">
        <v>388</v>
      </c>
      <c r="B389">
        <f t="shared" si="108"/>
        <v>16</v>
      </c>
      <c r="C389" s="22">
        <v>44869</v>
      </c>
      <c r="D389">
        <f>SUM(Table2[[#This Row],[Gray Min]:[Red Min]])</f>
        <v>57</v>
      </c>
      <c r="E389">
        <v>16</v>
      </c>
      <c r="F389">
        <v>605</v>
      </c>
      <c r="G389">
        <v>123</v>
      </c>
      <c r="H389">
        <v>169</v>
      </c>
      <c r="I389">
        <v>16</v>
      </c>
      <c r="J389">
        <v>16</v>
      </c>
      <c r="K389">
        <v>9</v>
      </c>
      <c r="L389">
        <v>10</v>
      </c>
      <c r="M389">
        <v>6</v>
      </c>
      <c r="N389" t="s">
        <v>101</v>
      </c>
      <c r="O389" t="s">
        <v>107</v>
      </c>
      <c r="P389" t="s">
        <v>109</v>
      </c>
      <c r="Q389">
        <f t="shared" si="120"/>
        <v>2</v>
      </c>
      <c r="R389" t="str">
        <f t="shared" si="109"/>
        <v>11-2022</v>
      </c>
      <c r="S389" t="s">
        <v>104</v>
      </c>
      <c r="T389" t="str">
        <f t="shared" si="110"/>
        <v>Friday</v>
      </c>
      <c r="U389">
        <f t="shared" si="111"/>
        <v>1</v>
      </c>
      <c r="V389" s="24">
        <f>IFERROR(Table2[[#This Row],[Gray Min]]/Table2[[#This Row],[ClassLength]],"")</f>
        <v>0.2807017543859649</v>
      </c>
      <c r="W389" s="24">
        <f>IFERROR(Table2[[#This Row],[Blue Min]]/Table2[[#This Row],[ClassLength]],"")</f>
        <v>0.2807017543859649</v>
      </c>
      <c r="X389" s="24">
        <f>IFERROR(Table2[[#This Row],[Green Min]]/Table2[[#This Row],[ClassLength]],"")</f>
        <v>0.15789473684210525</v>
      </c>
      <c r="Y389" s="24">
        <f>IFERROR(Table2[[#This Row],[Orange Min]]/Table2[[#This Row],[ClassLength]],"")</f>
        <v>0.17543859649122806</v>
      </c>
      <c r="Z389" s="24">
        <f>IFERROR(Table2[[#This Row],[Red Min]]/Table2[[#This Row],[ClassLength]],"")</f>
        <v>0.10526315789473684</v>
      </c>
      <c r="AA389" s="25">
        <v>232.14</v>
      </c>
      <c r="AB389" s="25">
        <f t="shared" si="105"/>
        <v>14.508749999999999</v>
      </c>
      <c r="AC389" s="26">
        <f t="shared" si="112"/>
        <v>636</v>
      </c>
      <c r="AD389" s="26">
        <f t="shared" si="113"/>
        <v>17</v>
      </c>
      <c r="AE389">
        <f t="shared" si="114"/>
        <v>2022</v>
      </c>
      <c r="AG389">
        <v>12</v>
      </c>
      <c r="AH389" s="26">
        <f t="shared" si="115"/>
        <v>10.614035087719298</v>
      </c>
      <c r="AI389" t="str">
        <f t="shared" si="116"/>
        <v>AM</v>
      </c>
      <c r="AJ389" t="str">
        <f t="shared" si="117"/>
        <v>11-2022-1</v>
      </c>
      <c r="AK389">
        <f t="shared" si="118"/>
        <v>11</v>
      </c>
      <c r="AL389" s="26">
        <f>IFERROR(Table2[[#This Row],[Calories]]/Table2[[#This Row],[Splat]],"")</f>
        <v>37.8125</v>
      </c>
      <c r="AM389">
        <f>COUNTIF(N$2:$N$938,N389)</f>
        <v>191</v>
      </c>
      <c r="AN389" t="str">
        <f>VLOOKUP(N389,'Helpful Tables'!A:D,4,FALSE)</f>
        <v>Washington, DC</v>
      </c>
      <c r="AO389" s="24">
        <f>COUNTIF(AN:AN,Table2[[#This Row],[State]])/COUNTA(AN:AN)</f>
        <v>0.54904051172707891</v>
      </c>
      <c r="AP389">
        <f>VLOOKUP(N389,'Helpful Tables'!A:B,2,FALSE)</f>
        <v>38.949649000000001</v>
      </c>
      <c r="AQ389">
        <f>VLOOKUP(N389,'Helpful Tables'!A:C,3,FALSE)</f>
        <v>-77.080878999999996</v>
      </c>
      <c r="AR389">
        <f>COUNTIF(P$2:$P$938,P389)</f>
        <v>66</v>
      </c>
      <c r="AS389" cm="1">
        <f t="array" ref="AS389">_xlfn.IFS(E389&lt;6,((E389/D389)*60)*0.5,AND(E389&gt;=6,E389&lt;9),((E389/D389)*60)*0.75,AND(E389&gt;=9,E389&lt;=11),((E389/D389)*60)*0.9,AND(E389=12),((E389/D389)*60)*1,AND(E389&gt;=13,E389&lt;=15),((E389/D389)*60)*1.2,AND(E389&gt;=16,E389&lt;=19),((E389/D389)*60)*1.5,E389&gt;=20,((E389/D389)*60)*1.8)</f>
        <v>25.263157894736842</v>
      </c>
      <c r="AT389" cm="1">
        <f t="array" ref="AT389">_xlfn.IFS(F389&lt;550,((F389/D389)*60)*0.5,AND(F389&gt;=550,F389&lt;575),((F389/D389)*60)*0.75,AND(F389&gt;=575,F389&lt;600),((F389/D389)*60)*0.9,AND(F389=600),((F389/D389)*60)*1,AND(F389&gt;=601,F389&lt;=625),((F389/D389)*60)*1.2,AND(F389&gt;=626,F389&lt;=650),((F389/D389)*60)*1.5,F389&gt;=651,((F389/D389)*60)*1.8)</f>
        <v>764.21052631578948</v>
      </c>
      <c r="AU389">
        <f t="shared" si="106"/>
        <v>-4</v>
      </c>
      <c r="AV389">
        <f t="shared" si="121"/>
        <v>314.98947368421051</v>
      </c>
      <c r="AW389">
        <f t="shared" si="107"/>
        <v>34</v>
      </c>
      <c r="AX389" t="str">
        <f t="shared" si="119"/>
        <v>Nov-2022</v>
      </c>
      <c r="AY389">
        <f>ROUNDUP(Table2[[#This Row],[Month]]/3,0)</f>
        <v>4</v>
      </c>
    </row>
    <row r="390" spans="1:51" x14ac:dyDescent="0.2">
      <c r="A390">
        <v>389</v>
      </c>
      <c r="B390">
        <f t="shared" si="108"/>
        <v>16</v>
      </c>
      <c r="C390" s="22">
        <v>44871</v>
      </c>
      <c r="D390">
        <f>SUM(Table2[[#This Row],[Gray Min]:[Red Min]])</f>
        <v>59</v>
      </c>
      <c r="E390">
        <v>19</v>
      </c>
      <c r="F390">
        <v>649</v>
      </c>
      <c r="G390">
        <v>127</v>
      </c>
      <c r="H390">
        <v>162</v>
      </c>
      <c r="I390">
        <v>9</v>
      </c>
      <c r="J390">
        <v>14</v>
      </c>
      <c r="K390">
        <v>17</v>
      </c>
      <c r="L390">
        <v>17</v>
      </c>
      <c r="M390">
        <v>2</v>
      </c>
      <c r="N390" t="s">
        <v>162</v>
      </c>
      <c r="O390" t="s">
        <v>45</v>
      </c>
      <c r="P390" t="s">
        <v>163</v>
      </c>
      <c r="Q390">
        <f t="shared" si="120"/>
        <v>2</v>
      </c>
      <c r="R390" t="str">
        <f t="shared" si="109"/>
        <v>11-2022</v>
      </c>
      <c r="S390" t="s">
        <v>104</v>
      </c>
      <c r="T390" t="str">
        <f t="shared" si="110"/>
        <v>Sunday</v>
      </c>
      <c r="U390">
        <f t="shared" si="111"/>
        <v>1</v>
      </c>
      <c r="V390" s="24">
        <f>IFERROR(Table2[[#This Row],[Gray Min]]/Table2[[#This Row],[ClassLength]],"")</f>
        <v>0.15254237288135594</v>
      </c>
      <c r="W390" s="24">
        <f>IFERROR(Table2[[#This Row],[Blue Min]]/Table2[[#This Row],[ClassLength]],"")</f>
        <v>0.23728813559322035</v>
      </c>
      <c r="X390" s="24">
        <f>IFERROR(Table2[[#This Row],[Green Min]]/Table2[[#This Row],[ClassLength]],"")</f>
        <v>0.28813559322033899</v>
      </c>
      <c r="Y390" s="24">
        <f>IFERROR(Table2[[#This Row],[Orange Min]]/Table2[[#This Row],[ClassLength]],"")</f>
        <v>0.28813559322033899</v>
      </c>
      <c r="Z390" s="24">
        <f>IFERROR(Table2[[#This Row],[Red Min]]/Table2[[#This Row],[ClassLength]],"")</f>
        <v>3.3898305084745763E-2</v>
      </c>
      <c r="AA390" s="25">
        <v>232.14</v>
      </c>
      <c r="AB390" s="25">
        <f t="shared" si="105"/>
        <v>14.508749999999999</v>
      </c>
      <c r="AC390" s="26">
        <f t="shared" si="112"/>
        <v>636</v>
      </c>
      <c r="AD390" s="26">
        <f t="shared" si="113"/>
        <v>17</v>
      </c>
      <c r="AE390">
        <f t="shared" si="114"/>
        <v>2022</v>
      </c>
      <c r="AG390">
        <v>12</v>
      </c>
      <c r="AH390" s="26">
        <f t="shared" si="115"/>
        <v>11</v>
      </c>
      <c r="AI390" t="str">
        <f t="shared" si="116"/>
        <v>AM</v>
      </c>
      <c r="AJ390" t="str">
        <f t="shared" si="117"/>
        <v>11-2022-2</v>
      </c>
      <c r="AK390">
        <f t="shared" si="118"/>
        <v>11</v>
      </c>
      <c r="AL390" s="26">
        <f>IFERROR(Table2[[#This Row],[Calories]]/Table2[[#This Row],[Splat]],"")</f>
        <v>34.157894736842103</v>
      </c>
      <c r="AM390">
        <f>COUNTIF(N$2:$N$938,N390)</f>
        <v>5</v>
      </c>
      <c r="AN390" t="str">
        <f>VLOOKUP(N390,'Helpful Tables'!A:D,4,FALSE)</f>
        <v>Maryland</v>
      </c>
      <c r="AO390" s="24">
        <f>COUNTIF(AN:AN,Table2[[#This Row],[State]])/COUNTA(AN:AN)</f>
        <v>5.3304904051172707E-3</v>
      </c>
      <c r="AP390">
        <f>VLOOKUP(N390,'Helpful Tables'!A:B,2,FALSE)</f>
        <v>38.989806999999999</v>
      </c>
      <c r="AQ390">
        <f>VLOOKUP(N390,'Helpful Tables'!A:C,3,FALSE)</f>
        <v>-77.096371000000005</v>
      </c>
      <c r="AR390">
        <f>COUNTIF(P$2:$P$938,P390)</f>
        <v>1</v>
      </c>
      <c r="AS390" cm="1">
        <f t="array" ref="AS390">_xlfn.IFS(E390&lt;6,((E390/D390)*60)*0.5,AND(E390&gt;=6,E390&lt;9),((E390/D390)*60)*0.75,AND(E390&gt;=9,E390&lt;=11),((E390/D390)*60)*0.9,AND(E390=12),((E390/D390)*60)*1,AND(E390&gt;=13,E390&lt;=15),((E390/D390)*60)*1.2,AND(E390&gt;=16,E390&lt;=19),((E390/D390)*60)*1.5,E390&gt;=20,((E390/D390)*60)*1.8)</f>
        <v>28.983050847457626</v>
      </c>
      <c r="AT390" cm="1">
        <f t="array" ref="AT390">_xlfn.IFS(F390&lt;550,((F390/D390)*60)*0.5,AND(F390&gt;=550,F390&lt;575),((F390/D390)*60)*0.75,AND(F390&gt;=575,F390&lt;600),((F390/D390)*60)*0.9,AND(F390=600),((F390/D390)*60)*1,AND(F390&gt;=601,F390&lt;=625),((F390/D390)*60)*1.2,AND(F390&gt;=626,F390&lt;=650),((F390/D390)*60)*1.5,F390&gt;=651,((F390/D390)*60)*1.8)</f>
        <v>990</v>
      </c>
      <c r="AU390">
        <f t="shared" si="106"/>
        <v>19.299999999999997</v>
      </c>
      <c r="AV390">
        <f t="shared" si="121"/>
        <v>411.45322033898304</v>
      </c>
      <c r="AW390">
        <f t="shared" si="107"/>
        <v>58.9</v>
      </c>
      <c r="AX390" t="str">
        <f t="shared" si="119"/>
        <v>Nov-2022</v>
      </c>
      <c r="AY390">
        <f>ROUNDUP(Table2[[#This Row],[Month]]/3,0)</f>
        <v>4</v>
      </c>
    </row>
    <row r="391" spans="1:51" x14ac:dyDescent="0.2">
      <c r="A391">
        <v>390</v>
      </c>
      <c r="B391">
        <f t="shared" si="108"/>
        <v>16</v>
      </c>
      <c r="C391" s="22">
        <v>44873</v>
      </c>
      <c r="D391">
        <f>SUM(Table2[[#This Row],[Gray Min]:[Red Min]])</f>
        <v>55</v>
      </c>
      <c r="E391">
        <v>14</v>
      </c>
      <c r="F391">
        <v>631</v>
      </c>
      <c r="G391">
        <v>130</v>
      </c>
      <c r="H391">
        <v>169</v>
      </c>
      <c r="I391">
        <v>6</v>
      </c>
      <c r="J391">
        <v>11</v>
      </c>
      <c r="K391">
        <v>24</v>
      </c>
      <c r="L391">
        <v>10</v>
      </c>
      <c r="M391">
        <v>4</v>
      </c>
      <c r="N391" t="s">
        <v>91</v>
      </c>
      <c r="O391" t="s">
        <v>57</v>
      </c>
      <c r="P391" t="s">
        <v>98</v>
      </c>
      <c r="Q391">
        <f t="shared" si="120"/>
        <v>2</v>
      </c>
      <c r="R391" t="str">
        <f t="shared" si="109"/>
        <v>11-2022</v>
      </c>
      <c r="S391" t="s">
        <v>117</v>
      </c>
      <c r="T391" t="str">
        <f t="shared" si="110"/>
        <v>Tuesday</v>
      </c>
      <c r="U391">
        <f t="shared" si="111"/>
        <v>1</v>
      </c>
      <c r="V391" s="24">
        <f>IFERROR(Table2[[#This Row],[Gray Min]]/Table2[[#This Row],[ClassLength]],"")</f>
        <v>0.10909090909090909</v>
      </c>
      <c r="W391" s="24">
        <f>IFERROR(Table2[[#This Row],[Blue Min]]/Table2[[#This Row],[ClassLength]],"")</f>
        <v>0.2</v>
      </c>
      <c r="X391" s="24">
        <f>IFERROR(Table2[[#This Row],[Green Min]]/Table2[[#This Row],[ClassLength]],"")</f>
        <v>0.43636363636363634</v>
      </c>
      <c r="Y391" s="24">
        <f>IFERROR(Table2[[#This Row],[Orange Min]]/Table2[[#This Row],[ClassLength]],"")</f>
        <v>0.18181818181818182</v>
      </c>
      <c r="Z391" s="24">
        <f>IFERROR(Table2[[#This Row],[Red Min]]/Table2[[#This Row],[ClassLength]],"")</f>
        <v>7.2727272727272724E-2</v>
      </c>
      <c r="AA391" s="25">
        <v>232.14</v>
      </c>
      <c r="AB391" s="25">
        <f t="shared" si="105"/>
        <v>14.508749999999999</v>
      </c>
      <c r="AC391" s="26">
        <f t="shared" si="112"/>
        <v>636</v>
      </c>
      <c r="AD391" s="26">
        <f t="shared" si="113"/>
        <v>17</v>
      </c>
      <c r="AE391">
        <f t="shared" si="114"/>
        <v>2022</v>
      </c>
      <c r="AG391">
        <v>12</v>
      </c>
      <c r="AH391" s="26">
        <f t="shared" si="115"/>
        <v>11.472727272727273</v>
      </c>
      <c r="AI391" t="str">
        <f t="shared" si="116"/>
        <v>PM</v>
      </c>
      <c r="AJ391" t="str">
        <f t="shared" si="117"/>
        <v>11-2022-2</v>
      </c>
      <c r="AK391">
        <f t="shared" si="118"/>
        <v>11</v>
      </c>
      <c r="AL391" s="26">
        <f>IFERROR(Table2[[#This Row],[Calories]]/Table2[[#This Row],[Splat]],"")</f>
        <v>45.071428571428569</v>
      </c>
      <c r="AM391">
        <f>COUNTIF(N$2:$N$938,N391)</f>
        <v>218</v>
      </c>
      <c r="AN391" t="str">
        <f>VLOOKUP(N391,'Helpful Tables'!A:D,4,FALSE)</f>
        <v>Washington, DC</v>
      </c>
      <c r="AO391" s="24">
        <f>COUNTIF(AN:AN,Table2[[#This Row],[State]])/COUNTA(AN:AN)</f>
        <v>0.54904051172707891</v>
      </c>
      <c r="AP391">
        <f>VLOOKUP(N391,'Helpful Tables'!A:B,2,FALSE)</f>
        <v>38.934710000000003</v>
      </c>
      <c r="AQ391">
        <f>VLOOKUP(N391,'Helpful Tables'!A:C,3,FALSE)</f>
        <v>-77.058222999999998</v>
      </c>
      <c r="AR391">
        <f>COUNTIF(P$2:$P$938,P391)</f>
        <v>28</v>
      </c>
      <c r="AS391" cm="1">
        <f t="array" ref="AS391">_xlfn.IFS(E391&lt;6,((E391/D391)*60)*0.5,AND(E391&gt;=6,E391&lt;9),((E391/D391)*60)*0.75,AND(E391&gt;=9,E391&lt;=11),((E391/D391)*60)*0.9,AND(E391=12),((E391/D391)*60)*1,AND(E391&gt;=13,E391&lt;=15),((E391/D391)*60)*1.2,AND(E391&gt;=16,E391&lt;=19),((E391/D391)*60)*1.5,E391&gt;=20,((E391/D391)*60)*1.8)</f>
        <v>18.327272727272724</v>
      </c>
      <c r="AT391" cm="1">
        <f t="array" ref="AT391">_xlfn.IFS(F391&lt;550,((F391/D391)*60)*0.5,AND(F391&gt;=550,F391&lt;575),((F391/D391)*60)*0.75,AND(F391&gt;=575,F391&lt;600),((F391/D391)*60)*0.9,AND(F391=600),((F391/D391)*60)*1,AND(F391&gt;=601,F391&lt;=625),((F391/D391)*60)*1.2,AND(F391&gt;=626,F391&lt;=650),((F391/D391)*60)*1.5,F391&gt;=651,((F391/D391)*60)*1.8)</f>
        <v>1032.5454545454545</v>
      </c>
      <c r="AU391">
        <f t="shared" si="106"/>
        <v>28.499999999999996</v>
      </c>
      <c r="AV391">
        <f t="shared" si="121"/>
        <v>426.04909090909086</v>
      </c>
      <c r="AW391">
        <f t="shared" si="107"/>
        <v>63.9</v>
      </c>
      <c r="AX391" t="str">
        <f t="shared" si="119"/>
        <v>Nov-2022</v>
      </c>
      <c r="AY391">
        <f>ROUNDUP(Table2[[#This Row],[Month]]/3,0)</f>
        <v>4</v>
      </c>
    </row>
    <row r="392" spans="1:51" x14ac:dyDescent="0.2">
      <c r="A392">
        <v>391</v>
      </c>
      <c r="B392">
        <f t="shared" si="108"/>
        <v>16</v>
      </c>
      <c r="C392" s="22">
        <v>44874</v>
      </c>
      <c r="D392">
        <f>SUM(Table2[[#This Row],[Gray Min]:[Red Min]])</f>
        <v>58</v>
      </c>
      <c r="E392">
        <v>16</v>
      </c>
      <c r="F392">
        <v>634</v>
      </c>
      <c r="G392">
        <v>127</v>
      </c>
      <c r="H392">
        <v>167</v>
      </c>
      <c r="I392">
        <v>9</v>
      </c>
      <c r="J392">
        <v>13</v>
      </c>
      <c r="K392">
        <v>20</v>
      </c>
      <c r="L392">
        <v>13</v>
      </c>
      <c r="M392">
        <v>3</v>
      </c>
      <c r="N392" t="s">
        <v>160</v>
      </c>
      <c r="O392" t="s">
        <v>143</v>
      </c>
      <c r="P392" t="s">
        <v>161</v>
      </c>
      <c r="Q392">
        <f t="shared" si="120"/>
        <v>1</v>
      </c>
      <c r="R392" t="str">
        <f t="shared" si="109"/>
        <v>11-2022</v>
      </c>
      <c r="S392" t="s">
        <v>117</v>
      </c>
      <c r="T392" t="str">
        <f t="shared" si="110"/>
        <v>Wednesday</v>
      </c>
      <c r="U392">
        <f t="shared" si="111"/>
        <v>1</v>
      </c>
      <c r="V392" s="24">
        <f>IFERROR(Table2[[#This Row],[Gray Min]]/Table2[[#This Row],[ClassLength]],"")</f>
        <v>0.15517241379310345</v>
      </c>
      <c r="W392" s="24">
        <f>IFERROR(Table2[[#This Row],[Blue Min]]/Table2[[#This Row],[ClassLength]],"")</f>
        <v>0.22413793103448276</v>
      </c>
      <c r="X392" s="24">
        <f>IFERROR(Table2[[#This Row],[Green Min]]/Table2[[#This Row],[ClassLength]],"")</f>
        <v>0.34482758620689657</v>
      </c>
      <c r="Y392" s="24">
        <f>IFERROR(Table2[[#This Row],[Orange Min]]/Table2[[#This Row],[ClassLength]],"")</f>
        <v>0.22413793103448276</v>
      </c>
      <c r="Z392" s="24">
        <f>IFERROR(Table2[[#This Row],[Red Min]]/Table2[[#This Row],[ClassLength]],"")</f>
        <v>5.1724137931034482E-2</v>
      </c>
      <c r="AA392" s="25">
        <v>232.14</v>
      </c>
      <c r="AB392" s="25">
        <f t="shared" si="105"/>
        <v>14.508749999999999</v>
      </c>
      <c r="AC392" s="26">
        <f t="shared" si="112"/>
        <v>636</v>
      </c>
      <c r="AD392" s="26">
        <f t="shared" si="113"/>
        <v>17</v>
      </c>
      <c r="AE392">
        <f t="shared" si="114"/>
        <v>2022</v>
      </c>
      <c r="AG392">
        <v>12</v>
      </c>
      <c r="AH392" s="26">
        <f t="shared" si="115"/>
        <v>10.931034482758621</v>
      </c>
      <c r="AI392" t="str">
        <f t="shared" si="116"/>
        <v>PM</v>
      </c>
      <c r="AJ392" t="str">
        <f t="shared" si="117"/>
        <v>11-2022-2</v>
      </c>
      <c r="AK392">
        <f t="shared" si="118"/>
        <v>11</v>
      </c>
      <c r="AL392" s="26">
        <f>IFERROR(Table2[[#This Row],[Calories]]/Table2[[#This Row],[Splat]],"")</f>
        <v>39.625</v>
      </c>
      <c r="AM392">
        <f>COUNTIF(N$2:$N$938,N392)</f>
        <v>9</v>
      </c>
      <c r="AN392" t="str">
        <f>VLOOKUP(N392,'Helpful Tables'!A:D,4,FALSE)</f>
        <v>Virginia</v>
      </c>
      <c r="AO392" s="24">
        <f>COUNTIF(AN:AN,Table2[[#This Row],[State]])/COUNTA(AN:AN)</f>
        <v>5.6503198294243072E-2</v>
      </c>
      <c r="AP392">
        <f>VLOOKUP(N392,'Helpful Tables'!A:B,2,FALSE)</f>
        <v>38.880467000000003</v>
      </c>
      <c r="AQ392">
        <f>VLOOKUP(N392,'Helpful Tables'!A:C,3,FALSE)</f>
        <v>-77.111583999999993</v>
      </c>
      <c r="AR392">
        <f>COUNTIF(P$2:$P$938,P392)</f>
        <v>7</v>
      </c>
      <c r="AS392" cm="1">
        <f t="array" ref="AS392">_xlfn.IFS(E392&lt;6,((E392/D392)*60)*0.5,AND(E392&gt;=6,E392&lt;9),((E392/D392)*60)*0.75,AND(E392&gt;=9,E392&lt;=11),((E392/D392)*60)*0.9,AND(E392=12),((E392/D392)*60)*1,AND(E392&gt;=13,E392&lt;=15),((E392/D392)*60)*1.2,AND(E392&gt;=16,E392&lt;=19),((E392/D392)*60)*1.5,E392&gt;=20,((E392/D392)*60)*1.8)</f>
        <v>24.827586206896555</v>
      </c>
      <c r="AT392" cm="1">
        <f t="array" ref="AT392">_xlfn.IFS(F392&lt;550,((F392/D392)*60)*0.5,AND(F392&gt;=550,F392&lt;575),((F392/D392)*60)*0.75,AND(F392&gt;=575,F392&lt;600),((F392/D392)*60)*0.9,AND(F392=600),((F392/D392)*60)*1,AND(F392&gt;=601,F392&lt;=625),((F392/D392)*60)*1.2,AND(F392&gt;=626,F392&lt;=650),((F392/D392)*60)*1.5,F392&gt;=651,((F392/D392)*60)*1.8)</f>
        <v>983.79310344827582</v>
      </c>
      <c r="AU392">
        <f t="shared" si="106"/>
        <v>20.3</v>
      </c>
      <c r="AV392">
        <f t="shared" si="121"/>
        <v>407.50827586206896</v>
      </c>
      <c r="AW392">
        <f t="shared" si="107"/>
        <v>57.199999999999996</v>
      </c>
      <c r="AX392" t="str">
        <f t="shared" si="119"/>
        <v>Nov-2022</v>
      </c>
      <c r="AY392">
        <f>ROUNDUP(Table2[[#This Row],[Month]]/3,0)</f>
        <v>4</v>
      </c>
    </row>
    <row r="393" spans="1:51" x14ac:dyDescent="0.2">
      <c r="A393">
        <v>392</v>
      </c>
      <c r="B393">
        <f t="shared" si="108"/>
        <v>16</v>
      </c>
      <c r="C393" s="22">
        <v>44876</v>
      </c>
      <c r="D393">
        <f>SUM(Table2[[#This Row],[Gray Min]:[Red Min]])</f>
        <v>58</v>
      </c>
      <c r="E393">
        <v>20</v>
      </c>
      <c r="F393">
        <v>648</v>
      </c>
      <c r="G393">
        <v>128</v>
      </c>
      <c r="H393">
        <v>166</v>
      </c>
      <c r="I393">
        <v>10</v>
      </c>
      <c r="J393">
        <v>14</v>
      </c>
      <c r="K393">
        <v>14</v>
      </c>
      <c r="L393">
        <v>17</v>
      </c>
      <c r="M393">
        <v>3</v>
      </c>
      <c r="N393" t="s">
        <v>101</v>
      </c>
      <c r="O393" t="s">
        <v>107</v>
      </c>
      <c r="P393" t="s">
        <v>155</v>
      </c>
      <c r="Q393">
        <f t="shared" si="120"/>
        <v>2</v>
      </c>
      <c r="R393" t="str">
        <f t="shared" si="109"/>
        <v>11-2022</v>
      </c>
      <c r="S393" t="s">
        <v>104</v>
      </c>
      <c r="T393" t="str">
        <f t="shared" si="110"/>
        <v>Friday</v>
      </c>
      <c r="U393">
        <f t="shared" si="111"/>
        <v>1</v>
      </c>
      <c r="V393" s="24">
        <f>IFERROR(Table2[[#This Row],[Gray Min]]/Table2[[#This Row],[ClassLength]],"")</f>
        <v>0.17241379310344829</v>
      </c>
      <c r="W393" s="24">
        <f>IFERROR(Table2[[#This Row],[Blue Min]]/Table2[[#This Row],[ClassLength]],"")</f>
        <v>0.2413793103448276</v>
      </c>
      <c r="X393" s="24">
        <f>IFERROR(Table2[[#This Row],[Green Min]]/Table2[[#This Row],[ClassLength]],"")</f>
        <v>0.2413793103448276</v>
      </c>
      <c r="Y393" s="24">
        <f>IFERROR(Table2[[#This Row],[Orange Min]]/Table2[[#This Row],[ClassLength]],"")</f>
        <v>0.29310344827586204</v>
      </c>
      <c r="Z393" s="24">
        <f>IFERROR(Table2[[#This Row],[Red Min]]/Table2[[#This Row],[ClassLength]],"")</f>
        <v>5.1724137931034482E-2</v>
      </c>
      <c r="AA393" s="25">
        <v>232.14</v>
      </c>
      <c r="AB393" s="25">
        <f t="shared" si="105"/>
        <v>14.508749999999999</v>
      </c>
      <c r="AC393" s="26">
        <f t="shared" si="112"/>
        <v>636</v>
      </c>
      <c r="AD393" s="26">
        <f t="shared" si="113"/>
        <v>17</v>
      </c>
      <c r="AE393">
        <f t="shared" si="114"/>
        <v>2022</v>
      </c>
      <c r="AG393">
        <v>12</v>
      </c>
      <c r="AH393" s="26">
        <f t="shared" si="115"/>
        <v>11.172413793103448</v>
      </c>
      <c r="AI393" t="str">
        <f t="shared" si="116"/>
        <v>AM</v>
      </c>
      <c r="AJ393" t="str">
        <f t="shared" si="117"/>
        <v>11-2022-2</v>
      </c>
      <c r="AK393">
        <f t="shared" si="118"/>
        <v>11</v>
      </c>
      <c r="AL393" s="26">
        <f>IFERROR(Table2[[#This Row],[Calories]]/Table2[[#This Row],[Splat]],"")</f>
        <v>32.4</v>
      </c>
      <c r="AM393">
        <f>COUNTIF(N$2:$N$938,N393)</f>
        <v>191</v>
      </c>
      <c r="AN393" t="str">
        <f>VLOOKUP(N393,'Helpful Tables'!A:D,4,FALSE)</f>
        <v>Washington, DC</v>
      </c>
      <c r="AO393" s="24">
        <f>COUNTIF(AN:AN,Table2[[#This Row],[State]])/COUNTA(AN:AN)</f>
        <v>0.54904051172707891</v>
      </c>
      <c r="AP393">
        <f>VLOOKUP(N393,'Helpful Tables'!A:B,2,FALSE)</f>
        <v>38.949649000000001</v>
      </c>
      <c r="AQ393">
        <f>VLOOKUP(N393,'Helpful Tables'!A:C,3,FALSE)</f>
        <v>-77.080878999999996</v>
      </c>
      <c r="AR393">
        <f>COUNTIF(P$2:$P$938,P393)</f>
        <v>13</v>
      </c>
      <c r="AS393" cm="1">
        <f t="array" ref="AS393">_xlfn.IFS(E393&lt;6,((E393/D393)*60)*0.5,AND(E393&gt;=6,E393&lt;9),((E393/D393)*60)*0.75,AND(E393&gt;=9,E393&lt;=11),((E393/D393)*60)*0.9,AND(E393=12),((E393/D393)*60)*1,AND(E393&gt;=13,E393&lt;=15),((E393/D393)*60)*1.2,AND(E393&gt;=16,E393&lt;=19),((E393/D393)*60)*1.5,E393&gt;=20,((E393/D393)*60)*1.8)</f>
        <v>37.241379310344833</v>
      </c>
      <c r="AT393" cm="1">
        <f t="array" ref="AT393">_xlfn.IFS(F393&lt;550,((F393/D393)*60)*0.5,AND(F393&gt;=550,F393&lt;575),((F393/D393)*60)*0.75,AND(F393&gt;=575,F393&lt;600),((F393/D393)*60)*0.9,AND(F393=600),((F393/D393)*60)*1,AND(F393&gt;=601,F393&lt;=625),((F393/D393)*60)*1.2,AND(F393&gt;=626,F393&lt;=650),((F393/D393)*60)*1.5,F393&gt;=651,((F393/D393)*60)*1.8)</f>
        <v>1005.5172413793102</v>
      </c>
      <c r="AU393">
        <f t="shared" si="106"/>
        <v>16</v>
      </c>
      <c r="AV393">
        <f t="shared" si="121"/>
        <v>420.30344827586202</v>
      </c>
      <c r="AW393">
        <f t="shared" si="107"/>
        <v>61.7</v>
      </c>
      <c r="AX393" t="str">
        <f t="shared" si="119"/>
        <v>Nov-2022</v>
      </c>
      <c r="AY393">
        <f>ROUNDUP(Table2[[#This Row],[Month]]/3,0)</f>
        <v>4</v>
      </c>
    </row>
    <row r="394" spans="1:51" x14ac:dyDescent="0.2">
      <c r="A394">
        <v>393</v>
      </c>
      <c r="B394">
        <f t="shared" si="108"/>
        <v>16</v>
      </c>
      <c r="C394" s="22">
        <v>44878</v>
      </c>
      <c r="D394">
        <f>SUM(Table2[[#This Row],[Gray Min]:[Red Min]])</f>
        <v>56</v>
      </c>
      <c r="E394">
        <v>21</v>
      </c>
      <c r="F394">
        <v>652</v>
      </c>
      <c r="G394">
        <v>131</v>
      </c>
      <c r="H394">
        <v>169</v>
      </c>
      <c r="I394">
        <v>6</v>
      </c>
      <c r="J394">
        <v>14</v>
      </c>
      <c r="K394">
        <v>15</v>
      </c>
      <c r="L394">
        <v>16</v>
      </c>
      <c r="M394">
        <v>5</v>
      </c>
      <c r="N394" t="s">
        <v>91</v>
      </c>
      <c r="O394" t="s">
        <v>79</v>
      </c>
      <c r="P394" t="s">
        <v>100</v>
      </c>
      <c r="Q394">
        <f t="shared" si="120"/>
        <v>2</v>
      </c>
      <c r="R394" t="str">
        <f t="shared" si="109"/>
        <v>11-2022</v>
      </c>
      <c r="S394" t="s">
        <v>104</v>
      </c>
      <c r="T394" t="str">
        <f t="shared" si="110"/>
        <v>Sunday</v>
      </c>
      <c r="U394">
        <f t="shared" si="111"/>
        <v>1</v>
      </c>
      <c r="V394" s="24">
        <f>IFERROR(Table2[[#This Row],[Gray Min]]/Table2[[#This Row],[ClassLength]],"")</f>
        <v>0.10714285714285714</v>
      </c>
      <c r="W394" s="24">
        <f>IFERROR(Table2[[#This Row],[Blue Min]]/Table2[[#This Row],[ClassLength]],"")</f>
        <v>0.25</v>
      </c>
      <c r="X394" s="24">
        <f>IFERROR(Table2[[#This Row],[Green Min]]/Table2[[#This Row],[ClassLength]],"")</f>
        <v>0.26785714285714285</v>
      </c>
      <c r="Y394" s="24">
        <f>IFERROR(Table2[[#This Row],[Orange Min]]/Table2[[#This Row],[ClassLength]],"")</f>
        <v>0.2857142857142857</v>
      </c>
      <c r="Z394" s="24">
        <f>IFERROR(Table2[[#This Row],[Red Min]]/Table2[[#This Row],[ClassLength]],"")</f>
        <v>8.9285714285714288E-2</v>
      </c>
      <c r="AA394" s="25">
        <v>232.14</v>
      </c>
      <c r="AB394" s="25">
        <f t="shared" si="105"/>
        <v>14.508749999999999</v>
      </c>
      <c r="AC394" s="26">
        <f t="shared" si="112"/>
        <v>636</v>
      </c>
      <c r="AD394" s="26">
        <f t="shared" si="113"/>
        <v>17</v>
      </c>
      <c r="AE394">
        <f t="shared" si="114"/>
        <v>2022</v>
      </c>
      <c r="AG394">
        <v>12</v>
      </c>
      <c r="AH394" s="26">
        <f t="shared" si="115"/>
        <v>11.642857142857142</v>
      </c>
      <c r="AI394" t="str">
        <f t="shared" si="116"/>
        <v>AM</v>
      </c>
      <c r="AJ394" t="str">
        <f t="shared" si="117"/>
        <v>11-2022-3</v>
      </c>
      <c r="AK394">
        <f t="shared" si="118"/>
        <v>11</v>
      </c>
      <c r="AL394" s="26">
        <f>IFERROR(Table2[[#This Row],[Calories]]/Table2[[#This Row],[Splat]],"")</f>
        <v>31.047619047619047</v>
      </c>
      <c r="AM394">
        <f>COUNTIF(N$2:$N$938,N394)</f>
        <v>218</v>
      </c>
      <c r="AN394" t="str">
        <f>VLOOKUP(N394,'Helpful Tables'!A:D,4,FALSE)</f>
        <v>Washington, DC</v>
      </c>
      <c r="AO394" s="24">
        <f>COUNTIF(AN:AN,Table2[[#This Row],[State]])/COUNTA(AN:AN)</f>
        <v>0.54904051172707891</v>
      </c>
      <c r="AP394">
        <f>VLOOKUP(N394,'Helpful Tables'!A:B,2,FALSE)</f>
        <v>38.934710000000003</v>
      </c>
      <c r="AQ394">
        <f>VLOOKUP(N394,'Helpful Tables'!A:C,3,FALSE)</f>
        <v>-77.058222999999998</v>
      </c>
      <c r="AR394">
        <f>COUNTIF(P$2:$P$938,P394)</f>
        <v>35</v>
      </c>
      <c r="AS394" cm="1">
        <f t="array" ref="AS394">_xlfn.IFS(E394&lt;6,((E394/D394)*60)*0.5,AND(E394&gt;=6,E394&lt;9),((E394/D394)*60)*0.75,AND(E394&gt;=9,E394&lt;=11),((E394/D394)*60)*0.9,AND(E394=12),((E394/D394)*60)*1,AND(E394&gt;=13,E394&lt;=15),((E394/D394)*60)*1.2,AND(E394&gt;=16,E394&lt;=19),((E394/D394)*60)*1.5,E394&gt;=20,((E394/D394)*60)*1.8)</f>
        <v>40.5</v>
      </c>
      <c r="AT394" cm="1">
        <f t="array" ref="AT394">_xlfn.IFS(F394&lt;550,((F394/D394)*60)*0.5,AND(F394&gt;=550,F394&lt;575),((F394/D394)*60)*0.75,AND(F394&gt;=575,F394&lt;600),((F394/D394)*60)*0.9,AND(F394=600),((F394/D394)*60)*1,AND(F394&gt;=601,F394&lt;=625),((F394/D394)*60)*1.2,AND(F394&gt;=626,F394&lt;=650),((F394/D394)*60)*1.5,F394&gt;=651,((F394/D394)*60)*1.8)</f>
        <v>1257.4285714285713</v>
      </c>
      <c r="AU394">
        <f t="shared" si="106"/>
        <v>23.7</v>
      </c>
      <c r="AV394">
        <f t="shared" si="121"/>
        <v>523.91142857142859</v>
      </c>
      <c r="AW394">
        <f t="shared" si="107"/>
        <v>92</v>
      </c>
      <c r="AX394" t="str">
        <f t="shared" si="119"/>
        <v>Nov-2022</v>
      </c>
      <c r="AY394">
        <f>ROUNDUP(Table2[[#This Row],[Month]]/3,0)</f>
        <v>4</v>
      </c>
    </row>
    <row r="395" spans="1:51" x14ac:dyDescent="0.2">
      <c r="A395">
        <v>394</v>
      </c>
      <c r="B395">
        <f t="shared" si="108"/>
        <v>16</v>
      </c>
      <c r="C395" s="22">
        <v>44879</v>
      </c>
      <c r="D395">
        <f>SUM(Table2[[#This Row],[Gray Min]:[Red Min]])</f>
        <v>58</v>
      </c>
      <c r="E395">
        <v>20</v>
      </c>
      <c r="F395">
        <v>654</v>
      </c>
      <c r="G395">
        <v>130</v>
      </c>
      <c r="H395">
        <v>165</v>
      </c>
      <c r="I395">
        <v>10</v>
      </c>
      <c r="J395">
        <v>11</v>
      </c>
      <c r="K395">
        <v>17</v>
      </c>
      <c r="L395">
        <v>18</v>
      </c>
      <c r="M395">
        <v>2</v>
      </c>
      <c r="N395" t="s">
        <v>101</v>
      </c>
      <c r="O395" t="s">
        <v>39</v>
      </c>
      <c r="P395" t="s">
        <v>109</v>
      </c>
      <c r="Q395">
        <f t="shared" si="120"/>
        <v>1</v>
      </c>
      <c r="R395" t="str">
        <f t="shared" si="109"/>
        <v>11-2022</v>
      </c>
      <c r="S395" t="s">
        <v>104</v>
      </c>
      <c r="T395" t="str">
        <f t="shared" si="110"/>
        <v>Monday</v>
      </c>
      <c r="U395">
        <f t="shared" si="111"/>
        <v>1</v>
      </c>
      <c r="V395" s="24">
        <f>IFERROR(Table2[[#This Row],[Gray Min]]/Table2[[#This Row],[ClassLength]],"")</f>
        <v>0.17241379310344829</v>
      </c>
      <c r="W395" s="24">
        <f>IFERROR(Table2[[#This Row],[Blue Min]]/Table2[[#This Row],[ClassLength]],"")</f>
        <v>0.18965517241379309</v>
      </c>
      <c r="X395" s="24">
        <f>IFERROR(Table2[[#This Row],[Green Min]]/Table2[[#This Row],[ClassLength]],"")</f>
        <v>0.29310344827586204</v>
      </c>
      <c r="Y395" s="24">
        <f>IFERROR(Table2[[#This Row],[Orange Min]]/Table2[[#This Row],[ClassLength]],"")</f>
        <v>0.31034482758620691</v>
      </c>
      <c r="Z395" s="24">
        <f>IFERROR(Table2[[#This Row],[Red Min]]/Table2[[#This Row],[ClassLength]],"")</f>
        <v>3.4482758620689655E-2</v>
      </c>
      <c r="AA395" s="25">
        <v>232.14</v>
      </c>
      <c r="AB395" s="25">
        <f t="shared" si="105"/>
        <v>14.508749999999999</v>
      </c>
      <c r="AC395" s="26">
        <f t="shared" si="112"/>
        <v>636</v>
      </c>
      <c r="AD395" s="26">
        <f t="shared" si="113"/>
        <v>17</v>
      </c>
      <c r="AE395">
        <f t="shared" si="114"/>
        <v>2022</v>
      </c>
      <c r="AG395">
        <v>12</v>
      </c>
      <c r="AH395" s="26">
        <f t="shared" si="115"/>
        <v>11.275862068965518</v>
      </c>
      <c r="AI395" t="str">
        <f t="shared" si="116"/>
        <v>PM</v>
      </c>
      <c r="AJ395" t="str">
        <f t="shared" si="117"/>
        <v>11-2022-3</v>
      </c>
      <c r="AK395">
        <f t="shared" si="118"/>
        <v>11</v>
      </c>
      <c r="AL395" s="26">
        <f>IFERROR(Table2[[#This Row],[Calories]]/Table2[[#This Row],[Splat]],"")</f>
        <v>32.700000000000003</v>
      </c>
      <c r="AM395">
        <f>COUNTIF(N$2:$N$938,N395)</f>
        <v>191</v>
      </c>
      <c r="AN395" t="str">
        <f>VLOOKUP(N395,'Helpful Tables'!A:D,4,FALSE)</f>
        <v>Washington, DC</v>
      </c>
      <c r="AO395" s="24">
        <f>COUNTIF(AN:AN,Table2[[#This Row],[State]])/COUNTA(AN:AN)</f>
        <v>0.54904051172707891</v>
      </c>
      <c r="AP395">
        <f>VLOOKUP(N395,'Helpful Tables'!A:B,2,FALSE)</f>
        <v>38.949649000000001</v>
      </c>
      <c r="AQ395">
        <f>VLOOKUP(N395,'Helpful Tables'!A:C,3,FALSE)</f>
        <v>-77.080878999999996</v>
      </c>
      <c r="AR395">
        <f>COUNTIF(P$2:$P$938,P395)</f>
        <v>66</v>
      </c>
      <c r="AS395" cm="1">
        <f t="array" ref="AS395">_xlfn.IFS(E395&lt;6,((E395/D395)*60)*0.5,AND(E395&gt;=6,E395&lt;9),((E395/D395)*60)*0.75,AND(E395&gt;=9,E395&lt;=11),((E395/D395)*60)*0.9,AND(E395=12),((E395/D395)*60)*1,AND(E395&gt;=13,E395&lt;=15),((E395/D395)*60)*1.2,AND(E395&gt;=16,E395&lt;=19),((E395/D395)*60)*1.5,E395&gt;=20,((E395/D395)*60)*1.8)</f>
        <v>37.241379310344833</v>
      </c>
      <c r="AT395" cm="1">
        <f t="array" ref="AT395">_xlfn.IFS(F395&lt;550,((F395/D395)*60)*0.5,AND(F395&gt;=550,F395&lt;575),((F395/D395)*60)*0.75,AND(F395&gt;=575,F395&lt;600),((F395/D395)*60)*0.9,AND(F395=600),((F395/D395)*60)*1,AND(F395&gt;=601,F395&lt;=625),((F395/D395)*60)*1.2,AND(F395&gt;=626,F395&lt;=650),((F395/D395)*60)*1.5,F395&gt;=651,((F395/D395)*60)*1.8)</f>
        <v>1217.7931034482758</v>
      </c>
      <c r="AU395">
        <f t="shared" si="106"/>
        <v>22.7</v>
      </c>
      <c r="AV395">
        <f t="shared" si="121"/>
        <v>506.5537931034483</v>
      </c>
      <c r="AW395">
        <f t="shared" si="107"/>
        <v>83.3</v>
      </c>
      <c r="AX395" t="str">
        <f t="shared" si="119"/>
        <v>Nov-2022</v>
      </c>
      <c r="AY395">
        <f>ROUNDUP(Table2[[#This Row],[Month]]/3,0)</f>
        <v>4</v>
      </c>
    </row>
    <row r="396" spans="1:51" x14ac:dyDescent="0.2">
      <c r="A396">
        <v>395</v>
      </c>
      <c r="B396">
        <f t="shared" si="108"/>
        <v>16</v>
      </c>
      <c r="C396" s="22">
        <v>44881</v>
      </c>
      <c r="D396">
        <f>SUM(Table2[[#This Row],[Gray Min]:[Red Min]])</f>
        <v>54</v>
      </c>
      <c r="E396">
        <v>12</v>
      </c>
      <c r="F396">
        <v>577</v>
      </c>
      <c r="G396">
        <v>125</v>
      </c>
      <c r="H396">
        <v>167</v>
      </c>
      <c r="I396">
        <v>12</v>
      </c>
      <c r="J396">
        <v>10</v>
      </c>
      <c r="K396">
        <v>20</v>
      </c>
      <c r="L396">
        <v>10</v>
      </c>
      <c r="M396">
        <v>2</v>
      </c>
      <c r="N396" t="s">
        <v>160</v>
      </c>
      <c r="O396" t="s">
        <v>143</v>
      </c>
      <c r="P396" t="s">
        <v>161</v>
      </c>
      <c r="Q396">
        <f t="shared" si="120"/>
        <v>2</v>
      </c>
      <c r="R396" t="str">
        <f t="shared" si="109"/>
        <v>11-2022</v>
      </c>
      <c r="S396" t="s">
        <v>117</v>
      </c>
      <c r="T396" t="str">
        <f t="shared" si="110"/>
        <v>Wednesday</v>
      </c>
      <c r="U396">
        <f t="shared" si="111"/>
        <v>1</v>
      </c>
      <c r="V396" s="24">
        <f>IFERROR(Table2[[#This Row],[Gray Min]]/Table2[[#This Row],[ClassLength]],"")</f>
        <v>0.22222222222222221</v>
      </c>
      <c r="W396" s="24">
        <f>IFERROR(Table2[[#This Row],[Blue Min]]/Table2[[#This Row],[ClassLength]],"")</f>
        <v>0.18518518518518517</v>
      </c>
      <c r="X396" s="24">
        <f>IFERROR(Table2[[#This Row],[Green Min]]/Table2[[#This Row],[ClassLength]],"")</f>
        <v>0.37037037037037035</v>
      </c>
      <c r="Y396" s="24">
        <f>IFERROR(Table2[[#This Row],[Orange Min]]/Table2[[#This Row],[ClassLength]],"")</f>
        <v>0.18518518518518517</v>
      </c>
      <c r="Z396" s="24">
        <f>IFERROR(Table2[[#This Row],[Red Min]]/Table2[[#This Row],[ClassLength]],"")</f>
        <v>3.7037037037037035E-2</v>
      </c>
      <c r="AA396" s="25">
        <v>232.14</v>
      </c>
      <c r="AB396" s="25">
        <f t="shared" si="105"/>
        <v>14.508749999999999</v>
      </c>
      <c r="AC396" s="26">
        <f t="shared" si="112"/>
        <v>636</v>
      </c>
      <c r="AD396" s="26">
        <f t="shared" si="113"/>
        <v>17</v>
      </c>
      <c r="AE396">
        <f t="shared" si="114"/>
        <v>2022</v>
      </c>
      <c r="AG396">
        <v>12</v>
      </c>
      <c r="AH396" s="26">
        <f t="shared" si="115"/>
        <v>10.685185185185185</v>
      </c>
      <c r="AI396" t="str">
        <f t="shared" si="116"/>
        <v>PM</v>
      </c>
      <c r="AJ396" t="str">
        <f t="shared" si="117"/>
        <v>11-2022-3</v>
      </c>
      <c r="AK396">
        <f t="shared" si="118"/>
        <v>11</v>
      </c>
      <c r="AL396" s="26">
        <f>IFERROR(Table2[[#This Row],[Calories]]/Table2[[#This Row],[Splat]],"")</f>
        <v>48.083333333333336</v>
      </c>
      <c r="AM396">
        <f>COUNTIF(N$2:$N$938,N396)</f>
        <v>9</v>
      </c>
      <c r="AN396" t="str">
        <f>VLOOKUP(N396,'Helpful Tables'!A:D,4,FALSE)</f>
        <v>Virginia</v>
      </c>
      <c r="AO396" s="24">
        <f>COUNTIF(AN:AN,Table2[[#This Row],[State]])/COUNTA(AN:AN)</f>
        <v>5.6503198294243072E-2</v>
      </c>
      <c r="AP396">
        <f>VLOOKUP(N396,'Helpful Tables'!A:B,2,FALSE)</f>
        <v>38.880467000000003</v>
      </c>
      <c r="AQ396">
        <f>VLOOKUP(N396,'Helpful Tables'!A:C,3,FALSE)</f>
        <v>-77.111583999999993</v>
      </c>
      <c r="AR396">
        <f>COUNTIF(P$2:$P$938,P396)</f>
        <v>7</v>
      </c>
      <c r="AS396" cm="1">
        <f t="array" ref="AS396">_xlfn.IFS(E396&lt;6,((E396/D396)*60)*0.5,AND(E396&gt;=6,E396&lt;9),((E396/D396)*60)*0.75,AND(E396&gt;=9,E396&lt;=11),((E396/D396)*60)*0.9,AND(E396=12),((E396/D396)*60)*1,AND(E396&gt;=13,E396&lt;=15),((E396/D396)*60)*1.2,AND(E396&gt;=16,E396&lt;=19),((E396/D396)*60)*1.5,E396&gt;=20,((E396/D396)*60)*1.8)</f>
        <v>13.333333333333332</v>
      </c>
      <c r="AT396" cm="1">
        <f t="array" ref="AT396">_xlfn.IFS(F396&lt;550,((F396/D396)*60)*0.5,AND(F396&gt;=550,F396&lt;575),((F396/D396)*60)*0.75,AND(F396&gt;=575,F396&lt;600),((F396/D396)*60)*0.9,AND(F396=600),((F396/D396)*60)*1,AND(F396&gt;=601,F396&lt;=625),((F396/D396)*60)*1.2,AND(F396&gt;=626,F396&lt;=650),((F396/D396)*60)*1.5,F396&gt;=651,((F396/D396)*60)*1.8)</f>
        <v>577</v>
      </c>
      <c r="AU396">
        <f t="shared" si="106"/>
        <v>14.600000000000001</v>
      </c>
      <c r="AV396">
        <f t="shared" si="121"/>
        <v>239.05333333333334</v>
      </c>
      <c r="AW396">
        <f t="shared" si="107"/>
        <v>21.6</v>
      </c>
      <c r="AX396" t="str">
        <f t="shared" si="119"/>
        <v>Nov-2022</v>
      </c>
      <c r="AY396">
        <f>ROUNDUP(Table2[[#This Row],[Month]]/3,0)</f>
        <v>4</v>
      </c>
    </row>
    <row r="397" spans="1:51" x14ac:dyDescent="0.2">
      <c r="A397">
        <v>396</v>
      </c>
      <c r="B397">
        <f t="shared" si="108"/>
        <v>16</v>
      </c>
      <c r="C397" s="22">
        <v>44883</v>
      </c>
      <c r="D397">
        <f>SUM(Table2[[#This Row],[Gray Min]:[Red Min]])</f>
        <v>56</v>
      </c>
      <c r="E397">
        <v>14</v>
      </c>
      <c r="F397">
        <v>620</v>
      </c>
      <c r="G397">
        <v>127</v>
      </c>
      <c r="H397">
        <v>167</v>
      </c>
      <c r="I397">
        <v>5</v>
      </c>
      <c r="J397">
        <v>16</v>
      </c>
      <c r="K397">
        <v>21</v>
      </c>
      <c r="L397">
        <v>12</v>
      </c>
      <c r="M397">
        <v>2</v>
      </c>
      <c r="N397" t="s">
        <v>101</v>
      </c>
      <c r="O397" t="s">
        <v>107</v>
      </c>
      <c r="P397" t="s">
        <v>155</v>
      </c>
      <c r="Q397">
        <f t="shared" si="120"/>
        <v>2</v>
      </c>
      <c r="R397" t="str">
        <f t="shared" si="109"/>
        <v>11-2022</v>
      </c>
      <c r="S397" t="s">
        <v>104</v>
      </c>
      <c r="T397" t="str">
        <f t="shared" si="110"/>
        <v>Friday</v>
      </c>
      <c r="U397">
        <f t="shared" si="111"/>
        <v>1</v>
      </c>
      <c r="V397" s="24">
        <f>IFERROR(Table2[[#This Row],[Gray Min]]/Table2[[#This Row],[ClassLength]],"")</f>
        <v>8.9285714285714288E-2</v>
      </c>
      <c r="W397" s="24">
        <f>IFERROR(Table2[[#This Row],[Blue Min]]/Table2[[#This Row],[ClassLength]],"")</f>
        <v>0.2857142857142857</v>
      </c>
      <c r="X397" s="24">
        <f>IFERROR(Table2[[#This Row],[Green Min]]/Table2[[#This Row],[ClassLength]],"")</f>
        <v>0.375</v>
      </c>
      <c r="Y397" s="24">
        <f>IFERROR(Table2[[#This Row],[Orange Min]]/Table2[[#This Row],[ClassLength]],"")</f>
        <v>0.21428571428571427</v>
      </c>
      <c r="Z397" s="24">
        <f>IFERROR(Table2[[#This Row],[Red Min]]/Table2[[#This Row],[ClassLength]],"")</f>
        <v>3.5714285714285712E-2</v>
      </c>
      <c r="AA397" s="25">
        <v>232.14</v>
      </c>
      <c r="AB397" s="25">
        <f t="shared" si="105"/>
        <v>14.508749999999999</v>
      </c>
      <c r="AC397" s="26">
        <f t="shared" si="112"/>
        <v>636</v>
      </c>
      <c r="AD397" s="26">
        <f t="shared" si="113"/>
        <v>17</v>
      </c>
      <c r="AE397">
        <f t="shared" si="114"/>
        <v>2022</v>
      </c>
      <c r="AG397">
        <v>12</v>
      </c>
      <c r="AH397" s="26">
        <f t="shared" si="115"/>
        <v>11.071428571428571</v>
      </c>
      <c r="AI397" t="str">
        <f t="shared" si="116"/>
        <v>AM</v>
      </c>
      <c r="AJ397" t="str">
        <f t="shared" si="117"/>
        <v>11-2022-3</v>
      </c>
      <c r="AK397">
        <f t="shared" si="118"/>
        <v>11</v>
      </c>
      <c r="AL397" s="26">
        <f>IFERROR(Table2[[#This Row],[Calories]]/Table2[[#This Row],[Splat]],"")</f>
        <v>44.285714285714285</v>
      </c>
      <c r="AM397">
        <f>COUNTIF(N$2:$N$938,N397)</f>
        <v>191</v>
      </c>
      <c r="AN397" t="str">
        <f>VLOOKUP(N397,'Helpful Tables'!A:D,4,FALSE)</f>
        <v>Washington, DC</v>
      </c>
      <c r="AO397" s="24">
        <f>COUNTIF(AN:AN,Table2[[#This Row],[State]])/COUNTA(AN:AN)</f>
        <v>0.54904051172707891</v>
      </c>
      <c r="AP397">
        <f>VLOOKUP(N397,'Helpful Tables'!A:B,2,FALSE)</f>
        <v>38.949649000000001</v>
      </c>
      <c r="AQ397">
        <f>VLOOKUP(N397,'Helpful Tables'!A:C,3,FALSE)</f>
        <v>-77.080878999999996</v>
      </c>
      <c r="AR397">
        <f>COUNTIF(P$2:$P$938,P397)</f>
        <v>13</v>
      </c>
      <c r="AS397" cm="1">
        <f t="array" ref="AS397">_xlfn.IFS(E397&lt;6,((E397/D397)*60)*0.5,AND(E397&gt;=6,E397&lt;9),((E397/D397)*60)*0.75,AND(E397&gt;=9,E397&lt;=11),((E397/D397)*60)*0.9,AND(E397=12),((E397/D397)*60)*1,AND(E397&gt;=13,E397&lt;=15),((E397/D397)*60)*1.2,AND(E397&gt;=16,E397&lt;=19),((E397/D397)*60)*1.5,E397&gt;=20,((E397/D397)*60)*1.8)</f>
        <v>18</v>
      </c>
      <c r="AT397" cm="1">
        <f t="array" ref="AT397">_xlfn.IFS(F397&lt;550,((F397/D397)*60)*0.5,AND(F397&gt;=550,F397&lt;575),((F397/D397)*60)*0.75,AND(F397&gt;=575,F397&lt;600),((F397/D397)*60)*0.9,AND(F397=600),((F397/D397)*60)*1,AND(F397&gt;=601,F397&lt;=625),((F397/D397)*60)*1.2,AND(F397&gt;=626,F397&lt;=650),((F397/D397)*60)*1.5,F397&gt;=651,((F397/D397)*60)*1.8)</f>
        <v>797.142857142857</v>
      </c>
      <c r="AU397">
        <f t="shared" si="106"/>
        <v>20.2</v>
      </c>
      <c r="AV397">
        <f t="shared" si="121"/>
        <v>330.09714285714284</v>
      </c>
      <c r="AW397">
        <f t="shared" si="107"/>
        <v>40.300000000000004</v>
      </c>
      <c r="AX397" t="str">
        <f t="shared" si="119"/>
        <v>Nov-2022</v>
      </c>
      <c r="AY397">
        <f>ROUNDUP(Table2[[#This Row],[Month]]/3,0)</f>
        <v>4</v>
      </c>
    </row>
    <row r="398" spans="1:51" x14ac:dyDescent="0.2">
      <c r="A398">
        <v>397</v>
      </c>
      <c r="B398">
        <f t="shared" si="108"/>
        <v>16</v>
      </c>
      <c r="C398" s="22">
        <v>44885</v>
      </c>
      <c r="D398">
        <f>SUM(Table2[[#This Row],[Gray Min]:[Red Min]])</f>
        <v>56</v>
      </c>
      <c r="E398">
        <v>15</v>
      </c>
      <c r="F398">
        <v>584</v>
      </c>
      <c r="G398">
        <v>123</v>
      </c>
      <c r="H398">
        <v>167</v>
      </c>
      <c r="I398">
        <v>12</v>
      </c>
      <c r="J398">
        <v>16</v>
      </c>
      <c r="K398">
        <v>13</v>
      </c>
      <c r="L398">
        <v>14</v>
      </c>
      <c r="M398">
        <v>1</v>
      </c>
      <c r="N398" t="s">
        <v>91</v>
      </c>
      <c r="O398" t="s">
        <v>79</v>
      </c>
      <c r="P398" t="s">
        <v>100</v>
      </c>
      <c r="Q398">
        <f t="shared" si="120"/>
        <v>2</v>
      </c>
      <c r="R398" t="str">
        <f t="shared" si="109"/>
        <v>11-2022</v>
      </c>
      <c r="S398" t="s">
        <v>104</v>
      </c>
      <c r="T398" t="str">
        <f t="shared" si="110"/>
        <v>Sunday</v>
      </c>
      <c r="U398">
        <f t="shared" si="111"/>
        <v>1</v>
      </c>
      <c r="V398" s="24">
        <f>IFERROR(Table2[[#This Row],[Gray Min]]/Table2[[#This Row],[ClassLength]],"")</f>
        <v>0.21428571428571427</v>
      </c>
      <c r="W398" s="24">
        <f>IFERROR(Table2[[#This Row],[Blue Min]]/Table2[[#This Row],[ClassLength]],"")</f>
        <v>0.2857142857142857</v>
      </c>
      <c r="X398" s="24">
        <f>IFERROR(Table2[[#This Row],[Green Min]]/Table2[[#This Row],[ClassLength]],"")</f>
        <v>0.23214285714285715</v>
      </c>
      <c r="Y398" s="24">
        <f>IFERROR(Table2[[#This Row],[Orange Min]]/Table2[[#This Row],[ClassLength]],"")</f>
        <v>0.25</v>
      </c>
      <c r="Z398" s="24">
        <f>IFERROR(Table2[[#This Row],[Red Min]]/Table2[[#This Row],[ClassLength]],"")</f>
        <v>1.7857142857142856E-2</v>
      </c>
      <c r="AA398" s="25">
        <v>232.14</v>
      </c>
      <c r="AB398" s="25">
        <f t="shared" si="105"/>
        <v>14.508749999999999</v>
      </c>
      <c r="AC398" s="26">
        <f t="shared" si="112"/>
        <v>636</v>
      </c>
      <c r="AD398" s="26">
        <f t="shared" si="113"/>
        <v>17</v>
      </c>
      <c r="AE398">
        <f t="shared" si="114"/>
        <v>2022</v>
      </c>
      <c r="AG398">
        <v>12</v>
      </c>
      <c r="AH398" s="26">
        <f t="shared" si="115"/>
        <v>10.428571428571429</v>
      </c>
      <c r="AI398" t="str">
        <f t="shared" si="116"/>
        <v>AM</v>
      </c>
      <c r="AJ398" t="str">
        <f t="shared" si="117"/>
        <v>11-2022-4</v>
      </c>
      <c r="AK398">
        <f t="shared" si="118"/>
        <v>11</v>
      </c>
      <c r="AL398" s="26">
        <f>IFERROR(Table2[[#This Row],[Calories]]/Table2[[#This Row],[Splat]],"")</f>
        <v>38.93333333333333</v>
      </c>
      <c r="AM398">
        <f>COUNTIF(N$2:$N$938,N398)</f>
        <v>218</v>
      </c>
      <c r="AN398" t="str">
        <f>VLOOKUP(N398,'Helpful Tables'!A:D,4,FALSE)</f>
        <v>Washington, DC</v>
      </c>
      <c r="AO398" s="24">
        <f>COUNTIF(AN:AN,Table2[[#This Row],[State]])/COUNTA(AN:AN)</f>
        <v>0.54904051172707891</v>
      </c>
      <c r="AP398">
        <f>VLOOKUP(N398,'Helpful Tables'!A:B,2,FALSE)</f>
        <v>38.934710000000003</v>
      </c>
      <c r="AQ398">
        <f>VLOOKUP(N398,'Helpful Tables'!A:C,3,FALSE)</f>
        <v>-77.058222999999998</v>
      </c>
      <c r="AR398">
        <f>COUNTIF(P$2:$P$938,P398)</f>
        <v>35</v>
      </c>
      <c r="AS398" cm="1">
        <f t="array" ref="AS398">_xlfn.IFS(E398&lt;6,((E398/D398)*60)*0.5,AND(E398&gt;=6,E398&lt;9),((E398/D398)*60)*0.75,AND(E398&gt;=9,E398&lt;=11),((E398/D398)*60)*0.9,AND(E398=12),((E398/D398)*60)*1,AND(E398&gt;=13,E398&lt;=15),((E398/D398)*60)*1.2,AND(E398&gt;=16,E398&lt;=19),((E398/D398)*60)*1.5,E398&gt;=20,((E398/D398)*60)*1.8)</f>
        <v>19.285714285714281</v>
      </c>
      <c r="AT398" cm="1">
        <f t="array" ref="AT398">_xlfn.IFS(F398&lt;550,((F398/D398)*60)*0.5,AND(F398&gt;=550,F398&lt;575),((F398/D398)*60)*0.75,AND(F398&gt;=575,F398&lt;600),((F398/D398)*60)*0.9,AND(F398=600),((F398/D398)*60)*1,AND(F398&gt;=601,F398&lt;=625),((F398/D398)*60)*1.2,AND(F398&gt;=626,F398&lt;=650),((F398/D398)*60)*1.5,F398&gt;=651,((F398/D398)*60)*1.8)</f>
        <v>563.14285714285722</v>
      </c>
      <c r="AU398">
        <f t="shared" si="106"/>
        <v>3.3000000000000007</v>
      </c>
      <c r="AV398">
        <f t="shared" si="121"/>
        <v>233.63142857142861</v>
      </c>
      <c r="AW398">
        <f t="shared" si="107"/>
        <v>20.599999999999998</v>
      </c>
      <c r="AX398" t="str">
        <f t="shared" si="119"/>
        <v>Nov-2022</v>
      </c>
      <c r="AY398">
        <f>ROUNDUP(Table2[[#This Row],[Month]]/3,0)</f>
        <v>4</v>
      </c>
    </row>
    <row r="399" spans="1:51" x14ac:dyDescent="0.2">
      <c r="A399">
        <v>398</v>
      </c>
      <c r="B399">
        <f t="shared" si="108"/>
        <v>16</v>
      </c>
      <c r="C399" s="22">
        <v>44888</v>
      </c>
      <c r="D399">
        <f>SUM(Table2[[#This Row],[Gray Min]:[Red Min]])</f>
        <v>61</v>
      </c>
      <c r="E399">
        <v>25</v>
      </c>
      <c r="F399">
        <v>758</v>
      </c>
      <c r="G399">
        <v>136</v>
      </c>
      <c r="H399">
        <v>168</v>
      </c>
      <c r="I399">
        <v>3</v>
      </c>
      <c r="J399">
        <v>11</v>
      </c>
      <c r="K399">
        <v>22</v>
      </c>
      <c r="L399">
        <v>14</v>
      </c>
      <c r="M399">
        <v>11</v>
      </c>
      <c r="N399" t="s">
        <v>138</v>
      </c>
      <c r="O399" t="s">
        <v>76</v>
      </c>
      <c r="P399" t="s">
        <v>139</v>
      </c>
      <c r="Q399">
        <f t="shared" si="120"/>
        <v>3</v>
      </c>
      <c r="R399" t="str">
        <f t="shared" si="109"/>
        <v>11-2022</v>
      </c>
      <c r="S399" t="s">
        <v>104</v>
      </c>
      <c r="T399" t="str">
        <f t="shared" si="110"/>
        <v>Wednesday</v>
      </c>
      <c r="U399">
        <f t="shared" si="111"/>
        <v>1</v>
      </c>
      <c r="V399" s="24">
        <f>IFERROR(Table2[[#This Row],[Gray Min]]/Table2[[#This Row],[ClassLength]],"")</f>
        <v>4.9180327868852458E-2</v>
      </c>
      <c r="W399" s="24">
        <f>IFERROR(Table2[[#This Row],[Blue Min]]/Table2[[#This Row],[ClassLength]],"")</f>
        <v>0.18032786885245902</v>
      </c>
      <c r="X399" s="24">
        <f>IFERROR(Table2[[#This Row],[Green Min]]/Table2[[#This Row],[ClassLength]],"")</f>
        <v>0.36065573770491804</v>
      </c>
      <c r="Y399" s="24">
        <f>IFERROR(Table2[[#This Row],[Orange Min]]/Table2[[#This Row],[ClassLength]],"")</f>
        <v>0.22950819672131148</v>
      </c>
      <c r="Z399" s="24">
        <f>IFERROR(Table2[[#This Row],[Red Min]]/Table2[[#This Row],[ClassLength]],"")</f>
        <v>0.18032786885245902</v>
      </c>
      <c r="AA399" s="25">
        <v>232.14</v>
      </c>
      <c r="AB399" s="25">
        <f t="shared" si="105"/>
        <v>14.508749999999999</v>
      </c>
      <c r="AC399" s="26">
        <f t="shared" si="112"/>
        <v>636</v>
      </c>
      <c r="AD399" s="26">
        <f t="shared" si="113"/>
        <v>17</v>
      </c>
      <c r="AE399">
        <f t="shared" si="114"/>
        <v>2022</v>
      </c>
      <c r="AG399">
        <v>12</v>
      </c>
      <c r="AH399" s="26">
        <f t="shared" si="115"/>
        <v>12.426229508196721</v>
      </c>
      <c r="AI399" t="str">
        <f t="shared" si="116"/>
        <v>AM</v>
      </c>
      <c r="AJ399" t="str">
        <f t="shared" si="117"/>
        <v>11-2022-4</v>
      </c>
      <c r="AK399">
        <f t="shared" si="118"/>
        <v>11</v>
      </c>
      <c r="AL399" s="26">
        <f>IFERROR(Table2[[#This Row],[Calories]]/Table2[[#This Row],[Splat]],"")</f>
        <v>30.32</v>
      </c>
      <c r="AM399">
        <f>COUNTIF(N$2:$N$938,N399)</f>
        <v>11</v>
      </c>
      <c r="AN399" t="str">
        <f>VLOOKUP(N399,'Helpful Tables'!A:D,4,FALSE)</f>
        <v>Massachusetts</v>
      </c>
      <c r="AO399" s="24">
        <f>COUNTIF(AN:AN,Table2[[#This Row],[State]])/COUNTA(AN:AN)</f>
        <v>1.7057569296375266E-2</v>
      </c>
      <c r="AP399">
        <f>VLOOKUP(N399,'Helpful Tables'!A:B,2,FALSE)</f>
        <v>42.350487000000001</v>
      </c>
      <c r="AQ399">
        <f>VLOOKUP(N399,'Helpful Tables'!A:C,3,FALSE)</f>
        <v>-71.152720000000002</v>
      </c>
      <c r="AR399">
        <f>COUNTIF(P$2:$P$938,P399)</f>
        <v>2</v>
      </c>
      <c r="AS399" cm="1">
        <f t="array" ref="AS399">_xlfn.IFS(E399&lt;6,((E399/D399)*60)*0.5,AND(E399&gt;=6,E399&lt;9),((E399/D399)*60)*0.75,AND(E399&gt;=9,E399&lt;=11),((E399/D399)*60)*0.9,AND(E399=12),((E399/D399)*60)*1,AND(E399&gt;=13,E399&lt;=15),((E399/D399)*60)*1.2,AND(E399&gt;=16,E399&lt;=19),((E399/D399)*60)*1.5,E399&gt;=20,((E399/D399)*60)*1.8)</f>
        <v>44.262295081967217</v>
      </c>
      <c r="AT399" cm="1">
        <f t="array" ref="AT399">_xlfn.IFS(F399&lt;550,((F399/D399)*60)*0.5,AND(F399&gt;=550,F399&lt;575),((F399/D399)*60)*0.75,AND(F399&gt;=575,F399&lt;600),((F399/D399)*60)*0.9,AND(F399=600),((F399/D399)*60)*1,AND(F399&gt;=601,F399&lt;=625),((F399/D399)*60)*1.2,AND(F399&gt;=626,F399&lt;=650),((F399/D399)*60)*1.5,F399&gt;=651,((F399/D399)*60)*1.8)</f>
        <v>1342.032786885246</v>
      </c>
      <c r="AU399">
        <f t="shared" si="106"/>
        <v>45.4</v>
      </c>
      <c r="AV399">
        <f t="shared" si="121"/>
        <v>563.59803278688526</v>
      </c>
      <c r="AW399">
        <f t="shared" si="107"/>
        <v>99.2</v>
      </c>
      <c r="AX399" t="str">
        <f t="shared" si="119"/>
        <v>Nov-2022</v>
      </c>
      <c r="AY399">
        <f>ROUNDUP(Table2[[#This Row],[Month]]/3,0)</f>
        <v>4</v>
      </c>
    </row>
    <row r="400" spans="1:51" x14ac:dyDescent="0.2">
      <c r="A400">
        <v>399</v>
      </c>
      <c r="B400">
        <f t="shared" si="108"/>
        <v>16</v>
      </c>
      <c r="C400" s="22">
        <v>44889</v>
      </c>
      <c r="D400">
        <f>SUM(Table2[[#This Row],[Gray Min]:[Red Min]])</f>
        <v>62</v>
      </c>
      <c r="E400">
        <v>13</v>
      </c>
      <c r="F400">
        <v>629</v>
      </c>
      <c r="G400">
        <v>120</v>
      </c>
      <c r="H400">
        <v>166</v>
      </c>
      <c r="I400">
        <v>18</v>
      </c>
      <c r="J400">
        <v>18</v>
      </c>
      <c r="K400">
        <v>13</v>
      </c>
      <c r="L400">
        <v>10</v>
      </c>
      <c r="M400">
        <v>3</v>
      </c>
      <c r="N400" t="s">
        <v>138</v>
      </c>
      <c r="O400" t="s">
        <v>76</v>
      </c>
      <c r="P400" t="s">
        <v>140</v>
      </c>
      <c r="Q400">
        <f t="shared" si="120"/>
        <v>1</v>
      </c>
      <c r="R400" t="str">
        <f t="shared" si="109"/>
        <v>11-2022</v>
      </c>
      <c r="S400" t="s">
        <v>117</v>
      </c>
      <c r="T400" t="str">
        <f t="shared" si="110"/>
        <v>Thursday</v>
      </c>
      <c r="U400">
        <f t="shared" si="111"/>
        <v>1</v>
      </c>
      <c r="V400" s="24">
        <f>IFERROR(Table2[[#This Row],[Gray Min]]/Table2[[#This Row],[ClassLength]],"")</f>
        <v>0.29032258064516131</v>
      </c>
      <c r="W400" s="24">
        <f>IFERROR(Table2[[#This Row],[Blue Min]]/Table2[[#This Row],[ClassLength]],"")</f>
        <v>0.29032258064516131</v>
      </c>
      <c r="X400" s="24">
        <f>IFERROR(Table2[[#This Row],[Green Min]]/Table2[[#This Row],[ClassLength]],"")</f>
        <v>0.20967741935483872</v>
      </c>
      <c r="Y400" s="24">
        <f>IFERROR(Table2[[#This Row],[Orange Min]]/Table2[[#This Row],[ClassLength]],"")</f>
        <v>0.16129032258064516</v>
      </c>
      <c r="Z400" s="24">
        <f>IFERROR(Table2[[#This Row],[Red Min]]/Table2[[#This Row],[ClassLength]],"")</f>
        <v>4.8387096774193547E-2</v>
      </c>
      <c r="AA400" s="25">
        <v>232.14</v>
      </c>
      <c r="AB400" s="25">
        <f t="shared" ref="AB400:AB463" si="122">AA400/B400</f>
        <v>14.508749999999999</v>
      </c>
      <c r="AC400" s="26">
        <f t="shared" si="112"/>
        <v>636</v>
      </c>
      <c r="AD400" s="26">
        <f t="shared" si="113"/>
        <v>17</v>
      </c>
      <c r="AE400">
        <f t="shared" si="114"/>
        <v>2022</v>
      </c>
      <c r="AG400">
        <v>12</v>
      </c>
      <c r="AH400" s="26">
        <f t="shared" si="115"/>
        <v>10.14516129032258</v>
      </c>
      <c r="AI400" t="str">
        <f t="shared" si="116"/>
        <v>AM</v>
      </c>
      <c r="AJ400" t="str">
        <f t="shared" si="117"/>
        <v>11-2022-4</v>
      </c>
      <c r="AK400">
        <f t="shared" si="118"/>
        <v>11</v>
      </c>
      <c r="AL400" s="26">
        <f>IFERROR(Table2[[#This Row],[Calories]]/Table2[[#This Row],[Splat]],"")</f>
        <v>48.384615384615387</v>
      </c>
      <c r="AM400">
        <f>COUNTIF(N$2:$N$938,N400)</f>
        <v>11</v>
      </c>
      <c r="AN400" t="str">
        <f>VLOOKUP(N400,'Helpful Tables'!A:D,4,FALSE)</f>
        <v>Massachusetts</v>
      </c>
      <c r="AO400" s="24">
        <f>COUNTIF(AN:AN,Table2[[#This Row],[State]])/COUNTA(AN:AN)</f>
        <v>1.7057569296375266E-2</v>
      </c>
      <c r="AP400">
        <f>VLOOKUP(N400,'Helpful Tables'!A:B,2,FALSE)</f>
        <v>42.350487000000001</v>
      </c>
      <c r="AQ400">
        <f>VLOOKUP(N400,'Helpful Tables'!A:C,3,FALSE)</f>
        <v>-71.152720000000002</v>
      </c>
      <c r="AR400">
        <f>COUNTIF(P$2:$P$938,P400)</f>
        <v>4</v>
      </c>
      <c r="AS400" cm="1">
        <f t="array" ref="AS400">_xlfn.IFS(E400&lt;6,((E400/D400)*60)*0.5,AND(E400&gt;=6,E400&lt;9),((E400/D400)*60)*0.75,AND(E400&gt;=9,E400&lt;=11),((E400/D400)*60)*0.9,AND(E400=12),((E400/D400)*60)*1,AND(E400&gt;=13,E400&lt;=15),((E400/D400)*60)*1.2,AND(E400&gt;=16,E400&lt;=19),((E400/D400)*60)*1.5,E400&gt;=20,((E400/D400)*60)*1.8)</f>
        <v>15.096774193548388</v>
      </c>
      <c r="AT400" cm="1">
        <f t="array" ref="AT400">_xlfn.IFS(F400&lt;550,((F400/D400)*60)*0.5,AND(F400&gt;=550,F400&lt;575),((F400/D400)*60)*0.75,AND(F400&gt;=575,F400&lt;600),((F400/D400)*60)*0.9,AND(F400=600),((F400/D400)*60)*1,AND(F400&gt;=601,F400&lt;=625),((F400/D400)*60)*1.2,AND(F400&gt;=626,F400&lt;=650),((F400/D400)*60)*1.5,F400&gt;=651,((F400/D400)*60)*1.8)</f>
        <v>913.0645161290322</v>
      </c>
      <c r="AU400">
        <f t="shared" si="106"/>
        <v>-8.2999999999999972</v>
      </c>
      <c r="AV400">
        <f t="shared" si="121"/>
        <v>369.60451612903228</v>
      </c>
      <c r="AW400">
        <f t="shared" si="107"/>
        <v>43.1</v>
      </c>
      <c r="AX400" t="str">
        <f t="shared" si="119"/>
        <v>Nov-2022</v>
      </c>
      <c r="AY400">
        <f>ROUNDUP(Table2[[#This Row],[Month]]/3,0)</f>
        <v>4</v>
      </c>
    </row>
    <row r="401" spans="1:51" x14ac:dyDescent="0.2">
      <c r="A401">
        <v>400</v>
      </c>
      <c r="B401">
        <f t="shared" si="108"/>
        <v>16</v>
      </c>
      <c r="C401" s="22">
        <v>44891</v>
      </c>
      <c r="D401">
        <f>SUM(Table2[[#This Row],[Gray Min]:[Red Min]])</f>
        <v>57</v>
      </c>
      <c r="E401">
        <v>16</v>
      </c>
      <c r="F401">
        <v>621</v>
      </c>
      <c r="G401">
        <v>126</v>
      </c>
      <c r="H401">
        <v>165</v>
      </c>
      <c r="I401">
        <v>7</v>
      </c>
      <c r="J401">
        <v>16</v>
      </c>
      <c r="K401">
        <v>18</v>
      </c>
      <c r="L401">
        <v>13</v>
      </c>
      <c r="M401">
        <v>3</v>
      </c>
      <c r="N401" t="s">
        <v>30</v>
      </c>
      <c r="O401" t="s">
        <v>166</v>
      </c>
      <c r="P401" t="s">
        <v>165</v>
      </c>
      <c r="Q401">
        <f t="shared" si="120"/>
        <v>2</v>
      </c>
      <c r="R401" t="str">
        <f t="shared" si="109"/>
        <v>11-2022</v>
      </c>
      <c r="S401" t="s">
        <v>117</v>
      </c>
      <c r="T401" t="str">
        <f t="shared" si="110"/>
        <v>Saturday</v>
      </c>
      <c r="U401">
        <f t="shared" si="111"/>
        <v>1</v>
      </c>
      <c r="V401" s="24">
        <f>IFERROR(Table2[[#This Row],[Gray Min]]/Table2[[#This Row],[ClassLength]],"")</f>
        <v>0.12280701754385964</v>
      </c>
      <c r="W401" s="24">
        <f>IFERROR(Table2[[#This Row],[Blue Min]]/Table2[[#This Row],[ClassLength]],"")</f>
        <v>0.2807017543859649</v>
      </c>
      <c r="X401" s="24">
        <f>IFERROR(Table2[[#This Row],[Green Min]]/Table2[[#This Row],[ClassLength]],"")</f>
        <v>0.31578947368421051</v>
      </c>
      <c r="Y401" s="24">
        <f>IFERROR(Table2[[#This Row],[Orange Min]]/Table2[[#This Row],[ClassLength]],"")</f>
        <v>0.22807017543859648</v>
      </c>
      <c r="Z401" s="24">
        <f>IFERROR(Table2[[#This Row],[Red Min]]/Table2[[#This Row],[ClassLength]],"")</f>
        <v>5.2631578947368418E-2</v>
      </c>
      <c r="AA401" s="25">
        <v>232.14</v>
      </c>
      <c r="AB401" s="25">
        <f t="shared" si="122"/>
        <v>14.508749999999999</v>
      </c>
      <c r="AC401" s="26">
        <f t="shared" si="112"/>
        <v>636</v>
      </c>
      <c r="AD401" s="26">
        <f t="shared" si="113"/>
        <v>17</v>
      </c>
      <c r="AE401">
        <f t="shared" si="114"/>
        <v>2022</v>
      </c>
      <c r="AG401">
        <v>12</v>
      </c>
      <c r="AH401" s="26">
        <f t="shared" si="115"/>
        <v>10.894736842105264</v>
      </c>
      <c r="AI401" t="str">
        <f t="shared" si="116"/>
        <v>AM</v>
      </c>
      <c r="AJ401" t="str">
        <f t="shared" si="117"/>
        <v>11-2022-4</v>
      </c>
      <c r="AK401">
        <f t="shared" si="118"/>
        <v>11</v>
      </c>
      <c r="AL401" s="26">
        <f>IFERROR(Table2[[#This Row],[Calories]]/Table2[[#This Row],[Splat]],"")</f>
        <v>38.8125</v>
      </c>
      <c r="AM401">
        <f>COUNTIF(N$2:$N$938,N401)</f>
        <v>9</v>
      </c>
      <c r="AN401" t="str">
        <f>VLOOKUP(N401,'Helpful Tables'!A:D,4,FALSE)</f>
        <v>Virginia</v>
      </c>
      <c r="AO401" s="24">
        <f>COUNTIF(AN:AN,Table2[[#This Row],[State]])/COUNTA(AN:AN)</f>
        <v>5.6503198294243072E-2</v>
      </c>
      <c r="AP401">
        <f>VLOOKUP(N401,'Helpful Tables'!A:B,2,FALSE)</f>
        <v>38.894024999999999</v>
      </c>
      <c r="AQ401">
        <f>VLOOKUP(N401,'Helpful Tables'!A:C,3,FALSE)</f>
        <v>-77.078213000000005</v>
      </c>
      <c r="AR401">
        <f>COUNTIF(P$2:$P$938,P401)</f>
        <v>1</v>
      </c>
      <c r="AS401" cm="1">
        <f t="array" ref="AS401">_xlfn.IFS(E401&lt;6,((E401/D401)*60)*0.5,AND(E401&gt;=6,E401&lt;9),((E401/D401)*60)*0.75,AND(E401&gt;=9,E401&lt;=11),((E401/D401)*60)*0.9,AND(E401=12),((E401/D401)*60)*1,AND(E401&gt;=13,E401&lt;=15),((E401/D401)*60)*1.2,AND(E401&gt;=16,E401&lt;=19),((E401/D401)*60)*1.5,E401&gt;=20,((E401/D401)*60)*1.8)</f>
        <v>25.263157894736842</v>
      </c>
      <c r="AT401" cm="1">
        <f t="array" ref="AT401">_xlfn.IFS(F401&lt;550,((F401/D401)*60)*0.5,AND(F401&gt;=550,F401&lt;575),((F401/D401)*60)*0.75,AND(F401&gt;=575,F401&lt;600),((F401/D401)*60)*0.9,AND(F401=600),((F401/D401)*60)*1,AND(F401&gt;=601,F401&lt;=625),((F401/D401)*60)*1.2,AND(F401&gt;=626,F401&lt;=650),((F401/D401)*60)*1.5,F401&gt;=651,((F401/D401)*60)*1.8)</f>
        <v>784.42105263157896</v>
      </c>
      <c r="AU401">
        <f t="shared" si="106"/>
        <v>17</v>
      </c>
      <c r="AV401">
        <f t="shared" si="121"/>
        <v>327.27368421052631</v>
      </c>
      <c r="AW401">
        <f t="shared" si="107"/>
        <v>39.4</v>
      </c>
      <c r="AX401" t="str">
        <f t="shared" si="119"/>
        <v>Nov-2022</v>
      </c>
      <c r="AY401">
        <f>ROUNDUP(Table2[[#This Row],[Month]]/3,0)</f>
        <v>4</v>
      </c>
    </row>
    <row r="402" spans="1:51" x14ac:dyDescent="0.2">
      <c r="A402">
        <v>401</v>
      </c>
      <c r="B402">
        <f t="shared" si="108"/>
        <v>16</v>
      </c>
      <c r="C402" s="22">
        <v>44893</v>
      </c>
      <c r="D402">
        <f>SUM(Table2[[#This Row],[Gray Min]:[Red Min]])</f>
        <v>58</v>
      </c>
      <c r="E402">
        <v>20</v>
      </c>
      <c r="F402">
        <v>676</v>
      </c>
      <c r="G402">
        <v>130</v>
      </c>
      <c r="H402">
        <v>170</v>
      </c>
      <c r="I402">
        <v>7</v>
      </c>
      <c r="J402">
        <v>15</v>
      </c>
      <c r="K402">
        <v>16</v>
      </c>
      <c r="L402">
        <v>14</v>
      </c>
      <c r="M402">
        <v>6</v>
      </c>
      <c r="N402" t="s">
        <v>101</v>
      </c>
      <c r="O402" t="s">
        <v>39</v>
      </c>
      <c r="P402" t="s">
        <v>109</v>
      </c>
      <c r="Q402">
        <f t="shared" si="120"/>
        <v>2</v>
      </c>
      <c r="R402" t="str">
        <f t="shared" si="109"/>
        <v>11-2022</v>
      </c>
      <c r="S402" t="s">
        <v>104</v>
      </c>
      <c r="T402" t="str">
        <f t="shared" si="110"/>
        <v>Monday</v>
      </c>
      <c r="U402">
        <f t="shared" si="111"/>
        <v>1</v>
      </c>
      <c r="V402" s="24">
        <f>IFERROR(Table2[[#This Row],[Gray Min]]/Table2[[#This Row],[ClassLength]],"")</f>
        <v>0.1206896551724138</v>
      </c>
      <c r="W402" s="24">
        <f>IFERROR(Table2[[#This Row],[Blue Min]]/Table2[[#This Row],[ClassLength]],"")</f>
        <v>0.25862068965517243</v>
      </c>
      <c r="X402" s="24">
        <f>IFERROR(Table2[[#This Row],[Green Min]]/Table2[[#This Row],[ClassLength]],"")</f>
        <v>0.27586206896551724</v>
      </c>
      <c r="Y402" s="24">
        <f>IFERROR(Table2[[#This Row],[Orange Min]]/Table2[[#This Row],[ClassLength]],"")</f>
        <v>0.2413793103448276</v>
      </c>
      <c r="Z402" s="24">
        <f>IFERROR(Table2[[#This Row],[Red Min]]/Table2[[#This Row],[ClassLength]],"")</f>
        <v>0.10344827586206896</v>
      </c>
      <c r="AA402" s="25">
        <v>232.14</v>
      </c>
      <c r="AB402" s="25">
        <f t="shared" si="122"/>
        <v>14.508749999999999</v>
      </c>
      <c r="AC402" s="26">
        <f t="shared" si="112"/>
        <v>636</v>
      </c>
      <c r="AD402" s="26">
        <f t="shared" si="113"/>
        <v>17</v>
      </c>
      <c r="AE402">
        <f t="shared" si="114"/>
        <v>2022</v>
      </c>
      <c r="AG402">
        <v>12</v>
      </c>
      <c r="AH402" s="26">
        <f t="shared" si="115"/>
        <v>11.655172413793103</v>
      </c>
      <c r="AI402" t="str">
        <f t="shared" si="116"/>
        <v>PM</v>
      </c>
      <c r="AJ402" t="str">
        <f t="shared" si="117"/>
        <v>11-2022-5</v>
      </c>
      <c r="AK402">
        <f t="shared" si="118"/>
        <v>11</v>
      </c>
      <c r="AL402" s="26">
        <f>IFERROR(Table2[[#This Row],[Calories]]/Table2[[#This Row],[Splat]],"")</f>
        <v>33.799999999999997</v>
      </c>
      <c r="AM402">
        <f>COUNTIF(N$2:$N$938,N402)</f>
        <v>191</v>
      </c>
      <c r="AN402" t="str">
        <f>VLOOKUP(N402,'Helpful Tables'!A:D,4,FALSE)</f>
        <v>Washington, DC</v>
      </c>
      <c r="AO402" s="24">
        <f>COUNTIF(AN:AN,Table2[[#This Row],[State]])/COUNTA(AN:AN)</f>
        <v>0.54904051172707891</v>
      </c>
      <c r="AP402">
        <f>VLOOKUP(N402,'Helpful Tables'!A:B,2,FALSE)</f>
        <v>38.949649000000001</v>
      </c>
      <c r="AQ402">
        <f>VLOOKUP(N402,'Helpful Tables'!A:C,3,FALSE)</f>
        <v>-77.080878999999996</v>
      </c>
      <c r="AR402">
        <f>COUNTIF(P$2:$P$938,P402)</f>
        <v>66</v>
      </c>
      <c r="AS402" cm="1">
        <f t="array" ref="AS402">_xlfn.IFS(E402&lt;6,((E402/D402)*60)*0.5,AND(E402&gt;=6,E402&lt;9),((E402/D402)*60)*0.75,AND(E402&gt;=9,E402&lt;=11),((E402/D402)*60)*0.9,AND(E402=12),((E402/D402)*60)*1,AND(E402&gt;=13,E402&lt;=15),((E402/D402)*60)*1.2,AND(E402&gt;=16,E402&lt;=19),((E402/D402)*60)*1.5,E402&gt;=20,((E402/D402)*60)*1.8)</f>
        <v>37.241379310344833</v>
      </c>
      <c r="AT402" cm="1">
        <f t="array" ref="AT402">_xlfn.IFS(F402&lt;550,((F402/D402)*60)*0.5,AND(F402&gt;=550,F402&lt;575),((F402/D402)*60)*0.75,AND(F402&gt;=575,F402&lt;600),((F402/D402)*60)*0.9,AND(F402=600),((F402/D402)*60)*1,AND(F402&gt;=601,F402&lt;=625),((F402/D402)*60)*1.2,AND(F402&gt;=626,F402&lt;=650),((F402/D402)*60)*1.5,F402&gt;=651,((F402/D402)*60)*1.8)</f>
        <v>1258.7586206896551</v>
      </c>
      <c r="AU402">
        <f t="shared" si="106"/>
        <v>21.5</v>
      </c>
      <c r="AV402">
        <f t="shared" si="121"/>
        <v>522.69999999999993</v>
      </c>
      <c r="AW402">
        <f t="shared" si="107"/>
        <v>91</v>
      </c>
      <c r="AX402" t="str">
        <f t="shared" si="119"/>
        <v>Nov-2022</v>
      </c>
      <c r="AY402">
        <f>ROUNDUP(Table2[[#This Row],[Month]]/3,0)</f>
        <v>4</v>
      </c>
    </row>
    <row r="403" spans="1:51" x14ac:dyDescent="0.2">
      <c r="A403">
        <v>402</v>
      </c>
      <c r="B403">
        <f t="shared" si="108"/>
        <v>16</v>
      </c>
      <c r="C403" s="22">
        <v>44895</v>
      </c>
      <c r="D403">
        <f>SUM(Table2[[#This Row],[Gray Min]:[Red Min]])</f>
        <v>58</v>
      </c>
      <c r="E403">
        <v>14</v>
      </c>
      <c r="F403">
        <v>581</v>
      </c>
      <c r="G403">
        <v>120</v>
      </c>
      <c r="H403">
        <v>169</v>
      </c>
      <c r="I403">
        <v>19</v>
      </c>
      <c r="J403">
        <v>13</v>
      </c>
      <c r="K403">
        <v>12</v>
      </c>
      <c r="L403">
        <v>7</v>
      </c>
      <c r="M403">
        <v>7</v>
      </c>
      <c r="N403" t="s">
        <v>101</v>
      </c>
      <c r="O403" t="s">
        <v>39</v>
      </c>
      <c r="P403" t="s">
        <v>147</v>
      </c>
      <c r="Q403">
        <f t="shared" si="120"/>
        <v>2</v>
      </c>
      <c r="R403" t="str">
        <f t="shared" si="109"/>
        <v>11-2022</v>
      </c>
      <c r="S403" t="s">
        <v>104</v>
      </c>
      <c r="T403" t="str">
        <f t="shared" si="110"/>
        <v>Wednesday</v>
      </c>
      <c r="U403">
        <f t="shared" si="111"/>
        <v>1</v>
      </c>
      <c r="V403" s="24">
        <f>IFERROR(Table2[[#This Row],[Gray Min]]/Table2[[#This Row],[ClassLength]],"")</f>
        <v>0.32758620689655171</v>
      </c>
      <c r="W403" s="24">
        <f>IFERROR(Table2[[#This Row],[Blue Min]]/Table2[[#This Row],[ClassLength]],"")</f>
        <v>0.22413793103448276</v>
      </c>
      <c r="X403" s="24">
        <f>IFERROR(Table2[[#This Row],[Green Min]]/Table2[[#This Row],[ClassLength]],"")</f>
        <v>0.20689655172413793</v>
      </c>
      <c r="Y403" s="24">
        <f>IFERROR(Table2[[#This Row],[Orange Min]]/Table2[[#This Row],[ClassLength]],"")</f>
        <v>0.1206896551724138</v>
      </c>
      <c r="Z403" s="24">
        <f>IFERROR(Table2[[#This Row],[Red Min]]/Table2[[#This Row],[ClassLength]],"")</f>
        <v>0.1206896551724138</v>
      </c>
      <c r="AA403" s="25">
        <v>232.14</v>
      </c>
      <c r="AB403" s="25">
        <f t="shared" si="122"/>
        <v>14.508749999999999</v>
      </c>
      <c r="AC403" s="26">
        <f t="shared" si="112"/>
        <v>636</v>
      </c>
      <c r="AD403" s="26">
        <f t="shared" si="113"/>
        <v>17</v>
      </c>
      <c r="AE403">
        <f t="shared" si="114"/>
        <v>2022</v>
      </c>
      <c r="AG403">
        <v>12</v>
      </c>
      <c r="AH403" s="26">
        <f t="shared" si="115"/>
        <v>10.017241379310345</v>
      </c>
      <c r="AI403" t="str">
        <f t="shared" si="116"/>
        <v>PM</v>
      </c>
      <c r="AJ403" t="str">
        <f t="shared" si="117"/>
        <v>11-2022-5</v>
      </c>
      <c r="AK403">
        <f t="shared" si="118"/>
        <v>11</v>
      </c>
      <c r="AL403" s="26">
        <f>IFERROR(Table2[[#This Row],[Calories]]/Table2[[#This Row],[Splat]],"")</f>
        <v>41.5</v>
      </c>
      <c r="AM403">
        <f>COUNTIF(N$2:$N$938,N403)</f>
        <v>191</v>
      </c>
      <c r="AN403" t="str">
        <f>VLOOKUP(N403,'Helpful Tables'!A:D,4,FALSE)</f>
        <v>Washington, DC</v>
      </c>
      <c r="AO403" s="24">
        <f>COUNTIF(AN:AN,Table2[[#This Row],[State]])/COUNTA(AN:AN)</f>
        <v>0.54904051172707891</v>
      </c>
      <c r="AP403">
        <f>VLOOKUP(N403,'Helpful Tables'!A:B,2,FALSE)</f>
        <v>38.949649000000001</v>
      </c>
      <c r="AQ403">
        <f>VLOOKUP(N403,'Helpful Tables'!A:C,3,FALSE)</f>
        <v>-77.080878999999996</v>
      </c>
      <c r="AR403">
        <f>COUNTIF(P$2:$P$938,P403)</f>
        <v>17</v>
      </c>
      <c r="AS403" cm="1">
        <f t="array" ref="AS403">_xlfn.IFS(E403&lt;6,((E403/D403)*60)*0.5,AND(E403&gt;=6,E403&lt;9),((E403/D403)*60)*0.75,AND(E403&gt;=9,E403&lt;=11),((E403/D403)*60)*0.9,AND(E403=12),((E403/D403)*60)*1,AND(E403&gt;=13,E403&lt;=15),((E403/D403)*60)*1.2,AND(E403&gt;=16,E403&lt;=19),((E403/D403)*60)*1.5,E403&gt;=20,((E403/D403)*60)*1.8)</f>
        <v>17.379310344827587</v>
      </c>
      <c r="AT403" cm="1">
        <f t="array" ref="AT403">_xlfn.IFS(F403&lt;550,((F403/D403)*60)*0.5,AND(F403&gt;=550,F403&lt;575),((F403/D403)*60)*0.75,AND(F403&gt;=575,F403&lt;600),((F403/D403)*60)*0.9,AND(F403=600),((F403/D403)*60)*1,AND(F403&gt;=601,F403&lt;=625),((F403/D403)*60)*1.2,AND(F403&gt;=626,F403&lt;=650),((F403/D403)*60)*1.5,F403&gt;=651,((F403/D403)*60)*1.8)</f>
        <v>540.93103448275861</v>
      </c>
      <c r="AU403">
        <f t="shared" si="106"/>
        <v>-3.1000000000000032</v>
      </c>
      <c r="AV403">
        <f t="shared" si="121"/>
        <v>222.70413793103447</v>
      </c>
      <c r="AW403">
        <f t="shared" si="107"/>
        <v>17.599999999999998</v>
      </c>
      <c r="AX403" t="str">
        <f t="shared" si="119"/>
        <v>Nov-2022</v>
      </c>
      <c r="AY403">
        <f>ROUNDUP(Table2[[#This Row],[Month]]/3,0)</f>
        <v>4</v>
      </c>
    </row>
    <row r="404" spans="1:51" x14ac:dyDescent="0.2">
      <c r="A404">
        <v>403</v>
      </c>
      <c r="B404">
        <f t="shared" si="108"/>
        <v>9</v>
      </c>
      <c r="C404" s="22">
        <v>44897</v>
      </c>
      <c r="D404">
        <f>SUM(Table2[[#This Row],[Gray Min]:[Red Min]])</f>
        <v>57</v>
      </c>
      <c r="E404">
        <v>21</v>
      </c>
      <c r="F404">
        <v>651</v>
      </c>
      <c r="G404">
        <v>129</v>
      </c>
      <c r="H404">
        <v>165</v>
      </c>
      <c r="I404">
        <v>11</v>
      </c>
      <c r="J404">
        <v>10</v>
      </c>
      <c r="K404">
        <v>15</v>
      </c>
      <c r="L404">
        <v>15</v>
      </c>
      <c r="M404">
        <v>6</v>
      </c>
      <c r="N404" t="s">
        <v>91</v>
      </c>
      <c r="O404" t="s">
        <v>89</v>
      </c>
      <c r="P404" t="s">
        <v>109</v>
      </c>
      <c r="Q404">
        <f t="shared" si="120"/>
        <v>2</v>
      </c>
      <c r="R404" t="str">
        <f t="shared" si="109"/>
        <v>12-2022</v>
      </c>
      <c r="S404" t="s">
        <v>104</v>
      </c>
      <c r="T404" t="str">
        <f t="shared" si="110"/>
        <v>Friday</v>
      </c>
      <c r="U404">
        <f t="shared" si="111"/>
        <v>1</v>
      </c>
      <c r="V404" s="24">
        <f>IFERROR(Table2[[#This Row],[Gray Min]]/Table2[[#This Row],[ClassLength]],"")</f>
        <v>0.19298245614035087</v>
      </c>
      <c r="W404" s="24">
        <f>IFERROR(Table2[[#This Row],[Blue Min]]/Table2[[#This Row],[ClassLength]],"")</f>
        <v>0.17543859649122806</v>
      </c>
      <c r="X404" s="24">
        <f>IFERROR(Table2[[#This Row],[Green Min]]/Table2[[#This Row],[ClassLength]],"")</f>
        <v>0.26315789473684209</v>
      </c>
      <c r="Y404" s="24">
        <f>IFERROR(Table2[[#This Row],[Orange Min]]/Table2[[#This Row],[ClassLength]],"")</f>
        <v>0.26315789473684209</v>
      </c>
      <c r="Z404" s="24">
        <f>IFERROR(Table2[[#This Row],[Red Min]]/Table2[[#This Row],[ClassLength]],"")</f>
        <v>0.10526315789473684</v>
      </c>
      <c r="AA404" s="25">
        <v>232.14</v>
      </c>
      <c r="AB404" s="25">
        <f t="shared" si="122"/>
        <v>25.793333333333333</v>
      </c>
      <c r="AC404" s="26">
        <f t="shared" si="112"/>
        <v>625.66666666666663</v>
      </c>
      <c r="AD404" s="26">
        <f t="shared" si="113"/>
        <v>17</v>
      </c>
      <c r="AE404">
        <f t="shared" si="114"/>
        <v>2022</v>
      </c>
      <c r="AG404">
        <v>12</v>
      </c>
      <c r="AH404" s="26">
        <f t="shared" si="115"/>
        <v>11.421052631578947</v>
      </c>
      <c r="AI404" t="str">
        <f t="shared" si="116"/>
        <v>AM</v>
      </c>
      <c r="AJ404" t="str">
        <f t="shared" si="117"/>
        <v>12-2022-1</v>
      </c>
      <c r="AK404">
        <f t="shared" si="118"/>
        <v>12</v>
      </c>
      <c r="AL404" s="26">
        <f>IFERROR(Table2[[#This Row],[Calories]]/Table2[[#This Row],[Splat]],"")</f>
        <v>31</v>
      </c>
      <c r="AM404">
        <f>COUNTIF(N$2:$N$938,N404)</f>
        <v>218</v>
      </c>
      <c r="AN404" t="str">
        <f>VLOOKUP(N404,'Helpful Tables'!A:D,4,FALSE)</f>
        <v>Washington, DC</v>
      </c>
      <c r="AO404" s="24">
        <f>COUNTIF(AN:AN,Table2[[#This Row],[State]])/COUNTA(AN:AN)</f>
        <v>0.54904051172707891</v>
      </c>
      <c r="AP404">
        <f>VLOOKUP(N404,'Helpful Tables'!A:B,2,FALSE)</f>
        <v>38.934710000000003</v>
      </c>
      <c r="AQ404">
        <f>VLOOKUP(N404,'Helpful Tables'!A:C,3,FALSE)</f>
        <v>-77.058222999999998</v>
      </c>
      <c r="AR404">
        <f>COUNTIF(P$2:$P$938,P404)</f>
        <v>66</v>
      </c>
      <c r="AS404" cm="1">
        <f t="array" ref="AS404">_xlfn.IFS(E404&lt;6,((E404/D404)*60)*0.5,AND(E404&gt;=6,E404&lt;9),((E404/D404)*60)*0.75,AND(E404&gt;=9,E404&lt;=11),((E404/D404)*60)*0.9,AND(E404=12),((E404/D404)*60)*1,AND(E404&gt;=13,E404&lt;=15),((E404/D404)*60)*1.2,AND(E404&gt;=16,E404&lt;=19),((E404/D404)*60)*1.5,E404&gt;=20,((E404/D404)*60)*1.8)</f>
        <v>39.789473684210527</v>
      </c>
      <c r="AT404" cm="1">
        <f t="array" ref="AT404">_xlfn.IFS(F404&lt;550,((F404/D404)*60)*0.5,AND(F404&gt;=550,F404&lt;575),((F404/D404)*60)*0.75,AND(F404&gt;=575,F404&lt;600),((F404/D404)*60)*0.9,AND(F404=600),((F404/D404)*60)*1,AND(F404&gt;=601,F404&lt;=625),((F404/D404)*60)*1.2,AND(F404&gt;=626,F404&lt;=650),((F404/D404)*60)*1.5,F404&gt;=651,((F404/D404)*60)*1.8)</f>
        <v>1233.4736842105262</v>
      </c>
      <c r="AU404">
        <f t="shared" si="106"/>
        <v>22.3</v>
      </c>
      <c r="AV404">
        <f t="shared" si="121"/>
        <v>513.76526315789476</v>
      </c>
      <c r="AW404">
        <f t="shared" si="107"/>
        <v>87.5</v>
      </c>
      <c r="AX404" t="str">
        <f t="shared" si="119"/>
        <v>Dec-2022</v>
      </c>
      <c r="AY404">
        <f>ROUNDUP(Table2[[#This Row],[Month]]/3,0)</f>
        <v>4</v>
      </c>
    </row>
    <row r="405" spans="1:51" x14ac:dyDescent="0.2">
      <c r="A405">
        <v>404</v>
      </c>
      <c r="B405">
        <f t="shared" si="108"/>
        <v>9</v>
      </c>
      <c r="C405" s="22">
        <v>44899</v>
      </c>
      <c r="D405">
        <f>SUM(Table2[[#This Row],[Gray Min]:[Red Min]])</f>
        <v>57</v>
      </c>
      <c r="E405">
        <v>19</v>
      </c>
      <c r="F405">
        <v>628</v>
      </c>
      <c r="G405">
        <v>127</v>
      </c>
      <c r="H405">
        <v>165</v>
      </c>
      <c r="I405">
        <v>11</v>
      </c>
      <c r="J405">
        <v>11</v>
      </c>
      <c r="K405">
        <v>16</v>
      </c>
      <c r="L405">
        <v>15</v>
      </c>
      <c r="M405">
        <v>4</v>
      </c>
      <c r="N405" t="s">
        <v>91</v>
      </c>
      <c r="O405" t="s">
        <v>79</v>
      </c>
      <c r="P405" t="s">
        <v>100</v>
      </c>
      <c r="Q405">
        <f t="shared" si="120"/>
        <v>2</v>
      </c>
      <c r="R405" t="str">
        <f t="shared" si="109"/>
        <v>12-2022</v>
      </c>
      <c r="S405" t="s">
        <v>104</v>
      </c>
      <c r="T405" t="str">
        <f t="shared" si="110"/>
        <v>Sunday</v>
      </c>
      <c r="U405">
        <f t="shared" si="111"/>
        <v>1</v>
      </c>
      <c r="V405" s="24">
        <f>IFERROR(Table2[[#This Row],[Gray Min]]/Table2[[#This Row],[ClassLength]],"")</f>
        <v>0.19298245614035087</v>
      </c>
      <c r="W405" s="24">
        <f>IFERROR(Table2[[#This Row],[Blue Min]]/Table2[[#This Row],[ClassLength]],"")</f>
        <v>0.19298245614035087</v>
      </c>
      <c r="X405" s="24">
        <f>IFERROR(Table2[[#This Row],[Green Min]]/Table2[[#This Row],[ClassLength]],"")</f>
        <v>0.2807017543859649</v>
      </c>
      <c r="Y405" s="24">
        <f>IFERROR(Table2[[#This Row],[Orange Min]]/Table2[[#This Row],[ClassLength]],"")</f>
        <v>0.26315789473684209</v>
      </c>
      <c r="Z405" s="24">
        <f>IFERROR(Table2[[#This Row],[Red Min]]/Table2[[#This Row],[ClassLength]],"")</f>
        <v>7.0175438596491224E-2</v>
      </c>
      <c r="AA405" s="25">
        <v>232.14</v>
      </c>
      <c r="AB405" s="25">
        <f t="shared" si="122"/>
        <v>25.793333333333333</v>
      </c>
      <c r="AC405" s="26">
        <f t="shared" si="112"/>
        <v>625.66666666666663</v>
      </c>
      <c r="AD405" s="26">
        <f t="shared" si="113"/>
        <v>17</v>
      </c>
      <c r="AE405">
        <f t="shared" si="114"/>
        <v>2022</v>
      </c>
      <c r="AG405">
        <v>12</v>
      </c>
      <c r="AH405" s="26">
        <f t="shared" si="115"/>
        <v>11.017543859649123</v>
      </c>
      <c r="AI405" t="str">
        <f t="shared" si="116"/>
        <v>AM</v>
      </c>
      <c r="AJ405" t="str">
        <f t="shared" si="117"/>
        <v>12-2022-2</v>
      </c>
      <c r="AK405">
        <f t="shared" si="118"/>
        <v>12</v>
      </c>
      <c r="AL405" s="26">
        <f>IFERROR(Table2[[#This Row],[Calories]]/Table2[[#This Row],[Splat]],"")</f>
        <v>33.05263157894737</v>
      </c>
      <c r="AM405">
        <f>COUNTIF(N$2:$N$938,N405)</f>
        <v>218</v>
      </c>
      <c r="AN405" t="str">
        <f>VLOOKUP(N405,'Helpful Tables'!A:D,4,FALSE)</f>
        <v>Washington, DC</v>
      </c>
      <c r="AO405" s="24">
        <f>COUNTIF(AN:AN,Table2[[#This Row],[State]])/COUNTA(AN:AN)</f>
        <v>0.54904051172707891</v>
      </c>
      <c r="AP405">
        <f>VLOOKUP(N405,'Helpful Tables'!A:B,2,FALSE)</f>
        <v>38.934710000000003</v>
      </c>
      <c r="AQ405">
        <f>VLOOKUP(N405,'Helpful Tables'!A:C,3,FALSE)</f>
        <v>-77.058222999999998</v>
      </c>
      <c r="AR405">
        <f>COUNTIF(P$2:$P$938,P405)</f>
        <v>35</v>
      </c>
      <c r="AS405" cm="1">
        <f t="array" ref="AS405">_xlfn.IFS(E405&lt;6,((E405/D405)*60)*0.5,AND(E405&gt;=6,E405&lt;9),((E405/D405)*60)*0.75,AND(E405&gt;=9,E405&lt;=11),((E405/D405)*60)*0.9,AND(E405=12),((E405/D405)*60)*1,AND(E405&gt;=13,E405&lt;=15),((E405/D405)*60)*1.2,AND(E405&gt;=16,E405&lt;=19),((E405/D405)*60)*1.5,E405&gt;=20,((E405/D405)*60)*1.8)</f>
        <v>30</v>
      </c>
      <c r="AT405" cm="1">
        <f t="array" ref="AT405">_xlfn.IFS(F405&lt;550,((F405/D405)*60)*0.5,AND(F405&gt;=550,F405&lt;575),((F405/D405)*60)*0.75,AND(F405&gt;=575,F405&lt;600),((F405/D405)*60)*0.9,AND(F405=600),((F405/D405)*60)*1,AND(F405&gt;=601,F405&lt;=625),((F405/D405)*60)*1.2,AND(F405&gt;=626,F405&lt;=650),((F405/D405)*60)*1.5,F405&gt;=651,((F405/D405)*60)*1.8)</f>
        <v>991.57894736842104</v>
      </c>
      <c r="AU405">
        <f t="shared" si="106"/>
        <v>19.399999999999999</v>
      </c>
      <c r="AV405">
        <f t="shared" si="121"/>
        <v>412.51157894736843</v>
      </c>
      <c r="AW405">
        <f t="shared" si="107"/>
        <v>59.199999999999996</v>
      </c>
      <c r="AX405" t="str">
        <f t="shared" si="119"/>
        <v>Dec-2022</v>
      </c>
      <c r="AY405">
        <f>ROUNDUP(Table2[[#This Row],[Month]]/3,0)</f>
        <v>4</v>
      </c>
    </row>
    <row r="406" spans="1:51" x14ac:dyDescent="0.2">
      <c r="A406">
        <v>405</v>
      </c>
      <c r="B406">
        <f t="shared" si="108"/>
        <v>9</v>
      </c>
      <c r="C406" s="22">
        <v>44900</v>
      </c>
      <c r="D406">
        <f>SUM(Table2[[#This Row],[Gray Min]:[Red Min]])</f>
        <v>58</v>
      </c>
      <c r="E406">
        <v>15</v>
      </c>
      <c r="F406">
        <v>606</v>
      </c>
      <c r="G406">
        <v>123</v>
      </c>
      <c r="H406">
        <v>168</v>
      </c>
      <c r="I406">
        <v>12</v>
      </c>
      <c r="J406">
        <v>16</v>
      </c>
      <c r="K406">
        <v>15</v>
      </c>
      <c r="L406">
        <v>13</v>
      </c>
      <c r="M406">
        <v>2</v>
      </c>
      <c r="N406" t="s">
        <v>101</v>
      </c>
      <c r="O406" t="s">
        <v>50</v>
      </c>
      <c r="P406" t="s">
        <v>109</v>
      </c>
      <c r="Q406">
        <f t="shared" si="120"/>
        <v>1</v>
      </c>
      <c r="R406" t="str">
        <f t="shared" si="109"/>
        <v>12-2022</v>
      </c>
      <c r="S406" t="s">
        <v>104</v>
      </c>
      <c r="T406" t="str">
        <f t="shared" si="110"/>
        <v>Monday</v>
      </c>
      <c r="U406">
        <f t="shared" si="111"/>
        <v>1</v>
      </c>
      <c r="V406" s="24">
        <f>IFERROR(Table2[[#This Row],[Gray Min]]/Table2[[#This Row],[ClassLength]],"")</f>
        <v>0.20689655172413793</v>
      </c>
      <c r="W406" s="24">
        <f>IFERROR(Table2[[#This Row],[Blue Min]]/Table2[[#This Row],[ClassLength]],"")</f>
        <v>0.27586206896551724</v>
      </c>
      <c r="X406" s="24">
        <f>IFERROR(Table2[[#This Row],[Green Min]]/Table2[[#This Row],[ClassLength]],"")</f>
        <v>0.25862068965517243</v>
      </c>
      <c r="Y406" s="24">
        <f>IFERROR(Table2[[#This Row],[Orange Min]]/Table2[[#This Row],[ClassLength]],"")</f>
        <v>0.22413793103448276</v>
      </c>
      <c r="Z406" s="24">
        <f>IFERROR(Table2[[#This Row],[Red Min]]/Table2[[#This Row],[ClassLength]],"")</f>
        <v>3.4482758620689655E-2</v>
      </c>
      <c r="AA406" s="25">
        <v>232.14</v>
      </c>
      <c r="AB406" s="25">
        <f t="shared" si="122"/>
        <v>25.793333333333333</v>
      </c>
      <c r="AC406" s="26">
        <f t="shared" si="112"/>
        <v>625.66666666666663</v>
      </c>
      <c r="AD406" s="26">
        <f t="shared" si="113"/>
        <v>17</v>
      </c>
      <c r="AE406">
        <f t="shared" si="114"/>
        <v>2022</v>
      </c>
      <c r="AG406">
        <v>12</v>
      </c>
      <c r="AH406" s="26">
        <f t="shared" si="115"/>
        <v>10.448275862068966</v>
      </c>
      <c r="AI406" t="str">
        <f t="shared" si="116"/>
        <v>PM</v>
      </c>
      <c r="AJ406" t="str">
        <f t="shared" si="117"/>
        <v>12-2022-2</v>
      </c>
      <c r="AK406">
        <f t="shared" si="118"/>
        <v>12</v>
      </c>
      <c r="AL406" s="26">
        <f>IFERROR(Table2[[#This Row],[Calories]]/Table2[[#This Row],[Splat]],"")</f>
        <v>40.4</v>
      </c>
      <c r="AM406">
        <f>COUNTIF(N$2:$N$938,N406)</f>
        <v>191</v>
      </c>
      <c r="AN406" t="str">
        <f>VLOOKUP(N406,'Helpful Tables'!A:D,4,FALSE)</f>
        <v>Washington, DC</v>
      </c>
      <c r="AO406" s="24">
        <f>COUNTIF(AN:AN,Table2[[#This Row],[State]])/COUNTA(AN:AN)</f>
        <v>0.54904051172707891</v>
      </c>
      <c r="AP406">
        <f>VLOOKUP(N406,'Helpful Tables'!A:B,2,FALSE)</f>
        <v>38.949649000000001</v>
      </c>
      <c r="AQ406">
        <f>VLOOKUP(N406,'Helpful Tables'!A:C,3,FALSE)</f>
        <v>-77.080878999999996</v>
      </c>
      <c r="AR406">
        <f>COUNTIF(P$2:$P$938,P406)</f>
        <v>66</v>
      </c>
      <c r="AS406" cm="1">
        <f t="array" ref="AS406">_xlfn.IFS(E406&lt;6,((E406/D406)*60)*0.5,AND(E406&gt;=6,E406&lt;9),((E406/D406)*60)*0.75,AND(E406&gt;=9,E406&lt;=11),((E406/D406)*60)*0.9,AND(E406=12),((E406/D406)*60)*1,AND(E406&gt;=13,E406&lt;=15),((E406/D406)*60)*1.2,AND(E406&gt;=16,E406&lt;=19),((E406/D406)*60)*1.5,E406&gt;=20,((E406/D406)*60)*1.8)</f>
        <v>18.620689655172413</v>
      </c>
      <c r="AT406" cm="1">
        <f t="array" ref="AT406">_xlfn.IFS(F406&lt;550,((F406/D406)*60)*0.5,AND(F406&gt;=550,F406&lt;575),((F406/D406)*60)*0.75,AND(F406&gt;=575,F406&lt;600),((F406/D406)*60)*0.9,AND(F406=600),((F406/D406)*60)*1,AND(F406&gt;=601,F406&lt;=625),((F406/D406)*60)*1.2,AND(F406&gt;=626,F406&lt;=650),((F406/D406)*60)*1.5,F406&gt;=651,((F406/D406)*60)*1.8)</f>
        <v>752.27586206896558</v>
      </c>
      <c r="AU406">
        <f t="shared" si="106"/>
        <v>5.9000000000000021</v>
      </c>
      <c r="AV406">
        <f t="shared" si="121"/>
        <v>309.5386206896552</v>
      </c>
      <c r="AW406">
        <f t="shared" si="107"/>
        <v>31.4</v>
      </c>
      <c r="AX406" t="str">
        <f t="shared" si="119"/>
        <v>Dec-2022</v>
      </c>
      <c r="AY406">
        <f>ROUNDUP(Table2[[#This Row],[Month]]/3,0)</f>
        <v>4</v>
      </c>
    </row>
    <row r="407" spans="1:51" x14ac:dyDescent="0.2">
      <c r="A407">
        <v>406</v>
      </c>
      <c r="B407">
        <f t="shared" si="108"/>
        <v>9</v>
      </c>
      <c r="C407" s="22">
        <v>44902</v>
      </c>
      <c r="D407">
        <f>SUM(Table2[[#This Row],[Gray Min]:[Red Min]])</f>
        <v>54</v>
      </c>
      <c r="E407">
        <v>13</v>
      </c>
      <c r="F407">
        <v>604</v>
      </c>
      <c r="G407">
        <v>127</v>
      </c>
      <c r="H407">
        <v>165</v>
      </c>
      <c r="I407">
        <v>7</v>
      </c>
      <c r="J407">
        <v>13</v>
      </c>
      <c r="K407">
        <v>21</v>
      </c>
      <c r="L407">
        <v>11</v>
      </c>
      <c r="M407">
        <v>2</v>
      </c>
      <c r="N407" t="s">
        <v>91</v>
      </c>
      <c r="O407" t="s">
        <v>57</v>
      </c>
      <c r="P407" t="s">
        <v>96</v>
      </c>
      <c r="Q407">
        <f t="shared" si="120"/>
        <v>2</v>
      </c>
      <c r="R407" t="str">
        <f t="shared" si="109"/>
        <v>12-2022</v>
      </c>
      <c r="S407" t="s">
        <v>117</v>
      </c>
      <c r="T407" t="str">
        <f t="shared" si="110"/>
        <v>Wednesday</v>
      </c>
      <c r="U407">
        <f t="shared" si="111"/>
        <v>1</v>
      </c>
      <c r="V407" s="24">
        <f>IFERROR(Table2[[#This Row],[Gray Min]]/Table2[[#This Row],[ClassLength]],"")</f>
        <v>0.12962962962962962</v>
      </c>
      <c r="W407" s="24">
        <f>IFERROR(Table2[[#This Row],[Blue Min]]/Table2[[#This Row],[ClassLength]],"")</f>
        <v>0.24074074074074073</v>
      </c>
      <c r="X407" s="24">
        <f>IFERROR(Table2[[#This Row],[Green Min]]/Table2[[#This Row],[ClassLength]],"")</f>
        <v>0.3888888888888889</v>
      </c>
      <c r="Y407" s="24">
        <f>IFERROR(Table2[[#This Row],[Orange Min]]/Table2[[#This Row],[ClassLength]],"")</f>
        <v>0.20370370370370369</v>
      </c>
      <c r="Z407" s="24">
        <f>IFERROR(Table2[[#This Row],[Red Min]]/Table2[[#This Row],[ClassLength]],"")</f>
        <v>3.7037037037037035E-2</v>
      </c>
      <c r="AA407" s="25">
        <v>232.14</v>
      </c>
      <c r="AB407" s="25">
        <f t="shared" si="122"/>
        <v>25.793333333333333</v>
      </c>
      <c r="AC407" s="26">
        <f t="shared" si="112"/>
        <v>625.66666666666663</v>
      </c>
      <c r="AD407" s="26">
        <f t="shared" si="113"/>
        <v>17</v>
      </c>
      <c r="AE407">
        <f t="shared" si="114"/>
        <v>2022</v>
      </c>
      <c r="AG407">
        <v>12</v>
      </c>
      <c r="AH407" s="26">
        <f t="shared" si="115"/>
        <v>11.185185185185185</v>
      </c>
      <c r="AI407" t="str">
        <f t="shared" si="116"/>
        <v>PM</v>
      </c>
      <c r="AJ407" t="str">
        <f t="shared" si="117"/>
        <v>12-2022-2</v>
      </c>
      <c r="AK407">
        <f t="shared" si="118"/>
        <v>12</v>
      </c>
      <c r="AL407" s="26">
        <f>IFERROR(Table2[[#This Row],[Calories]]/Table2[[#This Row],[Splat]],"")</f>
        <v>46.46153846153846</v>
      </c>
      <c r="AM407">
        <f>COUNTIF(N$2:$N$938,N407)</f>
        <v>218</v>
      </c>
      <c r="AN407" t="str">
        <f>VLOOKUP(N407,'Helpful Tables'!A:D,4,FALSE)</f>
        <v>Washington, DC</v>
      </c>
      <c r="AO407" s="24">
        <f>COUNTIF(AN:AN,Table2[[#This Row],[State]])/COUNTA(AN:AN)</f>
        <v>0.54904051172707891</v>
      </c>
      <c r="AP407">
        <f>VLOOKUP(N407,'Helpful Tables'!A:B,2,FALSE)</f>
        <v>38.934710000000003</v>
      </c>
      <c r="AQ407">
        <f>VLOOKUP(N407,'Helpful Tables'!A:C,3,FALSE)</f>
        <v>-77.058222999999998</v>
      </c>
      <c r="AR407">
        <f>COUNTIF(P$2:$P$938,P407)</f>
        <v>71</v>
      </c>
      <c r="AS407" cm="1">
        <f t="array" ref="AS407">_xlfn.IFS(E407&lt;6,((E407/D407)*60)*0.5,AND(E407&gt;=6,E407&lt;9),((E407/D407)*60)*0.75,AND(E407&gt;=9,E407&lt;=11),((E407/D407)*60)*0.9,AND(E407=12),((E407/D407)*60)*1,AND(E407&gt;=13,E407&lt;=15),((E407/D407)*60)*1.2,AND(E407&gt;=16,E407&lt;=19),((E407/D407)*60)*1.5,E407&gt;=20,((E407/D407)*60)*1.8)</f>
        <v>17.333333333333332</v>
      </c>
      <c r="AT407" cm="1">
        <f t="array" ref="AT407">_xlfn.IFS(F407&lt;550,((F407/D407)*60)*0.5,AND(F407&gt;=550,F407&lt;575),((F407/D407)*60)*0.75,AND(F407&gt;=575,F407&lt;600),((F407/D407)*60)*0.9,AND(F407=600),((F407/D407)*60)*1,AND(F407&gt;=601,F407&lt;=625),((F407/D407)*60)*1.2,AND(F407&gt;=626,F407&lt;=650),((F407/D407)*60)*1.5,F407&gt;=651,((F407/D407)*60)*1.8)</f>
        <v>805.33333333333326</v>
      </c>
      <c r="AU407">
        <f t="shared" si="106"/>
        <v>19.799999999999997</v>
      </c>
      <c r="AV407">
        <f t="shared" si="121"/>
        <v>333.02666666666664</v>
      </c>
      <c r="AW407">
        <f t="shared" si="107"/>
        <v>41.199999999999996</v>
      </c>
      <c r="AX407" t="str">
        <f t="shared" si="119"/>
        <v>Dec-2022</v>
      </c>
      <c r="AY407">
        <f>ROUNDUP(Table2[[#This Row],[Month]]/3,0)</f>
        <v>4</v>
      </c>
    </row>
    <row r="408" spans="1:51" x14ac:dyDescent="0.2">
      <c r="A408">
        <v>407</v>
      </c>
      <c r="B408">
        <f t="shared" si="108"/>
        <v>9</v>
      </c>
      <c r="C408" s="22">
        <v>44904</v>
      </c>
      <c r="D408">
        <f>SUM(Table2[[#This Row],[Gray Min]:[Red Min]])</f>
        <v>56</v>
      </c>
      <c r="E408">
        <v>16</v>
      </c>
      <c r="F408">
        <v>632</v>
      </c>
      <c r="G408">
        <v>128</v>
      </c>
      <c r="H408">
        <v>167</v>
      </c>
      <c r="I408">
        <v>7</v>
      </c>
      <c r="J408">
        <v>14</v>
      </c>
      <c r="K408">
        <v>19</v>
      </c>
      <c r="L408">
        <v>11</v>
      </c>
      <c r="M408">
        <v>5</v>
      </c>
      <c r="N408" t="s">
        <v>101</v>
      </c>
      <c r="O408" t="s">
        <v>107</v>
      </c>
      <c r="P408" t="s">
        <v>155</v>
      </c>
      <c r="Q408">
        <f t="shared" si="120"/>
        <v>2</v>
      </c>
      <c r="R408" t="str">
        <f t="shared" si="109"/>
        <v>12-2022</v>
      </c>
      <c r="S408" t="s">
        <v>104</v>
      </c>
      <c r="T408" t="str">
        <f t="shared" si="110"/>
        <v>Friday</v>
      </c>
      <c r="U408">
        <f t="shared" si="111"/>
        <v>1</v>
      </c>
      <c r="V408" s="24">
        <f>IFERROR(Table2[[#This Row],[Gray Min]]/Table2[[#This Row],[ClassLength]],"")</f>
        <v>0.125</v>
      </c>
      <c r="W408" s="24">
        <f>IFERROR(Table2[[#This Row],[Blue Min]]/Table2[[#This Row],[ClassLength]],"")</f>
        <v>0.25</v>
      </c>
      <c r="X408" s="24">
        <f>IFERROR(Table2[[#This Row],[Green Min]]/Table2[[#This Row],[ClassLength]],"")</f>
        <v>0.3392857142857143</v>
      </c>
      <c r="Y408" s="24">
        <f>IFERROR(Table2[[#This Row],[Orange Min]]/Table2[[#This Row],[ClassLength]],"")</f>
        <v>0.19642857142857142</v>
      </c>
      <c r="Z408" s="24">
        <f>IFERROR(Table2[[#This Row],[Red Min]]/Table2[[#This Row],[ClassLength]],"")</f>
        <v>8.9285714285714288E-2</v>
      </c>
      <c r="AA408" s="25">
        <v>232.14</v>
      </c>
      <c r="AB408" s="25">
        <f t="shared" si="122"/>
        <v>25.793333333333333</v>
      </c>
      <c r="AC408" s="26">
        <f t="shared" si="112"/>
        <v>625.66666666666663</v>
      </c>
      <c r="AD408" s="26">
        <f t="shared" si="113"/>
        <v>17</v>
      </c>
      <c r="AE408">
        <f t="shared" si="114"/>
        <v>2022</v>
      </c>
      <c r="AG408">
        <v>12</v>
      </c>
      <c r="AH408" s="26">
        <f t="shared" si="115"/>
        <v>11.285714285714286</v>
      </c>
      <c r="AI408" t="str">
        <f t="shared" si="116"/>
        <v>AM</v>
      </c>
      <c r="AJ408" t="str">
        <f t="shared" si="117"/>
        <v>12-2022-2</v>
      </c>
      <c r="AK408">
        <f t="shared" si="118"/>
        <v>12</v>
      </c>
      <c r="AL408" s="26">
        <f>IFERROR(Table2[[#This Row],[Calories]]/Table2[[#This Row],[Splat]],"")</f>
        <v>39.5</v>
      </c>
      <c r="AM408">
        <f>COUNTIF(N$2:$N$938,N408)</f>
        <v>191</v>
      </c>
      <c r="AN408" t="str">
        <f>VLOOKUP(N408,'Helpful Tables'!A:D,4,FALSE)</f>
        <v>Washington, DC</v>
      </c>
      <c r="AO408" s="24">
        <f>COUNTIF(AN:AN,Table2[[#This Row],[State]])/COUNTA(AN:AN)</f>
        <v>0.54904051172707891</v>
      </c>
      <c r="AP408">
        <f>VLOOKUP(N408,'Helpful Tables'!A:B,2,FALSE)</f>
        <v>38.949649000000001</v>
      </c>
      <c r="AQ408">
        <f>VLOOKUP(N408,'Helpful Tables'!A:C,3,FALSE)</f>
        <v>-77.080878999999996</v>
      </c>
      <c r="AR408">
        <f>COUNTIF(P$2:$P$938,P408)</f>
        <v>13</v>
      </c>
      <c r="AS408" cm="1">
        <f t="array" ref="AS408">_xlfn.IFS(E408&lt;6,((E408/D408)*60)*0.5,AND(E408&gt;=6,E408&lt;9),((E408/D408)*60)*0.75,AND(E408&gt;=9,E408&lt;=11),((E408/D408)*60)*0.9,AND(E408=12),((E408/D408)*60)*1,AND(E408&gt;=13,E408&lt;=15),((E408/D408)*60)*1.2,AND(E408&gt;=16,E408&lt;=19),((E408/D408)*60)*1.5,E408&gt;=20,((E408/D408)*60)*1.8)</f>
        <v>25.714285714285715</v>
      </c>
      <c r="AT408" cm="1">
        <f t="array" ref="AT408">_xlfn.IFS(F408&lt;550,((F408/D408)*60)*0.5,AND(F408&gt;=550,F408&lt;575),((F408/D408)*60)*0.75,AND(F408&gt;=575,F408&lt;600),((F408/D408)*60)*0.9,AND(F408=600),((F408/D408)*60)*1,AND(F408&gt;=601,F408&lt;=625),((F408/D408)*60)*1.2,AND(F408&gt;=626,F408&lt;=650),((F408/D408)*60)*1.5,F408&gt;=651,((F408/D408)*60)*1.8)</f>
        <v>1015.7142857142858</v>
      </c>
      <c r="AU408">
        <f t="shared" si="106"/>
        <v>20.799999999999997</v>
      </c>
      <c r="AV408">
        <f t="shared" si="121"/>
        <v>420.73142857142864</v>
      </c>
      <c r="AW408">
        <f t="shared" si="107"/>
        <v>61.9</v>
      </c>
      <c r="AX408" t="str">
        <f t="shared" si="119"/>
        <v>Dec-2022</v>
      </c>
      <c r="AY408">
        <f>ROUNDUP(Table2[[#This Row],[Month]]/3,0)</f>
        <v>4</v>
      </c>
    </row>
    <row r="409" spans="1:51" x14ac:dyDescent="0.2">
      <c r="A409">
        <v>408</v>
      </c>
      <c r="B409">
        <f t="shared" si="108"/>
        <v>9</v>
      </c>
      <c r="C409" s="22">
        <v>44906</v>
      </c>
      <c r="D409">
        <f>SUM(Table2[[#This Row],[Gray Min]:[Red Min]])</f>
        <v>59</v>
      </c>
      <c r="E409">
        <v>14</v>
      </c>
      <c r="F409">
        <v>609</v>
      </c>
      <c r="G409">
        <v>121</v>
      </c>
      <c r="H409">
        <v>163</v>
      </c>
      <c r="I409">
        <v>18</v>
      </c>
      <c r="J409">
        <v>11</v>
      </c>
      <c r="K409">
        <v>16</v>
      </c>
      <c r="L409">
        <v>12</v>
      </c>
      <c r="M409">
        <v>2</v>
      </c>
      <c r="N409" t="s">
        <v>91</v>
      </c>
      <c r="O409" t="s">
        <v>79</v>
      </c>
      <c r="P409" t="s">
        <v>100</v>
      </c>
      <c r="Q409">
        <f t="shared" si="120"/>
        <v>2</v>
      </c>
      <c r="R409" t="str">
        <f t="shared" si="109"/>
        <v>12-2022</v>
      </c>
      <c r="S409" t="s">
        <v>104</v>
      </c>
      <c r="T409" t="str">
        <f t="shared" si="110"/>
        <v>Sunday</v>
      </c>
      <c r="U409">
        <f t="shared" si="111"/>
        <v>1</v>
      </c>
      <c r="V409" s="24">
        <f>IFERROR(Table2[[#This Row],[Gray Min]]/Table2[[#This Row],[ClassLength]],"")</f>
        <v>0.30508474576271188</v>
      </c>
      <c r="W409" s="24">
        <f>IFERROR(Table2[[#This Row],[Blue Min]]/Table2[[#This Row],[ClassLength]],"")</f>
        <v>0.1864406779661017</v>
      </c>
      <c r="X409" s="24">
        <f>IFERROR(Table2[[#This Row],[Green Min]]/Table2[[#This Row],[ClassLength]],"")</f>
        <v>0.2711864406779661</v>
      </c>
      <c r="Y409" s="24">
        <f>IFERROR(Table2[[#This Row],[Orange Min]]/Table2[[#This Row],[ClassLength]],"")</f>
        <v>0.20338983050847459</v>
      </c>
      <c r="Z409" s="24">
        <f>IFERROR(Table2[[#This Row],[Red Min]]/Table2[[#This Row],[ClassLength]],"")</f>
        <v>3.3898305084745763E-2</v>
      </c>
      <c r="AA409" s="25">
        <v>232.14</v>
      </c>
      <c r="AB409" s="25">
        <f t="shared" si="122"/>
        <v>25.793333333333333</v>
      </c>
      <c r="AC409" s="26">
        <f t="shared" si="112"/>
        <v>625.66666666666663</v>
      </c>
      <c r="AD409" s="26">
        <f t="shared" si="113"/>
        <v>17</v>
      </c>
      <c r="AE409">
        <f t="shared" si="114"/>
        <v>2022</v>
      </c>
      <c r="AG409">
        <v>12</v>
      </c>
      <c r="AH409" s="26">
        <f t="shared" si="115"/>
        <v>10.322033898305085</v>
      </c>
      <c r="AI409" t="str">
        <f t="shared" si="116"/>
        <v>AM</v>
      </c>
      <c r="AJ409" t="str">
        <f t="shared" si="117"/>
        <v>12-2022-3</v>
      </c>
      <c r="AK409">
        <f t="shared" si="118"/>
        <v>12</v>
      </c>
      <c r="AL409" s="26">
        <f>IFERROR(Table2[[#This Row],[Calories]]/Table2[[#This Row],[Splat]],"")</f>
        <v>43.5</v>
      </c>
      <c r="AM409">
        <f>COUNTIF(N$2:$N$938,N409)</f>
        <v>218</v>
      </c>
      <c r="AN409" t="str">
        <f>VLOOKUP(N409,'Helpful Tables'!A:D,4,FALSE)</f>
        <v>Washington, DC</v>
      </c>
      <c r="AO409" s="24">
        <f>COUNTIF(AN:AN,Table2[[#This Row],[State]])/COUNTA(AN:AN)</f>
        <v>0.54904051172707891</v>
      </c>
      <c r="AP409">
        <f>VLOOKUP(N409,'Helpful Tables'!A:B,2,FALSE)</f>
        <v>38.934710000000003</v>
      </c>
      <c r="AQ409">
        <f>VLOOKUP(N409,'Helpful Tables'!A:C,3,FALSE)</f>
        <v>-77.058222999999998</v>
      </c>
      <c r="AR409">
        <f>COUNTIF(P$2:$P$938,P409)</f>
        <v>35</v>
      </c>
      <c r="AS409" cm="1">
        <f t="array" ref="AS409">_xlfn.IFS(E409&lt;6,((E409/D409)*60)*0.5,AND(E409&gt;=6,E409&lt;9),((E409/D409)*60)*0.75,AND(E409&gt;=9,E409&lt;=11),((E409/D409)*60)*0.9,AND(E409=12),((E409/D409)*60)*1,AND(E409&gt;=13,E409&lt;=15),((E409/D409)*60)*1.2,AND(E409&gt;=16,E409&lt;=19),((E409/D409)*60)*1.5,E409&gt;=20,((E409/D409)*60)*1.8)</f>
        <v>17.084745762711865</v>
      </c>
      <c r="AT409" cm="1">
        <f t="array" ref="AT409">_xlfn.IFS(F409&lt;550,((F409/D409)*60)*0.5,AND(F409&gt;=550,F409&lt;575),((F409/D409)*60)*0.75,AND(F409&gt;=575,F409&lt;600),((F409/D409)*60)*0.9,AND(F409=600),((F409/D409)*60)*1,AND(F409&gt;=601,F409&lt;=625),((F409/D409)*60)*1.2,AND(F409&gt;=626,F409&lt;=650),((F409/D409)*60)*1.5,F409&gt;=651,((F409/D409)*60)*1.8)</f>
        <v>743.18644067796606</v>
      </c>
      <c r="AU409">
        <f t="shared" si="106"/>
        <v>4.0999999999999979</v>
      </c>
      <c r="AV409">
        <f t="shared" si="121"/>
        <v>304.92847457627119</v>
      </c>
      <c r="AW409">
        <f t="shared" si="107"/>
        <v>28.999999999999996</v>
      </c>
      <c r="AX409" t="str">
        <f t="shared" si="119"/>
        <v>Dec-2022</v>
      </c>
      <c r="AY409">
        <f>ROUNDUP(Table2[[#This Row],[Month]]/3,0)</f>
        <v>4</v>
      </c>
    </row>
    <row r="410" spans="1:51" x14ac:dyDescent="0.2">
      <c r="A410">
        <v>409</v>
      </c>
      <c r="B410">
        <f t="shared" si="108"/>
        <v>9</v>
      </c>
      <c r="C410" s="22">
        <v>44908</v>
      </c>
      <c r="D410">
        <f>SUM(Table2[[#This Row],[Gray Min]:[Red Min]])</f>
        <v>57</v>
      </c>
      <c r="E410">
        <v>14</v>
      </c>
      <c r="F410">
        <v>613</v>
      </c>
      <c r="G410">
        <v>125</v>
      </c>
      <c r="H410">
        <v>162</v>
      </c>
      <c r="I410">
        <v>9</v>
      </c>
      <c r="J410">
        <v>17</v>
      </c>
      <c r="K410">
        <v>17</v>
      </c>
      <c r="L410">
        <v>12</v>
      </c>
      <c r="M410">
        <v>2</v>
      </c>
      <c r="N410" t="s">
        <v>91</v>
      </c>
      <c r="O410" t="s">
        <v>57</v>
      </c>
      <c r="P410" t="s">
        <v>98</v>
      </c>
      <c r="Q410">
        <f t="shared" si="120"/>
        <v>2</v>
      </c>
      <c r="R410" t="str">
        <f t="shared" si="109"/>
        <v>12-2022</v>
      </c>
      <c r="S410" t="s">
        <v>117</v>
      </c>
      <c r="T410" t="str">
        <f t="shared" si="110"/>
        <v>Tuesday</v>
      </c>
      <c r="U410">
        <f t="shared" si="111"/>
        <v>1</v>
      </c>
      <c r="V410" s="24">
        <f>IFERROR(Table2[[#This Row],[Gray Min]]/Table2[[#This Row],[ClassLength]],"")</f>
        <v>0.15789473684210525</v>
      </c>
      <c r="W410" s="24">
        <f>IFERROR(Table2[[#This Row],[Blue Min]]/Table2[[#This Row],[ClassLength]],"")</f>
        <v>0.2982456140350877</v>
      </c>
      <c r="X410" s="24">
        <f>IFERROR(Table2[[#This Row],[Green Min]]/Table2[[#This Row],[ClassLength]],"")</f>
        <v>0.2982456140350877</v>
      </c>
      <c r="Y410" s="24">
        <f>IFERROR(Table2[[#This Row],[Orange Min]]/Table2[[#This Row],[ClassLength]],"")</f>
        <v>0.21052631578947367</v>
      </c>
      <c r="Z410" s="24">
        <f>IFERROR(Table2[[#This Row],[Red Min]]/Table2[[#This Row],[ClassLength]],"")</f>
        <v>3.5087719298245612E-2</v>
      </c>
      <c r="AA410" s="25">
        <v>232.14</v>
      </c>
      <c r="AB410" s="25">
        <f t="shared" si="122"/>
        <v>25.793333333333333</v>
      </c>
      <c r="AC410" s="26">
        <f t="shared" si="112"/>
        <v>625.66666666666663</v>
      </c>
      <c r="AD410" s="26">
        <f t="shared" si="113"/>
        <v>17</v>
      </c>
      <c r="AE410">
        <f t="shared" si="114"/>
        <v>2022</v>
      </c>
      <c r="AG410">
        <v>12</v>
      </c>
      <c r="AH410" s="26">
        <f t="shared" si="115"/>
        <v>10.754385964912281</v>
      </c>
      <c r="AI410" t="str">
        <f t="shared" si="116"/>
        <v>PM</v>
      </c>
      <c r="AJ410" t="str">
        <f t="shared" si="117"/>
        <v>12-2022-3</v>
      </c>
      <c r="AK410">
        <f t="shared" si="118"/>
        <v>12</v>
      </c>
      <c r="AL410" s="26">
        <f>IFERROR(Table2[[#This Row],[Calories]]/Table2[[#This Row],[Splat]],"")</f>
        <v>43.785714285714285</v>
      </c>
      <c r="AM410">
        <f>COUNTIF(N$2:$N$938,N410)</f>
        <v>218</v>
      </c>
      <c r="AN410" t="str">
        <f>VLOOKUP(N410,'Helpful Tables'!A:D,4,FALSE)</f>
        <v>Washington, DC</v>
      </c>
      <c r="AO410" s="24">
        <f>COUNTIF(AN:AN,Table2[[#This Row],[State]])/COUNTA(AN:AN)</f>
        <v>0.54904051172707891</v>
      </c>
      <c r="AP410">
        <f>VLOOKUP(N410,'Helpful Tables'!A:B,2,FALSE)</f>
        <v>38.934710000000003</v>
      </c>
      <c r="AQ410">
        <f>VLOOKUP(N410,'Helpful Tables'!A:C,3,FALSE)</f>
        <v>-77.058222999999998</v>
      </c>
      <c r="AR410">
        <f>COUNTIF(P$2:$P$938,P410)</f>
        <v>28</v>
      </c>
      <c r="AS410" cm="1">
        <f t="array" ref="AS410">_xlfn.IFS(E410&lt;6,((E410/D410)*60)*0.5,AND(E410&gt;=6,E410&lt;9),((E410/D410)*60)*0.75,AND(E410&gt;=9,E410&lt;=11),((E410/D410)*60)*0.9,AND(E410=12),((E410/D410)*60)*1,AND(E410&gt;=13,E410&lt;=15),((E410/D410)*60)*1.2,AND(E410&gt;=16,E410&lt;=19),((E410/D410)*60)*1.5,E410&gt;=20,((E410/D410)*60)*1.8)</f>
        <v>17.684210526315788</v>
      </c>
      <c r="AT410" cm="1">
        <f t="array" ref="AT410">_xlfn.IFS(F410&lt;550,((F410/D410)*60)*0.5,AND(F410&gt;=550,F410&lt;575),((F410/D410)*60)*0.75,AND(F410&gt;=575,F410&lt;600),((F410/D410)*60)*0.9,AND(F410=600),((F410/D410)*60)*1,AND(F410&gt;=601,F410&lt;=625),((F410/D410)*60)*1.2,AND(F410&gt;=626,F410&lt;=650),((F410/D410)*60)*1.5,F410&gt;=651,((F410/D410)*60)*1.8)</f>
        <v>774.31578947368428</v>
      </c>
      <c r="AU410">
        <f t="shared" si="106"/>
        <v>9.5</v>
      </c>
      <c r="AV410">
        <f t="shared" si="121"/>
        <v>318.70000000000005</v>
      </c>
      <c r="AW410">
        <f t="shared" si="107"/>
        <v>36.4</v>
      </c>
      <c r="AX410" t="str">
        <f t="shared" si="119"/>
        <v>Dec-2022</v>
      </c>
      <c r="AY410">
        <f>ROUNDUP(Table2[[#This Row],[Month]]/3,0)</f>
        <v>4</v>
      </c>
    </row>
    <row r="411" spans="1:51" x14ac:dyDescent="0.2">
      <c r="A411">
        <v>410</v>
      </c>
      <c r="B411">
        <f t="shared" si="108"/>
        <v>9</v>
      </c>
      <c r="C411" s="22">
        <v>44911</v>
      </c>
      <c r="D411">
        <f>SUM(Table2[[#This Row],[Gray Min]:[Red Min]])</f>
        <v>61</v>
      </c>
      <c r="E411">
        <v>25</v>
      </c>
      <c r="F411">
        <v>676</v>
      </c>
      <c r="G411">
        <v>128</v>
      </c>
      <c r="H411">
        <v>168</v>
      </c>
      <c r="I411">
        <v>8</v>
      </c>
      <c r="J411">
        <v>21</v>
      </c>
      <c r="K411">
        <v>7</v>
      </c>
      <c r="L411">
        <v>21</v>
      </c>
      <c r="M411">
        <v>4</v>
      </c>
      <c r="N411" t="s">
        <v>91</v>
      </c>
      <c r="O411" t="s">
        <v>89</v>
      </c>
      <c r="P411" t="s">
        <v>148</v>
      </c>
      <c r="Q411">
        <f t="shared" si="120"/>
        <v>3</v>
      </c>
      <c r="R411" t="str">
        <f t="shared" si="109"/>
        <v>12-2022</v>
      </c>
      <c r="S411" t="s">
        <v>104</v>
      </c>
      <c r="T411" t="str">
        <f t="shared" si="110"/>
        <v>Friday</v>
      </c>
      <c r="U411">
        <f t="shared" si="111"/>
        <v>1</v>
      </c>
      <c r="V411" s="24">
        <f>IFERROR(Table2[[#This Row],[Gray Min]]/Table2[[#This Row],[ClassLength]],"")</f>
        <v>0.13114754098360656</v>
      </c>
      <c r="W411" s="24">
        <f>IFERROR(Table2[[#This Row],[Blue Min]]/Table2[[#This Row],[ClassLength]],"")</f>
        <v>0.34426229508196721</v>
      </c>
      <c r="X411" s="24">
        <f>IFERROR(Table2[[#This Row],[Green Min]]/Table2[[#This Row],[ClassLength]],"")</f>
        <v>0.11475409836065574</v>
      </c>
      <c r="Y411" s="24">
        <f>IFERROR(Table2[[#This Row],[Orange Min]]/Table2[[#This Row],[ClassLength]],"")</f>
        <v>0.34426229508196721</v>
      </c>
      <c r="Z411" s="24">
        <f>IFERROR(Table2[[#This Row],[Red Min]]/Table2[[#This Row],[ClassLength]],"")</f>
        <v>6.5573770491803282E-2</v>
      </c>
      <c r="AA411" s="25">
        <v>232.14</v>
      </c>
      <c r="AB411" s="25">
        <f t="shared" si="122"/>
        <v>25.793333333333333</v>
      </c>
      <c r="AC411" s="26">
        <f t="shared" si="112"/>
        <v>625.66666666666663</v>
      </c>
      <c r="AD411" s="26">
        <f t="shared" si="113"/>
        <v>17</v>
      </c>
      <c r="AE411">
        <f t="shared" si="114"/>
        <v>2022</v>
      </c>
      <c r="AG411">
        <v>12</v>
      </c>
      <c r="AH411" s="26">
        <f t="shared" si="115"/>
        <v>11.081967213114755</v>
      </c>
      <c r="AI411" t="str">
        <f t="shared" si="116"/>
        <v>AM</v>
      </c>
      <c r="AJ411" t="str">
        <f t="shared" si="117"/>
        <v>12-2022-3</v>
      </c>
      <c r="AK411">
        <f t="shared" si="118"/>
        <v>12</v>
      </c>
      <c r="AL411" s="26">
        <f>IFERROR(Table2[[#This Row],[Calories]]/Table2[[#This Row],[Splat]],"")</f>
        <v>27.04</v>
      </c>
      <c r="AM411">
        <f>COUNTIF(N$2:$N$938,N411)</f>
        <v>218</v>
      </c>
      <c r="AN411" t="str">
        <f>VLOOKUP(N411,'Helpful Tables'!A:D,4,FALSE)</f>
        <v>Washington, DC</v>
      </c>
      <c r="AO411" s="24">
        <f>COUNTIF(AN:AN,Table2[[#This Row],[State]])/COUNTA(AN:AN)</f>
        <v>0.54904051172707891</v>
      </c>
      <c r="AP411">
        <f>VLOOKUP(N411,'Helpful Tables'!A:B,2,FALSE)</f>
        <v>38.934710000000003</v>
      </c>
      <c r="AQ411">
        <f>VLOOKUP(N411,'Helpful Tables'!A:C,3,FALSE)</f>
        <v>-77.058222999999998</v>
      </c>
      <c r="AR411">
        <f>COUNTIF(P$2:$P$938,P411)</f>
        <v>14</v>
      </c>
      <c r="AS411" cm="1">
        <f t="array" ref="AS411">_xlfn.IFS(E411&lt;6,((E411/D411)*60)*0.5,AND(E411&gt;=6,E411&lt;9),((E411/D411)*60)*0.75,AND(E411&gt;=9,E411&lt;=11),((E411/D411)*60)*0.9,AND(E411=12),((E411/D411)*60)*1,AND(E411&gt;=13,E411&lt;=15),((E411/D411)*60)*1.2,AND(E411&gt;=16,E411&lt;=19),((E411/D411)*60)*1.5,E411&gt;=20,((E411/D411)*60)*1.8)</f>
        <v>44.262295081967217</v>
      </c>
      <c r="AT411" cm="1">
        <f t="array" ref="AT411">_xlfn.IFS(F411&lt;550,((F411/D411)*60)*0.5,AND(F411&gt;=550,F411&lt;575),((F411/D411)*60)*0.75,AND(F411&gt;=575,F411&lt;600),((F411/D411)*60)*0.9,AND(F411=600),((F411/D411)*60)*1,AND(F411&gt;=601,F411&lt;=625),((F411/D411)*60)*1.2,AND(F411&gt;=626,F411&lt;=650),((F411/D411)*60)*1.5,F411&gt;=651,((F411/D411)*60)*1.8)</f>
        <v>1196.8524590163936</v>
      </c>
      <c r="AU411">
        <f t="shared" si="106"/>
        <v>8.9999999999999964</v>
      </c>
      <c r="AV411">
        <f t="shared" si="121"/>
        <v>498.24590163934437</v>
      </c>
      <c r="AW411">
        <f t="shared" si="107"/>
        <v>78.100000000000009</v>
      </c>
      <c r="AX411" t="str">
        <f t="shared" si="119"/>
        <v>Dec-2022</v>
      </c>
      <c r="AY411">
        <f>ROUNDUP(Table2[[#This Row],[Month]]/3,0)</f>
        <v>4</v>
      </c>
    </row>
    <row r="412" spans="1:51" x14ac:dyDescent="0.2">
      <c r="A412">
        <v>411</v>
      </c>
      <c r="B412">
        <f t="shared" si="108"/>
        <v>9</v>
      </c>
      <c r="C412" s="22">
        <v>44912</v>
      </c>
      <c r="D412">
        <f>SUM(Table2[[#This Row],[Gray Min]:[Red Min]])</f>
        <v>55</v>
      </c>
      <c r="E412">
        <v>16</v>
      </c>
      <c r="F412">
        <v>612</v>
      </c>
      <c r="G412">
        <v>127</v>
      </c>
      <c r="H412">
        <v>164</v>
      </c>
      <c r="I412">
        <v>8</v>
      </c>
      <c r="J412">
        <v>16</v>
      </c>
      <c r="K412">
        <v>15</v>
      </c>
      <c r="L412">
        <v>13</v>
      </c>
      <c r="M412">
        <v>3</v>
      </c>
      <c r="N412" t="s">
        <v>101</v>
      </c>
      <c r="O412" t="s">
        <v>45</v>
      </c>
      <c r="P412" t="s">
        <v>109</v>
      </c>
      <c r="Q412">
        <f t="shared" si="120"/>
        <v>1</v>
      </c>
      <c r="R412" t="str">
        <f t="shared" si="109"/>
        <v>12-2022</v>
      </c>
      <c r="S412" t="s">
        <v>104</v>
      </c>
      <c r="T412" t="str">
        <f t="shared" si="110"/>
        <v>Saturday</v>
      </c>
      <c r="U412">
        <f t="shared" si="111"/>
        <v>1</v>
      </c>
      <c r="V412" s="24">
        <f>IFERROR(Table2[[#This Row],[Gray Min]]/Table2[[#This Row],[ClassLength]],"")</f>
        <v>0.14545454545454545</v>
      </c>
      <c r="W412" s="24">
        <f>IFERROR(Table2[[#This Row],[Blue Min]]/Table2[[#This Row],[ClassLength]],"")</f>
        <v>0.29090909090909089</v>
      </c>
      <c r="X412" s="24">
        <f>IFERROR(Table2[[#This Row],[Green Min]]/Table2[[#This Row],[ClassLength]],"")</f>
        <v>0.27272727272727271</v>
      </c>
      <c r="Y412" s="24">
        <f>IFERROR(Table2[[#This Row],[Orange Min]]/Table2[[#This Row],[ClassLength]],"")</f>
        <v>0.23636363636363636</v>
      </c>
      <c r="Z412" s="24">
        <f>IFERROR(Table2[[#This Row],[Red Min]]/Table2[[#This Row],[ClassLength]],"")</f>
        <v>5.4545454545454543E-2</v>
      </c>
      <c r="AA412" s="25">
        <v>232.14</v>
      </c>
      <c r="AB412" s="25">
        <f t="shared" si="122"/>
        <v>25.793333333333333</v>
      </c>
      <c r="AC412" s="26">
        <f t="shared" si="112"/>
        <v>625.66666666666663</v>
      </c>
      <c r="AD412" s="26">
        <f t="shared" si="113"/>
        <v>17</v>
      </c>
      <c r="AE412">
        <f t="shared" si="114"/>
        <v>2022</v>
      </c>
      <c r="AG412">
        <v>12</v>
      </c>
      <c r="AH412" s="26">
        <f t="shared" si="115"/>
        <v>11.127272727272727</v>
      </c>
      <c r="AI412" t="str">
        <f t="shared" si="116"/>
        <v>AM</v>
      </c>
      <c r="AJ412" t="str">
        <f t="shared" si="117"/>
        <v>12-2022-3</v>
      </c>
      <c r="AK412">
        <f t="shared" si="118"/>
        <v>12</v>
      </c>
      <c r="AL412" s="26">
        <f>IFERROR(Table2[[#This Row],[Calories]]/Table2[[#This Row],[Splat]],"")</f>
        <v>38.25</v>
      </c>
      <c r="AM412">
        <f>COUNTIF(N$2:$N$938,N412)</f>
        <v>191</v>
      </c>
      <c r="AN412" t="str">
        <f>VLOOKUP(N412,'Helpful Tables'!A:D,4,FALSE)</f>
        <v>Washington, DC</v>
      </c>
      <c r="AO412" s="24">
        <f>COUNTIF(AN:AN,Table2[[#This Row],[State]])/COUNTA(AN:AN)</f>
        <v>0.54904051172707891</v>
      </c>
      <c r="AP412">
        <f>VLOOKUP(N412,'Helpful Tables'!A:B,2,FALSE)</f>
        <v>38.949649000000001</v>
      </c>
      <c r="AQ412">
        <f>VLOOKUP(N412,'Helpful Tables'!A:C,3,FALSE)</f>
        <v>-77.080878999999996</v>
      </c>
      <c r="AR412">
        <f>COUNTIF(P$2:$P$938,P412)</f>
        <v>66</v>
      </c>
      <c r="AS412" cm="1">
        <f t="array" ref="AS412">_xlfn.IFS(E412&lt;6,((E412/D412)*60)*0.5,AND(E412&gt;=6,E412&lt;9),((E412/D412)*60)*0.75,AND(E412&gt;=9,E412&lt;=11),((E412/D412)*60)*0.9,AND(E412=12),((E412/D412)*60)*1,AND(E412&gt;=13,E412&lt;=15),((E412/D412)*60)*1.2,AND(E412&gt;=16,E412&lt;=19),((E412/D412)*60)*1.5,E412&gt;=20,((E412/D412)*60)*1.8)</f>
        <v>26.18181818181818</v>
      </c>
      <c r="AT412" cm="1">
        <f t="array" ref="AT412">_xlfn.IFS(F412&lt;550,((F412/D412)*60)*0.5,AND(F412&gt;=550,F412&lt;575),((F412/D412)*60)*0.75,AND(F412&gt;=575,F412&lt;600),((F412/D412)*60)*0.9,AND(F412=600),((F412/D412)*60)*1,AND(F412&gt;=601,F412&lt;=625),((F412/D412)*60)*1.2,AND(F412&gt;=626,F412&lt;=650),((F412/D412)*60)*1.5,F412&gt;=651,((F412/D412)*60)*1.8)</f>
        <v>801.16363636363633</v>
      </c>
      <c r="AU412">
        <f t="shared" si="106"/>
        <v>12.2</v>
      </c>
      <c r="AV412">
        <f t="shared" si="121"/>
        <v>333.37818181818187</v>
      </c>
      <c r="AW412">
        <f t="shared" si="107"/>
        <v>41.3</v>
      </c>
      <c r="AX412" t="str">
        <f t="shared" si="119"/>
        <v>Dec-2022</v>
      </c>
      <c r="AY412">
        <f>ROUNDUP(Table2[[#This Row],[Month]]/3,0)</f>
        <v>4</v>
      </c>
    </row>
    <row r="413" spans="1:51" x14ac:dyDescent="0.2">
      <c r="A413">
        <v>412</v>
      </c>
      <c r="B413">
        <f t="shared" si="108"/>
        <v>16</v>
      </c>
      <c r="C413" s="22">
        <v>44927</v>
      </c>
      <c r="D413">
        <f>SUM(Table2[[#This Row],[Gray Min]:[Red Min]])</f>
        <v>57</v>
      </c>
      <c r="E413">
        <v>20</v>
      </c>
      <c r="F413">
        <v>717</v>
      </c>
      <c r="G413">
        <v>137</v>
      </c>
      <c r="H413">
        <v>177</v>
      </c>
      <c r="I413">
        <v>2</v>
      </c>
      <c r="J413">
        <v>13</v>
      </c>
      <c r="K413">
        <v>22</v>
      </c>
      <c r="L413">
        <v>11</v>
      </c>
      <c r="M413">
        <v>9</v>
      </c>
      <c r="N413" t="s">
        <v>101</v>
      </c>
      <c r="O413" t="s">
        <v>166</v>
      </c>
      <c r="P413" t="s">
        <v>147</v>
      </c>
      <c r="Q413">
        <f t="shared" si="120"/>
        <v>15</v>
      </c>
      <c r="R413" t="str">
        <f t="shared" si="109"/>
        <v>1-2023</v>
      </c>
      <c r="S413" t="s">
        <v>104</v>
      </c>
      <c r="T413" t="str">
        <f t="shared" si="110"/>
        <v>Sunday</v>
      </c>
      <c r="U413">
        <f t="shared" si="111"/>
        <v>1</v>
      </c>
      <c r="V413" s="24">
        <f>IFERROR(Table2[[#This Row],[Gray Min]]/Table2[[#This Row],[ClassLength]],"")</f>
        <v>3.5087719298245612E-2</v>
      </c>
      <c r="W413" s="24">
        <f>IFERROR(Table2[[#This Row],[Blue Min]]/Table2[[#This Row],[ClassLength]],"")</f>
        <v>0.22807017543859648</v>
      </c>
      <c r="X413" s="24">
        <f>IFERROR(Table2[[#This Row],[Green Min]]/Table2[[#This Row],[ClassLength]],"")</f>
        <v>0.38596491228070173</v>
      </c>
      <c r="Y413" s="24">
        <f>IFERROR(Table2[[#This Row],[Orange Min]]/Table2[[#This Row],[ClassLength]],"")</f>
        <v>0.19298245614035087</v>
      </c>
      <c r="Z413" s="24">
        <f>IFERROR(Table2[[#This Row],[Red Min]]/Table2[[#This Row],[ClassLength]],"")</f>
        <v>0.15789473684210525</v>
      </c>
      <c r="AA413" s="25">
        <v>232.14</v>
      </c>
      <c r="AB413" s="25">
        <f t="shared" si="122"/>
        <v>14.508749999999999</v>
      </c>
      <c r="AC413" s="26">
        <f t="shared" si="112"/>
        <v>625.875</v>
      </c>
      <c r="AD413" s="26">
        <f t="shared" si="113"/>
        <v>15.3125</v>
      </c>
      <c r="AE413">
        <f t="shared" si="114"/>
        <v>2023</v>
      </c>
      <c r="AG413">
        <v>12</v>
      </c>
      <c r="AH413" s="26">
        <f t="shared" si="115"/>
        <v>12.578947368421053</v>
      </c>
      <c r="AI413" t="str">
        <f t="shared" si="116"/>
        <v>AM</v>
      </c>
      <c r="AJ413" t="str">
        <f t="shared" si="117"/>
        <v>1-2023-1</v>
      </c>
      <c r="AK413">
        <f t="shared" si="118"/>
        <v>1</v>
      </c>
      <c r="AL413" s="26">
        <f>IFERROR(Table2[[#This Row],[Calories]]/Table2[[#This Row],[Splat]],"")</f>
        <v>35.85</v>
      </c>
      <c r="AM413">
        <f>COUNTIF(N$2:$N$938,N413)</f>
        <v>191</v>
      </c>
      <c r="AN413" t="str">
        <f>VLOOKUP(N413,'Helpful Tables'!A:D,4,FALSE)</f>
        <v>Washington, DC</v>
      </c>
      <c r="AO413" s="24">
        <f>COUNTIF(AN:AN,Table2[[#This Row],[State]])/COUNTA(AN:AN)</f>
        <v>0.54904051172707891</v>
      </c>
      <c r="AP413">
        <f>VLOOKUP(N413,'Helpful Tables'!A:B,2,FALSE)</f>
        <v>38.949649000000001</v>
      </c>
      <c r="AQ413">
        <f>VLOOKUP(N413,'Helpful Tables'!A:C,3,FALSE)</f>
        <v>-77.080878999999996</v>
      </c>
      <c r="AR413">
        <f>COUNTIF(P$2:$P$938,P413)</f>
        <v>17</v>
      </c>
      <c r="AS413" cm="1">
        <f t="array" ref="AS413">_xlfn.IFS(E413&lt;6,((E413/D413)*60)*0.5,AND(E413&gt;=6,E413&lt;9),((E413/D413)*60)*0.75,AND(E413&gt;=9,E413&lt;=11),((E413/D413)*60)*0.9,AND(E413=12),((E413/D413)*60)*1,AND(E413&gt;=13,E413&lt;=15),((E413/D413)*60)*1.2,AND(E413&gt;=16,E413&lt;=19),((E413/D413)*60)*1.5,E413&gt;=20,((E413/D413)*60)*1.8)</f>
        <v>37.89473684210526</v>
      </c>
      <c r="AT413" cm="1">
        <f t="array" ref="AT413">_xlfn.IFS(F413&lt;550,((F413/D413)*60)*0.5,AND(F413&gt;=550,F413&lt;575),((F413/D413)*60)*0.75,AND(F413&gt;=575,F413&lt;600),((F413/D413)*60)*0.9,AND(F413=600),((F413/D413)*60)*1,AND(F413&gt;=601,F413&lt;=625),((F413/D413)*60)*1.2,AND(F413&gt;=626,F413&lt;=650),((F413/D413)*60)*1.5,F413&gt;=651,((F413/D413)*60)*1.8)</f>
        <v>1358.5263157894738</v>
      </c>
      <c r="AU413">
        <f t="shared" si="106"/>
        <v>37.5</v>
      </c>
      <c r="AV413">
        <f t="shared" si="121"/>
        <v>566.06842105263161</v>
      </c>
      <c r="AW413">
        <f t="shared" si="107"/>
        <v>99.3</v>
      </c>
      <c r="AX413" t="str">
        <f t="shared" si="119"/>
        <v>Jan-2023</v>
      </c>
      <c r="AY413">
        <f>ROUNDUP(Table2[[#This Row],[Month]]/3,0)</f>
        <v>1</v>
      </c>
    </row>
    <row r="414" spans="1:51" x14ac:dyDescent="0.2">
      <c r="A414">
        <v>413</v>
      </c>
      <c r="B414">
        <f t="shared" si="108"/>
        <v>16</v>
      </c>
      <c r="C414" s="22">
        <v>44928</v>
      </c>
      <c r="D414">
        <f>SUM(Table2[[#This Row],[Gray Min]:[Red Min]])</f>
        <v>58</v>
      </c>
      <c r="E414">
        <v>12</v>
      </c>
      <c r="F414">
        <v>606</v>
      </c>
      <c r="G414">
        <v>122</v>
      </c>
      <c r="H414">
        <v>166</v>
      </c>
      <c r="I414">
        <v>14</v>
      </c>
      <c r="J414">
        <v>16</v>
      </c>
      <c r="K414">
        <v>16</v>
      </c>
      <c r="L414">
        <v>10</v>
      </c>
      <c r="M414">
        <v>2</v>
      </c>
      <c r="N414" t="s">
        <v>30</v>
      </c>
      <c r="O414" t="s">
        <v>45</v>
      </c>
      <c r="P414" t="s">
        <v>167</v>
      </c>
      <c r="Q414">
        <f t="shared" si="120"/>
        <v>1</v>
      </c>
      <c r="R414" t="str">
        <f t="shared" si="109"/>
        <v>1-2023</v>
      </c>
      <c r="S414" t="s">
        <v>104</v>
      </c>
      <c r="T414" t="str">
        <f t="shared" si="110"/>
        <v>Monday</v>
      </c>
      <c r="U414">
        <f t="shared" si="111"/>
        <v>1</v>
      </c>
      <c r="V414" s="24">
        <f>IFERROR(Table2[[#This Row],[Gray Min]]/Table2[[#This Row],[ClassLength]],"")</f>
        <v>0.2413793103448276</v>
      </c>
      <c r="W414" s="24">
        <f>IFERROR(Table2[[#This Row],[Blue Min]]/Table2[[#This Row],[ClassLength]],"")</f>
        <v>0.27586206896551724</v>
      </c>
      <c r="X414" s="24">
        <f>IFERROR(Table2[[#This Row],[Green Min]]/Table2[[#This Row],[ClassLength]],"")</f>
        <v>0.27586206896551724</v>
      </c>
      <c r="Y414" s="24">
        <f>IFERROR(Table2[[#This Row],[Orange Min]]/Table2[[#This Row],[ClassLength]],"")</f>
        <v>0.17241379310344829</v>
      </c>
      <c r="Z414" s="24">
        <f>IFERROR(Table2[[#This Row],[Red Min]]/Table2[[#This Row],[ClassLength]],"")</f>
        <v>3.4482758620689655E-2</v>
      </c>
      <c r="AA414" s="25">
        <v>232.14</v>
      </c>
      <c r="AB414" s="25">
        <f t="shared" si="122"/>
        <v>14.508749999999999</v>
      </c>
      <c r="AC414" s="26">
        <f t="shared" si="112"/>
        <v>625.875</v>
      </c>
      <c r="AD414" s="26">
        <f t="shared" si="113"/>
        <v>15.3125</v>
      </c>
      <c r="AE414">
        <f t="shared" si="114"/>
        <v>2023</v>
      </c>
      <c r="AG414">
        <v>12</v>
      </c>
      <c r="AH414" s="26">
        <f t="shared" si="115"/>
        <v>10.448275862068966</v>
      </c>
      <c r="AI414" t="str">
        <f t="shared" si="116"/>
        <v>AM</v>
      </c>
      <c r="AJ414" t="str">
        <f t="shared" si="117"/>
        <v>1-2023-1</v>
      </c>
      <c r="AK414">
        <f t="shared" si="118"/>
        <v>1</v>
      </c>
      <c r="AL414" s="26">
        <f>IFERROR(Table2[[#This Row],[Calories]]/Table2[[#This Row],[Splat]],"")</f>
        <v>50.5</v>
      </c>
      <c r="AM414">
        <f>COUNTIF(N$2:$N$938,N414)</f>
        <v>9</v>
      </c>
      <c r="AN414" t="str">
        <f>VLOOKUP(N414,'Helpful Tables'!A:D,4,FALSE)</f>
        <v>Virginia</v>
      </c>
      <c r="AO414" s="24">
        <f>COUNTIF(AN:AN,Table2[[#This Row],[State]])/COUNTA(AN:AN)</f>
        <v>5.6503198294243072E-2</v>
      </c>
      <c r="AP414">
        <f>VLOOKUP(N414,'Helpful Tables'!A:B,2,FALSE)</f>
        <v>38.894024999999999</v>
      </c>
      <c r="AQ414">
        <f>VLOOKUP(N414,'Helpful Tables'!A:C,3,FALSE)</f>
        <v>-77.078213000000005</v>
      </c>
      <c r="AR414">
        <f>COUNTIF(P$2:$P$938,P414)</f>
        <v>1</v>
      </c>
      <c r="AS414" cm="1">
        <f t="array" ref="AS414">_xlfn.IFS(E414&lt;6,((E414/D414)*60)*0.5,AND(E414&gt;=6,E414&lt;9),((E414/D414)*60)*0.75,AND(E414&gt;=9,E414&lt;=11),((E414/D414)*60)*0.9,AND(E414=12),((E414/D414)*60)*1,AND(E414&gt;=13,E414&lt;=15),((E414/D414)*60)*1.2,AND(E414&gt;=16,E414&lt;=19),((E414/D414)*60)*1.5,E414&gt;=20,((E414/D414)*60)*1.8)</f>
        <v>12.413793103448276</v>
      </c>
      <c r="AT414" cm="1">
        <f t="array" ref="AT414">_xlfn.IFS(F414&lt;550,((F414/D414)*60)*0.5,AND(F414&gt;=550,F414&lt;575),((F414/D414)*60)*0.75,AND(F414&gt;=575,F414&lt;600),((F414/D414)*60)*0.9,AND(F414=600),((F414/D414)*60)*1,AND(F414&gt;=601,F414&lt;=625),((F414/D414)*60)*1.2,AND(F414&gt;=626,F414&lt;=650),((F414/D414)*60)*1.5,F414&gt;=651,((F414/D414)*60)*1.8)</f>
        <v>752.27586206896558</v>
      </c>
      <c r="AU414">
        <f t="shared" si="106"/>
        <v>0.79999999999999361</v>
      </c>
      <c r="AV414">
        <f t="shared" si="121"/>
        <v>306.03586206896557</v>
      </c>
      <c r="AW414">
        <f t="shared" si="107"/>
        <v>29.599999999999998</v>
      </c>
      <c r="AX414" t="str">
        <f t="shared" si="119"/>
        <v>Jan-2023</v>
      </c>
      <c r="AY414">
        <f>ROUNDUP(Table2[[#This Row],[Month]]/3,0)</f>
        <v>1</v>
      </c>
    </row>
    <row r="415" spans="1:51" x14ac:dyDescent="0.2">
      <c r="A415">
        <v>414</v>
      </c>
      <c r="B415">
        <f t="shared" si="108"/>
        <v>16</v>
      </c>
      <c r="C415" s="22">
        <v>44930</v>
      </c>
      <c r="D415">
        <f>SUM(Table2[[#This Row],[Gray Min]:[Red Min]])</f>
        <v>57</v>
      </c>
      <c r="E415">
        <v>15</v>
      </c>
      <c r="F415">
        <v>642</v>
      </c>
      <c r="G415">
        <v>128</v>
      </c>
      <c r="H415">
        <v>167</v>
      </c>
      <c r="I415">
        <v>8</v>
      </c>
      <c r="J415">
        <v>15</v>
      </c>
      <c r="K415">
        <v>19</v>
      </c>
      <c r="L415">
        <v>8</v>
      </c>
      <c r="M415">
        <v>7</v>
      </c>
      <c r="N415" t="s">
        <v>160</v>
      </c>
      <c r="O415" t="s">
        <v>143</v>
      </c>
      <c r="P415" t="s">
        <v>161</v>
      </c>
      <c r="Q415">
        <f t="shared" si="120"/>
        <v>2</v>
      </c>
      <c r="R415" t="str">
        <f t="shared" si="109"/>
        <v>1-2023</v>
      </c>
      <c r="S415" t="s">
        <v>117</v>
      </c>
      <c r="T415" t="str">
        <f t="shared" si="110"/>
        <v>Wednesday</v>
      </c>
      <c r="U415">
        <f t="shared" si="111"/>
        <v>1</v>
      </c>
      <c r="V415" s="24">
        <f>IFERROR(Table2[[#This Row],[Gray Min]]/Table2[[#This Row],[ClassLength]],"")</f>
        <v>0.14035087719298245</v>
      </c>
      <c r="W415" s="24">
        <f>IFERROR(Table2[[#This Row],[Blue Min]]/Table2[[#This Row],[ClassLength]],"")</f>
        <v>0.26315789473684209</v>
      </c>
      <c r="X415" s="24">
        <f>IFERROR(Table2[[#This Row],[Green Min]]/Table2[[#This Row],[ClassLength]],"")</f>
        <v>0.33333333333333331</v>
      </c>
      <c r="Y415" s="24">
        <f>IFERROR(Table2[[#This Row],[Orange Min]]/Table2[[#This Row],[ClassLength]],"")</f>
        <v>0.14035087719298245</v>
      </c>
      <c r="Z415" s="24">
        <f>IFERROR(Table2[[#This Row],[Red Min]]/Table2[[#This Row],[ClassLength]],"")</f>
        <v>0.12280701754385964</v>
      </c>
      <c r="AA415" s="25">
        <v>232.14</v>
      </c>
      <c r="AB415" s="25">
        <f t="shared" si="122"/>
        <v>14.508749999999999</v>
      </c>
      <c r="AC415" s="26">
        <f t="shared" si="112"/>
        <v>625.875</v>
      </c>
      <c r="AD415" s="26">
        <f t="shared" si="113"/>
        <v>15.3125</v>
      </c>
      <c r="AE415">
        <f t="shared" si="114"/>
        <v>2023</v>
      </c>
      <c r="AG415">
        <v>12</v>
      </c>
      <c r="AH415" s="26">
        <f t="shared" si="115"/>
        <v>11.263157894736842</v>
      </c>
      <c r="AI415" t="str">
        <f t="shared" si="116"/>
        <v>PM</v>
      </c>
      <c r="AJ415" t="str">
        <f t="shared" si="117"/>
        <v>1-2023-1</v>
      </c>
      <c r="AK415">
        <f t="shared" si="118"/>
        <v>1</v>
      </c>
      <c r="AL415" s="26">
        <f>IFERROR(Table2[[#This Row],[Calories]]/Table2[[#This Row],[Splat]],"")</f>
        <v>42.8</v>
      </c>
      <c r="AM415">
        <f>COUNTIF(N$2:$N$938,N415)</f>
        <v>9</v>
      </c>
      <c r="AN415" t="str">
        <f>VLOOKUP(N415,'Helpful Tables'!A:D,4,FALSE)</f>
        <v>Virginia</v>
      </c>
      <c r="AO415" s="24">
        <f>COUNTIF(AN:AN,Table2[[#This Row],[State]])/COUNTA(AN:AN)</f>
        <v>5.6503198294243072E-2</v>
      </c>
      <c r="AP415">
        <f>VLOOKUP(N415,'Helpful Tables'!A:B,2,FALSE)</f>
        <v>38.880467000000003</v>
      </c>
      <c r="AQ415">
        <f>VLOOKUP(N415,'Helpful Tables'!A:C,3,FALSE)</f>
        <v>-77.111583999999993</v>
      </c>
      <c r="AR415">
        <f>COUNTIF(P$2:$P$938,P415)</f>
        <v>7</v>
      </c>
      <c r="AS415" cm="1">
        <f t="array" ref="AS415">_xlfn.IFS(E415&lt;6,((E415/D415)*60)*0.5,AND(E415&gt;=6,E415&lt;9),((E415/D415)*60)*0.75,AND(E415&gt;=9,E415&lt;=11),((E415/D415)*60)*0.9,AND(E415=12),((E415/D415)*60)*1,AND(E415&gt;=13,E415&lt;=15),((E415/D415)*60)*1.2,AND(E415&gt;=16,E415&lt;=19),((E415/D415)*60)*1.5,E415&gt;=20,((E415/D415)*60)*1.8)</f>
        <v>18.94736842105263</v>
      </c>
      <c r="AT415" cm="1">
        <f t="array" ref="AT415">_xlfn.IFS(F415&lt;550,((F415/D415)*60)*0.5,AND(F415&gt;=550,F415&lt;575),((F415/D415)*60)*0.75,AND(F415&gt;=575,F415&lt;600),((F415/D415)*60)*0.9,AND(F415=600),((F415/D415)*60)*1,AND(F415&gt;=601,F415&lt;=625),((F415/D415)*60)*1.2,AND(F415&gt;=626,F415&lt;=650),((F415/D415)*60)*1.5,F415&gt;=651,((F415/D415)*60)*1.8)</f>
        <v>1013.6842105263158</v>
      </c>
      <c r="AU415">
        <f t="shared" si="106"/>
        <v>17.600000000000001</v>
      </c>
      <c r="AV415">
        <f t="shared" si="121"/>
        <v>416.57263157894738</v>
      </c>
      <c r="AW415">
        <f t="shared" si="107"/>
        <v>60.699999999999996</v>
      </c>
      <c r="AX415" t="str">
        <f t="shared" si="119"/>
        <v>Jan-2023</v>
      </c>
      <c r="AY415">
        <f>ROUNDUP(Table2[[#This Row],[Month]]/3,0)</f>
        <v>1</v>
      </c>
    </row>
    <row r="416" spans="1:51" x14ac:dyDescent="0.2">
      <c r="A416">
        <v>415</v>
      </c>
      <c r="B416">
        <f t="shared" si="108"/>
        <v>16</v>
      </c>
      <c r="C416" s="22">
        <v>44932</v>
      </c>
      <c r="D416">
        <f>SUM(Table2[[#This Row],[Gray Min]:[Red Min]])</f>
        <v>58</v>
      </c>
      <c r="E416">
        <v>17</v>
      </c>
      <c r="F416">
        <v>627</v>
      </c>
      <c r="G416">
        <v>126</v>
      </c>
      <c r="H416">
        <v>165</v>
      </c>
      <c r="I416">
        <v>8</v>
      </c>
      <c r="J416">
        <v>19</v>
      </c>
      <c r="K416">
        <v>14</v>
      </c>
      <c r="L416">
        <v>13</v>
      </c>
      <c r="M416">
        <v>4</v>
      </c>
      <c r="N416" t="s">
        <v>91</v>
      </c>
      <c r="O416" t="s">
        <v>89</v>
      </c>
      <c r="P416" t="s">
        <v>168</v>
      </c>
      <c r="Q416">
        <f t="shared" si="120"/>
        <v>2</v>
      </c>
      <c r="R416" t="str">
        <f t="shared" si="109"/>
        <v>1-2023</v>
      </c>
      <c r="S416" t="s">
        <v>104</v>
      </c>
      <c r="T416" t="str">
        <f t="shared" si="110"/>
        <v>Friday</v>
      </c>
      <c r="U416">
        <f t="shared" si="111"/>
        <v>1</v>
      </c>
      <c r="V416" s="24">
        <f>IFERROR(Table2[[#This Row],[Gray Min]]/Table2[[#This Row],[ClassLength]],"")</f>
        <v>0.13793103448275862</v>
      </c>
      <c r="W416" s="24">
        <f>IFERROR(Table2[[#This Row],[Blue Min]]/Table2[[#This Row],[ClassLength]],"")</f>
        <v>0.32758620689655171</v>
      </c>
      <c r="X416" s="24">
        <f>IFERROR(Table2[[#This Row],[Green Min]]/Table2[[#This Row],[ClassLength]],"")</f>
        <v>0.2413793103448276</v>
      </c>
      <c r="Y416" s="24">
        <f>IFERROR(Table2[[#This Row],[Orange Min]]/Table2[[#This Row],[ClassLength]],"")</f>
        <v>0.22413793103448276</v>
      </c>
      <c r="Z416" s="24">
        <f>IFERROR(Table2[[#This Row],[Red Min]]/Table2[[#This Row],[ClassLength]],"")</f>
        <v>6.8965517241379309E-2</v>
      </c>
      <c r="AA416" s="25">
        <v>232.14</v>
      </c>
      <c r="AB416" s="25">
        <f t="shared" si="122"/>
        <v>14.508749999999999</v>
      </c>
      <c r="AC416" s="26">
        <f t="shared" si="112"/>
        <v>625.875</v>
      </c>
      <c r="AD416" s="26">
        <f t="shared" si="113"/>
        <v>15.3125</v>
      </c>
      <c r="AE416">
        <f t="shared" si="114"/>
        <v>2023</v>
      </c>
      <c r="AG416">
        <v>12</v>
      </c>
      <c r="AH416" s="26">
        <f t="shared" si="115"/>
        <v>10.810344827586206</v>
      </c>
      <c r="AI416" t="str">
        <f t="shared" si="116"/>
        <v>AM</v>
      </c>
      <c r="AJ416" t="str">
        <f t="shared" si="117"/>
        <v>1-2023-1</v>
      </c>
      <c r="AK416">
        <f t="shared" si="118"/>
        <v>1</v>
      </c>
      <c r="AL416" s="26">
        <f>IFERROR(Table2[[#This Row],[Calories]]/Table2[[#This Row],[Splat]],"")</f>
        <v>36.882352941176471</v>
      </c>
      <c r="AM416">
        <f>COUNTIF(N$2:$N$938,N416)</f>
        <v>218</v>
      </c>
      <c r="AN416" t="str">
        <f>VLOOKUP(N416,'Helpful Tables'!A:D,4,FALSE)</f>
        <v>Washington, DC</v>
      </c>
      <c r="AO416" s="24">
        <f>COUNTIF(AN:AN,Table2[[#This Row],[State]])/COUNTA(AN:AN)</f>
        <v>0.54904051172707891</v>
      </c>
      <c r="AP416">
        <f>VLOOKUP(N416,'Helpful Tables'!A:B,2,FALSE)</f>
        <v>38.934710000000003</v>
      </c>
      <c r="AQ416">
        <f>VLOOKUP(N416,'Helpful Tables'!A:C,3,FALSE)</f>
        <v>-77.058222999999998</v>
      </c>
      <c r="AR416">
        <f>COUNTIF(P$2:$P$938,P416)</f>
        <v>12</v>
      </c>
      <c r="AS416" cm="1">
        <f t="array" ref="AS416">_xlfn.IFS(E416&lt;6,((E416/D416)*60)*0.5,AND(E416&gt;=6,E416&lt;9),((E416/D416)*60)*0.75,AND(E416&gt;=9,E416&lt;=11),((E416/D416)*60)*0.9,AND(E416=12),((E416/D416)*60)*1,AND(E416&gt;=13,E416&lt;=15),((E416/D416)*60)*1.2,AND(E416&gt;=16,E416&lt;=19),((E416/D416)*60)*1.5,E416&gt;=20,((E416/D416)*60)*1.8)</f>
        <v>26.379310344827584</v>
      </c>
      <c r="AT416" cm="1">
        <f t="array" ref="AT416">_xlfn.IFS(F416&lt;550,((F416/D416)*60)*0.5,AND(F416&gt;=550,F416&lt;575),((F416/D416)*60)*0.75,AND(F416&gt;=575,F416&lt;600),((F416/D416)*60)*0.9,AND(F416=600),((F416/D416)*60)*1,AND(F416&gt;=601,F416&lt;=625),((F416/D416)*60)*1.2,AND(F416&gt;=626,F416&lt;=650),((F416/D416)*60)*1.5,F416&gt;=651,((F416/D416)*60)*1.8)</f>
        <v>972.93103448275849</v>
      </c>
      <c r="AU416">
        <f t="shared" si="106"/>
        <v>9.2000000000000028</v>
      </c>
      <c r="AV416">
        <f t="shared" si="121"/>
        <v>401.56413793103445</v>
      </c>
      <c r="AW416">
        <f t="shared" si="107"/>
        <v>53.900000000000006</v>
      </c>
      <c r="AX416" t="str">
        <f t="shared" si="119"/>
        <v>Jan-2023</v>
      </c>
      <c r="AY416">
        <f>ROUNDUP(Table2[[#This Row],[Month]]/3,0)</f>
        <v>1</v>
      </c>
    </row>
    <row r="417" spans="1:51" x14ac:dyDescent="0.2">
      <c r="A417">
        <v>416</v>
      </c>
      <c r="B417">
        <f t="shared" si="108"/>
        <v>16</v>
      </c>
      <c r="C417" s="22">
        <v>44934</v>
      </c>
      <c r="D417">
        <f>SUM(Table2[[#This Row],[Gray Min]:[Red Min]])</f>
        <v>59</v>
      </c>
      <c r="E417">
        <v>11</v>
      </c>
      <c r="F417">
        <v>557</v>
      </c>
      <c r="G417">
        <v>115</v>
      </c>
      <c r="H417">
        <v>164</v>
      </c>
      <c r="I417">
        <v>24</v>
      </c>
      <c r="J417">
        <v>15</v>
      </c>
      <c r="K417">
        <v>9</v>
      </c>
      <c r="L417">
        <v>8</v>
      </c>
      <c r="M417">
        <v>3</v>
      </c>
      <c r="N417" t="s">
        <v>101</v>
      </c>
      <c r="O417" t="s">
        <v>81</v>
      </c>
      <c r="P417" t="s">
        <v>155</v>
      </c>
      <c r="Q417">
        <f t="shared" si="120"/>
        <v>2</v>
      </c>
      <c r="R417" t="str">
        <f t="shared" si="109"/>
        <v>1-2023</v>
      </c>
      <c r="S417" t="s">
        <v>117</v>
      </c>
      <c r="T417" t="str">
        <f t="shared" si="110"/>
        <v>Sunday</v>
      </c>
      <c r="U417">
        <f t="shared" si="111"/>
        <v>0</v>
      </c>
      <c r="V417" s="24">
        <f>IFERROR(Table2[[#This Row],[Gray Min]]/Table2[[#This Row],[ClassLength]],"")</f>
        <v>0.40677966101694918</v>
      </c>
      <c r="W417" s="24">
        <f>IFERROR(Table2[[#This Row],[Blue Min]]/Table2[[#This Row],[ClassLength]],"")</f>
        <v>0.25423728813559321</v>
      </c>
      <c r="X417" s="24">
        <f>IFERROR(Table2[[#This Row],[Green Min]]/Table2[[#This Row],[ClassLength]],"")</f>
        <v>0.15254237288135594</v>
      </c>
      <c r="Y417" s="24">
        <f>IFERROR(Table2[[#This Row],[Orange Min]]/Table2[[#This Row],[ClassLength]],"")</f>
        <v>0.13559322033898305</v>
      </c>
      <c r="Z417" s="24">
        <f>IFERROR(Table2[[#This Row],[Red Min]]/Table2[[#This Row],[ClassLength]],"")</f>
        <v>5.0847457627118647E-2</v>
      </c>
      <c r="AA417" s="25">
        <v>232.14</v>
      </c>
      <c r="AB417" s="25">
        <f t="shared" si="122"/>
        <v>14.508749999999999</v>
      </c>
      <c r="AC417" s="26">
        <f t="shared" si="112"/>
        <v>625.875</v>
      </c>
      <c r="AD417" s="26">
        <f t="shared" si="113"/>
        <v>15.3125</v>
      </c>
      <c r="AE417">
        <f t="shared" si="114"/>
        <v>2023</v>
      </c>
      <c r="AG417">
        <v>12</v>
      </c>
      <c r="AH417" s="26">
        <f t="shared" si="115"/>
        <v>9.4406779661016955</v>
      </c>
      <c r="AI417" t="str">
        <f t="shared" si="116"/>
        <v>AM</v>
      </c>
      <c r="AJ417" t="str">
        <f t="shared" si="117"/>
        <v>1-2023-2</v>
      </c>
      <c r="AK417">
        <f t="shared" si="118"/>
        <v>1</v>
      </c>
      <c r="AL417" s="26">
        <f>IFERROR(Table2[[#This Row],[Calories]]/Table2[[#This Row],[Splat]],"")</f>
        <v>50.636363636363633</v>
      </c>
      <c r="AM417">
        <f>COUNTIF(N$2:$N$938,N417)</f>
        <v>191</v>
      </c>
      <c r="AN417" t="str">
        <f>VLOOKUP(N417,'Helpful Tables'!A:D,4,FALSE)</f>
        <v>Washington, DC</v>
      </c>
      <c r="AO417" s="24">
        <f>COUNTIF(AN:AN,Table2[[#This Row],[State]])/COUNTA(AN:AN)</f>
        <v>0.54904051172707891</v>
      </c>
      <c r="AP417">
        <f>VLOOKUP(N417,'Helpful Tables'!A:B,2,FALSE)</f>
        <v>38.949649000000001</v>
      </c>
      <c r="AQ417">
        <f>VLOOKUP(N417,'Helpful Tables'!A:C,3,FALSE)</f>
        <v>-77.080878999999996</v>
      </c>
      <c r="AR417">
        <f>COUNTIF(P$2:$P$938,P417)</f>
        <v>13</v>
      </c>
      <c r="AS417" cm="1">
        <f t="array" ref="AS417">_xlfn.IFS(E417&lt;6,((E417/D417)*60)*0.5,AND(E417&gt;=6,E417&lt;9),((E417/D417)*60)*0.75,AND(E417&gt;=9,E417&lt;=11),((E417/D417)*60)*0.9,AND(E417=12),((E417/D417)*60)*1,AND(E417&gt;=13,E417&lt;=15),((E417/D417)*60)*1.2,AND(E417&gt;=16,E417&lt;=19),((E417/D417)*60)*1.5,E417&gt;=20,((E417/D417)*60)*1.8)</f>
        <v>10.067796610169491</v>
      </c>
      <c r="AT417" cm="1">
        <f t="array" ref="AT417">_xlfn.IFS(F417&lt;550,((F417/D417)*60)*0.5,AND(F417&gt;=550,F417&lt;575),((F417/D417)*60)*0.75,AND(F417&gt;=575,F417&lt;600),((F417/D417)*60)*0.9,AND(F417=600),((F417/D417)*60)*1,AND(F417&gt;=601,F417&lt;=625),((F417/D417)*60)*1.2,AND(F417&gt;=626,F417&lt;=650),((F417/D417)*60)*1.5,F417&gt;=651,((F417/D417)*60)*1.8)</f>
        <v>424.83050847457628</v>
      </c>
      <c r="AU417">
        <f t="shared" si="106"/>
        <v>-19.600000000000001</v>
      </c>
      <c r="AV417">
        <f t="shared" si="121"/>
        <v>170.03932203389834</v>
      </c>
      <c r="AW417">
        <f t="shared" si="107"/>
        <v>8.1</v>
      </c>
      <c r="AX417" t="str">
        <f t="shared" si="119"/>
        <v>Jan-2023</v>
      </c>
      <c r="AY417">
        <f>ROUNDUP(Table2[[#This Row],[Month]]/3,0)</f>
        <v>1</v>
      </c>
    </row>
    <row r="418" spans="1:51" x14ac:dyDescent="0.2">
      <c r="A418">
        <v>417</v>
      </c>
      <c r="B418">
        <f t="shared" si="108"/>
        <v>16</v>
      </c>
      <c r="C418" s="22">
        <v>44936</v>
      </c>
      <c r="D418">
        <f>SUM(Table2[[#This Row],[Gray Min]:[Red Min]])</f>
        <v>57</v>
      </c>
      <c r="E418">
        <v>15</v>
      </c>
      <c r="F418">
        <v>577</v>
      </c>
      <c r="G418">
        <v>120</v>
      </c>
      <c r="H418">
        <v>162</v>
      </c>
      <c r="I418">
        <v>20</v>
      </c>
      <c r="J418">
        <v>11</v>
      </c>
      <c r="K418">
        <v>11</v>
      </c>
      <c r="L418">
        <v>13</v>
      </c>
      <c r="M418">
        <v>2</v>
      </c>
      <c r="N418" t="s">
        <v>101</v>
      </c>
      <c r="O418" t="s">
        <v>39</v>
      </c>
      <c r="P418" t="s">
        <v>109</v>
      </c>
      <c r="Q418">
        <f t="shared" si="120"/>
        <v>2</v>
      </c>
      <c r="R418" t="str">
        <f t="shared" si="109"/>
        <v>1-2023</v>
      </c>
      <c r="S418" t="s">
        <v>104</v>
      </c>
      <c r="T418" t="str">
        <f t="shared" si="110"/>
        <v>Tuesday</v>
      </c>
      <c r="U418">
        <f t="shared" si="111"/>
        <v>1</v>
      </c>
      <c r="V418" s="24">
        <f>IFERROR(Table2[[#This Row],[Gray Min]]/Table2[[#This Row],[ClassLength]],"")</f>
        <v>0.35087719298245612</v>
      </c>
      <c r="W418" s="24">
        <f>IFERROR(Table2[[#This Row],[Blue Min]]/Table2[[#This Row],[ClassLength]],"")</f>
        <v>0.19298245614035087</v>
      </c>
      <c r="X418" s="24">
        <f>IFERROR(Table2[[#This Row],[Green Min]]/Table2[[#This Row],[ClassLength]],"")</f>
        <v>0.19298245614035087</v>
      </c>
      <c r="Y418" s="24">
        <f>IFERROR(Table2[[#This Row],[Orange Min]]/Table2[[#This Row],[ClassLength]],"")</f>
        <v>0.22807017543859648</v>
      </c>
      <c r="Z418" s="24">
        <f>IFERROR(Table2[[#This Row],[Red Min]]/Table2[[#This Row],[ClassLength]],"")</f>
        <v>3.5087719298245612E-2</v>
      </c>
      <c r="AA418" s="25">
        <v>232.14</v>
      </c>
      <c r="AB418" s="25">
        <f t="shared" si="122"/>
        <v>14.508749999999999</v>
      </c>
      <c r="AC418" s="26">
        <f t="shared" si="112"/>
        <v>625.875</v>
      </c>
      <c r="AD418" s="26">
        <f t="shared" si="113"/>
        <v>15.3125</v>
      </c>
      <c r="AE418">
        <f t="shared" si="114"/>
        <v>2023</v>
      </c>
      <c r="AG418">
        <v>12</v>
      </c>
      <c r="AH418" s="26">
        <f t="shared" si="115"/>
        <v>10.12280701754386</v>
      </c>
      <c r="AI418" t="str">
        <f t="shared" si="116"/>
        <v>PM</v>
      </c>
      <c r="AJ418" t="str">
        <f t="shared" si="117"/>
        <v>1-2023-2</v>
      </c>
      <c r="AK418">
        <f t="shared" si="118"/>
        <v>1</v>
      </c>
      <c r="AL418" s="26">
        <f>IFERROR(Table2[[#This Row],[Calories]]/Table2[[#This Row],[Splat]],"")</f>
        <v>38.466666666666669</v>
      </c>
      <c r="AM418">
        <f>COUNTIF(N$2:$N$938,N418)</f>
        <v>191</v>
      </c>
      <c r="AN418" t="str">
        <f>VLOOKUP(N418,'Helpful Tables'!A:D,4,FALSE)</f>
        <v>Washington, DC</v>
      </c>
      <c r="AO418" s="24">
        <f>COUNTIF(AN:AN,Table2[[#This Row],[State]])/COUNTA(AN:AN)</f>
        <v>0.54904051172707891</v>
      </c>
      <c r="AP418">
        <f>VLOOKUP(N418,'Helpful Tables'!A:B,2,FALSE)</f>
        <v>38.949649000000001</v>
      </c>
      <c r="AQ418">
        <f>VLOOKUP(N418,'Helpful Tables'!A:C,3,FALSE)</f>
        <v>-77.080878999999996</v>
      </c>
      <c r="AR418">
        <f>COUNTIF(P$2:$P$938,P418)</f>
        <v>66</v>
      </c>
      <c r="AS418" cm="1">
        <f t="array" ref="AS418">_xlfn.IFS(E418&lt;6,((E418/D418)*60)*0.5,AND(E418&gt;=6,E418&lt;9),((E418/D418)*60)*0.75,AND(E418&gt;=9,E418&lt;=11),((E418/D418)*60)*0.9,AND(E418=12),((E418/D418)*60)*1,AND(E418&gt;=13,E418&lt;=15),((E418/D418)*60)*1.2,AND(E418&gt;=16,E418&lt;=19),((E418/D418)*60)*1.5,E418&gt;=20,((E418/D418)*60)*1.8)</f>
        <v>18.94736842105263</v>
      </c>
      <c r="AT418" cm="1">
        <f t="array" ref="AT418">_xlfn.IFS(F418&lt;550,((F418/D418)*60)*0.5,AND(F418&gt;=550,F418&lt;575),((F418/D418)*60)*0.75,AND(F418&gt;=575,F418&lt;600),((F418/D418)*60)*0.9,AND(F418=600),((F418/D418)*60)*1,AND(F418&gt;=601,F418&lt;=625),((F418/D418)*60)*1.2,AND(F418&gt;=626,F418&lt;=650),((F418/D418)*60)*1.5,F418&gt;=651,((F418/D418)*60)*1.8)</f>
        <v>546.63157894736844</v>
      </c>
      <c r="AU418">
        <f t="shared" si="106"/>
        <v>-3</v>
      </c>
      <c r="AV418">
        <f t="shared" si="121"/>
        <v>225.63157894736844</v>
      </c>
      <c r="AW418">
        <f t="shared" si="107"/>
        <v>18.399999999999999</v>
      </c>
      <c r="AX418" t="str">
        <f t="shared" si="119"/>
        <v>Jan-2023</v>
      </c>
      <c r="AY418">
        <f>ROUNDUP(Table2[[#This Row],[Month]]/3,0)</f>
        <v>1</v>
      </c>
    </row>
    <row r="419" spans="1:51" x14ac:dyDescent="0.2">
      <c r="A419">
        <v>418</v>
      </c>
      <c r="B419">
        <f t="shared" si="108"/>
        <v>16</v>
      </c>
      <c r="C419" s="22">
        <v>44937</v>
      </c>
      <c r="D419">
        <f>SUM(Table2[[#This Row],[Gray Min]:[Red Min]])</f>
        <v>56</v>
      </c>
      <c r="E419">
        <v>14</v>
      </c>
      <c r="F419">
        <v>642</v>
      </c>
      <c r="G419">
        <v>128</v>
      </c>
      <c r="H419">
        <v>171</v>
      </c>
      <c r="I419">
        <v>7</v>
      </c>
      <c r="J419">
        <v>18</v>
      </c>
      <c r="K419">
        <v>17</v>
      </c>
      <c r="L419">
        <v>8</v>
      </c>
      <c r="M419">
        <v>6</v>
      </c>
      <c r="N419" t="s">
        <v>160</v>
      </c>
      <c r="O419" t="s">
        <v>143</v>
      </c>
      <c r="P419" t="s">
        <v>161</v>
      </c>
      <c r="Q419">
        <f t="shared" si="120"/>
        <v>1</v>
      </c>
      <c r="R419" t="str">
        <f t="shared" si="109"/>
        <v>1-2023</v>
      </c>
      <c r="S419" t="s">
        <v>117</v>
      </c>
      <c r="T419" t="str">
        <f t="shared" si="110"/>
        <v>Wednesday</v>
      </c>
      <c r="U419">
        <f t="shared" si="111"/>
        <v>1</v>
      </c>
      <c r="V419" s="24">
        <f>IFERROR(Table2[[#This Row],[Gray Min]]/Table2[[#This Row],[ClassLength]],"")</f>
        <v>0.125</v>
      </c>
      <c r="W419" s="24">
        <f>IFERROR(Table2[[#This Row],[Blue Min]]/Table2[[#This Row],[ClassLength]],"")</f>
        <v>0.32142857142857145</v>
      </c>
      <c r="X419" s="24">
        <f>IFERROR(Table2[[#This Row],[Green Min]]/Table2[[#This Row],[ClassLength]],"")</f>
        <v>0.30357142857142855</v>
      </c>
      <c r="Y419" s="24">
        <f>IFERROR(Table2[[#This Row],[Orange Min]]/Table2[[#This Row],[ClassLength]],"")</f>
        <v>0.14285714285714285</v>
      </c>
      <c r="Z419" s="24">
        <f>IFERROR(Table2[[#This Row],[Red Min]]/Table2[[#This Row],[ClassLength]],"")</f>
        <v>0.10714285714285714</v>
      </c>
      <c r="AA419" s="25">
        <v>232.14</v>
      </c>
      <c r="AB419" s="25">
        <f t="shared" si="122"/>
        <v>14.508749999999999</v>
      </c>
      <c r="AC419" s="26">
        <f t="shared" si="112"/>
        <v>625.875</v>
      </c>
      <c r="AD419" s="26">
        <f t="shared" si="113"/>
        <v>15.3125</v>
      </c>
      <c r="AE419">
        <f t="shared" si="114"/>
        <v>2023</v>
      </c>
      <c r="AG419">
        <v>12</v>
      </c>
      <c r="AH419" s="26">
        <f t="shared" si="115"/>
        <v>11.464285714285714</v>
      </c>
      <c r="AI419" t="str">
        <f t="shared" si="116"/>
        <v>PM</v>
      </c>
      <c r="AJ419" t="str">
        <f t="shared" si="117"/>
        <v>1-2023-2</v>
      </c>
      <c r="AK419">
        <f t="shared" si="118"/>
        <v>1</v>
      </c>
      <c r="AL419" s="26">
        <f>IFERROR(Table2[[#This Row],[Calories]]/Table2[[#This Row],[Splat]],"")</f>
        <v>45.857142857142854</v>
      </c>
      <c r="AM419">
        <f>COUNTIF(N$2:$N$938,N419)</f>
        <v>9</v>
      </c>
      <c r="AN419" t="str">
        <f>VLOOKUP(N419,'Helpful Tables'!A:D,4,FALSE)</f>
        <v>Virginia</v>
      </c>
      <c r="AO419" s="24">
        <f>COUNTIF(AN:AN,Table2[[#This Row],[State]])/COUNTA(AN:AN)</f>
        <v>5.6503198294243072E-2</v>
      </c>
      <c r="AP419">
        <f>VLOOKUP(N419,'Helpful Tables'!A:B,2,FALSE)</f>
        <v>38.880467000000003</v>
      </c>
      <c r="AQ419">
        <f>VLOOKUP(N419,'Helpful Tables'!A:C,3,FALSE)</f>
        <v>-77.111583999999993</v>
      </c>
      <c r="AR419">
        <f>COUNTIF(P$2:$P$938,P419)</f>
        <v>7</v>
      </c>
      <c r="AS419" cm="1">
        <f t="array" ref="AS419">_xlfn.IFS(E419&lt;6,((E419/D419)*60)*0.5,AND(E419&gt;=6,E419&lt;9),((E419/D419)*60)*0.75,AND(E419&gt;=9,E419&lt;=11),((E419/D419)*60)*0.9,AND(E419=12),((E419/D419)*60)*1,AND(E419&gt;=13,E419&lt;=15),((E419/D419)*60)*1.2,AND(E419&gt;=16,E419&lt;=19),((E419/D419)*60)*1.5,E419&gt;=20,((E419/D419)*60)*1.8)</f>
        <v>18</v>
      </c>
      <c r="AT419" cm="1">
        <f t="array" ref="AT419">_xlfn.IFS(F419&lt;550,((F419/D419)*60)*0.5,AND(F419&gt;=550,F419&lt;575),((F419/D419)*60)*0.75,AND(F419&gt;=575,F419&lt;600),((F419/D419)*60)*0.9,AND(F419=600),((F419/D419)*60)*1,AND(F419&gt;=601,F419&lt;=625),((F419/D419)*60)*1.2,AND(F419&gt;=626,F419&lt;=650),((F419/D419)*60)*1.5,F419&gt;=651,((F419/D419)*60)*1.8)</f>
        <v>1031.7857142857142</v>
      </c>
      <c r="AU419">
        <f t="shared" si="106"/>
        <v>11.599999999999996</v>
      </c>
      <c r="AV419">
        <f t="shared" si="121"/>
        <v>422.2342857142857</v>
      </c>
      <c r="AW419">
        <f t="shared" si="107"/>
        <v>62.6</v>
      </c>
      <c r="AX419" t="str">
        <f t="shared" si="119"/>
        <v>Jan-2023</v>
      </c>
      <c r="AY419">
        <f>ROUNDUP(Table2[[#This Row],[Month]]/3,0)</f>
        <v>1</v>
      </c>
    </row>
    <row r="420" spans="1:51" x14ac:dyDescent="0.2">
      <c r="A420">
        <v>419</v>
      </c>
      <c r="B420">
        <f t="shared" si="108"/>
        <v>16</v>
      </c>
      <c r="C420" s="22">
        <v>44939</v>
      </c>
      <c r="D420">
        <f>SUM(Table2[[#This Row],[Gray Min]:[Red Min]])</f>
        <v>58</v>
      </c>
      <c r="E420">
        <v>15</v>
      </c>
      <c r="F420">
        <v>655</v>
      </c>
      <c r="G420">
        <v>129</v>
      </c>
      <c r="H420">
        <v>160</v>
      </c>
      <c r="I420">
        <v>5</v>
      </c>
      <c r="J420">
        <v>15</v>
      </c>
      <c r="K420">
        <v>23</v>
      </c>
      <c r="L420">
        <v>13</v>
      </c>
      <c r="M420">
        <v>2</v>
      </c>
      <c r="N420" t="s">
        <v>91</v>
      </c>
      <c r="O420" t="s">
        <v>89</v>
      </c>
      <c r="P420" t="s">
        <v>168</v>
      </c>
      <c r="Q420">
        <f t="shared" si="120"/>
        <v>2</v>
      </c>
      <c r="R420" t="str">
        <f t="shared" si="109"/>
        <v>1-2023</v>
      </c>
      <c r="S420" t="s">
        <v>104</v>
      </c>
      <c r="T420" t="str">
        <f t="shared" si="110"/>
        <v>Friday</v>
      </c>
      <c r="U420">
        <f t="shared" si="111"/>
        <v>1</v>
      </c>
      <c r="V420" s="24">
        <f>IFERROR(Table2[[#This Row],[Gray Min]]/Table2[[#This Row],[ClassLength]],"")</f>
        <v>8.6206896551724144E-2</v>
      </c>
      <c r="W420" s="24">
        <f>IFERROR(Table2[[#This Row],[Blue Min]]/Table2[[#This Row],[ClassLength]],"")</f>
        <v>0.25862068965517243</v>
      </c>
      <c r="X420" s="24">
        <f>IFERROR(Table2[[#This Row],[Green Min]]/Table2[[#This Row],[ClassLength]],"")</f>
        <v>0.39655172413793105</v>
      </c>
      <c r="Y420" s="24">
        <f>IFERROR(Table2[[#This Row],[Orange Min]]/Table2[[#This Row],[ClassLength]],"")</f>
        <v>0.22413793103448276</v>
      </c>
      <c r="Z420" s="24">
        <f>IFERROR(Table2[[#This Row],[Red Min]]/Table2[[#This Row],[ClassLength]],"")</f>
        <v>3.4482758620689655E-2</v>
      </c>
      <c r="AA420" s="25">
        <v>232.14</v>
      </c>
      <c r="AB420" s="25">
        <f t="shared" si="122"/>
        <v>14.508749999999999</v>
      </c>
      <c r="AC420" s="26">
        <f t="shared" si="112"/>
        <v>625.875</v>
      </c>
      <c r="AD420" s="26">
        <f t="shared" si="113"/>
        <v>15.3125</v>
      </c>
      <c r="AE420">
        <f t="shared" si="114"/>
        <v>2023</v>
      </c>
      <c r="AG420">
        <v>12</v>
      </c>
      <c r="AH420" s="26">
        <f t="shared" si="115"/>
        <v>11.293103448275861</v>
      </c>
      <c r="AI420" t="str">
        <f t="shared" si="116"/>
        <v>AM</v>
      </c>
      <c r="AJ420" t="str">
        <f t="shared" si="117"/>
        <v>1-2023-2</v>
      </c>
      <c r="AK420">
        <f t="shared" si="118"/>
        <v>1</v>
      </c>
      <c r="AL420" s="26">
        <f>IFERROR(Table2[[#This Row],[Calories]]/Table2[[#This Row],[Splat]],"")</f>
        <v>43.666666666666664</v>
      </c>
      <c r="AM420">
        <f>COUNTIF(N$2:$N$938,N420)</f>
        <v>218</v>
      </c>
      <c r="AN420" t="str">
        <f>VLOOKUP(N420,'Helpful Tables'!A:D,4,FALSE)</f>
        <v>Washington, DC</v>
      </c>
      <c r="AO420" s="24">
        <f>COUNTIF(AN:AN,Table2[[#This Row],[State]])/COUNTA(AN:AN)</f>
        <v>0.54904051172707891</v>
      </c>
      <c r="AP420">
        <f>VLOOKUP(N420,'Helpful Tables'!A:B,2,FALSE)</f>
        <v>38.934710000000003</v>
      </c>
      <c r="AQ420">
        <f>VLOOKUP(N420,'Helpful Tables'!A:C,3,FALSE)</f>
        <v>-77.058222999999998</v>
      </c>
      <c r="AR420">
        <f>COUNTIF(P$2:$P$938,P420)</f>
        <v>12</v>
      </c>
      <c r="AS420" cm="1">
        <f t="array" ref="AS420">_xlfn.IFS(E420&lt;6,((E420/D420)*60)*0.5,AND(E420&gt;=6,E420&lt;9),((E420/D420)*60)*0.75,AND(E420&gt;=9,E420&lt;=11),((E420/D420)*60)*0.9,AND(E420=12),((E420/D420)*60)*1,AND(E420&gt;=13,E420&lt;=15),((E420/D420)*60)*1.2,AND(E420&gt;=16,E420&lt;=19),((E420/D420)*60)*1.5,E420&gt;=20,((E420/D420)*60)*1.8)</f>
        <v>18.620689655172413</v>
      </c>
      <c r="AT420" cm="1">
        <f t="array" ref="AT420">_xlfn.IFS(F420&lt;550,((F420/D420)*60)*0.5,AND(F420&gt;=550,F420&lt;575),((F420/D420)*60)*0.75,AND(F420&gt;=575,F420&lt;600),((F420/D420)*60)*0.9,AND(F420=600),((F420/D420)*60)*1,AND(F420&gt;=601,F420&lt;=625),((F420/D420)*60)*1.2,AND(F420&gt;=626,F420&lt;=650),((F420/D420)*60)*1.5,F420&gt;=651,((F420/D420)*60)*1.8)</f>
        <v>1219.655172413793</v>
      </c>
      <c r="AU420">
        <f t="shared" si="106"/>
        <v>25</v>
      </c>
      <c r="AV420">
        <f t="shared" si="121"/>
        <v>500.31034482758616</v>
      </c>
      <c r="AW420">
        <f t="shared" si="107"/>
        <v>79.100000000000009</v>
      </c>
      <c r="AX420" t="str">
        <f t="shared" si="119"/>
        <v>Jan-2023</v>
      </c>
      <c r="AY420">
        <f>ROUNDUP(Table2[[#This Row],[Month]]/3,0)</f>
        <v>1</v>
      </c>
    </row>
    <row r="421" spans="1:51" x14ac:dyDescent="0.2">
      <c r="A421">
        <v>420</v>
      </c>
      <c r="B421">
        <f t="shared" si="108"/>
        <v>16</v>
      </c>
      <c r="C421" s="22">
        <v>44940</v>
      </c>
      <c r="D421">
        <f>SUM(Table2[[#This Row],[Gray Min]:[Red Min]])</f>
        <v>58</v>
      </c>
      <c r="E421">
        <v>24</v>
      </c>
      <c r="F421">
        <v>601</v>
      </c>
      <c r="G421">
        <v>122</v>
      </c>
      <c r="H421">
        <v>173</v>
      </c>
      <c r="I421">
        <v>23</v>
      </c>
      <c r="J421">
        <v>6</v>
      </c>
      <c r="K421">
        <v>5</v>
      </c>
      <c r="L421">
        <v>8</v>
      </c>
      <c r="M421">
        <v>16</v>
      </c>
      <c r="N421" t="s">
        <v>40</v>
      </c>
      <c r="O421" t="s">
        <v>76</v>
      </c>
      <c r="P421" t="s">
        <v>169</v>
      </c>
      <c r="Q421">
        <f t="shared" si="120"/>
        <v>1</v>
      </c>
      <c r="R421" t="str">
        <f t="shared" si="109"/>
        <v>1-2023</v>
      </c>
      <c r="S421" t="s">
        <v>104</v>
      </c>
      <c r="T421" t="str">
        <f t="shared" si="110"/>
        <v>Saturday</v>
      </c>
      <c r="U421">
        <f t="shared" si="111"/>
        <v>1</v>
      </c>
      <c r="V421" s="24">
        <f>IFERROR(Table2[[#This Row],[Gray Min]]/Table2[[#This Row],[ClassLength]],"")</f>
        <v>0.39655172413793105</v>
      </c>
      <c r="W421" s="24">
        <f>IFERROR(Table2[[#This Row],[Blue Min]]/Table2[[#This Row],[ClassLength]],"")</f>
        <v>0.10344827586206896</v>
      </c>
      <c r="X421" s="24">
        <f>IFERROR(Table2[[#This Row],[Green Min]]/Table2[[#This Row],[ClassLength]],"")</f>
        <v>8.6206896551724144E-2</v>
      </c>
      <c r="Y421" s="24">
        <f>IFERROR(Table2[[#This Row],[Orange Min]]/Table2[[#This Row],[ClassLength]],"")</f>
        <v>0.13793103448275862</v>
      </c>
      <c r="Z421" s="24">
        <f>IFERROR(Table2[[#This Row],[Red Min]]/Table2[[#This Row],[ClassLength]],"")</f>
        <v>0.27586206896551724</v>
      </c>
      <c r="AA421" s="25">
        <v>232.14</v>
      </c>
      <c r="AB421" s="25">
        <f t="shared" si="122"/>
        <v>14.508749999999999</v>
      </c>
      <c r="AC421" s="26">
        <f t="shared" si="112"/>
        <v>625.875</v>
      </c>
      <c r="AD421" s="26">
        <f t="shared" si="113"/>
        <v>15.3125</v>
      </c>
      <c r="AE421">
        <f t="shared" si="114"/>
        <v>2023</v>
      </c>
      <c r="AG421">
        <v>12</v>
      </c>
      <c r="AH421" s="26">
        <f t="shared" si="115"/>
        <v>10.362068965517242</v>
      </c>
      <c r="AI421" t="str">
        <f t="shared" si="116"/>
        <v>AM</v>
      </c>
      <c r="AJ421" t="str">
        <f t="shared" si="117"/>
        <v>1-2023-2</v>
      </c>
      <c r="AK421">
        <f t="shared" si="118"/>
        <v>1</v>
      </c>
      <c r="AL421" s="26">
        <f>IFERROR(Table2[[#This Row],[Calories]]/Table2[[#This Row],[Splat]],"")</f>
        <v>25.041666666666668</v>
      </c>
      <c r="AM421">
        <f>COUNTIF(N$2:$N$938,N421)</f>
        <v>38</v>
      </c>
      <c r="AN421" t="str">
        <f>VLOOKUP(N421,'Helpful Tables'!A:D,4,FALSE)</f>
        <v>Washington, DC</v>
      </c>
      <c r="AO421" s="24">
        <f>COUNTIF(AN:AN,Table2[[#This Row],[State]])/COUNTA(AN:AN)</f>
        <v>0.54904051172707891</v>
      </c>
      <c r="AP421">
        <f>VLOOKUP(N421,'Helpful Tables'!A:B,2,FALSE)</f>
        <v>38.903509999999997</v>
      </c>
      <c r="AQ421">
        <f>VLOOKUP(N421,'Helpful Tables'!A:C,3,FALSE)</f>
        <v>-77.051809000000006</v>
      </c>
      <c r="AR421">
        <f>COUNTIF(P$2:$P$938,P421)</f>
        <v>1</v>
      </c>
      <c r="AS421" cm="1">
        <f t="array" ref="AS421">_xlfn.IFS(E421&lt;6,((E421/D421)*60)*0.5,AND(E421&gt;=6,E421&lt;9),((E421/D421)*60)*0.75,AND(E421&gt;=9,E421&lt;=11),((E421/D421)*60)*0.9,AND(E421=12),((E421/D421)*60)*1,AND(E421&gt;=13,E421&lt;=15),((E421/D421)*60)*1.2,AND(E421&gt;=16,E421&lt;=19),((E421/D421)*60)*1.5,E421&gt;=20,((E421/D421)*60)*1.8)</f>
        <v>44.689655172413794</v>
      </c>
      <c r="AT421" cm="1">
        <f t="array" ref="AT421">_xlfn.IFS(F421&lt;550,((F421/D421)*60)*0.5,AND(F421&gt;=550,F421&lt;575),((F421/D421)*60)*0.75,AND(F421&gt;=575,F421&lt;600),((F421/D421)*60)*0.9,AND(F421=600),((F421/D421)*60)*1,AND(F421&gt;=601,F421&lt;=625),((F421/D421)*60)*1.2,AND(F421&gt;=626,F421&lt;=650),((F421/D421)*60)*1.5,F421&gt;=651,((F421/D421)*60)*1.8)</f>
        <v>746.06896551724139</v>
      </c>
      <c r="AU421">
        <f t="shared" si="106"/>
        <v>6.2000000000000028</v>
      </c>
      <c r="AV421">
        <f t="shared" si="121"/>
        <v>317.54344827586215</v>
      </c>
      <c r="AW421">
        <f t="shared" si="107"/>
        <v>35.5</v>
      </c>
      <c r="AX421" t="str">
        <f t="shared" si="119"/>
        <v>Jan-2023</v>
      </c>
      <c r="AY421">
        <f>ROUNDUP(Table2[[#This Row],[Month]]/3,0)</f>
        <v>1</v>
      </c>
    </row>
    <row r="422" spans="1:51" x14ac:dyDescent="0.2">
      <c r="A422">
        <v>421</v>
      </c>
      <c r="B422">
        <f t="shared" si="108"/>
        <v>16</v>
      </c>
      <c r="C422" s="22">
        <v>44942</v>
      </c>
      <c r="D422">
        <f>SUM(Table2[[#This Row],[Gray Min]:[Red Min]])</f>
        <v>57</v>
      </c>
      <c r="E422">
        <v>16</v>
      </c>
      <c r="F422">
        <v>647</v>
      </c>
      <c r="G422">
        <v>129</v>
      </c>
      <c r="H422">
        <v>160</v>
      </c>
      <c r="I422">
        <v>5</v>
      </c>
      <c r="J422">
        <v>16</v>
      </c>
      <c r="K422">
        <v>20</v>
      </c>
      <c r="L422">
        <v>14</v>
      </c>
      <c r="M422">
        <v>2</v>
      </c>
      <c r="N422" t="s">
        <v>101</v>
      </c>
      <c r="O422" t="s">
        <v>53</v>
      </c>
      <c r="P422" t="s">
        <v>96</v>
      </c>
      <c r="Q422">
        <f t="shared" si="120"/>
        <v>2</v>
      </c>
      <c r="R422" t="str">
        <f t="shared" si="109"/>
        <v>1-2023</v>
      </c>
      <c r="S422" t="s">
        <v>104</v>
      </c>
      <c r="T422" t="str">
        <f t="shared" si="110"/>
        <v>Monday</v>
      </c>
      <c r="U422">
        <f t="shared" si="111"/>
        <v>1</v>
      </c>
      <c r="V422" s="24">
        <f>IFERROR(Table2[[#This Row],[Gray Min]]/Table2[[#This Row],[ClassLength]],"")</f>
        <v>8.771929824561403E-2</v>
      </c>
      <c r="W422" s="24">
        <f>IFERROR(Table2[[#This Row],[Blue Min]]/Table2[[#This Row],[ClassLength]],"")</f>
        <v>0.2807017543859649</v>
      </c>
      <c r="X422" s="24">
        <f>IFERROR(Table2[[#This Row],[Green Min]]/Table2[[#This Row],[ClassLength]],"")</f>
        <v>0.35087719298245612</v>
      </c>
      <c r="Y422" s="24">
        <f>IFERROR(Table2[[#This Row],[Orange Min]]/Table2[[#This Row],[ClassLength]],"")</f>
        <v>0.24561403508771928</v>
      </c>
      <c r="Z422" s="24">
        <f>IFERROR(Table2[[#This Row],[Red Min]]/Table2[[#This Row],[ClassLength]],"")</f>
        <v>3.5087719298245612E-2</v>
      </c>
      <c r="AA422" s="25">
        <v>232.14</v>
      </c>
      <c r="AB422" s="25">
        <f t="shared" si="122"/>
        <v>14.508749999999999</v>
      </c>
      <c r="AC422" s="26">
        <f t="shared" si="112"/>
        <v>625.875</v>
      </c>
      <c r="AD422" s="26">
        <f t="shared" si="113"/>
        <v>15.3125</v>
      </c>
      <c r="AE422">
        <f t="shared" si="114"/>
        <v>2023</v>
      </c>
      <c r="AG422">
        <v>12</v>
      </c>
      <c r="AH422" s="26">
        <f t="shared" si="115"/>
        <v>11.350877192982455</v>
      </c>
      <c r="AI422" t="str">
        <f t="shared" si="116"/>
        <v>PM</v>
      </c>
      <c r="AJ422" t="str">
        <f t="shared" si="117"/>
        <v>1-2023-3</v>
      </c>
      <c r="AK422">
        <f t="shared" si="118"/>
        <v>1</v>
      </c>
      <c r="AL422" s="26">
        <f>IFERROR(Table2[[#This Row],[Calories]]/Table2[[#This Row],[Splat]],"")</f>
        <v>40.4375</v>
      </c>
      <c r="AM422">
        <f>COUNTIF(N$2:$N$938,N422)</f>
        <v>191</v>
      </c>
      <c r="AN422" t="str">
        <f>VLOOKUP(N422,'Helpful Tables'!A:D,4,FALSE)</f>
        <v>Washington, DC</v>
      </c>
      <c r="AO422" s="24">
        <f>COUNTIF(AN:AN,Table2[[#This Row],[State]])/COUNTA(AN:AN)</f>
        <v>0.54904051172707891</v>
      </c>
      <c r="AP422">
        <f>VLOOKUP(N422,'Helpful Tables'!A:B,2,FALSE)</f>
        <v>38.949649000000001</v>
      </c>
      <c r="AQ422">
        <f>VLOOKUP(N422,'Helpful Tables'!A:C,3,FALSE)</f>
        <v>-77.080878999999996</v>
      </c>
      <c r="AR422">
        <f>COUNTIF(P$2:$P$938,P422)</f>
        <v>71</v>
      </c>
      <c r="AS422" cm="1">
        <f t="array" ref="AS422">_xlfn.IFS(E422&lt;6,((E422/D422)*60)*0.5,AND(E422&gt;=6,E422&lt;9),((E422/D422)*60)*0.75,AND(E422&gt;=9,E422&lt;=11),((E422/D422)*60)*0.9,AND(E422=12),((E422/D422)*60)*1,AND(E422&gt;=13,E422&lt;=15),((E422/D422)*60)*1.2,AND(E422&gt;=16,E422&lt;=19),((E422/D422)*60)*1.5,E422&gt;=20,((E422/D422)*60)*1.8)</f>
        <v>25.263157894736842</v>
      </c>
      <c r="AT422" cm="1">
        <f t="array" ref="AT422">_xlfn.IFS(F422&lt;550,((F422/D422)*60)*0.5,AND(F422&gt;=550,F422&lt;575),((F422/D422)*60)*0.75,AND(F422&gt;=575,F422&lt;600),((F422/D422)*60)*0.9,AND(F422=600),((F422/D422)*60)*1,AND(F422&gt;=601,F422&lt;=625),((F422/D422)*60)*1.2,AND(F422&gt;=626,F422&lt;=650),((F422/D422)*60)*1.5,F422&gt;=651,((F422/D422)*60)*1.8)</f>
        <v>1021.5789473684209</v>
      </c>
      <c r="AU422">
        <f t="shared" si="106"/>
        <v>21.599999999999998</v>
      </c>
      <c r="AV422">
        <f t="shared" si="121"/>
        <v>423.05684210526312</v>
      </c>
      <c r="AW422">
        <f t="shared" si="107"/>
        <v>63</v>
      </c>
      <c r="AX422" t="str">
        <f t="shared" si="119"/>
        <v>Jan-2023</v>
      </c>
      <c r="AY422">
        <f>ROUNDUP(Table2[[#This Row],[Month]]/3,0)</f>
        <v>1</v>
      </c>
    </row>
    <row r="423" spans="1:51" x14ac:dyDescent="0.2">
      <c r="A423">
        <v>422</v>
      </c>
      <c r="B423">
        <f t="shared" si="108"/>
        <v>16</v>
      </c>
      <c r="C423" s="22">
        <v>44946</v>
      </c>
      <c r="D423">
        <f>SUM(Table2[[#This Row],[Gray Min]:[Red Min]])</f>
        <v>57</v>
      </c>
      <c r="E423">
        <v>12</v>
      </c>
      <c r="F423">
        <v>616</v>
      </c>
      <c r="G423">
        <v>125</v>
      </c>
      <c r="H423">
        <v>158</v>
      </c>
      <c r="I423">
        <v>8</v>
      </c>
      <c r="J423">
        <v>17</v>
      </c>
      <c r="K423">
        <v>20</v>
      </c>
      <c r="L423">
        <v>12</v>
      </c>
      <c r="M423">
        <v>0</v>
      </c>
      <c r="N423" t="s">
        <v>91</v>
      </c>
      <c r="O423" t="s">
        <v>57</v>
      </c>
      <c r="P423" t="s">
        <v>96</v>
      </c>
      <c r="Q423">
        <f t="shared" si="120"/>
        <v>4</v>
      </c>
      <c r="R423" t="str">
        <f t="shared" si="109"/>
        <v>1-2023</v>
      </c>
      <c r="S423" t="s">
        <v>104</v>
      </c>
      <c r="T423" t="str">
        <f t="shared" si="110"/>
        <v>Friday</v>
      </c>
      <c r="U423">
        <f t="shared" si="111"/>
        <v>1</v>
      </c>
      <c r="V423" s="24">
        <f>IFERROR(Table2[[#This Row],[Gray Min]]/Table2[[#This Row],[ClassLength]],"")</f>
        <v>0.14035087719298245</v>
      </c>
      <c r="W423" s="24">
        <f>IFERROR(Table2[[#This Row],[Blue Min]]/Table2[[#This Row],[ClassLength]],"")</f>
        <v>0.2982456140350877</v>
      </c>
      <c r="X423" s="24">
        <f>IFERROR(Table2[[#This Row],[Green Min]]/Table2[[#This Row],[ClassLength]],"")</f>
        <v>0.35087719298245612</v>
      </c>
      <c r="Y423" s="24">
        <f>IFERROR(Table2[[#This Row],[Orange Min]]/Table2[[#This Row],[ClassLength]],"")</f>
        <v>0.21052631578947367</v>
      </c>
      <c r="Z423" s="24">
        <f>IFERROR(Table2[[#This Row],[Red Min]]/Table2[[#This Row],[ClassLength]],"")</f>
        <v>0</v>
      </c>
      <c r="AA423" s="25">
        <v>232.14</v>
      </c>
      <c r="AB423" s="25">
        <f t="shared" si="122"/>
        <v>14.508749999999999</v>
      </c>
      <c r="AC423" s="26">
        <f t="shared" si="112"/>
        <v>625.875</v>
      </c>
      <c r="AD423" s="26">
        <f t="shared" si="113"/>
        <v>15.3125</v>
      </c>
      <c r="AE423">
        <f t="shared" si="114"/>
        <v>2023</v>
      </c>
      <c r="AG423">
        <v>12</v>
      </c>
      <c r="AH423" s="26">
        <f t="shared" si="115"/>
        <v>10.807017543859649</v>
      </c>
      <c r="AI423" t="str">
        <f t="shared" si="116"/>
        <v>PM</v>
      </c>
      <c r="AJ423" t="str">
        <f t="shared" si="117"/>
        <v>1-2023-3</v>
      </c>
      <c r="AK423">
        <f t="shared" si="118"/>
        <v>1</v>
      </c>
      <c r="AL423" s="26">
        <f>IFERROR(Table2[[#This Row],[Calories]]/Table2[[#This Row],[Splat]],"")</f>
        <v>51.333333333333336</v>
      </c>
      <c r="AM423">
        <f>COUNTIF(N$2:$N$938,N423)</f>
        <v>218</v>
      </c>
      <c r="AN423" t="str">
        <f>VLOOKUP(N423,'Helpful Tables'!A:D,4,FALSE)</f>
        <v>Washington, DC</v>
      </c>
      <c r="AO423" s="24">
        <f>COUNTIF(AN:AN,Table2[[#This Row],[State]])/COUNTA(AN:AN)</f>
        <v>0.54904051172707891</v>
      </c>
      <c r="AP423">
        <f>VLOOKUP(N423,'Helpful Tables'!A:B,2,FALSE)</f>
        <v>38.934710000000003</v>
      </c>
      <c r="AQ423">
        <f>VLOOKUP(N423,'Helpful Tables'!A:C,3,FALSE)</f>
        <v>-77.058222999999998</v>
      </c>
      <c r="AR423">
        <f>COUNTIF(P$2:$P$938,P423)</f>
        <v>71</v>
      </c>
      <c r="AS423" cm="1">
        <f t="array" ref="AS423">_xlfn.IFS(E423&lt;6,((E423/D423)*60)*0.5,AND(E423&gt;=6,E423&lt;9),((E423/D423)*60)*0.75,AND(E423&gt;=9,E423&lt;=11),((E423/D423)*60)*0.9,AND(E423=12),((E423/D423)*60)*1,AND(E423&gt;=13,E423&lt;=15),((E423/D423)*60)*1.2,AND(E423&gt;=16,E423&lt;=19),((E423/D423)*60)*1.5,E423&gt;=20,((E423/D423)*60)*1.8)</f>
        <v>12.631578947368421</v>
      </c>
      <c r="AT423" cm="1">
        <f t="array" ref="AT423">_xlfn.IFS(F423&lt;550,((F423/D423)*60)*0.5,AND(F423&gt;=550,F423&lt;575),((F423/D423)*60)*0.75,AND(F423&gt;=575,F423&lt;600),((F423/D423)*60)*0.9,AND(F423=600),((F423/D423)*60)*1,AND(F423&gt;=601,F423&lt;=625),((F423/D423)*60)*1.2,AND(F423&gt;=626,F423&lt;=650),((F423/D423)*60)*1.5,F423&gt;=651,((F423/D423)*60)*1.8)</f>
        <v>778.10526315789468</v>
      </c>
      <c r="AU423">
        <f t="shared" si="106"/>
        <v>11.299999999999997</v>
      </c>
      <c r="AV423">
        <f t="shared" si="121"/>
        <v>318.55473684210523</v>
      </c>
      <c r="AW423">
        <f t="shared" si="107"/>
        <v>36.1</v>
      </c>
      <c r="AX423" t="str">
        <f t="shared" si="119"/>
        <v>Jan-2023</v>
      </c>
      <c r="AY423">
        <f>ROUNDUP(Table2[[#This Row],[Month]]/3,0)</f>
        <v>1</v>
      </c>
    </row>
    <row r="424" spans="1:51" x14ac:dyDescent="0.2">
      <c r="A424">
        <v>423</v>
      </c>
      <c r="B424">
        <f t="shared" si="108"/>
        <v>16</v>
      </c>
      <c r="C424" s="22">
        <v>44948</v>
      </c>
      <c r="D424">
        <f>SUM(Table2[[#This Row],[Gray Min]:[Red Min]])</f>
        <v>59</v>
      </c>
      <c r="E424">
        <v>16</v>
      </c>
      <c r="F424">
        <v>678</v>
      </c>
      <c r="G424">
        <v>128</v>
      </c>
      <c r="H424">
        <v>164</v>
      </c>
      <c r="I424">
        <v>8</v>
      </c>
      <c r="J424">
        <v>9</v>
      </c>
      <c r="K424">
        <v>26</v>
      </c>
      <c r="L424">
        <v>14</v>
      </c>
      <c r="M424">
        <v>2</v>
      </c>
      <c r="N424" t="s">
        <v>91</v>
      </c>
      <c r="O424" t="s">
        <v>79</v>
      </c>
      <c r="P424" t="s">
        <v>100</v>
      </c>
      <c r="Q424">
        <f t="shared" si="120"/>
        <v>2</v>
      </c>
      <c r="R424" t="str">
        <f t="shared" si="109"/>
        <v>1-2023</v>
      </c>
      <c r="S424" t="s">
        <v>104</v>
      </c>
      <c r="T424" t="str">
        <f t="shared" si="110"/>
        <v>Sunday</v>
      </c>
      <c r="U424">
        <f t="shared" si="111"/>
        <v>1</v>
      </c>
      <c r="V424" s="24">
        <f>IFERROR(Table2[[#This Row],[Gray Min]]/Table2[[#This Row],[ClassLength]],"")</f>
        <v>0.13559322033898305</v>
      </c>
      <c r="W424" s="24">
        <f>IFERROR(Table2[[#This Row],[Blue Min]]/Table2[[#This Row],[ClassLength]],"")</f>
        <v>0.15254237288135594</v>
      </c>
      <c r="X424" s="24">
        <f>IFERROR(Table2[[#This Row],[Green Min]]/Table2[[#This Row],[ClassLength]],"")</f>
        <v>0.44067796610169491</v>
      </c>
      <c r="Y424" s="24">
        <f>IFERROR(Table2[[#This Row],[Orange Min]]/Table2[[#This Row],[ClassLength]],"")</f>
        <v>0.23728813559322035</v>
      </c>
      <c r="Z424" s="24">
        <f>IFERROR(Table2[[#This Row],[Red Min]]/Table2[[#This Row],[ClassLength]],"")</f>
        <v>3.3898305084745763E-2</v>
      </c>
      <c r="AA424" s="25">
        <v>232.14</v>
      </c>
      <c r="AB424" s="25">
        <f t="shared" si="122"/>
        <v>14.508749999999999</v>
      </c>
      <c r="AC424" s="26">
        <f t="shared" si="112"/>
        <v>625.875</v>
      </c>
      <c r="AD424" s="26">
        <f t="shared" si="113"/>
        <v>15.3125</v>
      </c>
      <c r="AE424">
        <f t="shared" si="114"/>
        <v>2023</v>
      </c>
      <c r="AG424">
        <v>12</v>
      </c>
      <c r="AH424" s="26">
        <f t="shared" si="115"/>
        <v>11.491525423728813</v>
      </c>
      <c r="AI424" t="str">
        <f t="shared" si="116"/>
        <v>AM</v>
      </c>
      <c r="AJ424" t="str">
        <f t="shared" si="117"/>
        <v>1-2023-4</v>
      </c>
      <c r="AK424">
        <f t="shared" si="118"/>
        <v>1</v>
      </c>
      <c r="AL424" s="26">
        <f>IFERROR(Table2[[#This Row],[Calories]]/Table2[[#This Row],[Splat]],"")</f>
        <v>42.375</v>
      </c>
      <c r="AM424">
        <f>COUNTIF(N$2:$N$938,N424)</f>
        <v>218</v>
      </c>
      <c r="AN424" t="str">
        <f>VLOOKUP(N424,'Helpful Tables'!A:D,4,FALSE)</f>
        <v>Washington, DC</v>
      </c>
      <c r="AO424" s="24">
        <f>COUNTIF(AN:AN,Table2[[#This Row],[State]])/COUNTA(AN:AN)</f>
        <v>0.54904051172707891</v>
      </c>
      <c r="AP424">
        <f>VLOOKUP(N424,'Helpful Tables'!A:B,2,FALSE)</f>
        <v>38.934710000000003</v>
      </c>
      <c r="AQ424">
        <f>VLOOKUP(N424,'Helpful Tables'!A:C,3,FALSE)</f>
        <v>-77.058222999999998</v>
      </c>
      <c r="AR424">
        <f>COUNTIF(P$2:$P$938,P424)</f>
        <v>35</v>
      </c>
      <c r="AS424" cm="1">
        <f t="array" ref="AS424">_xlfn.IFS(E424&lt;6,((E424/D424)*60)*0.5,AND(E424&gt;=6,E424&lt;9),((E424/D424)*60)*0.75,AND(E424&gt;=9,E424&lt;=11),((E424/D424)*60)*0.9,AND(E424=12),((E424/D424)*60)*1,AND(E424&gt;=13,E424&lt;=15),((E424/D424)*60)*1.2,AND(E424&gt;=16,E424&lt;=19),((E424/D424)*60)*1.5,E424&gt;=20,((E424/D424)*60)*1.8)</f>
        <v>24.406779661016948</v>
      </c>
      <c r="AT424" cm="1">
        <f t="array" ref="AT424">_xlfn.IFS(F424&lt;550,((F424/D424)*60)*0.5,AND(F424&gt;=550,F424&lt;575),((F424/D424)*60)*0.75,AND(F424&gt;=575,F424&lt;600),((F424/D424)*60)*0.9,AND(F424=600),((F424/D424)*60)*1,AND(F424&gt;=601,F424&lt;=625),((F424/D424)*60)*1.2,AND(F424&gt;=626,F424&lt;=650),((F424/D424)*60)*1.5,F424&gt;=651,((F424/D424)*60)*1.8)</f>
        <v>1241.0847457627119</v>
      </c>
      <c r="AU424">
        <f t="shared" si="106"/>
        <v>32.9</v>
      </c>
      <c r="AV424">
        <f t="shared" si="121"/>
        <v>512.77661016949151</v>
      </c>
      <c r="AW424">
        <f t="shared" si="107"/>
        <v>87.1</v>
      </c>
      <c r="AX424" t="str">
        <f t="shared" si="119"/>
        <v>Jan-2023</v>
      </c>
      <c r="AY424">
        <f>ROUNDUP(Table2[[#This Row],[Month]]/3,0)</f>
        <v>1</v>
      </c>
    </row>
    <row r="425" spans="1:51" x14ac:dyDescent="0.2">
      <c r="A425">
        <v>424</v>
      </c>
      <c r="B425">
        <f t="shared" si="108"/>
        <v>16</v>
      </c>
      <c r="C425" s="22">
        <v>44950</v>
      </c>
      <c r="D425">
        <f>SUM(Table2[[#This Row],[Gray Min]:[Red Min]])</f>
        <v>59</v>
      </c>
      <c r="E425">
        <v>18</v>
      </c>
      <c r="F425">
        <v>693</v>
      </c>
      <c r="G425">
        <v>132</v>
      </c>
      <c r="H425">
        <v>161</v>
      </c>
      <c r="I425">
        <v>4</v>
      </c>
      <c r="J425">
        <v>11</v>
      </c>
      <c r="K425">
        <v>26</v>
      </c>
      <c r="L425">
        <v>17</v>
      </c>
      <c r="M425">
        <v>1</v>
      </c>
      <c r="N425" t="s">
        <v>101</v>
      </c>
      <c r="O425" t="s">
        <v>39</v>
      </c>
      <c r="P425" t="s">
        <v>109</v>
      </c>
      <c r="Q425">
        <f t="shared" si="120"/>
        <v>2</v>
      </c>
      <c r="R425" t="str">
        <f t="shared" si="109"/>
        <v>1-2023</v>
      </c>
      <c r="S425" t="s">
        <v>104</v>
      </c>
      <c r="T425" t="str">
        <f t="shared" si="110"/>
        <v>Tuesday</v>
      </c>
      <c r="U425">
        <f t="shared" si="111"/>
        <v>1</v>
      </c>
      <c r="V425" s="24">
        <f>IFERROR(Table2[[#This Row],[Gray Min]]/Table2[[#This Row],[ClassLength]],"")</f>
        <v>6.7796610169491525E-2</v>
      </c>
      <c r="W425" s="24">
        <f>IFERROR(Table2[[#This Row],[Blue Min]]/Table2[[#This Row],[ClassLength]],"")</f>
        <v>0.1864406779661017</v>
      </c>
      <c r="X425" s="24">
        <f>IFERROR(Table2[[#This Row],[Green Min]]/Table2[[#This Row],[ClassLength]],"")</f>
        <v>0.44067796610169491</v>
      </c>
      <c r="Y425" s="24">
        <f>IFERROR(Table2[[#This Row],[Orange Min]]/Table2[[#This Row],[ClassLength]],"")</f>
        <v>0.28813559322033899</v>
      </c>
      <c r="Z425" s="24">
        <f>IFERROR(Table2[[#This Row],[Red Min]]/Table2[[#This Row],[ClassLength]],"")</f>
        <v>1.6949152542372881E-2</v>
      </c>
      <c r="AA425" s="25">
        <v>232.14</v>
      </c>
      <c r="AB425" s="25">
        <f t="shared" si="122"/>
        <v>14.508749999999999</v>
      </c>
      <c r="AC425" s="26">
        <f t="shared" si="112"/>
        <v>625.875</v>
      </c>
      <c r="AD425" s="26">
        <f t="shared" si="113"/>
        <v>15.3125</v>
      </c>
      <c r="AE425">
        <f t="shared" si="114"/>
        <v>2023</v>
      </c>
      <c r="AG425">
        <v>12</v>
      </c>
      <c r="AH425" s="26">
        <f t="shared" si="115"/>
        <v>11.745762711864407</v>
      </c>
      <c r="AI425" t="str">
        <f t="shared" si="116"/>
        <v>PM</v>
      </c>
      <c r="AJ425" t="str">
        <f t="shared" si="117"/>
        <v>1-2023-4</v>
      </c>
      <c r="AK425">
        <f t="shared" si="118"/>
        <v>1</v>
      </c>
      <c r="AL425" s="26">
        <f>IFERROR(Table2[[#This Row],[Calories]]/Table2[[#This Row],[Splat]],"")</f>
        <v>38.5</v>
      </c>
      <c r="AM425">
        <f>COUNTIF(N$2:$N$938,N425)</f>
        <v>191</v>
      </c>
      <c r="AN425" t="str">
        <f>VLOOKUP(N425,'Helpful Tables'!A:D,4,FALSE)</f>
        <v>Washington, DC</v>
      </c>
      <c r="AO425" s="24">
        <f>COUNTIF(AN:AN,Table2[[#This Row],[State]])/COUNTA(AN:AN)</f>
        <v>0.54904051172707891</v>
      </c>
      <c r="AP425">
        <f>VLOOKUP(N425,'Helpful Tables'!A:B,2,FALSE)</f>
        <v>38.949649000000001</v>
      </c>
      <c r="AQ425">
        <f>VLOOKUP(N425,'Helpful Tables'!A:C,3,FALSE)</f>
        <v>-77.080878999999996</v>
      </c>
      <c r="AR425">
        <f>COUNTIF(P$2:$P$938,P425)</f>
        <v>66</v>
      </c>
      <c r="AS425" cm="1">
        <f t="array" ref="AS425">_xlfn.IFS(E425&lt;6,((E425/D425)*60)*0.5,AND(E425&gt;=6,E425&lt;9),((E425/D425)*60)*0.75,AND(E425&gt;=9,E425&lt;=11),((E425/D425)*60)*0.9,AND(E425=12),((E425/D425)*60)*1,AND(E425&gt;=13,E425&lt;=15),((E425/D425)*60)*1.2,AND(E425&gt;=16,E425&lt;=19),((E425/D425)*60)*1.5,E425&gt;=20,((E425/D425)*60)*1.8)</f>
        <v>27.457627118644069</v>
      </c>
      <c r="AT425" cm="1">
        <f t="array" ref="AT425">_xlfn.IFS(F425&lt;550,((F425/D425)*60)*0.5,AND(F425&gt;=550,F425&lt;575),((F425/D425)*60)*0.75,AND(F425&gt;=575,F425&lt;600),((F425/D425)*60)*0.9,AND(F425=600),((F425/D425)*60)*1,AND(F425&gt;=601,F425&lt;=625),((F425/D425)*60)*1.2,AND(F425&gt;=626,F425&lt;=650),((F425/D425)*60)*1.5,F425&gt;=651,((F425/D425)*60)*1.8)</f>
        <v>1268.542372881356</v>
      </c>
      <c r="AU425">
        <f t="shared" si="106"/>
        <v>37.9</v>
      </c>
      <c r="AV425">
        <f t="shared" si="121"/>
        <v>525.98000000000013</v>
      </c>
      <c r="AW425">
        <f t="shared" si="107"/>
        <v>92.600000000000009</v>
      </c>
      <c r="AX425" t="str">
        <f t="shared" si="119"/>
        <v>Jan-2023</v>
      </c>
      <c r="AY425">
        <f>ROUNDUP(Table2[[#This Row],[Month]]/3,0)</f>
        <v>1</v>
      </c>
    </row>
    <row r="426" spans="1:51" x14ac:dyDescent="0.2">
      <c r="A426">
        <v>425</v>
      </c>
      <c r="B426">
        <f t="shared" si="108"/>
        <v>16</v>
      </c>
      <c r="C426" s="22">
        <v>44951</v>
      </c>
      <c r="D426">
        <f>SUM(Table2[[#This Row],[Gray Min]:[Red Min]])</f>
        <v>59</v>
      </c>
      <c r="E426">
        <v>17</v>
      </c>
      <c r="F426">
        <v>510</v>
      </c>
      <c r="G426">
        <v>111</v>
      </c>
      <c r="H426">
        <v>164</v>
      </c>
      <c r="I426">
        <v>31</v>
      </c>
      <c r="J426">
        <v>4</v>
      </c>
      <c r="K426">
        <v>7</v>
      </c>
      <c r="L426">
        <v>16</v>
      </c>
      <c r="M426">
        <v>1</v>
      </c>
      <c r="N426" t="s">
        <v>101</v>
      </c>
      <c r="O426" t="s">
        <v>39</v>
      </c>
      <c r="P426" t="s">
        <v>147</v>
      </c>
      <c r="Q426">
        <f t="shared" si="120"/>
        <v>1</v>
      </c>
      <c r="R426" t="str">
        <f t="shared" si="109"/>
        <v>1-2023</v>
      </c>
      <c r="S426" t="s">
        <v>104</v>
      </c>
      <c r="T426" t="str">
        <f t="shared" si="110"/>
        <v>Wednesday</v>
      </c>
      <c r="U426">
        <f t="shared" si="111"/>
        <v>1</v>
      </c>
      <c r="V426" s="24">
        <f>IFERROR(Table2[[#This Row],[Gray Min]]/Table2[[#This Row],[ClassLength]],"")</f>
        <v>0.52542372881355937</v>
      </c>
      <c r="W426" s="24">
        <f>IFERROR(Table2[[#This Row],[Blue Min]]/Table2[[#This Row],[ClassLength]],"")</f>
        <v>6.7796610169491525E-2</v>
      </c>
      <c r="X426" s="24">
        <f>IFERROR(Table2[[#This Row],[Green Min]]/Table2[[#This Row],[ClassLength]],"")</f>
        <v>0.11864406779661017</v>
      </c>
      <c r="Y426" s="24">
        <f>IFERROR(Table2[[#This Row],[Orange Min]]/Table2[[#This Row],[ClassLength]],"")</f>
        <v>0.2711864406779661</v>
      </c>
      <c r="Z426" s="24">
        <f>IFERROR(Table2[[#This Row],[Red Min]]/Table2[[#This Row],[ClassLength]],"")</f>
        <v>1.6949152542372881E-2</v>
      </c>
      <c r="AA426" s="25">
        <v>232.14</v>
      </c>
      <c r="AB426" s="25">
        <f t="shared" si="122"/>
        <v>14.508749999999999</v>
      </c>
      <c r="AC426" s="26">
        <f t="shared" si="112"/>
        <v>625.875</v>
      </c>
      <c r="AD426" s="26">
        <f t="shared" si="113"/>
        <v>15.3125</v>
      </c>
      <c r="AE426">
        <f t="shared" si="114"/>
        <v>2023</v>
      </c>
      <c r="AG426">
        <v>12</v>
      </c>
      <c r="AH426" s="26">
        <f t="shared" si="115"/>
        <v>8.6440677966101696</v>
      </c>
      <c r="AI426" t="str">
        <f t="shared" si="116"/>
        <v>PM</v>
      </c>
      <c r="AJ426" t="str">
        <f t="shared" si="117"/>
        <v>1-2023-4</v>
      </c>
      <c r="AK426">
        <f t="shared" si="118"/>
        <v>1</v>
      </c>
      <c r="AL426" s="26">
        <f>IFERROR(Table2[[#This Row],[Calories]]/Table2[[#This Row],[Splat]],"")</f>
        <v>30</v>
      </c>
      <c r="AM426">
        <f>COUNTIF(N$2:$N$938,N426)</f>
        <v>191</v>
      </c>
      <c r="AN426" t="str">
        <f>VLOOKUP(N426,'Helpful Tables'!A:D,4,FALSE)</f>
        <v>Washington, DC</v>
      </c>
      <c r="AO426" s="24">
        <f>COUNTIF(AN:AN,Table2[[#This Row],[State]])/COUNTA(AN:AN)</f>
        <v>0.54904051172707891</v>
      </c>
      <c r="AP426">
        <f>VLOOKUP(N426,'Helpful Tables'!A:B,2,FALSE)</f>
        <v>38.949649000000001</v>
      </c>
      <c r="AQ426">
        <f>VLOOKUP(N426,'Helpful Tables'!A:C,3,FALSE)</f>
        <v>-77.080878999999996</v>
      </c>
      <c r="AR426">
        <f>COUNTIF(P$2:$P$938,P426)</f>
        <v>17</v>
      </c>
      <c r="AS426" cm="1">
        <f t="array" ref="AS426">_xlfn.IFS(E426&lt;6,((E426/D426)*60)*0.5,AND(E426&gt;=6,E426&lt;9),((E426/D426)*60)*0.75,AND(E426&gt;=9,E426&lt;=11),((E426/D426)*60)*0.9,AND(E426=12),((E426/D426)*60)*1,AND(E426&gt;=13,E426&lt;=15),((E426/D426)*60)*1.2,AND(E426&gt;=16,E426&lt;=19),((E426/D426)*60)*1.5,E426&gt;=20,((E426/D426)*60)*1.8)</f>
        <v>25.932203389830509</v>
      </c>
      <c r="AT426" cm="1">
        <f t="array" ref="AT426">_xlfn.IFS(F426&lt;550,((F426/D426)*60)*0.5,AND(F426&gt;=550,F426&lt;575),((F426/D426)*60)*0.75,AND(F426&gt;=575,F426&lt;600),((F426/D426)*60)*0.9,AND(F426=600),((F426/D426)*60)*1,AND(F426&gt;=601,F426&lt;=625),((F426/D426)*60)*1.2,AND(F426&gt;=626,F426&lt;=650),((F426/D426)*60)*1.5,F426&gt;=651,((F426/D426)*60)*1.8)</f>
        <v>259.32203389830511</v>
      </c>
      <c r="AU426">
        <f t="shared" si="106"/>
        <v>-10.899999999999995</v>
      </c>
      <c r="AV426">
        <f t="shared" si="121"/>
        <v>111.92169491525426</v>
      </c>
      <c r="AW426">
        <f t="shared" si="107"/>
        <v>4.3999999999999995</v>
      </c>
      <c r="AX426" t="str">
        <f t="shared" si="119"/>
        <v>Jan-2023</v>
      </c>
      <c r="AY426">
        <f>ROUNDUP(Table2[[#This Row],[Month]]/3,0)</f>
        <v>1</v>
      </c>
    </row>
    <row r="427" spans="1:51" x14ac:dyDescent="0.2">
      <c r="A427">
        <v>426</v>
      </c>
      <c r="B427">
        <f t="shared" si="108"/>
        <v>16</v>
      </c>
      <c r="C427" s="22">
        <v>44954</v>
      </c>
      <c r="D427">
        <f>SUM(Table2[[#This Row],[Gray Min]:[Red Min]])</f>
        <v>58</v>
      </c>
      <c r="E427">
        <v>13</v>
      </c>
      <c r="F427">
        <v>633</v>
      </c>
      <c r="G427">
        <v>126</v>
      </c>
      <c r="H427">
        <v>163</v>
      </c>
      <c r="I427">
        <v>7</v>
      </c>
      <c r="J427">
        <v>15</v>
      </c>
      <c r="K427">
        <v>23</v>
      </c>
      <c r="L427">
        <v>11</v>
      </c>
      <c r="M427">
        <v>2</v>
      </c>
      <c r="N427" t="s">
        <v>91</v>
      </c>
      <c r="O427" t="s">
        <v>79</v>
      </c>
      <c r="P427" t="s">
        <v>168</v>
      </c>
      <c r="Q427">
        <f t="shared" si="120"/>
        <v>3</v>
      </c>
      <c r="R427" t="str">
        <f t="shared" si="109"/>
        <v>1-2023</v>
      </c>
      <c r="S427" t="s">
        <v>104</v>
      </c>
      <c r="T427" t="str">
        <f t="shared" si="110"/>
        <v>Saturday</v>
      </c>
      <c r="U427">
        <f t="shared" si="111"/>
        <v>1</v>
      </c>
      <c r="V427" s="24">
        <f>IFERROR(Table2[[#This Row],[Gray Min]]/Table2[[#This Row],[ClassLength]],"")</f>
        <v>0.1206896551724138</v>
      </c>
      <c r="W427" s="24">
        <f>IFERROR(Table2[[#This Row],[Blue Min]]/Table2[[#This Row],[ClassLength]],"")</f>
        <v>0.25862068965517243</v>
      </c>
      <c r="X427" s="24">
        <f>IFERROR(Table2[[#This Row],[Green Min]]/Table2[[#This Row],[ClassLength]],"")</f>
        <v>0.39655172413793105</v>
      </c>
      <c r="Y427" s="24">
        <f>IFERROR(Table2[[#This Row],[Orange Min]]/Table2[[#This Row],[ClassLength]],"")</f>
        <v>0.18965517241379309</v>
      </c>
      <c r="Z427" s="24">
        <f>IFERROR(Table2[[#This Row],[Red Min]]/Table2[[#This Row],[ClassLength]],"")</f>
        <v>3.4482758620689655E-2</v>
      </c>
      <c r="AA427" s="25">
        <v>232.14</v>
      </c>
      <c r="AB427" s="25">
        <f t="shared" si="122"/>
        <v>14.508749999999999</v>
      </c>
      <c r="AC427" s="26">
        <f t="shared" si="112"/>
        <v>625.875</v>
      </c>
      <c r="AD427" s="26">
        <f t="shared" si="113"/>
        <v>15.3125</v>
      </c>
      <c r="AE427">
        <f t="shared" si="114"/>
        <v>2023</v>
      </c>
      <c r="AG427">
        <v>12</v>
      </c>
      <c r="AH427" s="26">
        <f t="shared" si="115"/>
        <v>10.913793103448276</v>
      </c>
      <c r="AI427" t="str">
        <f t="shared" si="116"/>
        <v>AM</v>
      </c>
      <c r="AJ427" t="str">
        <f t="shared" si="117"/>
        <v>1-2023-4</v>
      </c>
      <c r="AK427">
        <f t="shared" si="118"/>
        <v>1</v>
      </c>
      <c r="AL427" s="26">
        <f>IFERROR(Table2[[#This Row],[Calories]]/Table2[[#This Row],[Splat]],"")</f>
        <v>48.692307692307693</v>
      </c>
      <c r="AM427">
        <f>COUNTIF(N$2:$N$938,N427)</f>
        <v>218</v>
      </c>
      <c r="AN427" t="str">
        <f>VLOOKUP(N427,'Helpful Tables'!A:D,4,FALSE)</f>
        <v>Washington, DC</v>
      </c>
      <c r="AO427" s="24">
        <f>COUNTIF(AN:AN,Table2[[#This Row],[State]])/COUNTA(AN:AN)</f>
        <v>0.54904051172707891</v>
      </c>
      <c r="AP427">
        <f>VLOOKUP(N427,'Helpful Tables'!A:B,2,FALSE)</f>
        <v>38.934710000000003</v>
      </c>
      <c r="AQ427">
        <f>VLOOKUP(N427,'Helpful Tables'!A:C,3,FALSE)</f>
        <v>-77.058222999999998</v>
      </c>
      <c r="AR427">
        <f>COUNTIF(P$2:$P$938,P427)</f>
        <v>12</v>
      </c>
      <c r="AS427" cm="1">
        <f t="array" ref="AS427">_xlfn.IFS(E427&lt;6,((E427/D427)*60)*0.5,AND(E427&gt;=6,E427&lt;9),((E427/D427)*60)*0.75,AND(E427&gt;=9,E427&lt;=11),((E427/D427)*60)*0.9,AND(E427=12),((E427/D427)*60)*1,AND(E427&gt;=13,E427&lt;=15),((E427/D427)*60)*1.2,AND(E427&gt;=16,E427&lt;=19),((E427/D427)*60)*1.5,E427&gt;=20,((E427/D427)*60)*1.8)</f>
        <v>16.137931034482758</v>
      </c>
      <c r="AT427" cm="1">
        <f t="array" ref="AT427">_xlfn.IFS(F427&lt;550,((F427/D427)*60)*0.5,AND(F427&gt;=550,F427&lt;575),((F427/D427)*60)*0.75,AND(F427&gt;=575,F427&lt;600),((F427/D427)*60)*0.9,AND(F427=600),((F427/D427)*60)*1,AND(F427&gt;=601,F427&lt;=625),((F427/D427)*60)*1.2,AND(F427&gt;=626,F427&lt;=650),((F427/D427)*60)*1.5,F427&gt;=651,((F427/D427)*60)*1.8)</f>
        <v>982.24137931034477</v>
      </c>
      <c r="AU427">
        <f t="shared" si="106"/>
        <v>20</v>
      </c>
      <c r="AV427">
        <f t="shared" si="121"/>
        <v>403.351724137931</v>
      </c>
      <c r="AW427">
        <f t="shared" si="107"/>
        <v>54.900000000000006</v>
      </c>
      <c r="AX427" t="str">
        <f t="shared" si="119"/>
        <v>Jan-2023</v>
      </c>
      <c r="AY427">
        <f>ROUNDUP(Table2[[#This Row],[Month]]/3,0)</f>
        <v>1</v>
      </c>
    </row>
    <row r="428" spans="1:51" x14ac:dyDescent="0.2">
      <c r="A428">
        <v>427</v>
      </c>
      <c r="B428">
        <f t="shared" si="108"/>
        <v>16</v>
      </c>
      <c r="C428" s="22">
        <v>44957</v>
      </c>
      <c r="D428">
        <f>SUM(Table2[[#This Row],[Gray Min]:[Red Min]])</f>
        <v>59</v>
      </c>
      <c r="E428">
        <v>10</v>
      </c>
      <c r="F428">
        <v>613</v>
      </c>
      <c r="G428">
        <v>122</v>
      </c>
      <c r="H428">
        <v>164</v>
      </c>
      <c r="I428">
        <v>15</v>
      </c>
      <c r="J428">
        <v>17</v>
      </c>
      <c r="K428">
        <v>17</v>
      </c>
      <c r="L428">
        <v>10</v>
      </c>
      <c r="M428">
        <v>0</v>
      </c>
      <c r="N428" t="s">
        <v>101</v>
      </c>
      <c r="O428" t="s">
        <v>39</v>
      </c>
      <c r="P428" t="s">
        <v>109</v>
      </c>
      <c r="Q428">
        <f t="shared" si="120"/>
        <v>3</v>
      </c>
      <c r="R428" t="str">
        <f t="shared" si="109"/>
        <v>1-2023</v>
      </c>
      <c r="S428" t="s">
        <v>104</v>
      </c>
      <c r="T428" t="str">
        <f t="shared" si="110"/>
        <v>Tuesday</v>
      </c>
      <c r="U428">
        <f t="shared" si="111"/>
        <v>0</v>
      </c>
      <c r="V428" s="24">
        <f>IFERROR(Table2[[#This Row],[Gray Min]]/Table2[[#This Row],[ClassLength]],"")</f>
        <v>0.25423728813559321</v>
      </c>
      <c r="W428" s="24">
        <f>IFERROR(Table2[[#This Row],[Blue Min]]/Table2[[#This Row],[ClassLength]],"")</f>
        <v>0.28813559322033899</v>
      </c>
      <c r="X428" s="24">
        <f>IFERROR(Table2[[#This Row],[Green Min]]/Table2[[#This Row],[ClassLength]],"")</f>
        <v>0.28813559322033899</v>
      </c>
      <c r="Y428" s="24">
        <f>IFERROR(Table2[[#This Row],[Orange Min]]/Table2[[#This Row],[ClassLength]],"")</f>
        <v>0.16949152542372881</v>
      </c>
      <c r="Z428" s="24">
        <f>IFERROR(Table2[[#This Row],[Red Min]]/Table2[[#This Row],[ClassLength]],"")</f>
        <v>0</v>
      </c>
      <c r="AA428" s="25">
        <v>232.14</v>
      </c>
      <c r="AB428" s="25">
        <f t="shared" si="122"/>
        <v>14.508749999999999</v>
      </c>
      <c r="AC428" s="26">
        <f t="shared" si="112"/>
        <v>625.875</v>
      </c>
      <c r="AD428" s="26">
        <f t="shared" si="113"/>
        <v>15.3125</v>
      </c>
      <c r="AE428">
        <f t="shared" si="114"/>
        <v>2023</v>
      </c>
      <c r="AG428">
        <v>12</v>
      </c>
      <c r="AH428" s="26">
        <f t="shared" si="115"/>
        <v>10.389830508474576</v>
      </c>
      <c r="AI428" t="str">
        <f t="shared" si="116"/>
        <v>PM</v>
      </c>
      <c r="AJ428" t="str">
        <f t="shared" si="117"/>
        <v>1-2023-5</v>
      </c>
      <c r="AK428">
        <f t="shared" si="118"/>
        <v>1</v>
      </c>
      <c r="AL428" s="26">
        <f>IFERROR(Table2[[#This Row],[Calories]]/Table2[[#This Row],[Splat]],"")</f>
        <v>61.3</v>
      </c>
      <c r="AM428">
        <f>COUNTIF(N$2:$N$938,N428)</f>
        <v>191</v>
      </c>
      <c r="AN428" t="str">
        <f>VLOOKUP(N428,'Helpful Tables'!A:D,4,FALSE)</f>
        <v>Washington, DC</v>
      </c>
      <c r="AO428" s="24">
        <f>COUNTIF(AN:AN,Table2[[#This Row],[State]])/COUNTA(AN:AN)</f>
        <v>0.54904051172707891</v>
      </c>
      <c r="AP428">
        <f>VLOOKUP(N428,'Helpful Tables'!A:B,2,FALSE)</f>
        <v>38.949649000000001</v>
      </c>
      <c r="AQ428">
        <f>VLOOKUP(N428,'Helpful Tables'!A:C,3,FALSE)</f>
        <v>-77.080878999999996</v>
      </c>
      <c r="AR428">
        <f>COUNTIF(P$2:$P$938,P428)</f>
        <v>66</v>
      </c>
      <c r="AS428" cm="1">
        <f t="array" ref="AS428">_xlfn.IFS(E428&lt;6,((E428/D428)*60)*0.5,AND(E428&gt;=6,E428&lt;9),((E428/D428)*60)*0.75,AND(E428&gt;=9,E428&lt;=11),((E428/D428)*60)*0.9,AND(E428=12),((E428/D428)*60)*1,AND(E428&gt;=13,E428&lt;=15),((E428/D428)*60)*1.2,AND(E428&gt;=16,E428&lt;=19),((E428/D428)*60)*1.5,E428&gt;=20,((E428/D428)*60)*1.8)</f>
        <v>9.1525423728813564</v>
      </c>
      <c r="AT428" cm="1">
        <f t="array" ref="AT428">_xlfn.IFS(F428&lt;550,((F428/D428)*60)*0.5,AND(F428&gt;=550,F428&lt;575),((F428/D428)*60)*0.75,AND(F428&gt;=575,F428&lt;600),((F428/D428)*60)*0.9,AND(F428=600),((F428/D428)*60)*1,AND(F428&gt;=601,F428&lt;=625),((F428/D428)*60)*1.2,AND(F428&gt;=626,F428&lt;=650),((F428/D428)*60)*1.5,F428&gt;=651,((F428/D428)*60)*1.8)</f>
        <v>748.06779661016947</v>
      </c>
      <c r="AU428">
        <f t="shared" si="106"/>
        <v>-3.3000000000000043</v>
      </c>
      <c r="AV428">
        <f t="shared" si="121"/>
        <v>302.22813559322032</v>
      </c>
      <c r="AW428">
        <f t="shared" si="107"/>
        <v>27.700000000000003</v>
      </c>
      <c r="AX428" t="str">
        <f t="shared" si="119"/>
        <v>Jan-2023</v>
      </c>
      <c r="AY428">
        <f>ROUNDUP(Table2[[#This Row],[Month]]/3,0)</f>
        <v>1</v>
      </c>
    </row>
    <row r="429" spans="1:51" x14ac:dyDescent="0.2">
      <c r="A429">
        <v>428</v>
      </c>
      <c r="B429">
        <f t="shared" si="108"/>
        <v>15</v>
      </c>
      <c r="C429" s="22">
        <v>44958</v>
      </c>
      <c r="D429">
        <f>SUM(Table2[[#This Row],[Gray Min]:[Red Min]])</f>
        <v>58</v>
      </c>
      <c r="E429">
        <v>13</v>
      </c>
      <c r="F429">
        <v>665</v>
      </c>
      <c r="G429">
        <v>128</v>
      </c>
      <c r="H429">
        <v>168</v>
      </c>
      <c r="I429">
        <v>12</v>
      </c>
      <c r="J429">
        <v>11</v>
      </c>
      <c r="K429">
        <v>22</v>
      </c>
      <c r="L429">
        <v>11</v>
      </c>
      <c r="M429">
        <v>2</v>
      </c>
      <c r="N429" t="s">
        <v>160</v>
      </c>
      <c r="O429" t="s">
        <v>143</v>
      </c>
      <c r="P429" t="s">
        <v>161</v>
      </c>
      <c r="Q429">
        <f t="shared" si="120"/>
        <v>1</v>
      </c>
      <c r="R429" t="str">
        <f t="shared" si="109"/>
        <v>2-2023</v>
      </c>
      <c r="S429" t="s">
        <v>117</v>
      </c>
      <c r="T429" t="str">
        <f t="shared" si="110"/>
        <v>Wednesday</v>
      </c>
      <c r="U429">
        <f t="shared" si="111"/>
        <v>1</v>
      </c>
      <c r="V429" s="24">
        <f>IFERROR(Table2[[#This Row],[Gray Min]]/Table2[[#This Row],[ClassLength]],"")</f>
        <v>0.20689655172413793</v>
      </c>
      <c r="W429" s="24">
        <f>IFERROR(Table2[[#This Row],[Blue Min]]/Table2[[#This Row],[ClassLength]],"")</f>
        <v>0.18965517241379309</v>
      </c>
      <c r="X429" s="24">
        <f>IFERROR(Table2[[#This Row],[Green Min]]/Table2[[#This Row],[ClassLength]],"")</f>
        <v>0.37931034482758619</v>
      </c>
      <c r="Y429" s="24">
        <f>IFERROR(Table2[[#This Row],[Orange Min]]/Table2[[#This Row],[ClassLength]],"")</f>
        <v>0.18965517241379309</v>
      </c>
      <c r="Z429" s="24">
        <f>IFERROR(Table2[[#This Row],[Red Min]]/Table2[[#This Row],[ClassLength]],"")</f>
        <v>3.4482758620689655E-2</v>
      </c>
      <c r="AA429" s="25">
        <v>232.14</v>
      </c>
      <c r="AB429" s="25">
        <f t="shared" si="122"/>
        <v>15.475999999999999</v>
      </c>
      <c r="AC429" s="26">
        <f t="shared" si="112"/>
        <v>629.4</v>
      </c>
      <c r="AD429" s="26">
        <f t="shared" si="113"/>
        <v>12.8</v>
      </c>
      <c r="AE429">
        <f t="shared" si="114"/>
        <v>2023</v>
      </c>
      <c r="AG429">
        <v>12</v>
      </c>
      <c r="AH429" s="26">
        <f t="shared" si="115"/>
        <v>11.46551724137931</v>
      </c>
      <c r="AI429" t="str">
        <f t="shared" si="116"/>
        <v>PM</v>
      </c>
      <c r="AJ429" t="str">
        <f t="shared" si="117"/>
        <v>2-2023-1</v>
      </c>
      <c r="AK429">
        <f t="shared" si="118"/>
        <v>2</v>
      </c>
      <c r="AL429" s="26">
        <f>IFERROR(Table2[[#This Row],[Calories]]/Table2[[#This Row],[Splat]],"")</f>
        <v>51.153846153846153</v>
      </c>
      <c r="AM429">
        <f>COUNTIF(N$2:$N$938,N429)</f>
        <v>9</v>
      </c>
      <c r="AN429" t="str">
        <f>VLOOKUP(N429,'Helpful Tables'!A:D,4,FALSE)</f>
        <v>Virginia</v>
      </c>
      <c r="AO429" s="24">
        <f>COUNTIF(AN:AN,Table2[[#This Row],[State]])/COUNTA(AN:AN)</f>
        <v>5.6503198294243072E-2</v>
      </c>
      <c r="AP429">
        <f>VLOOKUP(N429,'Helpful Tables'!A:B,2,FALSE)</f>
        <v>38.880467000000003</v>
      </c>
      <c r="AQ429">
        <f>VLOOKUP(N429,'Helpful Tables'!A:C,3,FALSE)</f>
        <v>-77.111583999999993</v>
      </c>
      <c r="AR429">
        <f>COUNTIF(P$2:$P$938,P429)</f>
        <v>7</v>
      </c>
      <c r="AS429" cm="1">
        <f t="array" ref="AS429">_xlfn.IFS(E429&lt;6,((E429/D429)*60)*0.5,AND(E429&gt;=6,E429&lt;9),((E429/D429)*60)*0.75,AND(E429&gt;=9,E429&lt;=11),((E429/D429)*60)*0.9,AND(E429=12),((E429/D429)*60)*1,AND(E429&gt;=13,E429&lt;=15),((E429/D429)*60)*1.2,AND(E429&gt;=16,E429&lt;=19),((E429/D429)*60)*1.5,E429&gt;=20,((E429/D429)*60)*1.8)</f>
        <v>16.137931034482758</v>
      </c>
      <c r="AT429" cm="1">
        <f t="array" ref="AT429">_xlfn.IFS(F429&lt;550,((F429/D429)*60)*0.5,AND(F429&gt;=550,F429&lt;575),((F429/D429)*60)*0.75,AND(F429&gt;=575,F429&lt;600),((F429/D429)*60)*0.9,AND(F429=600),((F429/D429)*60)*1,AND(F429&gt;=601,F429&lt;=625),((F429/D429)*60)*1.2,AND(F429&gt;=626,F429&lt;=650),((F429/D429)*60)*1.5,F429&gt;=651,((F429/D429)*60)*1.8)</f>
        <v>1238.2758620689656</v>
      </c>
      <c r="AU429">
        <f t="shared" si="106"/>
        <v>17.2</v>
      </c>
      <c r="AV429">
        <f t="shared" si="121"/>
        <v>505.20551724137937</v>
      </c>
      <c r="AW429">
        <f t="shared" si="107"/>
        <v>82.699999999999989</v>
      </c>
      <c r="AX429" t="str">
        <f t="shared" si="119"/>
        <v>Feb-2023</v>
      </c>
      <c r="AY429">
        <f>ROUNDUP(Table2[[#This Row],[Month]]/3,0)</f>
        <v>1</v>
      </c>
    </row>
    <row r="430" spans="1:51" x14ac:dyDescent="0.2">
      <c r="A430">
        <v>429</v>
      </c>
      <c r="B430">
        <f t="shared" si="108"/>
        <v>15</v>
      </c>
      <c r="C430" s="22">
        <v>44961</v>
      </c>
      <c r="D430">
        <f>SUM(Table2[[#This Row],[Gray Min]:[Red Min]])</f>
        <v>57</v>
      </c>
      <c r="E430">
        <v>13</v>
      </c>
      <c r="F430">
        <v>651</v>
      </c>
      <c r="G430">
        <v>128</v>
      </c>
      <c r="H430">
        <v>167</v>
      </c>
      <c r="I430">
        <v>8</v>
      </c>
      <c r="J430">
        <v>17</v>
      </c>
      <c r="K430">
        <v>19</v>
      </c>
      <c r="L430">
        <v>12</v>
      </c>
      <c r="M430">
        <v>1</v>
      </c>
      <c r="N430" t="s">
        <v>91</v>
      </c>
      <c r="O430" t="s">
        <v>79</v>
      </c>
      <c r="P430" t="s">
        <v>98</v>
      </c>
      <c r="Q430">
        <f t="shared" si="120"/>
        <v>3</v>
      </c>
      <c r="R430" t="str">
        <f t="shared" si="109"/>
        <v>2-2023</v>
      </c>
      <c r="S430" t="s">
        <v>104</v>
      </c>
      <c r="T430" t="str">
        <f t="shared" si="110"/>
        <v>Saturday</v>
      </c>
      <c r="U430">
        <f t="shared" si="111"/>
        <v>1</v>
      </c>
      <c r="V430" s="24">
        <f>IFERROR(Table2[[#This Row],[Gray Min]]/Table2[[#This Row],[ClassLength]],"")</f>
        <v>0.14035087719298245</v>
      </c>
      <c r="W430" s="24">
        <f>IFERROR(Table2[[#This Row],[Blue Min]]/Table2[[#This Row],[ClassLength]],"")</f>
        <v>0.2982456140350877</v>
      </c>
      <c r="X430" s="24">
        <f>IFERROR(Table2[[#This Row],[Green Min]]/Table2[[#This Row],[ClassLength]],"")</f>
        <v>0.33333333333333331</v>
      </c>
      <c r="Y430" s="24">
        <f>IFERROR(Table2[[#This Row],[Orange Min]]/Table2[[#This Row],[ClassLength]],"")</f>
        <v>0.21052631578947367</v>
      </c>
      <c r="Z430" s="24">
        <f>IFERROR(Table2[[#This Row],[Red Min]]/Table2[[#This Row],[ClassLength]],"")</f>
        <v>1.7543859649122806E-2</v>
      </c>
      <c r="AA430" s="25">
        <v>232.14</v>
      </c>
      <c r="AB430" s="25">
        <f t="shared" si="122"/>
        <v>15.475999999999999</v>
      </c>
      <c r="AC430" s="26">
        <f t="shared" si="112"/>
        <v>629.4</v>
      </c>
      <c r="AD430" s="26">
        <f t="shared" si="113"/>
        <v>12.8</v>
      </c>
      <c r="AE430">
        <f t="shared" si="114"/>
        <v>2023</v>
      </c>
      <c r="AG430">
        <v>12</v>
      </c>
      <c r="AH430" s="26">
        <f t="shared" si="115"/>
        <v>11.421052631578947</v>
      </c>
      <c r="AI430" t="str">
        <f t="shared" si="116"/>
        <v>AM</v>
      </c>
      <c r="AJ430" t="str">
        <f t="shared" si="117"/>
        <v>2-2023-1</v>
      </c>
      <c r="AK430">
        <f t="shared" si="118"/>
        <v>2</v>
      </c>
      <c r="AL430" s="26">
        <f>IFERROR(Table2[[#This Row],[Calories]]/Table2[[#This Row],[Splat]],"")</f>
        <v>50.07692307692308</v>
      </c>
      <c r="AM430">
        <f>COUNTIF(N$2:$N$938,N430)</f>
        <v>218</v>
      </c>
      <c r="AN430" t="str">
        <f>VLOOKUP(N430,'Helpful Tables'!A:D,4,FALSE)</f>
        <v>Washington, DC</v>
      </c>
      <c r="AO430" s="24">
        <f>COUNTIF(AN:AN,Table2[[#This Row],[State]])/COUNTA(AN:AN)</f>
        <v>0.54904051172707891</v>
      </c>
      <c r="AP430">
        <f>VLOOKUP(N430,'Helpful Tables'!A:B,2,FALSE)</f>
        <v>38.934710000000003</v>
      </c>
      <c r="AQ430">
        <f>VLOOKUP(N430,'Helpful Tables'!A:C,3,FALSE)</f>
        <v>-77.058222999999998</v>
      </c>
      <c r="AR430">
        <f>COUNTIF(P$2:$P$938,P430)</f>
        <v>28</v>
      </c>
      <c r="AS430" cm="1">
        <f t="array" ref="AS430">_xlfn.IFS(E430&lt;6,((E430/D430)*60)*0.5,AND(E430&gt;=6,E430&lt;9),((E430/D430)*60)*0.75,AND(E430&gt;=9,E430&lt;=11),((E430/D430)*60)*0.9,AND(E430=12),((E430/D430)*60)*1,AND(E430&gt;=13,E430&lt;=15),((E430/D430)*60)*1.2,AND(E430&gt;=16,E430&lt;=19),((E430/D430)*60)*1.5,E430&gt;=20,((E430/D430)*60)*1.8)</f>
        <v>16.421052631578945</v>
      </c>
      <c r="AT430" cm="1">
        <f t="array" ref="AT430">_xlfn.IFS(F430&lt;550,((F430/D430)*60)*0.5,AND(F430&gt;=550,F430&lt;575),((F430/D430)*60)*0.75,AND(F430&gt;=575,F430&lt;600),((F430/D430)*60)*0.9,AND(F430=600),((F430/D430)*60)*1,AND(F430&gt;=601,F430&lt;=625),((F430/D430)*60)*1.2,AND(F430&gt;=626,F430&lt;=650),((F430/D430)*60)*1.5,F430&gt;=651,((F430/D430)*60)*1.8)</f>
        <v>1233.4736842105262</v>
      </c>
      <c r="AU430">
        <f t="shared" ref="AU430:AU453" si="123">(I430*-1.2)+(J430*-1.1)+(K430*1.2)+(L430*1.3)+(M430*1.5)</f>
        <v>11.599999999999998</v>
      </c>
      <c r="AV430">
        <f t="shared" si="121"/>
        <v>502.27789473684214</v>
      </c>
      <c r="AW430">
        <f t="shared" ref="AW430:AW493" si="124">PERCENTRANK(AV:AV,AV430)*100</f>
        <v>80.5</v>
      </c>
      <c r="AX430" t="str">
        <f t="shared" si="119"/>
        <v>Feb-2023</v>
      </c>
      <c r="AY430">
        <f>ROUNDUP(Table2[[#This Row],[Month]]/3,0)</f>
        <v>1</v>
      </c>
    </row>
    <row r="431" spans="1:51" x14ac:dyDescent="0.2">
      <c r="A431">
        <v>430</v>
      </c>
      <c r="B431">
        <f t="shared" si="108"/>
        <v>15</v>
      </c>
      <c r="C431" s="22">
        <v>44962</v>
      </c>
      <c r="D431">
        <f>SUM(Table2[[#This Row],[Gray Min]:[Red Min]])</f>
        <v>58</v>
      </c>
      <c r="E431">
        <v>9</v>
      </c>
      <c r="F431">
        <v>610</v>
      </c>
      <c r="G431">
        <v>122</v>
      </c>
      <c r="H431">
        <v>165</v>
      </c>
      <c r="I431">
        <v>14</v>
      </c>
      <c r="J431">
        <v>17</v>
      </c>
      <c r="K431">
        <v>18</v>
      </c>
      <c r="L431">
        <v>8</v>
      </c>
      <c r="M431">
        <v>1</v>
      </c>
      <c r="N431" t="s">
        <v>91</v>
      </c>
      <c r="O431" t="s">
        <v>79</v>
      </c>
      <c r="P431" t="s">
        <v>100</v>
      </c>
      <c r="Q431">
        <f t="shared" si="120"/>
        <v>1</v>
      </c>
      <c r="R431" t="str">
        <f t="shared" si="109"/>
        <v>2-2023</v>
      </c>
      <c r="S431" t="s">
        <v>104</v>
      </c>
      <c r="T431" t="str">
        <f t="shared" si="110"/>
        <v>Sunday</v>
      </c>
      <c r="U431">
        <f t="shared" si="111"/>
        <v>0</v>
      </c>
      <c r="V431" s="24">
        <f>IFERROR(Table2[[#This Row],[Gray Min]]/Table2[[#This Row],[ClassLength]],"")</f>
        <v>0.2413793103448276</v>
      </c>
      <c r="W431" s="24">
        <f>IFERROR(Table2[[#This Row],[Blue Min]]/Table2[[#This Row],[ClassLength]],"")</f>
        <v>0.29310344827586204</v>
      </c>
      <c r="X431" s="24">
        <f>IFERROR(Table2[[#This Row],[Green Min]]/Table2[[#This Row],[ClassLength]],"")</f>
        <v>0.31034482758620691</v>
      </c>
      <c r="Y431" s="24">
        <f>IFERROR(Table2[[#This Row],[Orange Min]]/Table2[[#This Row],[ClassLength]],"")</f>
        <v>0.13793103448275862</v>
      </c>
      <c r="Z431" s="24">
        <f>IFERROR(Table2[[#This Row],[Red Min]]/Table2[[#This Row],[ClassLength]],"")</f>
        <v>1.7241379310344827E-2</v>
      </c>
      <c r="AA431" s="25">
        <v>232.14</v>
      </c>
      <c r="AB431" s="25">
        <f t="shared" si="122"/>
        <v>15.475999999999999</v>
      </c>
      <c r="AC431" s="26">
        <f t="shared" si="112"/>
        <v>629.4</v>
      </c>
      <c r="AD431" s="26">
        <f t="shared" si="113"/>
        <v>12.8</v>
      </c>
      <c r="AE431">
        <f t="shared" si="114"/>
        <v>2023</v>
      </c>
      <c r="AG431">
        <v>12</v>
      </c>
      <c r="AH431" s="26">
        <f t="shared" si="115"/>
        <v>10.517241379310345</v>
      </c>
      <c r="AI431" t="str">
        <f t="shared" si="116"/>
        <v>AM</v>
      </c>
      <c r="AJ431" t="str">
        <f t="shared" si="117"/>
        <v>2-2023-2</v>
      </c>
      <c r="AK431">
        <f t="shared" si="118"/>
        <v>2</v>
      </c>
      <c r="AL431" s="26">
        <f>IFERROR(Table2[[#This Row],[Calories]]/Table2[[#This Row],[Splat]],"")</f>
        <v>67.777777777777771</v>
      </c>
      <c r="AM431">
        <f>COUNTIF(N$2:$N$938,N431)</f>
        <v>218</v>
      </c>
      <c r="AN431" t="str">
        <f>VLOOKUP(N431,'Helpful Tables'!A:D,4,FALSE)</f>
        <v>Washington, DC</v>
      </c>
      <c r="AO431" s="24">
        <f>COUNTIF(AN:AN,Table2[[#This Row],[State]])/COUNTA(AN:AN)</f>
        <v>0.54904051172707891</v>
      </c>
      <c r="AP431">
        <f>VLOOKUP(N431,'Helpful Tables'!A:B,2,FALSE)</f>
        <v>38.934710000000003</v>
      </c>
      <c r="AQ431">
        <f>VLOOKUP(N431,'Helpful Tables'!A:C,3,FALSE)</f>
        <v>-77.058222999999998</v>
      </c>
      <c r="AR431">
        <f>COUNTIF(P$2:$P$938,P431)</f>
        <v>35</v>
      </c>
      <c r="AS431" cm="1">
        <f t="array" ref="AS431">_xlfn.IFS(E431&lt;6,((E431/D431)*60)*0.5,AND(E431&gt;=6,E431&lt;9),((E431/D431)*60)*0.75,AND(E431&gt;=9,E431&lt;=11),((E431/D431)*60)*0.9,AND(E431=12),((E431/D431)*60)*1,AND(E431&gt;=13,E431&lt;=15),((E431/D431)*60)*1.2,AND(E431&gt;=16,E431&lt;=19),((E431/D431)*60)*1.5,E431&gt;=20,((E431/D431)*60)*1.8)</f>
        <v>8.3793103448275854</v>
      </c>
      <c r="AT431" cm="1">
        <f t="array" ref="AT431">_xlfn.IFS(F431&lt;550,((F431/D431)*60)*0.5,AND(F431&gt;=550,F431&lt;575),((F431/D431)*60)*0.75,AND(F431&gt;=575,F431&lt;600),((F431/D431)*60)*0.9,AND(F431=600),((F431/D431)*60)*1,AND(F431&gt;=601,F431&lt;=625),((F431/D431)*60)*1.2,AND(F431&gt;=626,F431&lt;=650),((F431/D431)*60)*1.5,F431&gt;=651,((F431/D431)*60)*1.8)</f>
        <v>757.24137931034477</v>
      </c>
      <c r="AU431">
        <f t="shared" si="123"/>
        <v>-2.0000000000000018</v>
      </c>
      <c r="AV431">
        <f t="shared" si="121"/>
        <v>305.84827586206899</v>
      </c>
      <c r="AW431">
        <f t="shared" si="124"/>
        <v>29.5</v>
      </c>
      <c r="AX431" t="str">
        <f t="shared" si="119"/>
        <v>Feb-2023</v>
      </c>
      <c r="AY431">
        <f>ROUNDUP(Table2[[#This Row],[Month]]/3,0)</f>
        <v>1</v>
      </c>
    </row>
    <row r="432" spans="1:51" x14ac:dyDescent="0.2">
      <c r="A432">
        <v>431</v>
      </c>
      <c r="B432">
        <f t="shared" si="108"/>
        <v>15</v>
      </c>
      <c r="C432" s="22">
        <v>44964</v>
      </c>
      <c r="D432">
        <f>SUM(Table2[[#This Row],[Gray Min]:[Red Min]])</f>
        <v>62</v>
      </c>
      <c r="E432">
        <v>21</v>
      </c>
      <c r="F432">
        <v>706</v>
      </c>
      <c r="G432">
        <v>130</v>
      </c>
      <c r="H432">
        <v>168</v>
      </c>
      <c r="I432">
        <v>10</v>
      </c>
      <c r="J432">
        <v>17</v>
      </c>
      <c r="K432">
        <v>14</v>
      </c>
      <c r="L432">
        <v>18</v>
      </c>
      <c r="M432">
        <v>3</v>
      </c>
      <c r="N432" t="s">
        <v>101</v>
      </c>
      <c r="O432" t="s">
        <v>39</v>
      </c>
      <c r="P432" t="s">
        <v>109</v>
      </c>
      <c r="Q432">
        <f t="shared" si="120"/>
        <v>2</v>
      </c>
      <c r="R432" t="str">
        <f t="shared" si="109"/>
        <v>2-2023</v>
      </c>
      <c r="S432" t="s">
        <v>104</v>
      </c>
      <c r="T432" t="str">
        <f t="shared" si="110"/>
        <v>Tuesday</v>
      </c>
      <c r="U432">
        <f t="shared" si="111"/>
        <v>1</v>
      </c>
      <c r="V432" s="24">
        <f>IFERROR(Table2[[#This Row],[Gray Min]]/Table2[[#This Row],[ClassLength]],"")</f>
        <v>0.16129032258064516</v>
      </c>
      <c r="W432" s="24">
        <f>IFERROR(Table2[[#This Row],[Blue Min]]/Table2[[#This Row],[ClassLength]],"")</f>
        <v>0.27419354838709675</v>
      </c>
      <c r="X432" s="24">
        <f>IFERROR(Table2[[#This Row],[Green Min]]/Table2[[#This Row],[ClassLength]],"")</f>
        <v>0.22580645161290322</v>
      </c>
      <c r="Y432" s="24">
        <f>IFERROR(Table2[[#This Row],[Orange Min]]/Table2[[#This Row],[ClassLength]],"")</f>
        <v>0.29032258064516131</v>
      </c>
      <c r="Z432" s="24">
        <f>IFERROR(Table2[[#This Row],[Red Min]]/Table2[[#This Row],[ClassLength]],"")</f>
        <v>4.8387096774193547E-2</v>
      </c>
      <c r="AA432" s="25">
        <v>232.14</v>
      </c>
      <c r="AB432" s="25">
        <f t="shared" si="122"/>
        <v>15.475999999999999</v>
      </c>
      <c r="AC432" s="26">
        <f t="shared" si="112"/>
        <v>629.4</v>
      </c>
      <c r="AD432" s="26">
        <f t="shared" si="113"/>
        <v>12.8</v>
      </c>
      <c r="AE432">
        <f t="shared" si="114"/>
        <v>2023</v>
      </c>
      <c r="AG432">
        <v>12</v>
      </c>
      <c r="AH432" s="26">
        <f t="shared" si="115"/>
        <v>11.387096774193548</v>
      </c>
      <c r="AI432" t="str">
        <f t="shared" si="116"/>
        <v>PM</v>
      </c>
      <c r="AJ432" t="str">
        <f t="shared" si="117"/>
        <v>2-2023-2</v>
      </c>
      <c r="AK432">
        <f t="shared" si="118"/>
        <v>2</v>
      </c>
      <c r="AL432" s="26">
        <f>IFERROR(Table2[[#This Row],[Calories]]/Table2[[#This Row],[Splat]],"")</f>
        <v>33.61904761904762</v>
      </c>
      <c r="AM432">
        <f>COUNTIF(N$2:$N$938,N432)</f>
        <v>191</v>
      </c>
      <c r="AN432" t="str">
        <f>VLOOKUP(N432,'Helpful Tables'!A:D,4,FALSE)</f>
        <v>Washington, DC</v>
      </c>
      <c r="AO432" s="24">
        <f>COUNTIF(AN:AN,Table2[[#This Row],[State]])/COUNTA(AN:AN)</f>
        <v>0.54904051172707891</v>
      </c>
      <c r="AP432">
        <f>VLOOKUP(N432,'Helpful Tables'!A:B,2,FALSE)</f>
        <v>38.949649000000001</v>
      </c>
      <c r="AQ432">
        <f>VLOOKUP(N432,'Helpful Tables'!A:C,3,FALSE)</f>
        <v>-77.080878999999996</v>
      </c>
      <c r="AR432">
        <f>COUNTIF(P$2:$P$938,P432)</f>
        <v>66</v>
      </c>
      <c r="AS432" cm="1">
        <f t="array" ref="AS432">_xlfn.IFS(E432&lt;6,((E432/D432)*60)*0.5,AND(E432&gt;=6,E432&lt;9),((E432/D432)*60)*0.75,AND(E432&gt;=9,E432&lt;=11),((E432/D432)*60)*0.9,AND(E432=12),((E432/D432)*60)*1,AND(E432&gt;=13,E432&lt;=15),((E432/D432)*60)*1.2,AND(E432&gt;=16,E432&lt;=19),((E432/D432)*60)*1.5,E432&gt;=20,((E432/D432)*60)*1.8)</f>
        <v>36.58064516129032</v>
      </c>
      <c r="AT432" cm="1">
        <f t="array" ref="AT432">_xlfn.IFS(F432&lt;550,((F432/D432)*60)*0.5,AND(F432&gt;=550,F432&lt;575),((F432/D432)*60)*0.75,AND(F432&gt;=575,F432&lt;600),((F432/D432)*60)*0.9,AND(F432=600),((F432/D432)*60)*1,AND(F432&gt;=601,F432&lt;=625),((F432/D432)*60)*1.2,AND(F432&gt;=626,F432&lt;=650),((F432/D432)*60)*1.5,F432&gt;=651,((F432/D432)*60)*1.8)</f>
        <v>1229.8064516129034</v>
      </c>
      <c r="AU432">
        <f t="shared" si="123"/>
        <v>14</v>
      </c>
      <c r="AV432">
        <f t="shared" si="121"/>
        <v>509.35483870967749</v>
      </c>
      <c r="AW432">
        <f t="shared" si="124"/>
        <v>85.1</v>
      </c>
      <c r="AX432" t="str">
        <f t="shared" si="119"/>
        <v>Feb-2023</v>
      </c>
      <c r="AY432">
        <f>ROUNDUP(Table2[[#This Row],[Month]]/3,0)</f>
        <v>1</v>
      </c>
    </row>
    <row r="433" spans="1:51" x14ac:dyDescent="0.2">
      <c r="A433">
        <v>432</v>
      </c>
      <c r="B433">
        <f t="shared" si="108"/>
        <v>15</v>
      </c>
      <c r="C433" s="22">
        <v>44965</v>
      </c>
      <c r="D433">
        <f>SUM(Table2[[#This Row],[Gray Min]:[Red Min]])</f>
        <v>61</v>
      </c>
      <c r="E433">
        <v>14</v>
      </c>
      <c r="F433">
        <v>683</v>
      </c>
      <c r="G433">
        <v>129</v>
      </c>
      <c r="H433">
        <v>161</v>
      </c>
      <c r="I433">
        <v>9</v>
      </c>
      <c r="J433">
        <v>14</v>
      </c>
      <c r="K433">
        <v>24</v>
      </c>
      <c r="L433">
        <v>14</v>
      </c>
      <c r="M433">
        <v>0</v>
      </c>
      <c r="N433" t="s">
        <v>160</v>
      </c>
      <c r="O433" t="s">
        <v>171</v>
      </c>
      <c r="P433" t="s">
        <v>170</v>
      </c>
      <c r="Q433">
        <f t="shared" si="120"/>
        <v>1</v>
      </c>
      <c r="R433" t="str">
        <f t="shared" si="109"/>
        <v>2-2023</v>
      </c>
      <c r="S433" t="s">
        <v>117</v>
      </c>
      <c r="T433" t="str">
        <f t="shared" si="110"/>
        <v>Wednesday</v>
      </c>
      <c r="U433">
        <f t="shared" si="111"/>
        <v>1</v>
      </c>
      <c r="V433" s="24">
        <f>IFERROR(Table2[[#This Row],[Gray Min]]/Table2[[#This Row],[ClassLength]],"")</f>
        <v>0.14754098360655737</v>
      </c>
      <c r="W433" s="24">
        <f>IFERROR(Table2[[#This Row],[Blue Min]]/Table2[[#This Row],[ClassLength]],"")</f>
        <v>0.22950819672131148</v>
      </c>
      <c r="X433" s="24">
        <f>IFERROR(Table2[[#This Row],[Green Min]]/Table2[[#This Row],[ClassLength]],"")</f>
        <v>0.39344262295081966</v>
      </c>
      <c r="Y433" s="24">
        <f>IFERROR(Table2[[#This Row],[Orange Min]]/Table2[[#This Row],[ClassLength]],"")</f>
        <v>0.22950819672131148</v>
      </c>
      <c r="Z433" s="24">
        <f>IFERROR(Table2[[#This Row],[Red Min]]/Table2[[#This Row],[ClassLength]],"")</f>
        <v>0</v>
      </c>
      <c r="AA433" s="25">
        <v>232.14</v>
      </c>
      <c r="AB433" s="25">
        <f t="shared" si="122"/>
        <v>15.475999999999999</v>
      </c>
      <c r="AC433" s="26">
        <f t="shared" si="112"/>
        <v>629.4</v>
      </c>
      <c r="AD433" s="26">
        <f t="shared" si="113"/>
        <v>12.8</v>
      </c>
      <c r="AE433">
        <f t="shared" si="114"/>
        <v>2023</v>
      </c>
      <c r="AG433">
        <v>12</v>
      </c>
      <c r="AH433" s="26">
        <f t="shared" si="115"/>
        <v>11.196721311475409</v>
      </c>
      <c r="AI433" t="str">
        <f t="shared" si="116"/>
        <v>PM</v>
      </c>
      <c r="AJ433" t="str">
        <f t="shared" si="117"/>
        <v>2-2023-2</v>
      </c>
      <c r="AK433">
        <f t="shared" si="118"/>
        <v>2</v>
      </c>
      <c r="AL433" s="26">
        <f>IFERROR(Table2[[#This Row],[Calories]]/Table2[[#This Row],[Splat]],"")</f>
        <v>48.785714285714285</v>
      </c>
      <c r="AM433">
        <f>COUNTIF(N$2:$N$938,N433)</f>
        <v>9</v>
      </c>
      <c r="AN433" t="str">
        <f>VLOOKUP(N433,'Helpful Tables'!A:D,4,FALSE)</f>
        <v>Virginia</v>
      </c>
      <c r="AO433" s="24">
        <f>COUNTIF(AN:AN,Table2[[#This Row],[State]])/COUNTA(AN:AN)</f>
        <v>5.6503198294243072E-2</v>
      </c>
      <c r="AP433">
        <f>VLOOKUP(N433,'Helpful Tables'!A:B,2,FALSE)</f>
        <v>38.880467000000003</v>
      </c>
      <c r="AQ433">
        <f>VLOOKUP(N433,'Helpful Tables'!A:C,3,FALSE)</f>
        <v>-77.111583999999993</v>
      </c>
      <c r="AR433">
        <f>COUNTIF(P$2:$P$938,P433)</f>
        <v>1</v>
      </c>
      <c r="AS433" cm="1">
        <f t="array" ref="AS433">_xlfn.IFS(E433&lt;6,((E433/D433)*60)*0.5,AND(E433&gt;=6,E433&lt;9),((E433/D433)*60)*0.75,AND(E433&gt;=9,E433&lt;=11),((E433/D433)*60)*0.9,AND(E433=12),((E433/D433)*60)*1,AND(E433&gt;=13,E433&lt;=15),((E433/D433)*60)*1.2,AND(E433&gt;=16,E433&lt;=19),((E433/D433)*60)*1.5,E433&gt;=20,((E433/D433)*60)*1.8)</f>
        <v>16.524590163934427</v>
      </c>
      <c r="AT433" cm="1">
        <f t="array" ref="AT433">_xlfn.IFS(F433&lt;550,((F433/D433)*60)*0.5,AND(F433&gt;=550,F433&lt;575),((F433/D433)*60)*0.75,AND(F433&gt;=575,F433&lt;600),((F433/D433)*60)*0.9,AND(F433=600),((F433/D433)*60)*1,AND(F433&gt;=601,F433&lt;=625),((F433/D433)*60)*1.2,AND(F433&gt;=626,F433&lt;=650),((F433/D433)*60)*1.5,F433&gt;=651,((F433/D433)*60)*1.8)</f>
        <v>1209.2459016393441</v>
      </c>
      <c r="AU433">
        <f t="shared" si="123"/>
        <v>20.799999999999994</v>
      </c>
      <c r="AV433">
        <f t="shared" si="121"/>
        <v>494.46819672131141</v>
      </c>
      <c r="AW433">
        <f t="shared" si="124"/>
        <v>75.8</v>
      </c>
      <c r="AX433" t="str">
        <f t="shared" si="119"/>
        <v>Feb-2023</v>
      </c>
      <c r="AY433">
        <f>ROUNDUP(Table2[[#This Row],[Month]]/3,0)</f>
        <v>1</v>
      </c>
    </row>
    <row r="434" spans="1:51" x14ac:dyDescent="0.2">
      <c r="A434">
        <v>433</v>
      </c>
      <c r="B434">
        <f t="shared" si="108"/>
        <v>15</v>
      </c>
      <c r="C434" s="22">
        <v>44969</v>
      </c>
      <c r="D434">
        <f>SUM(Table2[[#This Row],[Gray Min]:[Red Min]])</f>
        <v>56</v>
      </c>
      <c r="E434">
        <v>9</v>
      </c>
      <c r="F434">
        <v>556</v>
      </c>
      <c r="G434">
        <v>118</v>
      </c>
      <c r="H434">
        <v>160</v>
      </c>
      <c r="I434">
        <v>18</v>
      </c>
      <c r="J434">
        <v>18</v>
      </c>
      <c r="K434">
        <v>11</v>
      </c>
      <c r="L434">
        <v>9</v>
      </c>
      <c r="M434">
        <v>0</v>
      </c>
      <c r="N434" t="s">
        <v>91</v>
      </c>
      <c r="O434" t="s">
        <v>79</v>
      </c>
      <c r="P434" t="s">
        <v>100</v>
      </c>
      <c r="Q434">
        <f t="shared" si="120"/>
        <v>4</v>
      </c>
      <c r="R434" t="str">
        <f t="shared" si="109"/>
        <v>2-2023</v>
      </c>
      <c r="S434" t="s">
        <v>104</v>
      </c>
      <c r="T434" t="str">
        <f t="shared" si="110"/>
        <v>Sunday</v>
      </c>
      <c r="U434">
        <f t="shared" si="111"/>
        <v>0</v>
      </c>
      <c r="V434" s="24">
        <f>IFERROR(Table2[[#This Row],[Gray Min]]/Table2[[#This Row],[ClassLength]],"")</f>
        <v>0.32142857142857145</v>
      </c>
      <c r="W434" s="24">
        <f>IFERROR(Table2[[#This Row],[Blue Min]]/Table2[[#This Row],[ClassLength]],"")</f>
        <v>0.32142857142857145</v>
      </c>
      <c r="X434" s="24">
        <f>IFERROR(Table2[[#This Row],[Green Min]]/Table2[[#This Row],[ClassLength]],"")</f>
        <v>0.19642857142857142</v>
      </c>
      <c r="Y434" s="24">
        <f>IFERROR(Table2[[#This Row],[Orange Min]]/Table2[[#This Row],[ClassLength]],"")</f>
        <v>0.16071428571428573</v>
      </c>
      <c r="Z434" s="24">
        <f>IFERROR(Table2[[#This Row],[Red Min]]/Table2[[#This Row],[ClassLength]],"")</f>
        <v>0</v>
      </c>
      <c r="AA434" s="25">
        <v>232.14</v>
      </c>
      <c r="AB434" s="25">
        <f t="shared" si="122"/>
        <v>15.475999999999999</v>
      </c>
      <c r="AC434" s="26">
        <f t="shared" si="112"/>
        <v>629.4</v>
      </c>
      <c r="AD434" s="26">
        <f t="shared" si="113"/>
        <v>12.8</v>
      </c>
      <c r="AE434">
        <f t="shared" si="114"/>
        <v>2023</v>
      </c>
      <c r="AG434">
        <v>12</v>
      </c>
      <c r="AH434" s="26">
        <f t="shared" si="115"/>
        <v>9.9285714285714288</v>
      </c>
      <c r="AI434" t="str">
        <f t="shared" si="116"/>
        <v>AM</v>
      </c>
      <c r="AJ434" t="str">
        <f t="shared" si="117"/>
        <v>2-2023-3</v>
      </c>
      <c r="AK434">
        <f t="shared" si="118"/>
        <v>2</v>
      </c>
      <c r="AL434" s="26">
        <f>IFERROR(Table2[[#This Row],[Calories]]/Table2[[#This Row],[Splat]],"")</f>
        <v>61.777777777777779</v>
      </c>
      <c r="AM434">
        <f>COUNTIF(N$2:$N$938,N434)</f>
        <v>218</v>
      </c>
      <c r="AN434" t="str">
        <f>VLOOKUP(N434,'Helpful Tables'!A:D,4,FALSE)</f>
        <v>Washington, DC</v>
      </c>
      <c r="AO434" s="24">
        <f>COUNTIF(AN:AN,Table2[[#This Row],[State]])/COUNTA(AN:AN)</f>
        <v>0.54904051172707891</v>
      </c>
      <c r="AP434">
        <f>VLOOKUP(N434,'Helpful Tables'!A:B,2,FALSE)</f>
        <v>38.934710000000003</v>
      </c>
      <c r="AQ434">
        <f>VLOOKUP(N434,'Helpful Tables'!A:C,3,FALSE)</f>
        <v>-77.058222999999998</v>
      </c>
      <c r="AR434">
        <f>COUNTIF(P$2:$P$938,P434)</f>
        <v>35</v>
      </c>
      <c r="AS434" cm="1">
        <f t="array" ref="AS434">_xlfn.IFS(E434&lt;6,((E434/D434)*60)*0.5,AND(E434&gt;=6,E434&lt;9),((E434/D434)*60)*0.75,AND(E434&gt;=9,E434&lt;=11),((E434/D434)*60)*0.9,AND(E434=12),((E434/D434)*60)*1,AND(E434&gt;=13,E434&lt;=15),((E434/D434)*60)*1.2,AND(E434&gt;=16,E434&lt;=19),((E434/D434)*60)*1.5,E434&gt;=20,((E434/D434)*60)*1.8)</f>
        <v>8.6785714285714306</v>
      </c>
      <c r="AT434" cm="1">
        <f t="array" ref="AT434">_xlfn.IFS(F434&lt;550,((F434/D434)*60)*0.5,AND(F434&gt;=550,F434&lt;575),((F434/D434)*60)*0.75,AND(F434&gt;=575,F434&lt;600),((F434/D434)*60)*0.9,AND(F434=600),((F434/D434)*60)*1,AND(F434&gt;=601,F434&lt;=625),((F434/D434)*60)*1.2,AND(F434&gt;=626,F434&lt;=650),((F434/D434)*60)*1.5,F434&gt;=651,((F434/D434)*60)*1.8)</f>
        <v>446.78571428571433</v>
      </c>
      <c r="AU434">
        <f t="shared" si="123"/>
        <v>-16.5</v>
      </c>
      <c r="AV434">
        <f t="shared" si="121"/>
        <v>178.8857142857143</v>
      </c>
      <c r="AW434">
        <f t="shared" si="124"/>
        <v>10.299999999999999</v>
      </c>
      <c r="AX434" t="str">
        <f t="shared" si="119"/>
        <v>Feb-2023</v>
      </c>
      <c r="AY434">
        <f>ROUNDUP(Table2[[#This Row],[Month]]/3,0)</f>
        <v>1</v>
      </c>
    </row>
    <row r="435" spans="1:51" x14ac:dyDescent="0.2">
      <c r="A435">
        <v>434</v>
      </c>
      <c r="B435">
        <f t="shared" si="108"/>
        <v>15</v>
      </c>
      <c r="C435" s="22">
        <v>44971</v>
      </c>
      <c r="D435">
        <f>SUM(Table2[[#This Row],[Gray Min]:[Red Min]])</f>
        <v>57</v>
      </c>
      <c r="E435">
        <v>13</v>
      </c>
      <c r="F435">
        <v>627</v>
      </c>
      <c r="G435">
        <v>126</v>
      </c>
      <c r="H435">
        <v>168</v>
      </c>
      <c r="I435">
        <v>9</v>
      </c>
      <c r="J435">
        <v>17</v>
      </c>
      <c r="K435">
        <v>18</v>
      </c>
      <c r="L435">
        <v>11</v>
      </c>
      <c r="M435">
        <v>2</v>
      </c>
      <c r="N435" t="s">
        <v>101</v>
      </c>
      <c r="O435" t="s">
        <v>39</v>
      </c>
      <c r="P435" t="s">
        <v>109</v>
      </c>
      <c r="Q435">
        <f t="shared" si="120"/>
        <v>2</v>
      </c>
      <c r="R435" t="str">
        <f t="shared" si="109"/>
        <v>2-2023</v>
      </c>
      <c r="S435" t="s">
        <v>104</v>
      </c>
      <c r="T435" t="str">
        <f t="shared" si="110"/>
        <v>Tuesday</v>
      </c>
      <c r="U435">
        <f t="shared" si="111"/>
        <v>1</v>
      </c>
      <c r="V435" s="24">
        <f>IFERROR(Table2[[#This Row],[Gray Min]]/Table2[[#This Row],[ClassLength]],"")</f>
        <v>0.15789473684210525</v>
      </c>
      <c r="W435" s="24">
        <f>IFERROR(Table2[[#This Row],[Blue Min]]/Table2[[#This Row],[ClassLength]],"")</f>
        <v>0.2982456140350877</v>
      </c>
      <c r="X435" s="24">
        <f>IFERROR(Table2[[#This Row],[Green Min]]/Table2[[#This Row],[ClassLength]],"")</f>
        <v>0.31578947368421051</v>
      </c>
      <c r="Y435" s="24">
        <f>IFERROR(Table2[[#This Row],[Orange Min]]/Table2[[#This Row],[ClassLength]],"")</f>
        <v>0.19298245614035087</v>
      </c>
      <c r="Z435" s="24">
        <f>IFERROR(Table2[[#This Row],[Red Min]]/Table2[[#This Row],[ClassLength]],"")</f>
        <v>3.5087719298245612E-2</v>
      </c>
      <c r="AA435" s="25">
        <v>232.14</v>
      </c>
      <c r="AB435" s="25">
        <f t="shared" si="122"/>
        <v>15.475999999999999</v>
      </c>
      <c r="AC435" s="26">
        <f t="shared" si="112"/>
        <v>629.4</v>
      </c>
      <c r="AD435" s="26">
        <f t="shared" si="113"/>
        <v>12.8</v>
      </c>
      <c r="AE435">
        <f t="shared" si="114"/>
        <v>2023</v>
      </c>
      <c r="AG435">
        <v>12</v>
      </c>
      <c r="AH435" s="26">
        <f t="shared" si="115"/>
        <v>11</v>
      </c>
      <c r="AI435" t="str">
        <f t="shared" si="116"/>
        <v>PM</v>
      </c>
      <c r="AJ435" t="str">
        <f t="shared" si="117"/>
        <v>2-2023-3</v>
      </c>
      <c r="AK435">
        <f t="shared" si="118"/>
        <v>2</v>
      </c>
      <c r="AL435" s="26">
        <f>IFERROR(Table2[[#This Row],[Calories]]/Table2[[#This Row],[Splat]],"")</f>
        <v>48.230769230769234</v>
      </c>
      <c r="AM435">
        <f>COUNTIF(N$2:$N$938,N435)</f>
        <v>191</v>
      </c>
      <c r="AN435" t="str">
        <f>VLOOKUP(N435,'Helpful Tables'!A:D,4,FALSE)</f>
        <v>Washington, DC</v>
      </c>
      <c r="AO435" s="24">
        <f>COUNTIF(AN:AN,Table2[[#This Row],[State]])/COUNTA(AN:AN)</f>
        <v>0.54904051172707891</v>
      </c>
      <c r="AP435">
        <f>VLOOKUP(N435,'Helpful Tables'!A:B,2,FALSE)</f>
        <v>38.949649000000001</v>
      </c>
      <c r="AQ435">
        <f>VLOOKUP(N435,'Helpful Tables'!A:C,3,FALSE)</f>
        <v>-77.080878999999996</v>
      </c>
      <c r="AR435">
        <f>COUNTIF(P$2:$P$938,P435)</f>
        <v>66</v>
      </c>
      <c r="AS435" cm="1">
        <f t="array" ref="AS435">_xlfn.IFS(E435&lt;6,((E435/D435)*60)*0.5,AND(E435&gt;=6,E435&lt;9),((E435/D435)*60)*0.75,AND(E435&gt;=9,E435&lt;=11),((E435/D435)*60)*0.9,AND(E435=12),((E435/D435)*60)*1,AND(E435&gt;=13,E435&lt;=15),((E435/D435)*60)*1.2,AND(E435&gt;=16,E435&lt;=19),((E435/D435)*60)*1.5,E435&gt;=20,((E435/D435)*60)*1.8)</f>
        <v>16.421052631578945</v>
      </c>
      <c r="AT435" cm="1">
        <f t="array" ref="AT435">_xlfn.IFS(F435&lt;550,((F435/D435)*60)*0.5,AND(F435&gt;=550,F435&lt;575),((F435/D435)*60)*0.75,AND(F435&gt;=575,F435&lt;600),((F435/D435)*60)*0.9,AND(F435=600),((F435/D435)*60)*1,AND(F435&gt;=601,F435&lt;=625),((F435/D435)*60)*1.2,AND(F435&gt;=626,F435&lt;=650),((F435/D435)*60)*1.5,F435&gt;=651,((F435/D435)*60)*1.8)</f>
        <v>990</v>
      </c>
      <c r="AU435">
        <f t="shared" si="123"/>
        <v>9.3999999999999986</v>
      </c>
      <c r="AV435">
        <f t="shared" si="121"/>
        <v>404.4484210526316</v>
      </c>
      <c r="AW435">
        <f t="shared" si="124"/>
        <v>55.900000000000006</v>
      </c>
      <c r="AX435" t="str">
        <f t="shared" si="119"/>
        <v>Feb-2023</v>
      </c>
      <c r="AY435">
        <f>ROUNDUP(Table2[[#This Row],[Month]]/3,0)</f>
        <v>1</v>
      </c>
    </row>
    <row r="436" spans="1:51" x14ac:dyDescent="0.2">
      <c r="A436">
        <v>435</v>
      </c>
      <c r="B436">
        <f t="shared" si="108"/>
        <v>15</v>
      </c>
      <c r="C436" s="22">
        <v>44972</v>
      </c>
      <c r="D436">
        <f>SUM(Table2[[#This Row],[Gray Min]:[Red Min]])</f>
        <v>54</v>
      </c>
      <c r="E436">
        <v>15</v>
      </c>
      <c r="F436">
        <v>606</v>
      </c>
      <c r="G436">
        <v>127</v>
      </c>
      <c r="H436">
        <v>165</v>
      </c>
      <c r="I436">
        <v>13</v>
      </c>
      <c r="J436">
        <v>15</v>
      </c>
      <c r="K436">
        <v>11</v>
      </c>
      <c r="L436">
        <v>13</v>
      </c>
      <c r="M436">
        <v>2</v>
      </c>
      <c r="N436" t="s">
        <v>91</v>
      </c>
      <c r="O436" t="s">
        <v>57</v>
      </c>
      <c r="P436" t="s">
        <v>96</v>
      </c>
      <c r="Q436">
        <f t="shared" si="120"/>
        <v>1</v>
      </c>
      <c r="R436" t="str">
        <f t="shared" si="109"/>
        <v>2-2023</v>
      </c>
      <c r="S436" t="s">
        <v>104</v>
      </c>
      <c r="T436" t="str">
        <f t="shared" si="110"/>
        <v>Wednesday</v>
      </c>
      <c r="U436">
        <f t="shared" si="111"/>
        <v>1</v>
      </c>
      <c r="V436" s="24">
        <f>IFERROR(Table2[[#This Row],[Gray Min]]/Table2[[#This Row],[ClassLength]],"")</f>
        <v>0.24074074074074073</v>
      </c>
      <c r="W436" s="24">
        <f>IFERROR(Table2[[#This Row],[Blue Min]]/Table2[[#This Row],[ClassLength]],"")</f>
        <v>0.27777777777777779</v>
      </c>
      <c r="X436" s="24">
        <f>IFERROR(Table2[[#This Row],[Green Min]]/Table2[[#This Row],[ClassLength]],"")</f>
        <v>0.20370370370370369</v>
      </c>
      <c r="Y436" s="24">
        <f>IFERROR(Table2[[#This Row],[Orange Min]]/Table2[[#This Row],[ClassLength]],"")</f>
        <v>0.24074074074074073</v>
      </c>
      <c r="Z436" s="24">
        <f>IFERROR(Table2[[#This Row],[Red Min]]/Table2[[#This Row],[ClassLength]],"")</f>
        <v>3.7037037037037035E-2</v>
      </c>
      <c r="AA436" s="25">
        <v>232.14</v>
      </c>
      <c r="AB436" s="25">
        <f t="shared" si="122"/>
        <v>15.475999999999999</v>
      </c>
      <c r="AC436" s="26">
        <f t="shared" si="112"/>
        <v>629.4</v>
      </c>
      <c r="AD436" s="26">
        <f t="shared" si="113"/>
        <v>12.8</v>
      </c>
      <c r="AE436">
        <f t="shared" si="114"/>
        <v>2023</v>
      </c>
      <c r="AG436">
        <v>12</v>
      </c>
      <c r="AH436" s="26">
        <f t="shared" si="115"/>
        <v>11.222222222222221</v>
      </c>
      <c r="AI436" t="str">
        <f t="shared" si="116"/>
        <v>PM</v>
      </c>
      <c r="AJ436" t="str">
        <f t="shared" si="117"/>
        <v>2-2023-3</v>
      </c>
      <c r="AK436">
        <f t="shared" si="118"/>
        <v>2</v>
      </c>
      <c r="AL436" s="26">
        <f>IFERROR(Table2[[#This Row],[Calories]]/Table2[[#This Row],[Splat]],"")</f>
        <v>40.4</v>
      </c>
      <c r="AM436">
        <f>COUNTIF(N$2:$N$938,N436)</f>
        <v>218</v>
      </c>
      <c r="AN436" t="str">
        <f>VLOOKUP(N436,'Helpful Tables'!A:D,4,FALSE)</f>
        <v>Washington, DC</v>
      </c>
      <c r="AO436" s="24">
        <f>COUNTIF(AN:AN,Table2[[#This Row],[State]])/COUNTA(AN:AN)</f>
        <v>0.54904051172707891</v>
      </c>
      <c r="AP436">
        <f>VLOOKUP(N436,'Helpful Tables'!A:B,2,FALSE)</f>
        <v>38.934710000000003</v>
      </c>
      <c r="AQ436">
        <f>VLOOKUP(N436,'Helpful Tables'!A:C,3,FALSE)</f>
        <v>-77.058222999999998</v>
      </c>
      <c r="AR436">
        <f>COUNTIF(P$2:$P$938,P436)</f>
        <v>71</v>
      </c>
      <c r="AS436" cm="1">
        <f t="array" ref="AS436">_xlfn.IFS(E436&lt;6,((E436/D436)*60)*0.5,AND(E436&gt;=6,E436&lt;9),((E436/D436)*60)*0.75,AND(E436&gt;=9,E436&lt;=11),((E436/D436)*60)*0.9,AND(E436=12),((E436/D436)*60)*1,AND(E436&gt;=13,E436&lt;=15),((E436/D436)*60)*1.2,AND(E436&gt;=16,E436&lt;=19),((E436/D436)*60)*1.5,E436&gt;=20,((E436/D436)*60)*1.8)</f>
        <v>20</v>
      </c>
      <c r="AT436" cm="1">
        <f t="array" ref="AT436">_xlfn.IFS(F436&lt;550,((F436/D436)*60)*0.5,AND(F436&gt;=550,F436&lt;575),((F436/D436)*60)*0.75,AND(F436&gt;=575,F436&lt;600),((F436/D436)*60)*0.9,AND(F436=600),((F436/D436)*60)*1,AND(F436&gt;=601,F436&lt;=625),((F436/D436)*60)*1.2,AND(F436&gt;=626,F436&lt;=650),((F436/D436)*60)*1.5,F436&gt;=651,((F436/D436)*60)*1.8)</f>
        <v>807.99999999999989</v>
      </c>
      <c r="AU436">
        <f t="shared" si="123"/>
        <v>1</v>
      </c>
      <c r="AV436">
        <f t="shared" si="121"/>
        <v>331.4</v>
      </c>
      <c r="AW436">
        <f t="shared" si="124"/>
        <v>40.699999999999996</v>
      </c>
      <c r="AX436" t="str">
        <f t="shared" si="119"/>
        <v>Feb-2023</v>
      </c>
      <c r="AY436">
        <f>ROUNDUP(Table2[[#This Row],[Month]]/3,0)</f>
        <v>1</v>
      </c>
    </row>
    <row r="437" spans="1:51" x14ac:dyDescent="0.2">
      <c r="A437">
        <v>436</v>
      </c>
      <c r="B437">
        <f t="shared" si="108"/>
        <v>15</v>
      </c>
      <c r="C437" s="22">
        <v>44974</v>
      </c>
      <c r="D437">
        <f>SUM(Table2[[#This Row],[Gray Min]:[Red Min]])</f>
        <v>56</v>
      </c>
      <c r="E437">
        <v>12</v>
      </c>
      <c r="F437">
        <v>648</v>
      </c>
      <c r="G437">
        <v>129</v>
      </c>
      <c r="H437">
        <v>165</v>
      </c>
      <c r="I437">
        <v>7</v>
      </c>
      <c r="J437">
        <v>20</v>
      </c>
      <c r="K437">
        <v>17</v>
      </c>
      <c r="L437">
        <v>11</v>
      </c>
      <c r="M437">
        <v>1</v>
      </c>
      <c r="N437" t="s">
        <v>101</v>
      </c>
      <c r="O437" t="s">
        <v>39</v>
      </c>
      <c r="P437" t="s">
        <v>147</v>
      </c>
      <c r="Q437">
        <f t="shared" si="120"/>
        <v>2</v>
      </c>
      <c r="R437" t="str">
        <f t="shared" si="109"/>
        <v>2-2023</v>
      </c>
      <c r="S437" t="s">
        <v>104</v>
      </c>
      <c r="T437" t="str">
        <f t="shared" si="110"/>
        <v>Friday</v>
      </c>
      <c r="U437">
        <f t="shared" si="111"/>
        <v>1</v>
      </c>
      <c r="V437" s="24">
        <f>IFERROR(Table2[[#This Row],[Gray Min]]/Table2[[#This Row],[ClassLength]],"")</f>
        <v>0.125</v>
      </c>
      <c r="W437" s="24">
        <f>IFERROR(Table2[[#This Row],[Blue Min]]/Table2[[#This Row],[ClassLength]],"")</f>
        <v>0.35714285714285715</v>
      </c>
      <c r="X437" s="24">
        <f>IFERROR(Table2[[#This Row],[Green Min]]/Table2[[#This Row],[ClassLength]],"")</f>
        <v>0.30357142857142855</v>
      </c>
      <c r="Y437" s="24">
        <f>IFERROR(Table2[[#This Row],[Orange Min]]/Table2[[#This Row],[ClassLength]],"")</f>
        <v>0.19642857142857142</v>
      </c>
      <c r="Z437" s="24">
        <f>IFERROR(Table2[[#This Row],[Red Min]]/Table2[[#This Row],[ClassLength]],"")</f>
        <v>1.7857142857142856E-2</v>
      </c>
      <c r="AA437" s="25">
        <v>232.14</v>
      </c>
      <c r="AB437" s="25">
        <f t="shared" si="122"/>
        <v>15.475999999999999</v>
      </c>
      <c r="AC437" s="26">
        <f t="shared" si="112"/>
        <v>629.4</v>
      </c>
      <c r="AD437" s="26">
        <f t="shared" si="113"/>
        <v>12.8</v>
      </c>
      <c r="AE437">
        <f t="shared" si="114"/>
        <v>2023</v>
      </c>
      <c r="AG437">
        <v>12</v>
      </c>
      <c r="AH437" s="26">
        <f t="shared" si="115"/>
        <v>11.571428571428571</v>
      </c>
      <c r="AI437" t="str">
        <f t="shared" si="116"/>
        <v>PM</v>
      </c>
      <c r="AJ437" t="str">
        <f t="shared" si="117"/>
        <v>2-2023-3</v>
      </c>
      <c r="AK437">
        <f t="shared" si="118"/>
        <v>2</v>
      </c>
      <c r="AL437" s="26">
        <f>IFERROR(Table2[[#This Row],[Calories]]/Table2[[#This Row],[Splat]],"")</f>
        <v>54</v>
      </c>
      <c r="AM437">
        <f>COUNTIF(N$2:$N$938,N437)</f>
        <v>191</v>
      </c>
      <c r="AN437" t="str">
        <f>VLOOKUP(N437,'Helpful Tables'!A:D,4,FALSE)</f>
        <v>Washington, DC</v>
      </c>
      <c r="AO437" s="24">
        <f>COUNTIF(AN:AN,Table2[[#This Row],[State]])/COUNTA(AN:AN)</f>
        <v>0.54904051172707891</v>
      </c>
      <c r="AP437">
        <f>VLOOKUP(N437,'Helpful Tables'!A:B,2,FALSE)</f>
        <v>38.949649000000001</v>
      </c>
      <c r="AQ437">
        <f>VLOOKUP(N437,'Helpful Tables'!A:C,3,FALSE)</f>
        <v>-77.080878999999996</v>
      </c>
      <c r="AR437">
        <f>COUNTIF(P$2:$P$938,P437)</f>
        <v>17</v>
      </c>
      <c r="AS437" cm="1">
        <f t="array" ref="AS437">_xlfn.IFS(E437&lt;6,((E437/D437)*60)*0.5,AND(E437&gt;=6,E437&lt;9),((E437/D437)*60)*0.75,AND(E437&gt;=9,E437&lt;=11),((E437/D437)*60)*0.9,AND(E437=12),((E437/D437)*60)*1,AND(E437&gt;=13,E437&lt;=15),((E437/D437)*60)*1.2,AND(E437&gt;=16,E437&lt;=19),((E437/D437)*60)*1.5,E437&gt;=20,((E437/D437)*60)*1.8)</f>
        <v>12.857142857142856</v>
      </c>
      <c r="AT437" cm="1">
        <f t="array" ref="AT437">_xlfn.IFS(F437&lt;550,((F437/D437)*60)*0.5,AND(F437&gt;=550,F437&lt;575),((F437/D437)*60)*0.75,AND(F437&gt;=575,F437&lt;600),((F437/D437)*60)*0.9,AND(F437=600),((F437/D437)*60)*1,AND(F437&gt;=601,F437&lt;=625),((F437/D437)*60)*1.2,AND(F437&gt;=626,F437&lt;=650),((F437/D437)*60)*1.5,F437&gt;=651,((F437/D437)*60)*1.8)</f>
        <v>1041.4285714285713</v>
      </c>
      <c r="AU437">
        <f t="shared" si="123"/>
        <v>5.8000000000000007</v>
      </c>
      <c r="AV437">
        <f t="shared" si="121"/>
        <v>422.87428571428575</v>
      </c>
      <c r="AW437">
        <f t="shared" si="124"/>
        <v>62.9</v>
      </c>
      <c r="AX437" t="str">
        <f t="shared" si="119"/>
        <v>Feb-2023</v>
      </c>
      <c r="AY437">
        <f>ROUNDUP(Table2[[#This Row],[Month]]/3,0)</f>
        <v>1</v>
      </c>
    </row>
    <row r="438" spans="1:51" x14ac:dyDescent="0.2">
      <c r="A438">
        <v>437</v>
      </c>
      <c r="B438">
        <f t="shared" si="108"/>
        <v>15</v>
      </c>
      <c r="C438" s="22">
        <v>44976</v>
      </c>
      <c r="D438">
        <f>SUM(Table2[[#This Row],[Gray Min]:[Red Min]])</f>
        <v>61</v>
      </c>
      <c r="E438">
        <v>12</v>
      </c>
      <c r="F438">
        <v>666</v>
      </c>
      <c r="G438">
        <v>125</v>
      </c>
      <c r="H438">
        <v>167</v>
      </c>
      <c r="I438">
        <v>11</v>
      </c>
      <c r="J438">
        <v>19</v>
      </c>
      <c r="K438">
        <v>19</v>
      </c>
      <c r="L438">
        <v>10</v>
      </c>
      <c r="M438">
        <v>2</v>
      </c>
      <c r="N438" t="s">
        <v>85</v>
      </c>
      <c r="O438" t="s">
        <v>45</v>
      </c>
      <c r="P438" t="s">
        <v>172</v>
      </c>
      <c r="Q438">
        <f t="shared" si="120"/>
        <v>2</v>
      </c>
      <c r="R438" t="str">
        <f t="shared" si="109"/>
        <v>2-2023</v>
      </c>
      <c r="S438" t="s">
        <v>117</v>
      </c>
      <c r="T438" t="str">
        <f t="shared" si="110"/>
        <v>Sunday</v>
      </c>
      <c r="U438">
        <f t="shared" si="111"/>
        <v>1</v>
      </c>
      <c r="V438" s="24">
        <f>IFERROR(Table2[[#This Row],[Gray Min]]/Table2[[#This Row],[ClassLength]],"")</f>
        <v>0.18032786885245902</v>
      </c>
      <c r="W438" s="24">
        <f>IFERROR(Table2[[#This Row],[Blue Min]]/Table2[[#This Row],[ClassLength]],"")</f>
        <v>0.31147540983606559</v>
      </c>
      <c r="X438" s="24">
        <f>IFERROR(Table2[[#This Row],[Green Min]]/Table2[[#This Row],[ClassLength]],"")</f>
        <v>0.31147540983606559</v>
      </c>
      <c r="Y438" s="24">
        <f>IFERROR(Table2[[#This Row],[Orange Min]]/Table2[[#This Row],[ClassLength]],"")</f>
        <v>0.16393442622950818</v>
      </c>
      <c r="Z438" s="24">
        <f>IFERROR(Table2[[#This Row],[Red Min]]/Table2[[#This Row],[ClassLength]],"")</f>
        <v>3.2786885245901641E-2</v>
      </c>
      <c r="AA438" s="25">
        <v>232.14</v>
      </c>
      <c r="AB438" s="25">
        <f t="shared" si="122"/>
        <v>15.475999999999999</v>
      </c>
      <c r="AC438" s="26">
        <f t="shared" si="112"/>
        <v>629.4</v>
      </c>
      <c r="AD438" s="26">
        <f t="shared" si="113"/>
        <v>12.8</v>
      </c>
      <c r="AE438">
        <f t="shared" si="114"/>
        <v>2023</v>
      </c>
      <c r="AG438">
        <v>12</v>
      </c>
      <c r="AH438" s="26">
        <f t="shared" si="115"/>
        <v>10.918032786885245</v>
      </c>
      <c r="AI438" t="str">
        <f t="shared" si="116"/>
        <v>AM</v>
      </c>
      <c r="AJ438" t="str">
        <f t="shared" si="117"/>
        <v>2-2023-4</v>
      </c>
      <c r="AK438">
        <f t="shared" si="118"/>
        <v>2</v>
      </c>
      <c r="AL438" s="26">
        <f>IFERROR(Table2[[#This Row],[Calories]]/Table2[[#This Row],[Splat]],"")</f>
        <v>55.5</v>
      </c>
      <c r="AM438">
        <f>COUNTIF(N$2:$N$938,N438)</f>
        <v>4</v>
      </c>
      <c r="AN438" t="str">
        <f>VLOOKUP(N438,'Helpful Tables'!A:D,4,FALSE)</f>
        <v>Washington, DC</v>
      </c>
      <c r="AO438" s="24">
        <f>COUNTIF(AN:AN,Table2[[#This Row],[State]])/COUNTA(AN:AN)</f>
        <v>0.54904051172707891</v>
      </c>
      <c r="AP438">
        <f>VLOOKUP(N438,'Helpful Tables'!A:B,2,FALSE)</f>
        <v>38.915415000000003</v>
      </c>
      <c r="AQ438">
        <f>VLOOKUP(N438,'Helpful Tables'!A:C,3,FALSE)</f>
        <v>-77.067172999999997</v>
      </c>
      <c r="AR438">
        <f>COUNTIF(P$2:$P$938,P438)</f>
        <v>1</v>
      </c>
      <c r="AS438" cm="1">
        <f t="array" ref="AS438">_xlfn.IFS(E438&lt;6,((E438/D438)*60)*0.5,AND(E438&gt;=6,E438&lt;9),((E438/D438)*60)*0.75,AND(E438&gt;=9,E438&lt;=11),((E438/D438)*60)*0.9,AND(E438=12),((E438/D438)*60)*1,AND(E438&gt;=13,E438&lt;=15),((E438/D438)*60)*1.2,AND(E438&gt;=16,E438&lt;=19),((E438/D438)*60)*1.5,E438&gt;=20,((E438/D438)*60)*1.8)</f>
        <v>11.803278688524589</v>
      </c>
      <c r="AT438" cm="1">
        <f t="array" ref="AT438">_xlfn.IFS(F438&lt;550,((F438/D438)*60)*0.5,AND(F438&gt;=550,F438&lt;575),((F438/D438)*60)*0.75,AND(F438&gt;=575,F438&lt;600),((F438/D438)*60)*0.9,AND(F438=600),((F438/D438)*60)*1,AND(F438&gt;=601,F438&lt;=625),((F438/D438)*60)*1.2,AND(F438&gt;=626,F438&lt;=650),((F438/D438)*60)*1.5,F438&gt;=651,((F438/D438)*60)*1.8)</f>
        <v>1179.1475409836064</v>
      </c>
      <c r="AU438">
        <f t="shared" si="123"/>
        <v>4.6999999999999993</v>
      </c>
      <c r="AV438">
        <f t="shared" si="121"/>
        <v>477.32032786885242</v>
      </c>
      <c r="AW438">
        <f t="shared" si="124"/>
        <v>68.899999999999991</v>
      </c>
      <c r="AX438" t="str">
        <f t="shared" si="119"/>
        <v>Feb-2023</v>
      </c>
      <c r="AY438">
        <f>ROUNDUP(Table2[[#This Row],[Month]]/3,0)</f>
        <v>1</v>
      </c>
    </row>
    <row r="439" spans="1:51" x14ac:dyDescent="0.2">
      <c r="A439">
        <v>438</v>
      </c>
      <c r="B439">
        <f t="shared" si="108"/>
        <v>15</v>
      </c>
      <c r="C439" s="22">
        <v>44978</v>
      </c>
      <c r="D439">
        <f>SUM(Table2[[#This Row],[Gray Min]:[Red Min]])</f>
        <v>57</v>
      </c>
      <c r="E439">
        <v>10</v>
      </c>
      <c r="F439">
        <v>626</v>
      </c>
      <c r="G439">
        <v>126</v>
      </c>
      <c r="H439">
        <v>162</v>
      </c>
      <c r="I439">
        <v>11</v>
      </c>
      <c r="J439">
        <v>13</v>
      </c>
      <c r="K439">
        <v>23</v>
      </c>
      <c r="L439">
        <v>10</v>
      </c>
      <c r="M439">
        <v>0</v>
      </c>
      <c r="N439" t="s">
        <v>91</v>
      </c>
      <c r="O439" t="s">
        <v>57</v>
      </c>
      <c r="P439" t="s">
        <v>98</v>
      </c>
      <c r="Q439">
        <f t="shared" si="120"/>
        <v>2</v>
      </c>
      <c r="R439" t="str">
        <f t="shared" si="109"/>
        <v>2-2023</v>
      </c>
      <c r="S439" t="s">
        <v>117</v>
      </c>
      <c r="T439" t="str">
        <f t="shared" si="110"/>
        <v>Tuesday</v>
      </c>
      <c r="U439">
        <f t="shared" si="111"/>
        <v>0</v>
      </c>
      <c r="V439" s="24">
        <f>IFERROR(Table2[[#This Row],[Gray Min]]/Table2[[#This Row],[ClassLength]],"")</f>
        <v>0.19298245614035087</v>
      </c>
      <c r="W439" s="24">
        <f>IFERROR(Table2[[#This Row],[Blue Min]]/Table2[[#This Row],[ClassLength]],"")</f>
        <v>0.22807017543859648</v>
      </c>
      <c r="X439" s="24">
        <f>IFERROR(Table2[[#This Row],[Green Min]]/Table2[[#This Row],[ClassLength]],"")</f>
        <v>0.40350877192982454</v>
      </c>
      <c r="Y439" s="24">
        <f>IFERROR(Table2[[#This Row],[Orange Min]]/Table2[[#This Row],[ClassLength]],"")</f>
        <v>0.17543859649122806</v>
      </c>
      <c r="Z439" s="24">
        <f>IFERROR(Table2[[#This Row],[Red Min]]/Table2[[#This Row],[ClassLength]],"")</f>
        <v>0</v>
      </c>
      <c r="AA439" s="25">
        <v>232.14</v>
      </c>
      <c r="AB439" s="25">
        <f t="shared" si="122"/>
        <v>15.475999999999999</v>
      </c>
      <c r="AC439" s="26">
        <f t="shared" si="112"/>
        <v>629.4</v>
      </c>
      <c r="AD439" s="26">
        <f t="shared" si="113"/>
        <v>12.8</v>
      </c>
      <c r="AE439">
        <f t="shared" si="114"/>
        <v>2023</v>
      </c>
      <c r="AG439">
        <v>12</v>
      </c>
      <c r="AH439" s="26">
        <f t="shared" si="115"/>
        <v>10.982456140350877</v>
      </c>
      <c r="AI439" t="str">
        <f t="shared" si="116"/>
        <v>PM</v>
      </c>
      <c r="AJ439" t="str">
        <f t="shared" si="117"/>
        <v>2-2023-4</v>
      </c>
      <c r="AK439">
        <f t="shared" si="118"/>
        <v>2</v>
      </c>
      <c r="AL439" s="26">
        <f>IFERROR(Table2[[#This Row],[Calories]]/Table2[[#This Row],[Splat]],"")</f>
        <v>62.6</v>
      </c>
      <c r="AM439">
        <f>COUNTIF(N$2:$N$938,N439)</f>
        <v>218</v>
      </c>
      <c r="AN439" t="str">
        <f>VLOOKUP(N439,'Helpful Tables'!A:D,4,FALSE)</f>
        <v>Washington, DC</v>
      </c>
      <c r="AO439" s="24">
        <f>COUNTIF(AN:AN,Table2[[#This Row],[State]])/COUNTA(AN:AN)</f>
        <v>0.54904051172707891</v>
      </c>
      <c r="AP439">
        <f>VLOOKUP(N439,'Helpful Tables'!A:B,2,FALSE)</f>
        <v>38.934710000000003</v>
      </c>
      <c r="AQ439">
        <f>VLOOKUP(N439,'Helpful Tables'!A:C,3,FALSE)</f>
        <v>-77.058222999999998</v>
      </c>
      <c r="AR439">
        <f>COUNTIF(P$2:$P$938,P439)</f>
        <v>28</v>
      </c>
      <c r="AS439" cm="1">
        <f t="array" ref="AS439">_xlfn.IFS(E439&lt;6,((E439/D439)*60)*0.5,AND(E439&gt;=6,E439&lt;9),((E439/D439)*60)*0.75,AND(E439&gt;=9,E439&lt;=11),((E439/D439)*60)*0.9,AND(E439=12),((E439/D439)*60)*1,AND(E439&gt;=13,E439&lt;=15),((E439/D439)*60)*1.2,AND(E439&gt;=16,E439&lt;=19),((E439/D439)*60)*1.5,E439&gt;=20,((E439/D439)*60)*1.8)</f>
        <v>9.473684210526315</v>
      </c>
      <c r="AT439" cm="1">
        <f t="array" ref="AT439">_xlfn.IFS(F439&lt;550,((F439/D439)*60)*0.5,AND(F439&gt;=550,F439&lt;575),((F439/D439)*60)*0.75,AND(F439&gt;=575,F439&lt;600),((F439/D439)*60)*0.9,AND(F439=600),((F439/D439)*60)*1,AND(F439&gt;=601,F439&lt;=625),((F439/D439)*60)*1.2,AND(F439&gt;=626,F439&lt;=650),((F439/D439)*60)*1.5,F439&gt;=651,((F439/D439)*60)*1.8)</f>
        <v>988.42105263157896</v>
      </c>
      <c r="AU439">
        <f t="shared" si="123"/>
        <v>13.099999999999998</v>
      </c>
      <c r="AV439">
        <f t="shared" si="121"/>
        <v>401.77789473684214</v>
      </c>
      <c r="AW439">
        <f t="shared" si="124"/>
        <v>54.1</v>
      </c>
      <c r="AX439" t="str">
        <f t="shared" si="119"/>
        <v>Feb-2023</v>
      </c>
      <c r="AY439">
        <f>ROUNDUP(Table2[[#This Row],[Month]]/3,0)</f>
        <v>1</v>
      </c>
    </row>
    <row r="440" spans="1:51" x14ac:dyDescent="0.2">
      <c r="A440">
        <v>439</v>
      </c>
      <c r="B440">
        <f t="shared" si="108"/>
        <v>15</v>
      </c>
      <c r="C440" s="22">
        <v>44979</v>
      </c>
      <c r="D440">
        <f>SUM(Table2[[#This Row],[Gray Min]:[Red Min]])</f>
        <v>62</v>
      </c>
      <c r="E440">
        <v>13</v>
      </c>
      <c r="F440">
        <v>681</v>
      </c>
      <c r="G440">
        <v>125</v>
      </c>
      <c r="H440">
        <v>168</v>
      </c>
      <c r="I440">
        <v>13</v>
      </c>
      <c r="J440">
        <v>20</v>
      </c>
      <c r="K440">
        <v>16</v>
      </c>
      <c r="L440">
        <v>11</v>
      </c>
      <c r="M440">
        <v>2</v>
      </c>
      <c r="N440" t="s">
        <v>160</v>
      </c>
      <c r="O440" t="s">
        <v>143</v>
      </c>
      <c r="P440" t="s">
        <v>161</v>
      </c>
      <c r="Q440">
        <f t="shared" si="120"/>
        <v>1</v>
      </c>
      <c r="R440" t="str">
        <f t="shared" si="109"/>
        <v>2-2023</v>
      </c>
      <c r="S440" t="s">
        <v>117</v>
      </c>
      <c r="T440" t="str">
        <f t="shared" si="110"/>
        <v>Wednesday</v>
      </c>
      <c r="U440">
        <f t="shared" si="111"/>
        <v>1</v>
      </c>
      <c r="V440" s="24">
        <f>IFERROR(Table2[[#This Row],[Gray Min]]/Table2[[#This Row],[ClassLength]],"")</f>
        <v>0.20967741935483872</v>
      </c>
      <c r="W440" s="24">
        <f>IFERROR(Table2[[#This Row],[Blue Min]]/Table2[[#This Row],[ClassLength]],"")</f>
        <v>0.32258064516129031</v>
      </c>
      <c r="X440" s="24">
        <f>IFERROR(Table2[[#This Row],[Green Min]]/Table2[[#This Row],[ClassLength]],"")</f>
        <v>0.25806451612903225</v>
      </c>
      <c r="Y440" s="24">
        <f>IFERROR(Table2[[#This Row],[Orange Min]]/Table2[[#This Row],[ClassLength]],"")</f>
        <v>0.17741935483870969</v>
      </c>
      <c r="Z440" s="24">
        <f>IFERROR(Table2[[#This Row],[Red Min]]/Table2[[#This Row],[ClassLength]],"")</f>
        <v>3.2258064516129031E-2</v>
      </c>
      <c r="AA440" s="25">
        <v>232.14</v>
      </c>
      <c r="AB440" s="25">
        <f t="shared" si="122"/>
        <v>15.475999999999999</v>
      </c>
      <c r="AC440" s="26">
        <f t="shared" si="112"/>
        <v>629.4</v>
      </c>
      <c r="AD440" s="26">
        <f t="shared" si="113"/>
        <v>12.8</v>
      </c>
      <c r="AE440">
        <f t="shared" si="114"/>
        <v>2023</v>
      </c>
      <c r="AG440">
        <v>12</v>
      </c>
      <c r="AH440" s="26">
        <f t="shared" si="115"/>
        <v>10.983870967741936</v>
      </c>
      <c r="AI440" t="str">
        <f t="shared" si="116"/>
        <v>PM</v>
      </c>
      <c r="AJ440" t="str">
        <f t="shared" si="117"/>
        <v>2-2023-4</v>
      </c>
      <c r="AK440">
        <f t="shared" si="118"/>
        <v>2</v>
      </c>
      <c r="AL440" s="26">
        <f>IFERROR(Table2[[#This Row],[Calories]]/Table2[[#This Row],[Splat]],"")</f>
        <v>52.384615384615387</v>
      </c>
      <c r="AM440">
        <f>COUNTIF(N$2:$N$938,N440)</f>
        <v>9</v>
      </c>
      <c r="AN440" t="str">
        <f>VLOOKUP(N440,'Helpful Tables'!A:D,4,FALSE)</f>
        <v>Virginia</v>
      </c>
      <c r="AO440" s="24">
        <f>COUNTIF(AN:AN,Table2[[#This Row],[State]])/COUNTA(AN:AN)</f>
        <v>5.6503198294243072E-2</v>
      </c>
      <c r="AP440">
        <f>VLOOKUP(N440,'Helpful Tables'!A:B,2,FALSE)</f>
        <v>38.880467000000003</v>
      </c>
      <c r="AQ440">
        <f>VLOOKUP(N440,'Helpful Tables'!A:C,3,FALSE)</f>
        <v>-77.111583999999993</v>
      </c>
      <c r="AR440">
        <f>COUNTIF(P$2:$P$938,P440)</f>
        <v>7</v>
      </c>
      <c r="AS440" cm="1">
        <f t="array" ref="AS440">_xlfn.IFS(E440&lt;6,((E440/D440)*60)*0.5,AND(E440&gt;=6,E440&lt;9),((E440/D440)*60)*0.75,AND(E440&gt;=9,E440&lt;=11),((E440/D440)*60)*0.9,AND(E440=12),((E440/D440)*60)*1,AND(E440&gt;=13,E440&lt;=15),((E440/D440)*60)*1.2,AND(E440&gt;=16,E440&lt;=19),((E440/D440)*60)*1.5,E440&gt;=20,((E440/D440)*60)*1.8)</f>
        <v>15.096774193548388</v>
      </c>
      <c r="AT440" cm="1">
        <f t="array" ref="AT440">_xlfn.IFS(F440&lt;550,((F440/D440)*60)*0.5,AND(F440&gt;=550,F440&lt;575),((F440/D440)*60)*0.75,AND(F440&gt;=575,F440&lt;600),((F440/D440)*60)*0.9,AND(F440=600),((F440/D440)*60)*1,AND(F440&gt;=601,F440&lt;=625),((F440/D440)*60)*1.2,AND(F440&gt;=626,F440&lt;=650),((F440/D440)*60)*1.5,F440&gt;=651,((F440/D440)*60)*1.8)</f>
        <v>1186.258064516129</v>
      </c>
      <c r="AU440">
        <f t="shared" si="123"/>
        <v>-1.1000000000000014</v>
      </c>
      <c r="AV440">
        <f t="shared" si="121"/>
        <v>480.32193548387096</v>
      </c>
      <c r="AW440">
        <f t="shared" si="124"/>
        <v>69.899999999999991</v>
      </c>
      <c r="AX440" t="str">
        <f t="shared" si="119"/>
        <v>Feb-2023</v>
      </c>
      <c r="AY440">
        <f>ROUNDUP(Table2[[#This Row],[Month]]/3,0)</f>
        <v>1</v>
      </c>
    </row>
    <row r="441" spans="1:51" x14ac:dyDescent="0.2">
      <c r="A441">
        <v>440</v>
      </c>
      <c r="B441">
        <f t="shared" si="108"/>
        <v>15</v>
      </c>
      <c r="C441" s="22">
        <v>44982</v>
      </c>
      <c r="D441">
        <f>SUM(Table2[[#This Row],[Gray Min]:[Red Min]])</f>
        <v>57</v>
      </c>
      <c r="E441">
        <v>10</v>
      </c>
      <c r="F441">
        <v>494</v>
      </c>
      <c r="G441">
        <v>111</v>
      </c>
      <c r="H441">
        <v>168</v>
      </c>
      <c r="I441">
        <v>31</v>
      </c>
      <c r="J441">
        <v>10</v>
      </c>
      <c r="K441">
        <v>6</v>
      </c>
      <c r="L441">
        <v>8</v>
      </c>
      <c r="M441">
        <v>2</v>
      </c>
      <c r="N441" t="s">
        <v>101</v>
      </c>
      <c r="O441" t="s">
        <v>93</v>
      </c>
      <c r="P441" t="s">
        <v>109</v>
      </c>
      <c r="Q441">
        <f t="shared" si="120"/>
        <v>3</v>
      </c>
      <c r="R441" t="str">
        <f t="shared" si="109"/>
        <v>2-2023</v>
      </c>
      <c r="S441" t="s">
        <v>117</v>
      </c>
      <c r="T441" t="str">
        <f t="shared" si="110"/>
        <v>Saturday</v>
      </c>
      <c r="U441">
        <f t="shared" si="111"/>
        <v>0</v>
      </c>
      <c r="V441" s="24">
        <f>IFERROR(Table2[[#This Row],[Gray Min]]/Table2[[#This Row],[ClassLength]],"")</f>
        <v>0.54385964912280704</v>
      </c>
      <c r="W441" s="24">
        <f>IFERROR(Table2[[#This Row],[Blue Min]]/Table2[[#This Row],[ClassLength]],"")</f>
        <v>0.17543859649122806</v>
      </c>
      <c r="X441" s="24">
        <f>IFERROR(Table2[[#This Row],[Green Min]]/Table2[[#This Row],[ClassLength]],"")</f>
        <v>0.10526315789473684</v>
      </c>
      <c r="Y441" s="24">
        <f>IFERROR(Table2[[#This Row],[Orange Min]]/Table2[[#This Row],[ClassLength]],"")</f>
        <v>0.14035087719298245</v>
      </c>
      <c r="Z441" s="24">
        <f>IFERROR(Table2[[#This Row],[Red Min]]/Table2[[#This Row],[ClassLength]],"")</f>
        <v>3.5087719298245612E-2</v>
      </c>
      <c r="AA441" s="25">
        <v>232.14</v>
      </c>
      <c r="AB441" s="25">
        <f t="shared" si="122"/>
        <v>15.475999999999999</v>
      </c>
      <c r="AC441" s="26">
        <f t="shared" si="112"/>
        <v>629.4</v>
      </c>
      <c r="AD441" s="26">
        <f t="shared" si="113"/>
        <v>12.8</v>
      </c>
      <c r="AE441">
        <f t="shared" si="114"/>
        <v>2023</v>
      </c>
      <c r="AG441">
        <v>12</v>
      </c>
      <c r="AH441" s="26">
        <f t="shared" si="115"/>
        <v>8.6666666666666661</v>
      </c>
      <c r="AI441" t="str">
        <f t="shared" si="116"/>
        <v>AM</v>
      </c>
      <c r="AJ441" t="str">
        <f t="shared" si="117"/>
        <v>2-2023-4</v>
      </c>
      <c r="AK441">
        <f t="shared" si="118"/>
        <v>2</v>
      </c>
      <c r="AL441" s="26">
        <f>IFERROR(Table2[[#This Row],[Calories]]/Table2[[#This Row],[Splat]],"")</f>
        <v>49.4</v>
      </c>
      <c r="AM441">
        <f>COUNTIF(N$2:$N$938,N441)</f>
        <v>191</v>
      </c>
      <c r="AN441" t="str">
        <f>VLOOKUP(N441,'Helpful Tables'!A:D,4,FALSE)</f>
        <v>Washington, DC</v>
      </c>
      <c r="AO441" s="24">
        <f>COUNTIF(AN:AN,Table2[[#This Row],[State]])/COUNTA(AN:AN)</f>
        <v>0.54904051172707891</v>
      </c>
      <c r="AP441">
        <f>VLOOKUP(N441,'Helpful Tables'!A:B,2,FALSE)</f>
        <v>38.949649000000001</v>
      </c>
      <c r="AQ441">
        <f>VLOOKUP(N441,'Helpful Tables'!A:C,3,FALSE)</f>
        <v>-77.080878999999996</v>
      </c>
      <c r="AR441">
        <f>COUNTIF(P$2:$P$938,P441)</f>
        <v>66</v>
      </c>
      <c r="AS441" cm="1">
        <f t="array" ref="AS441">_xlfn.IFS(E441&lt;6,((E441/D441)*60)*0.5,AND(E441&gt;=6,E441&lt;9),((E441/D441)*60)*0.75,AND(E441&gt;=9,E441&lt;=11),((E441/D441)*60)*0.9,AND(E441=12),((E441/D441)*60)*1,AND(E441&gt;=13,E441&lt;=15),((E441/D441)*60)*1.2,AND(E441&gt;=16,E441&lt;=19),((E441/D441)*60)*1.5,E441&gt;=20,((E441/D441)*60)*1.8)</f>
        <v>9.473684210526315</v>
      </c>
      <c r="AT441" cm="1">
        <f t="array" ref="AT441">_xlfn.IFS(F441&lt;550,((F441/D441)*60)*0.5,AND(F441&gt;=550,F441&lt;575),((F441/D441)*60)*0.75,AND(F441&gt;=575,F441&lt;600),((F441/D441)*60)*0.9,AND(F441=600),((F441/D441)*60)*1,AND(F441&gt;=601,F441&lt;=625),((F441/D441)*60)*1.2,AND(F441&gt;=626,F441&lt;=650),((F441/D441)*60)*1.5,F441&gt;=651,((F441/D441)*60)*1.8)</f>
        <v>260</v>
      </c>
      <c r="AU441">
        <f t="shared" si="123"/>
        <v>-27.6</v>
      </c>
      <c r="AV441">
        <f t="shared" si="121"/>
        <v>102.26947368421052</v>
      </c>
      <c r="AW441">
        <f t="shared" si="124"/>
        <v>1.5</v>
      </c>
      <c r="AX441" t="str">
        <f t="shared" si="119"/>
        <v>Feb-2023</v>
      </c>
      <c r="AY441">
        <f>ROUNDUP(Table2[[#This Row],[Month]]/3,0)</f>
        <v>1</v>
      </c>
    </row>
    <row r="442" spans="1:51" x14ac:dyDescent="0.2">
      <c r="A442">
        <v>441</v>
      </c>
      <c r="B442">
        <f t="shared" si="108"/>
        <v>15</v>
      </c>
      <c r="C442" s="22">
        <v>44983</v>
      </c>
      <c r="D442">
        <f>SUM(Table2[[#This Row],[Gray Min]:[Red Min]])</f>
        <v>58</v>
      </c>
      <c r="E442">
        <v>12</v>
      </c>
      <c r="F442">
        <v>549</v>
      </c>
      <c r="G442">
        <v>117</v>
      </c>
      <c r="H442">
        <v>165</v>
      </c>
      <c r="I442">
        <v>28</v>
      </c>
      <c r="J442">
        <v>10</v>
      </c>
      <c r="K442">
        <v>8</v>
      </c>
      <c r="L442">
        <v>11</v>
      </c>
      <c r="M442">
        <v>1</v>
      </c>
      <c r="N442" t="s">
        <v>101</v>
      </c>
      <c r="O442" t="s">
        <v>93</v>
      </c>
      <c r="P442" t="s">
        <v>155</v>
      </c>
      <c r="Q442">
        <f t="shared" si="120"/>
        <v>1</v>
      </c>
      <c r="R442" t="str">
        <f t="shared" si="109"/>
        <v>2-2023</v>
      </c>
      <c r="S442" t="s">
        <v>117</v>
      </c>
      <c r="T442" t="str">
        <f t="shared" si="110"/>
        <v>Sunday</v>
      </c>
      <c r="U442">
        <f t="shared" si="111"/>
        <v>1</v>
      </c>
      <c r="V442" s="24">
        <f>IFERROR(Table2[[#This Row],[Gray Min]]/Table2[[#This Row],[ClassLength]],"")</f>
        <v>0.48275862068965519</v>
      </c>
      <c r="W442" s="24">
        <f>IFERROR(Table2[[#This Row],[Blue Min]]/Table2[[#This Row],[ClassLength]],"")</f>
        <v>0.17241379310344829</v>
      </c>
      <c r="X442" s="24">
        <f>IFERROR(Table2[[#This Row],[Green Min]]/Table2[[#This Row],[ClassLength]],"")</f>
        <v>0.13793103448275862</v>
      </c>
      <c r="Y442" s="24">
        <f>IFERROR(Table2[[#This Row],[Orange Min]]/Table2[[#This Row],[ClassLength]],"")</f>
        <v>0.18965517241379309</v>
      </c>
      <c r="Z442" s="24">
        <f>IFERROR(Table2[[#This Row],[Red Min]]/Table2[[#This Row],[ClassLength]],"")</f>
        <v>1.7241379310344827E-2</v>
      </c>
      <c r="AA442" s="25">
        <v>232.14</v>
      </c>
      <c r="AB442" s="25">
        <f t="shared" si="122"/>
        <v>15.475999999999999</v>
      </c>
      <c r="AC442" s="26">
        <f t="shared" si="112"/>
        <v>629.4</v>
      </c>
      <c r="AD442" s="26">
        <f t="shared" si="113"/>
        <v>12.8</v>
      </c>
      <c r="AE442">
        <f t="shared" si="114"/>
        <v>2023</v>
      </c>
      <c r="AG442">
        <v>12</v>
      </c>
      <c r="AH442" s="26">
        <f t="shared" si="115"/>
        <v>9.4655172413793096</v>
      </c>
      <c r="AI442" t="str">
        <f t="shared" si="116"/>
        <v>AM</v>
      </c>
      <c r="AJ442" t="str">
        <f t="shared" si="117"/>
        <v>2-2023-5</v>
      </c>
      <c r="AK442">
        <f t="shared" si="118"/>
        <v>2</v>
      </c>
      <c r="AL442" s="26">
        <f>IFERROR(Table2[[#This Row],[Calories]]/Table2[[#This Row],[Splat]],"")</f>
        <v>45.75</v>
      </c>
      <c r="AM442">
        <f>COUNTIF(N$2:$N$938,N442)</f>
        <v>191</v>
      </c>
      <c r="AN442" t="str">
        <f>VLOOKUP(N442,'Helpful Tables'!A:D,4,FALSE)</f>
        <v>Washington, DC</v>
      </c>
      <c r="AO442" s="24">
        <f>COUNTIF(AN:AN,Table2[[#This Row],[State]])/COUNTA(AN:AN)</f>
        <v>0.54904051172707891</v>
      </c>
      <c r="AP442">
        <f>VLOOKUP(N442,'Helpful Tables'!A:B,2,FALSE)</f>
        <v>38.949649000000001</v>
      </c>
      <c r="AQ442">
        <f>VLOOKUP(N442,'Helpful Tables'!A:C,3,FALSE)</f>
        <v>-77.080878999999996</v>
      </c>
      <c r="AR442">
        <f>COUNTIF(P$2:$P$938,P442)</f>
        <v>13</v>
      </c>
      <c r="AS442" cm="1">
        <f t="array" ref="AS442">_xlfn.IFS(E442&lt;6,((E442/D442)*60)*0.5,AND(E442&gt;=6,E442&lt;9),((E442/D442)*60)*0.75,AND(E442&gt;=9,E442&lt;=11),((E442/D442)*60)*0.9,AND(E442=12),((E442/D442)*60)*1,AND(E442&gt;=13,E442&lt;=15),((E442/D442)*60)*1.2,AND(E442&gt;=16,E442&lt;=19),((E442/D442)*60)*1.5,E442&gt;=20,((E442/D442)*60)*1.8)</f>
        <v>12.413793103448276</v>
      </c>
      <c r="AT442" cm="1">
        <f t="array" ref="AT442">_xlfn.IFS(F442&lt;550,((F442/D442)*60)*0.5,AND(F442&gt;=550,F442&lt;575),((F442/D442)*60)*0.75,AND(F442&gt;=575,F442&lt;600),((F442/D442)*60)*0.9,AND(F442=600),((F442/D442)*60)*1,AND(F442&gt;=601,F442&lt;=625),((F442/D442)*60)*1.2,AND(F442&gt;=626,F442&lt;=650),((F442/D442)*60)*1.5,F442&gt;=651,((F442/D442)*60)*1.8)</f>
        <v>283.9655172413793</v>
      </c>
      <c r="AU442">
        <f t="shared" si="123"/>
        <v>-19.2</v>
      </c>
      <c r="AV442">
        <f t="shared" si="121"/>
        <v>114.71172413793104</v>
      </c>
      <c r="AW442">
        <f t="shared" si="124"/>
        <v>5.4</v>
      </c>
      <c r="AX442" t="str">
        <f t="shared" si="119"/>
        <v>Feb-2023</v>
      </c>
      <c r="AY442">
        <f>ROUNDUP(Table2[[#This Row],[Month]]/3,0)</f>
        <v>1</v>
      </c>
    </row>
    <row r="443" spans="1:51" x14ac:dyDescent="0.2">
      <c r="A443">
        <v>442</v>
      </c>
      <c r="B443">
        <f t="shared" si="108"/>
        <v>15</v>
      </c>
      <c r="C443" s="22">
        <v>44985</v>
      </c>
      <c r="D443">
        <f>SUM(Table2[[#This Row],[Gray Min]:[Red Min]])</f>
        <v>62</v>
      </c>
      <c r="E443">
        <v>16</v>
      </c>
      <c r="F443">
        <v>673</v>
      </c>
      <c r="G443">
        <v>127</v>
      </c>
      <c r="H443">
        <v>164</v>
      </c>
      <c r="I443">
        <v>13</v>
      </c>
      <c r="J443">
        <v>18</v>
      </c>
      <c r="K443">
        <v>15</v>
      </c>
      <c r="L443">
        <v>15</v>
      </c>
      <c r="M443">
        <v>1</v>
      </c>
      <c r="N443" t="s">
        <v>101</v>
      </c>
      <c r="O443" t="s">
        <v>173</v>
      </c>
      <c r="P443" t="s">
        <v>109</v>
      </c>
      <c r="Q443">
        <f t="shared" si="120"/>
        <v>2</v>
      </c>
      <c r="R443" t="str">
        <f t="shared" si="109"/>
        <v>2-2023</v>
      </c>
      <c r="S443" t="s">
        <v>145</v>
      </c>
      <c r="T443" t="str">
        <f t="shared" si="110"/>
        <v>Tuesday</v>
      </c>
      <c r="U443">
        <f t="shared" si="111"/>
        <v>1</v>
      </c>
      <c r="V443" s="24">
        <f>IFERROR(Table2[[#This Row],[Gray Min]]/Table2[[#This Row],[ClassLength]],"")</f>
        <v>0.20967741935483872</v>
      </c>
      <c r="W443" s="24">
        <f>IFERROR(Table2[[#This Row],[Blue Min]]/Table2[[#This Row],[ClassLength]],"")</f>
        <v>0.29032258064516131</v>
      </c>
      <c r="X443" s="24">
        <f>IFERROR(Table2[[#This Row],[Green Min]]/Table2[[#This Row],[ClassLength]],"")</f>
        <v>0.24193548387096775</v>
      </c>
      <c r="Y443" s="24">
        <f>IFERROR(Table2[[#This Row],[Orange Min]]/Table2[[#This Row],[ClassLength]],"")</f>
        <v>0.24193548387096775</v>
      </c>
      <c r="Z443" s="24">
        <f>IFERROR(Table2[[#This Row],[Red Min]]/Table2[[#This Row],[ClassLength]],"")</f>
        <v>1.6129032258064516E-2</v>
      </c>
      <c r="AA443" s="25">
        <v>232.14</v>
      </c>
      <c r="AB443" s="25">
        <f t="shared" si="122"/>
        <v>15.475999999999999</v>
      </c>
      <c r="AC443" s="26">
        <f t="shared" si="112"/>
        <v>629.4</v>
      </c>
      <c r="AD443" s="26">
        <f t="shared" si="113"/>
        <v>12.8</v>
      </c>
      <c r="AE443">
        <f t="shared" si="114"/>
        <v>2023</v>
      </c>
      <c r="AG443">
        <v>12</v>
      </c>
      <c r="AH443" s="26">
        <f t="shared" si="115"/>
        <v>10.85483870967742</v>
      </c>
      <c r="AI443" t="str">
        <f t="shared" si="116"/>
        <v>PM</v>
      </c>
      <c r="AJ443" t="str">
        <f t="shared" si="117"/>
        <v>2-2023-5</v>
      </c>
      <c r="AK443">
        <f t="shared" si="118"/>
        <v>2</v>
      </c>
      <c r="AL443" s="26">
        <f>IFERROR(Table2[[#This Row],[Calories]]/Table2[[#This Row],[Splat]],"")</f>
        <v>42.0625</v>
      </c>
      <c r="AM443">
        <f>COUNTIF(N$2:$N$938,N443)</f>
        <v>191</v>
      </c>
      <c r="AN443" t="str">
        <f>VLOOKUP(N443,'Helpful Tables'!A:D,4,FALSE)</f>
        <v>Washington, DC</v>
      </c>
      <c r="AO443" s="24">
        <f>COUNTIF(AN:AN,Table2[[#This Row],[State]])/COUNTA(AN:AN)</f>
        <v>0.54904051172707891</v>
      </c>
      <c r="AP443">
        <f>VLOOKUP(N443,'Helpful Tables'!A:B,2,FALSE)</f>
        <v>38.949649000000001</v>
      </c>
      <c r="AQ443">
        <f>VLOOKUP(N443,'Helpful Tables'!A:C,3,FALSE)</f>
        <v>-77.080878999999996</v>
      </c>
      <c r="AR443">
        <f>COUNTIF(P$2:$P$938,P443)</f>
        <v>66</v>
      </c>
      <c r="AS443" cm="1">
        <f t="array" ref="AS443">_xlfn.IFS(E443&lt;6,((E443/D443)*60)*0.5,AND(E443&gt;=6,E443&lt;9),((E443/D443)*60)*0.75,AND(E443&gt;=9,E443&lt;=11),((E443/D443)*60)*0.9,AND(E443=12),((E443/D443)*60)*1,AND(E443&gt;=13,E443&lt;=15),((E443/D443)*60)*1.2,AND(E443&gt;=16,E443&lt;=19),((E443/D443)*60)*1.5,E443&gt;=20,((E443/D443)*60)*1.8)</f>
        <v>23.225806451612904</v>
      </c>
      <c r="AT443" cm="1">
        <f t="array" ref="AT443">_xlfn.IFS(F443&lt;550,((F443/D443)*60)*0.5,AND(F443&gt;=550,F443&lt;575),((F443/D443)*60)*0.75,AND(F443&gt;=575,F443&lt;600),((F443/D443)*60)*0.9,AND(F443=600),((F443/D443)*60)*1,AND(F443&gt;=601,F443&lt;=625),((F443/D443)*60)*1.2,AND(F443&gt;=626,F443&lt;=650),((F443/D443)*60)*1.5,F443&gt;=651,((F443/D443)*60)*1.8)</f>
        <v>1172.3225806451615</v>
      </c>
      <c r="AU443">
        <f t="shared" si="123"/>
        <v>3.6000000000000014</v>
      </c>
      <c r="AV443">
        <f t="shared" si="121"/>
        <v>478.93935483870979</v>
      </c>
      <c r="AW443">
        <f t="shared" si="124"/>
        <v>69.599999999999994</v>
      </c>
      <c r="AX443" t="str">
        <f t="shared" si="119"/>
        <v>Feb-2023</v>
      </c>
      <c r="AY443">
        <f>ROUNDUP(Table2[[#This Row],[Month]]/3,0)</f>
        <v>1</v>
      </c>
    </row>
    <row r="444" spans="1:51" x14ac:dyDescent="0.2">
      <c r="A444">
        <v>443</v>
      </c>
      <c r="B444">
        <f t="shared" si="108"/>
        <v>15</v>
      </c>
      <c r="C444" s="22">
        <v>44987</v>
      </c>
      <c r="D444">
        <f>SUM(Table2[[#This Row],[Gray Min]:[Red Min]])</f>
        <v>60</v>
      </c>
      <c r="E444">
        <v>15</v>
      </c>
      <c r="F444">
        <v>644</v>
      </c>
      <c r="G444">
        <v>125</v>
      </c>
      <c r="H444">
        <v>167</v>
      </c>
      <c r="I444">
        <v>16</v>
      </c>
      <c r="J444">
        <v>13</v>
      </c>
      <c r="K444">
        <v>16</v>
      </c>
      <c r="L444">
        <v>13</v>
      </c>
      <c r="M444">
        <v>2</v>
      </c>
      <c r="N444" t="s">
        <v>101</v>
      </c>
      <c r="O444" t="s">
        <v>173</v>
      </c>
      <c r="P444" t="s">
        <v>118</v>
      </c>
      <c r="Q444">
        <f t="shared" si="120"/>
        <v>2</v>
      </c>
      <c r="R444" t="str">
        <f t="shared" si="109"/>
        <v>3-2023</v>
      </c>
      <c r="S444" t="s">
        <v>104</v>
      </c>
      <c r="T444" t="str">
        <f t="shared" si="110"/>
        <v>Thursday</v>
      </c>
      <c r="U444">
        <f t="shared" si="111"/>
        <v>1</v>
      </c>
      <c r="V444" s="24">
        <f>IFERROR(Table2[[#This Row],[Gray Min]]/Table2[[#This Row],[ClassLength]],"")</f>
        <v>0.26666666666666666</v>
      </c>
      <c r="W444" s="24">
        <f>IFERROR(Table2[[#This Row],[Blue Min]]/Table2[[#This Row],[ClassLength]],"")</f>
        <v>0.21666666666666667</v>
      </c>
      <c r="X444" s="24">
        <f>IFERROR(Table2[[#This Row],[Green Min]]/Table2[[#This Row],[ClassLength]],"")</f>
        <v>0.26666666666666666</v>
      </c>
      <c r="Y444" s="24">
        <f>IFERROR(Table2[[#This Row],[Orange Min]]/Table2[[#This Row],[ClassLength]],"")</f>
        <v>0.21666666666666667</v>
      </c>
      <c r="Z444" s="24">
        <f>IFERROR(Table2[[#This Row],[Red Min]]/Table2[[#This Row],[ClassLength]],"")</f>
        <v>3.3333333333333333E-2</v>
      </c>
      <c r="AA444" s="25">
        <v>232.14</v>
      </c>
      <c r="AB444" s="25">
        <f t="shared" si="122"/>
        <v>15.475999999999999</v>
      </c>
      <c r="AC444" s="26">
        <f t="shared" si="112"/>
        <v>630.21428571428567</v>
      </c>
      <c r="AD444" s="26">
        <f t="shared" si="113"/>
        <v>14.285714285714286</v>
      </c>
      <c r="AE444">
        <f t="shared" si="114"/>
        <v>2023</v>
      </c>
      <c r="AG444">
        <v>12</v>
      </c>
      <c r="AH444" s="26">
        <f t="shared" si="115"/>
        <v>10.733333333333333</v>
      </c>
      <c r="AI444" t="str">
        <f t="shared" si="116"/>
        <v>PM</v>
      </c>
      <c r="AJ444" t="str">
        <f t="shared" si="117"/>
        <v>3-2023-1</v>
      </c>
      <c r="AK444">
        <f t="shared" si="118"/>
        <v>3</v>
      </c>
      <c r="AL444" s="26">
        <f>IFERROR(Table2[[#This Row],[Calories]]/Table2[[#This Row],[Splat]],"")</f>
        <v>42.93333333333333</v>
      </c>
      <c r="AM444">
        <f>COUNTIF(N$2:$N$938,N444)</f>
        <v>191</v>
      </c>
      <c r="AN444" t="str">
        <f>VLOOKUP(N444,'Helpful Tables'!A:D,4,FALSE)</f>
        <v>Washington, DC</v>
      </c>
      <c r="AO444" s="24">
        <f>COUNTIF(AN:AN,Table2[[#This Row],[State]])/COUNTA(AN:AN)</f>
        <v>0.54904051172707891</v>
      </c>
      <c r="AP444">
        <f>VLOOKUP(N444,'Helpful Tables'!A:B,2,FALSE)</f>
        <v>38.949649000000001</v>
      </c>
      <c r="AQ444">
        <f>VLOOKUP(N444,'Helpful Tables'!A:C,3,FALSE)</f>
        <v>-77.080878999999996</v>
      </c>
      <c r="AR444">
        <f>COUNTIF(P$2:$P$938,P444)</f>
        <v>16</v>
      </c>
      <c r="AS444" cm="1">
        <f t="array" ref="AS444">_xlfn.IFS(E444&lt;6,((E444/D444)*60)*0.5,AND(E444&gt;=6,E444&lt;9),((E444/D444)*60)*0.75,AND(E444&gt;=9,E444&lt;=11),((E444/D444)*60)*0.9,AND(E444=12),((E444/D444)*60)*1,AND(E444&gt;=13,E444&lt;=15),((E444/D444)*60)*1.2,AND(E444&gt;=16,E444&lt;=19),((E444/D444)*60)*1.5,E444&gt;=20,((E444/D444)*60)*1.8)</f>
        <v>18</v>
      </c>
      <c r="AT444" cm="1">
        <f t="array" ref="AT444">_xlfn.IFS(F444&lt;550,((F444/D444)*60)*0.5,AND(F444&gt;=550,F444&lt;575),((F444/D444)*60)*0.75,AND(F444&gt;=575,F444&lt;600),((F444/D444)*60)*0.9,AND(F444=600),((F444/D444)*60)*1,AND(F444&gt;=601,F444&lt;=625),((F444/D444)*60)*1.2,AND(F444&gt;=626,F444&lt;=650),((F444/D444)*60)*1.5,F444&gt;=651,((F444/D444)*60)*1.8)</f>
        <v>966</v>
      </c>
      <c r="AU444">
        <f t="shared" si="123"/>
        <v>5.6000000000000014</v>
      </c>
      <c r="AV444">
        <f t="shared" si="121"/>
        <v>394.72</v>
      </c>
      <c r="AW444">
        <f t="shared" si="124"/>
        <v>50.2</v>
      </c>
      <c r="AX444" t="str">
        <f t="shared" si="119"/>
        <v>Mar-2023</v>
      </c>
      <c r="AY444">
        <f>ROUNDUP(Table2[[#This Row],[Month]]/3,0)</f>
        <v>1</v>
      </c>
    </row>
    <row r="445" spans="1:51" x14ac:dyDescent="0.2">
      <c r="A445">
        <v>444</v>
      </c>
      <c r="B445">
        <f t="shared" si="108"/>
        <v>15</v>
      </c>
      <c r="C445" s="22">
        <v>44988</v>
      </c>
      <c r="D445">
        <f>SUM(Table2[[#This Row],[Gray Min]:[Red Min]])</f>
        <v>58</v>
      </c>
      <c r="E445">
        <v>13</v>
      </c>
      <c r="F445">
        <v>547</v>
      </c>
      <c r="G445">
        <v>115</v>
      </c>
      <c r="H445">
        <v>169</v>
      </c>
      <c r="I445">
        <v>25</v>
      </c>
      <c r="J445">
        <v>11</v>
      </c>
      <c r="K445">
        <v>9</v>
      </c>
      <c r="L445">
        <v>12</v>
      </c>
      <c r="M445">
        <v>1</v>
      </c>
      <c r="N445" t="s">
        <v>91</v>
      </c>
      <c r="O445" t="s">
        <v>57</v>
      </c>
      <c r="P445" t="s">
        <v>96</v>
      </c>
      <c r="Q445">
        <f t="shared" si="120"/>
        <v>1</v>
      </c>
      <c r="R445" t="str">
        <f t="shared" si="109"/>
        <v>3-2023</v>
      </c>
      <c r="S445" t="s">
        <v>104</v>
      </c>
      <c r="T445" t="str">
        <f t="shared" si="110"/>
        <v>Friday</v>
      </c>
      <c r="U445">
        <f t="shared" si="111"/>
        <v>1</v>
      </c>
      <c r="V445" s="24">
        <f>IFERROR(Table2[[#This Row],[Gray Min]]/Table2[[#This Row],[ClassLength]],"")</f>
        <v>0.43103448275862066</v>
      </c>
      <c r="W445" s="24">
        <f>IFERROR(Table2[[#This Row],[Blue Min]]/Table2[[#This Row],[ClassLength]],"")</f>
        <v>0.18965517241379309</v>
      </c>
      <c r="X445" s="24">
        <f>IFERROR(Table2[[#This Row],[Green Min]]/Table2[[#This Row],[ClassLength]],"")</f>
        <v>0.15517241379310345</v>
      </c>
      <c r="Y445" s="24">
        <f>IFERROR(Table2[[#This Row],[Orange Min]]/Table2[[#This Row],[ClassLength]],"")</f>
        <v>0.20689655172413793</v>
      </c>
      <c r="Z445" s="24">
        <f>IFERROR(Table2[[#This Row],[Red Min]]/Table2[[#This Row],[ClassLength]],"")</f>
        <v>1.7241379310344827E-2</v>
      </c>
      <c r="AA445" s="25">
        <v>232.14</v>
      </c>
      <c r="AB445" s="25">
        <f t="shared" si="122"/>
        <v>15.475999999999999</v>
      </c>
      <c r="AC445" s="26">
        <f t="shared" si="112"/>
        <v>630.21428571428567</v>
      </c>
      <c r="AD445" s="26">
        <f t="shared" si="113"/>
        <v>14.285714285714286</v>
      </c>
      <c r="AE445">
        <f t="shared" si="114"/>
        <v>2023</v>
      </c>
      <c r="AG445">
        <v>12</v>
      </c>
      <c r="AH445" s="26">
        <f t="shared" si="115"/>
        <v>9.431034482758621</v>
      </c>
      <c r="AI445" t="str">
        <f t="shared" si="116"/>
        <v>PM</v>
      </c>
      <c r="AJ445" t="str">
        <f t="shared" si="117"/>
        <v>3-2023-1</v>
      </c>
      <c r="AK445">
        <f t="shared" si="118"/>
        <v>3</v>
      </c>
      <c r="AL445" s="26">
        <f>IFERROR(Table2[[#This Row],[Calories]]/Table2[[#This Row],[Splat]],"")</f>
        <v>42.07692307692308</v>
      </c>
      <c r="AM445">
        <f>COUNTIF(N$2:$N$938,N445)</f>
        <v>218</v>
      </c>
      <c r="AN445" t="str">
        <f>VLOOKUP(N445,'Helpful Tables'!A:D,4,FALSE)</f>
        <v>Washington, DC</v>
      </c>
      <c r="AO445" s="24">
        <f>COUNTIF(AN:AN,Table2[[#This Row],[State]])/COUNTA(AN:AN)</f>
        <v>0.54904051172707891</v>
      </c>
      <c r="AP445">
        <f>VLOOKUP(N445,'Helpful Tables'!A:B,2,FALSE)</f>
        <v>38.934710000000003</v>
      </c>
      <c r="AQ445">
        <f>VLOOKUP(N445,'Helpful Tables'!A:C,3,FALSE)</f>
        <v>-77.058222999999998</v>
      </c>
      <c r="AR445">
        <f>COUNTIF(P$2:$P$938,P445)</f>
        <v>71</v>
      </c>
      <c r="AS445" cm="1">
        <f t="array" ref="AS445">_xlfn.IFS(E445&lt;6,((E445/D445)*60)*0.5,AND(E445&gt;=6,E445&lt;9),((E445/D445)*60)*0.75,AND(E445&gt;=9,E445&lt;=11),((E445/D445)*60)*0.9,AND(E445=12),((E445/D445)*60)*1,AND(E445&gt;=13,E445&lt;=15),((E445/D445)*60)*1.2,AND(E445&gt;=16,E445&lt;=19),((E445/D445)*60)*1.5,E445&gt;=20,((E445/D445)*60)*1.8)</f>
        <v>16.137931034482758</v>
      </c>
      <c r="AT445" cm="1">
        <f t="array" ref="AT445">_xlfn.IFS(F445&lt;550,((F445/D445)*60)*0.5,AND(F445&gt;=550,F445&lt;575),((F445/D445)*60)*0.75,AND(F445&gt;=575,F445&lt;600),((F445/D445)*60)*0.9,AND(F445=600),((F445/D445)*60)*1,AND(F445&gt;=601,F445&lt;=625),((F445/D445)*60)*1.2,AND(F445&gt;=626,F445&lt;=650),((F445/D445)*60)*1.5,F445&gt;=651,((F445/D445)*60)*1.8)</f>
        <v>282.93103448275861</v>
      </c>
      <c r="AU445">
        <f t="shared" si="123"/>
        <v>-14.200000000000003</v>
      </c>
      <c r="AV445">
        <f t="shared" si="121"/>
        <v>116.78758620689655</v>
      </c>
      <c r="AW445">
        <f t="shared" si="124"/>
        <v>6.1</v>
      </c>
      <c r="AX445" t="str">
        <f t="shared" si="119"/>
        <v>Mar-2023</v>
      </c>
      <c r="AY445">
        <f>ROUNDUP(Table2[[#This Row],[Month]]/3,0)</f>
        <v>1</v>
      </c>
    </row>
    <row r="446" spans="1:51" x14ac:dyDescent="0.2">
      <c r="A446">
        <v>445</v>
      </c>
      <c r="B446">
        <f t="shared" si="108"/>
        <v>15</v>
      </c>
      <c r="C446" s="22">
        <v>44990</v>
      </c>
      <c r="D446">
        <f>SUM(Table2[[#This Row],[Gray Min]:[Red Min]])</f>
        <v>56</v>
      </c>
      <c r="E446">
        <v>13</v>
      </c>
      <c r="F446">
        <v>575</v>
      </c>
      <c r="G446">
        <v>121</v>
      </c>
      <c r="H446">
        <v>164</v>
      </c>
      <c r="I446">
        <v>21</v>
      </c>
      <c r="J446">
        <v>10</v>
      </c>
      <c r="K446">
        <v>12</v>
      </c>
      <c r="L446">
        <v>12</v>
      </c>
      <c r="M446">
        <v>1</v>
      </c>
      <c r="N446" t="s">
        <v>101</v>
      </c>
      <c r="O446" t="s">
        <v>93</v>
      </c>
      <c r="P446" t="s">
        <v>155</v>
      </c>
      <c r="Q446">
        <f t="shared" si="120"/>
        <v>2</v>
      </c>
      <c r="R446" t="str">
        <f t="shared" si="109"/>
        <v>3-2023</v>
      </c>
      <c r="S446" t="s">
        <v>117</v>
      </c>
      <c r="T446" t="str">
        <f t="shared" si="110"/>
        <v>Sunday</v>
      </c>
      <c r="U446">
        <f t="shared" si="111"/>
        <v>1</v>
      </c>
      <c r="V446" s="24">
        <f>IFERROR(Table2[[#This Row],[Gray Min]]/Table2[[#This Row],[ClassLength]],"")</f>
        <v>0.375</v>
      </c>
      <c r="W446" s="24">
        <f>IFERROR(Table2[[#This Row],[Blue Min]]/Table2[[#This Row],[ClassLength]],"")</f>
        <v>0.17857142857142858</v>
      </c>
      <c r="X446" s="24">
        <f>IFERROR(Table2[[#This Row],[Green Min]]/Table2[[#This Row],[ClassLength]],"")</f>
        <v>0.21428571428571427</v>
      </c>
      <c r="Y446" s="24">
        <f>IFERROR(Table2[[#This Row],[Orange Min]]/Table2[[#This Row],[ClassLength]],"")</f>
        <v>0.21428571428571427</v>
      </c>
      <c r="Z446" s="24">
        <f>IFERROR(Table2[[#This Row],[Red Min]]/Table2[[#This Row],[ClassLength]],"")</f>
        <v>1.7857142857142856E-2</v>
      </c>
      <c r="AA446" s="25">
        <v>232.14</v>
      </c>
      <c r="AB446" s="25">
        <f t="shared" si="122"/>
        <v>15.475999999999999</v>
      </c>
      <c r="AC446" s="26">
        <f t="shared" si="112"/>
        <v>630.21428571428567</v>
      </c>
      <c r="AD446" s="26">
        <f t="shared" si="113"/>
        <v>14.285714285714286</v>
      </c>
      <c r="AE446">
        <f t="shared" si="114"/>
        <v>2023</v>
      </c>
      <c r="AG446">
        <v>12</v>
      </c>
      <c r="AH446" s="26">
        <f t="shared" si="115"/>
        <v>10.267857142857142</v>
      </c>
      <c r="AI446" t="str">
        <f t="shared" si="116"/>
        <v>AM</v>
      </c>
      <c r="AJ446" t="str">
        <f t="shared" si="117"/>
        <v>3-2023-2</v>
      </c>
      <c r="AK446">
        <f t="shared" si="118"/>
        <v>3</v>
      </c>
      <c r="AL446" s="26">
        <f>IFERROR(Table2[[#This Row],[Calories]]/Table2[[#This Row],[Splat]],"")</f>
        <v>44.230769230769234</v>
      </c>
      <c r="AM446">
        <f>COUNTIF(N$2:$N$938,N446)</f>
        <v>191</v>
      </c>
      <c r="AN446" t="str">
        <f>VLOOKUP(N446,'Helpful Tables'!A:D,4,FALSE)</f>
        <v>Washington, DC</v>
      </c>
      <c r="AO446" s="24">
        <f>COUNTIF(AN:AN,Table2[[#This Row],[State]])/COUNTA(AN:AN)</f>
        <v>0.54904051172707891</v>
      </c>
      <c r="AP446">
        <f>VLOOKUP(N446,'Helpful Tables'!A:B,2,FALSE)</f>
        <v>38.949649000000001</v>
      </c>
      <c r="AQ446">
        <f>VLOOKUP(N446,'Helpful Tables'!A:C,3,FALSE)</f>
        <v>-77.080878999999996</v>
      </c>
      <c r="AR446">
        <f>COUNTIF(P$2:$P$938,P446)</f>
        <v>13</v>
      </c>
      <c r="AS446" cm="1">
        <f t="array" ref="AS446">_xlfn.IFS(E446&lt;6,((E446/D446)*60)*0.5,AND(E446&gt;=6,E446&lt;9),((E446/D446)*60)*0.75,AND(E446&gt;=9,E446&lt;=11),((E446/D446)*60)*0.9,AND(E446=12),((E446/D446)*60)*1,AND(E446&gt;=13,E446&lt;=15),((E446/D446)*60)*1.2,AND(E446&gt;=16,E446&lt;=19),((E446/D446)*60)*1.5,E446&gt;=20,((E446/D446)*60)*1.8)</f>
        <v>16.714285714285715</v>
      </c>
      <c r="AT446" cm="1">
        <f t="array" ref="AT446">_xlfn.IFS(F446&lt;550,((F446/D446)*60)*0.5,AND(F446&gt;=550,F446&lt;575),((F446/D446)*60)*0.75,AND(F446&gt;=575,F446&lt;600),((F446/D446)*60)*0.9,AND(F446=600),((F446/D446)*60)*1,AND(F446&gt;=601,F446&lt;=625),((F446/D446)*60)*1.2,AND(F446&gt;=626,F446&lt;=650),((F446/D446)*60)*1.5,F446&gt;=651,((F446/D446)*60)*1.8)</f>
        <v>554.46428571428567</v>
      </c>
      <c r="AU446">
        <f t="shared" si="123"/>
        <v>-4.7000000000000028</v>
      </c>
      <c r="AV446">
        <f t="shared" si="121"/>
        <v>227.53142857142856</v>
      </c>
      <c r="AW446">
        <f t="shared" si="124"/>
        <v>19.100000000000001</v>
      </c>
      <c r="AX446" t="str">
        <f t="shared" si="119"/>
        <v>Mar-2023</v>
      </c>
      <c r="AY446">
        <f>ROUNDUP(Table2[[#This Row],[Month]]/3,0)</f>
        <v>1</v>
      </c>
    </row>
    <row r="447" spans="1:51" x14ac:dyDescent="0.2">
      <c r="A447">
        <v>446</v>
      </c>
      <c r="B447">
        <f t="shared" si="108"/>
        <v>15</v>
      </c>
      <c r="C447" s="22">
        <v>44991</v>
      </c>
      <c r="D447">
        <f>SUM(Table2[[#This Row],[Gray Min]:[Red Min]])</f>
        <v>59</v>
      </c>
      <c r="E447">
        <v>16</v>
      </c>
      <c r="F447">
        <v>666</v>
      </c>
      <c r="G447">
        <v>128</v>
      </c>
      <c r="H447">
        <v>171</v>
      </c>
      <c r="I447">
        <v>14</v>
      </c>
      <c r="J447">
        <v>8</v>
      </c>
      <c r="K447">
        <v>21</v>
      </c>
      <c r="L447">
        <v>13</v>
      </c>
      <c r="M447">
        <v>3</v>
      </c>
      <c r="N447" t="s">
        <v>91</v>
      </c>
      <c r="O447" t="s">
        <v>57</v>
      </c>
      <c r="P447" t="s">
        <v>98</v>
      </c>
      <c r="Q447">
        <f t="shared" si="120"/>
        <v>1</v>
      </c>
      <c r="R447" t="str">
        <f t="shared" si="109"/>
        <v>3-2023</v>
      </c>
      <c r="S447" t="s">
        <v>117</v>
      </c>
      <c r="T447" t="str">
        <f t="shared" si="110"/>
        <v>Monday</v>
      </c>
      <c r="U447">
        <f t="shared" si="111"/>
        <v>1</v>
      </c>
      <c r="V447" s="24">
        <f>IFERROR(Table2[[#This Row],[Gray Min]]/Table2[[#This Row],[ClassLength]],"")</f>
        <v>0.23728813559322035</v>
      </c>
      <c r="W447" s="24">
        <f>IFERROR(Table2[[#This Row],[Blue Min]]/Table2[[#This Row],[ClassLength]],"")</f>
        <v>0.13559322033898305</v>
      </c>
      <c r="X447" s="24">
        <f>IFERROR(Table2[[#This Row],[Green Min]]/Table2[[#This Row],[ClassLength]],"")</f>
        <v>0.3559322033898305</v>
      </c>
      <c r="Y447" s="24">
        <f>IFERROR(Table2[[#This Row],[Orange Min]]/Table2[[#This Row],[ClassLength]],"")</f>
        <v>0.22033898305084745</v>
      </c>
      <c r="Z447" s="24">
        <f>IFERROR(Table2[[#This Row],[Red Min]]/Table2[[#This Row],[ClassLength]],"")</f>
        <v>5.0847457627118647E-2</v>
      </c>
      <c r="AA447" s="25">
        <v>232.14</v>
      </c>
      <c r="AB447" s="25">
        <f t="shared" si="122"/>
        <v>15.475999999999999</v>
      </c>
      <c r="AC447" s="26">
        <f t="shared" si="112"/>
        <v>630.21428571428567</v>
      </c>
      <c r="AD447" s="26">
        <f t="shared" si="113"/>
        <v>14.285714285714286</v>
      </c>
      <c r="AE447">
        <f t="shared" si="114"/>
        <v>2023</v>
      </c>
      <c r="AG447">
        <v>12</v>
      </c>
      <c r="AH447" s="26">
        <f t="shared" si="115"/>
        <v>11.288135593220339</v>
      </c>
      <c r="AI447" t="str">
        <f t="shared" si="116"/>
        <v>PM</v>
      </c>
      <c r="AJ447" t="str">
        <f t="shared" si="117"/>
        <v>3-2023-2</v>
      </c>
      <c r="AK447">
        <f t="shared" si="118"/>
        <v>3</v>
      </c>
      <c r="AL447" s="26">
        <f>IFERROR(Table2[[#This Row],[Calories]]/Table2[[#This Row],[Splat]],"")</f>
        <v>41.625</v>
      </c>
      <c r="AM447">
        <f>COUNTIF(N$2:$N$938,N447)</f>
        <v>218</v>
      </c>
      <c r="AN447" t="str">
        <f>VLOOKUP(N447,'Helpful Tables'!A:D,4,FALSE)</f>
        <v>Washington, DC</v>
      </c>
      <c r="AO447" s="24">
        <f>COUNTIF(AN:AN,Table2[[#This Row],[State]])/COUNTA(AN:AN)</f>
        <v>0.54904051172707891</v>
      </c>
      <c r="AP447">
        <f>VLOOKUP(N447,'Helpful Tables'!A:B,2,FALSE)</f>
        <v>38.934710000000003</v>
      </c>
      <c r="AQ447">
        <f>VLOOKUP(N447,'Helpful Tables'!A:C,3,FALSE)</f>
        <v>-77.058222999999998</v>
      </c>
      <c r="AR447">
        <f>COUNTIF(P$2:$P$938,P447)</f>
        <v>28</v>
      </c>
      <c r="AS447" cm="1">
        <f t="array" ref="AS447">_xlfn.IFS(E447&lt;6,((E447/D447)*60)*0.5,AND(E447&gt;=6,E447&lt;9),((E447/D447)*60)*0.75,AND(E447&gt;=9,E447&lt;=11),((E447/D447)*60)*0.9,AND(E447=12),((E447/D447)*60)*1,AND(E447&gt;=13,E447&lt;=15),((E447/D447)*60)*1.2,AND(E447&gt;=16,E447&lt;=19),((E447/D447)*60)*1.5,E447&gt;=20,((E447/D447)*60)*1.8)</f>
        <v>24.406779661016948</v>
      </c>
      <c r="AT447" cm="1">
        <f t="array" ref="AT447">_xlfn.IFS(F447&lt;550,((F447/D447)*60)*0.5,AND(F447&gt;=550,F447&lt;575),((F447/D447)*60)*0.75,AND(F447&gt;=575,F447&lt;600),((F447/D447)*60)*0.9,AND(F447=600),((F447/D447)*60)*1,AND(F447&gt;=601,F447&lt;=625),((F447/D447)*60)*1.2,AND(F447&gt;=626,F447&lt;=650),((F447/D447)*60)*1.5,F447&gt;=651,((F447/D447)*60)*1.8)</f>
        <v>1219.1186440677966</v>
      </c>
      <c r="AU447">
        <f t="shared" si="123"/>
        <v>21</v>
      </c>
      <c r="AV447">
        <f t="shared" si="121"/>
        <v>501.61016949152543</v>
      </c>
      <c r="AW447">
        <f t="shared" si="124"/>
        <v>79.800000000000011</v>
      </c>
      <c r="AX447" t="str">
        <f t="shared" si="119"/>
        <v>Mar-2023</v>
      </c>
      <c r="AY447">
        <f>ROUNDUP(Table2[[#This Row],[Month]]/3,0)</f>
        <v>1</v>
      </c>
    </row>
    <row r="448" spans="1:51" x14ac:dyDescent="0.2">
      <c r="A448">
        <v>447</v>
      </c>
      <c r="B448">
        <f t="shared" si="108"/>
        <v>15</v>
      </c>
      <c r="C448" s="22">
        <v>44993</v>
      </c>
      <c r="D448">
        <f>SUM(Table2[[#This Row],[Gray Min]:[Red Min]])</f>
        <v>57</v>
      </c>
      <c r="E448">
        <v>14</v>
      </c>
      <c r="F448">
        <v>648</v>
      </c>
      <c r="G448">
        <v>128</v>
      </c>
      <c r="H448">
        <v>168</v>
      </c>
      <c r="I448">
        <v>8</v>
      </c>
      <c r="J448">
        <v>14</v>
      </c>
      <c r="K448">
        <v>21</v>
      </c>
      <c r="L448">
        <v>12</v>
      </c>
      <c r="M448">
        <v>2</v>
      </c>
      <c r="N448" t="s">
        <v>101</v>
      </c>
      <c r="O448" t="s">
        <v>173</v>
      </c>
      <c r="P448" t="s">
        <v>147</v>
      </c>
      <c r="Q448">
        <f t="shared" si="120"/>
        <v>2</v>
      </c>
      <c r="R448" t="str">
        <f t="shared" si="109"/>
        <v>3-2023</v>
      </c>
      <c r="S448" t="s">
        <v>104</v>
      </c>
      <c r="T448" t="str">
        <f t="shared" si="110"/>
        <v>Wednesday</v>
      </c>
      <c r="U448">
        <f t="shared" si="111"/>
        <v>1</v>
      </c>
      <c r="V448" s="24">
        <f>IFERROR(Table2[[#This Row],[Gray Min]]/Table2[[#This Row],[ClassLength]],"")</f>
        <v>0.14035087719298245</v>
      </c>
      <c r="W448" s="24">
        <f>IFERROR(Table2[[#This Row],[Blue Min]]/Table2[[#This Row],[ClassLength]],"")</f>
        <v>0.24561403508771928</v>
      </c>
      <c r="X448" s="24">
        <f>IFERROR(Table2[[#This Row],[Green Min]]/Table2[[#This Row],[ClassLength]],"")</f>
        <v>0.36842105263157893</v>
      </c>
      <c r="Y448" s="24">
        <f>IFERROR(Table2[[#This Row],[Orange Min]]/Table2[[#This Row],[ClassLength]],"")</f>
        <v>0.21052631578947367</v>
      </c>
      <c r="Z448" s="24">
        <f>IFERROR(Table2[[#This Row],[Red Min]]/Table2[[#This Row],[ClassLength]],"")</f>
        <v>3.5087719298245612E-2</v>
      </c>
      <c r="AA448" s="25">
        <v>232.14</v>
      </c>
      <c r="AB448" s="25">
        <f t="shared" si="122"/>
        <v>15.475999999999999</v>
      </c>
      <c r="AC448" s="26">
        <f t="shared" si="112"/>
        <v>630.21428571428567</v>
      </c>
      <c r="AD448" s="26">
        <f t="shared" si="113"/>
        <v>14.285714285714286</v>
      </c>
      <c r="AE448">
        <f t="shared" si="114"/>
        <v>2023</v>
      </c>
      <c r="AG448">
        <v>12</v>
      </c>
      <c r="AH448" s="26">
        <f t="shared" si="115"/>
        <v>11.368421052631579</v>
      </c>
      <c r="AI448" t="str">
        <f t="shared" si="116"/>
        <v>PM</v>
      </c>
      <c r="AJ448" t="str">
        <f t="shared" si="117"/>
        <v>3-2023-2</v>
      </c>
      <c r="AK448">
        <f t="shared" si="118"/>
        <v>3</v>
      </c>
      <c r="AL448" s="26">
        <f>IFERROR(Table2[[#This Row],[Calories]]/Table2[[#This Row],[Splat]],"")</f>
        <v>46.285714285714285</v>
      </c>
      <c r="AM448">
        <f>COUNTIF(N$2:$N$938,N448)</f>
        <v>191</v>
      </c>
      <c r="AN448" t="str">
        <f>VLOOKUP(N448,'Helpful Tables'!A:D,4,FALSE)</f>
        <v>Washington, DC</v>
      </c>
      <c r="AO448" s="24">
        <f>COUNTIF(AN:AN,Table2[[#This Row],[State]])/COUNTA(AN:AN)</f>
        <v>0.54904051172707891</v>
      </c>
      <c r="AP448">
        <f>VLOOKUP(N448,'Helpful Tables'!A:B,2,FALSE)</f>
        <v>38.949649000000001</v>
      </c>
      <c r="AQ448">
        <f>VLOOKUP(N448,'Helpful Tables'!A:C,3,FALSE)</f>
        <v>-77.080878999999996</v>
      </c>
      <c r="AR448">
        <f>COUNTIF(P$2:$P$938,P448)</f>
        <v>17</v>
      </c>
      <c r="AS448" cm="1">
        <f t="array" ref="AS448">_xlfn.IFS(E448&lt;6,((E448/D448)*60)*0.5,AND(E448&gt;=6,E448&lt;9),((E448/D448)*60)*0.75,AND(E448&gt;=9,E448&lt;=11),((E448/D448)*60)*0.9,AND(E448=12),((E448/D448)*60)*1,AND(E448&gt;=13,E448&lt;=15),((E448/D448)*60)*1.2,AND(E448&gt;=16,E448&lt;=19),((E448/D448)*60)*1.5,E448&gt;=20,((E448/D448)*60)*1.8)</f>
        <v>17.684210526315788</v>
      </c>
      <c r="AT448" cm="1">
        <f t="array" ref="AT448">_xlfn.IFS(F448&lt;550,((F448/D448)*60)*0.5,AND(F448&gt;=550,F448&lt;575),((F448/D448)*60)*0.75,AND(F448&gt;=575,F448&lt;600),((F448/D448)*60)*0.9,AND(F448=600),((F448/D448)*60)*1,AND(F448&gt;=601,F448&lt;=625),((F448/D448)*60)*1.2,AND(F448&gt;=626,F448&lt;=650),((F448/D448)*60)*1.5,F448&gt;=651,((F448/D448)*60)*1.8)</f>
        <v>1023.1578947368421</v>
      </c>
      <c r="AU448">
        <f t="shared" si="123"/>
        <v>18.8</v>
      </c>
      <c r="AV448">
        <f t="shared" si="121"/>
        <v>420.09684210526319</v>
      </c>
      <c r="AW448">
        <f t="shared" si="124"/>
        <v>61.6</v>
      </c>
      <c r="AX448" t="str">
        <f t="shared" si="119"/>
        <v>Mar-2023</v>
      </c>
      <c r="AY448">
        <f>ROUNDUP(Table2[[#This Row],[Month]]/3,0)</f>
        <v>1</v>
      </c>
    </row>
    <row r="449" spans="1:51" x14ac:dyDescent="0.2">
      <c r="A449">
        <v>448</v>
      </c>
      <c r="B449">
        <f t="shared" si="108"/>
        <v>15</v>
      </c>
      <c r="C449" s="22">
        <v>44995</v>
      </c>
      <c r="D449">
        <f>SUM(Table2[[#This Row],[Gray Min]:[Red Min]])</f>
        <v>57</v>
      </c>
      <c r="E449">
        <v>13</v>
      </c>
      <c r="F449">
        <v>606</v>
      </c>
      <c r="G449">
        <v>124</v>
      </c>
      <c r="H449">
        <v>160</v>
      </c>
      <c r="I449">
        <v>14</v>
      </c>
      <c r="J449">
        <v>15</v>
      </c>
      <c r="K449">
        <v>15</v>
      </c>
      <c r="L449">
        <v>13</v>
      </c>
      <c r="M449">
        <v>0</v>
      </c>
      <c r="N449" t="s">
        <v>91</v>
      </c>
      <c r="O449" t="s">
        <v>174</v>
      </c>
      <c r="P449" t="s">
        <v>168</v>
      </c>
      <c r="Q449">
        <f t="shared" si="120"/>
        <v>2</v>
      </c>
      <c r="R449" t="str">
        <f t="shared" si="109"/>
        <v>3-2023</v>
      </c>
      <c r="S449" t="s">
        <v>104</v>
      </c>
      <c r="T449" t="str">
        <f t="shared" si="110"/>
        <v>Friday</v>
      </c>
      <c r="U449">
        <f t="shared" si="111"/>
        <v>1</v>
      </c>
      <c r="V449" s="24">
        <f>IFERROR(Table2[[#This Row],[Gray Min]]/Table2[[#This Row],[ClassLength]],"")</f>
        <v>0.24561403508771928</v>
      </c>
      <c r="W449" s="24">
        <f>IFERROR(Table2[[#This Row],[Blue Min]]/Table2[[#This Row],[ClassLength]],"")</f>
        <v>0.26315789473684209</v>
      </c>
      <c r="X449" s="24">
        <f>IFERROR(Table2[[#This Row],[Green Min]]/Table2[[#This Row],[ClassLength]],"")</f>
        <v>0.26315789473684209</v>
      </c>
      <c r="Y449" s="24">
        <f>IFERROR(Table2[[#This Row],[Orange Min]]/Table2[[#This Row],[ClassLength]],"")</f>
        <v>0.22807017543859648</v>
      </c>
      <c r="Z449" s="24">
        <f>IFERROR(Table2[[#This Row],[Red Min]]/Table2[[#This Row],[ClassLength]],"")</f>
        <v>0</v>
      </c>
      <c r="AA449" s="25">
        <v>232.14</v>
      </c>
      <c r="AB449" s="25">
        <f t="shared" si="122"/>
        <v>15.475999999999999</v>
      </c>
      <c r="AC449" s="26">
        <f t="shared" si="112"/>
        <v>630.21428571428567</v>
      </c>
      <c r="AD449" s="26">
        <f t="shared" si="113"/>
        <v>14.285714285714286</v>
      </c>
      <c r="AE449">
        <f t="shared" si="114"/>
        <v>2023</v>
      </c>
      <c r="AG449">
        <v>12</v>
      </c>
      <c r="AH449" s="26">
        <f t="shared" si="115"/>
        <v>10.631578947368421</v>
      </c>
      <c r="AI449" t="str">
        <f t="shared" si="116"/>
        <v>AM</v>
      </c>
      <c r="AJ449" t="str">
        <f t="shared" si="117"/>
        <v>3-2023-2</v>
      </c>
      <c r="AK449">
        <f t="shared" si="118"/>
        <v>3</v>
      </c>
      <c r="AL449" s="26">
        <f>IFERROR(Table2[[#This Row],[Calories]]/Table2[[#This Row],[Splat]],"")</f>
        <v>46.615384615384613</v>
      </c>
      <c r="AM449">
        <f>COUNTIF(N$2:$N$938,N449)</f>
        <v>218</v>
      </c>
      <c r="AN449" t="str">
        <f>VLOOKUP(N449,'Helpful Tables'!A:D,4,FALSE)</f>
        <v>Washington, DC</v>
      </c>
      <c r="AO449" s="24">
        <f>COUNTIF(AN:AN,Table2[[#This Row],[State]])/COUNTA(AN:AN)</f>
        <v>0.54904051172707891</v>
      </c>
      <c r="AP449">
        <f>VLOOKUP(N449,'Helpful Tables'!A:B,2,FALSE)</f>
        <v>38.934710000000003</v>
      </c>
      <c r="AQ449">
        <f>VLOOKUP(N449,'Helpful Tables'!A:C,3,FALSE)</f>
        <v>-77.058222999999998</v>
      </c>
      <c r="AR449">
        <f>COUNTIF(P$2:$P$938,P449)</f>
        <v>12</v>
      </c>
      <c r="AS449" cm="1">
        <f t="array" ref="AS449">_xlfn.IFS(E449&lt;6,((E449/D449)*60)*0.5,AND(E449&gt;=6,E449&lt;9),((E449/D449)*60)*0.75,AND(E449&gt;=9,E449&lt;=11),((E449/D449)*60)*0.9,AND(E449=12),((E449/D449)*60)*1,AND(E449&gt;=13,E449&lt;=15),((E449/D449)*60)*1.2,AND(E449&gt;=16,E449&lt;=19),((E449/D449)*60)*1.5,E449&gt;=20,((E449/D449)*60)*1.8)</f>
        <v>16.421052631578945</v>
      </c>
      <c r="AT449" cm="1">
        <f t="array" ref="AT449">_xlfn.IFS(F449&lt;550,((F449/D449)*60)*0.5,AND(F449&gt;=550,F449&lt;575),((F449/D449)*60)*0.75,AND(F449&gt;=575,F449&lt;600),((F449/D449)*60)*0.9,AND(F449=600),((F449/D449)*60)*1,AND(F449&gt;=601,F449&lt;=625),((F449/D449)*60)*1.2,AND(F449&gt;=626,F449&lt;=650),((F449/D449)*60)*1.5,F449&gt;=651,((F449/D449)*60)*1.8)</f>
        <v>765.47368421052636</v>
      </c>
      <c r="AU449">
        <f t="shared" si="123"/>
        <v>1.600000000000005</v>
      </c>
      <c r="AV449">
        <f t="shared" si="121"/>
        <v>313.0778947368421</v>
      </c>
      <c r="AW449">
        <f t="shared" si="124"/>
        <v>32.800000000000004</v>
      </c>
      <c r="AX449" t="str">
        <f t="shared" si="119"/>
        <v>Mar-2023</v>
      </c>
      <c r="AY449">
        <f>ROUNDUP(Table2[[#This Row],[Month]]/3,0)</f>
        <v>1</v>
      </c>
    </row>
    <row r="450" spans="1:51" x14ac:dyDescent="0.2">
      <c r="A450">
        <v>449</v>
      </c>
      <c r="B450">
        <f t="shared" ref="B450:B513" si="125">COUNTIF(R:R,R450)</f>
        <v>15</v>
      </c>
      <c r="C450" s="22">
        <v>44997</v>
      </c>
      <c r="D450">
        <f>SUM(Table2[[#This Row],[Gray Min]:[Red Min]])</f>
        <v>58</v>
      </c>
      <c r="E450">
        <v>11</v>
      </c>
      <c r="F450">
        <v>612</v>
      </c>
      <c r="G450">
        <v>124</v>
      </c>
      <c r="H450">
        <v>166</v>
      </c>
      <c r="I450">
        <v>13</v>
      </c>
      <c r="J450">
        <v>16</v>
      </c>
      <c r="K450">
        <v>18</v>
      </c>
      <c r="L450">
        <v>10</v>
      </c>
      <c r="M450">
        <v>1</v>
      </c>
      <c r="N450" t="s">
        <v>91</v>
      </c>
      <c r="O450" t="s">
        <v>79</v>
      </c>
      <c r="P450" t="s">
        <v>100</v>
      </c>
      <c r="Q450">
        <f t="shared" si="120"/>
        <v>2</v>
      </c>
      <c r="R450" t="str">
        <f t="shared" ref="R450:R513" si="126">MONTH(C450)&amp;"-"&amp;YEAR(C450)</f>
        <v>3-2023</v>
      </c>
      <c r="S450" t="s">
        <v>117</v>
      </c>
      <c r="T450" t="str">
        <f t="shared" ref="T450:T513" si="127">IF(WEEKDAY(C450)=1,"Sunday",IF(WEEKDAY(C450)=2,"Monday",IF(WEEKDAY(C450)=3,"Tuesday",IF(WEEKDAY(C450)=4,"Wednesday",IF(WEEKDAY(C450)=5,"Thursday",IF(WEEKDAY(C450)=6,"Friday","Saturday"))))))</f>
        <v>Sunday</v>
      </c>
      <c r="U450">
        <f t="shared" ref="U450:U513" si="128">IF(E450&gt;=12,1,0)</f>
        <v>0</v>
      </c>
      <c r="V450" s="24">
        <f>IFERROR(Table2[[#This Row],[Gray Min]]/Table2[[#This Row],[ClassLength]],"")</f>
        <v>0.22413793103448276</v>
      </c>
      <c r="W450" s="24">
        <f>IFERROR(Table2[[#This Row],[Blue Min]]/Table2[[#This Row],[ClassLength]],"")</f>
        <v>0.27586206896551724</v>
      </c>
      <c r="X450" s="24">
        <f>IFERROR(Table2[[#This Row],[Green Min]]/Table2[[#This Row],[ClassLength]],"")</f>
        <v>0.31034482758620691</v>
      </c>
      <c r="Y450" s="24">
        <f>IFERROR(Table2[[#This Row],[Orange Min]]/Table2[[#This Row],[ClassLength]],"")</f>
        <v>0.17241379310344829</v>
      </c>
      <c r="Z450" s="24">
        <f>IFERROR(Table2[[#This Row],[Red Min]]/Table2[[#This Row],[ClassLength]],"")</f>
        <v>1.7241379310344827E-2</v>
      </c>
      <c r="AA450" s="25">
        <v>232.14</v>
      </c>
      <c r="AB450" s="25">
        <f t="shared" si="122"/>
        <v>15.475999999999999</v>
      </c>
      <c r="AC450" s="26">
        <f t="shared" ref="AC450:AC513" si="129">AVERAGEIF(R:R,R450,F:F)</f>
        <v>630.21428571428567</v>
      </c>
      <c r="AD450" s="26">
        <f t="shared" ref="AD450:AD513" si="130">AVERAGEIF(R:R,R450,E:E)</f>
        <v>14.285714285714286</v>
      </c>
      <c r="AE450">
        <f t="shared" ref="AE450:AE513" si="131">YEAR(C450)</f>
        <v>2023</v>
      </c>
      <c r="AG450">
        <v>12</v>
      </c>
      <c r="AH450" s="26">
        <f t="shared" ref="AH450:AH513" si="132">F450/D450</f>
        <v>10.551724137931034</v>
      </c>
      <c r="AI450" t="str">
        <f t="shared" ref="AI450:AI513" si="133">RIGHT(O450,2)</f>
        <v>AM</v>
      </c>
      <c r="AJ450" t="str">
        <f t="shared" ref="AJ450:AJ513" si="134">R450&amp;"-"&amp;WEEKNUM(C450,1)-WEEKNUM(DATE(YEAR(C450),MONTH(C450),1),1)+1</f>
        <v>3-2023-3</v>
      </c>
      <c r="AK450">
        <f t="shared" ref="AK450:AK513" si="135">MONTH(C450)</f>
        <v>3</v>
      </c>
      <c r="AL450" s="26">
        <f>IFERROR(Table2[[#This Row],[Calories]]/Table2[[#This Row],[Splat]],"")</f>
        <v>55.636363636363633</v>
      </c>
      <c r="AM450">
        <f>COUNTIF(N$2:$N$938,N450)</f>
        <v>218</v>
      </c>
      <c r="AN450" t="str">
        <f>VLOOKUP(N450,'Helpful Tables'!A:D,4,FALSE)</f>
        <v>Washington, DC</v>
      </c>
      <c r="AO450" s="24">
        <f>COUNTIF(AN:AN,Table2[[#This Row],[State]])/COUNTA(AN:AN)</f>
        <v>0.54904051172707891</v>
      </c>
      <c r="AP450">
        <f>VLOOKUP(N450,'Helpful Tables'!A:B,2,FALSE)</f>
        <v>38.934710000000003</v>
      </c>
      <c r="AQ450">
        <f>VLOOKUP(N450,'Helpful Tables'!A:C,3,FALSE)</f>
        <v>-77.058222999999998</v>
      </c>
      <c r="AR450">
        <f>COUNTIF(P$2:$P$938,P450)</f>
        <v>35</v>
      </c>
      <c r="AS450" cm="1">
        <f t="array" ref="AS450">_xlfn.IFS(E450&lt;6,((E450/D450)*60)*0.5,AND(E450&gt;=6,E450&lt;9),((E450/D450)*60)*0.75,AND(E450&gt;=9,E450&lt;=11),((E450/D450)*60)*0.9,AND(E450=12),((E450/D450)*60)*1,AND(E450&gt;=13,E450&lt;=15),((E450/D450)*60)*1.2,AND(E450&gt;=16,E450&lt;=19),((E450/D450)*60)*1.5,E450&gt;=20,((E450/D450)*60)*1.8)</f>
        <v>10.241379310344827</v>
      </c>
      <c r="AT450" cm="1">
        <f t="array" ref="AT450">_xlfn.IFS(F450&lt;550,((F450/D450)*60)*0.5,AND(F450&gt;=550,F450&lt;575),((F450/D450)*60)*0.75,AND(F450&gt;=575,F450&lt;600),((F450/D450)*60)*0.9,AND(F450=600),((F450/D450)*60)*1,AND(F450&gt;=601,F450&lt;=625),((F450/D450)*60)*1.2,AND(F450&gt;=626,F450&lt;=650),((F450/D450)*60)*1.5,F450&gt;=651,((F450/D450)*60)*1.8)</f>
        <v>759.72413793103431</v>
      </c>
      <c r="AU450">
        <f t="shared" si="123"/>
        <v>2.899999999999995</v>
      </c>
      <c r="AV450">
        <f t="shared" si="121"/>
        <v>308.56620689655165</v>
      </c>
      <c r="AW450">
        <f t="shared" si="124"/>
        <v>30.7</v>
      </c>
      <c r="AX450" t="str">
        <f t="shared" ref="AX450:AX513" si="136">_xlfn.CONCAT(TEXT(C450,"mmm"),"-",AE450)</f>
        <v>Mar-2023</v>
      </c>
      <c r="AY450">
        <f>ROUNDUP(Table2[[#This Row],[Month]]/3,0)</f>
        <v>1</v>
      </c>
    </row>
    <row r="451" spans="1:51" x14ac:dyDescent="0.2">
      <c r="A451">
        <v>450</v>
      </c>
      <c r="B451">
        <f t="shared" si="125"/>
        <v>15</v>
      </c>
      <c r="C451" s="22">
        <v>44998</v>
      </c>
      <c r="D451">
        <f>SUM(Table2[[#This Row],[Gray Min]:[Red Min]])</f>
        <v>59</v>
      </c>
      <c r="E451">
        <v>17</v>
      </c>
      <c r="F451">
        <v>658</v>
      </c>
      <c r="G451">
        <v>127</v>
      </c>
      <c r="H451">
        <v>165</v>
      </c>
      <c r="I451">
        <v>10</v>
      </c>
      <c r="J451">
        <v>18</v>
      </c>
      <c r="K451">
        <v>14</v>
      </c>
      <c r="L451">
        <v>14</v>
      </c>
      <c r="M451">
        <v>3</v>
      </c>
      <c r="N451" t="s">
        <v>101</v>
      </c>
      <c r="O451" t="s">
        <v>173</v>
      </c>
      <c r="P451" t="s">
        <v>109</v>
      </c>
      <c r="Q451">
        <f t="shared" ref="Q451:Q514" si="137">C451-C450</f>
        <v>1</v>
      </c>
      <c r="R451" t="str">
        <f t="shared" si="126"/>
        <v>3-2023</v>
      </c>
      <c r="S451" t="s">
        <v>104</v>
      </c>
      <c r="T451" t="str">
        <f t="shared" si="127"/>
        <v>Monday</v>
      </c>
      <c r="U451">
        <f t="shared" si="128"/>
        <v>1</v>
      </c>
      <c r="V451" s="24">
        <f>IFERROR(Table2[[#This Row],[Gray Min]]/Table2[[#This Row],[ClassLength]],"")</f>
        <v>0.16949152542372881</v>
      </c>
      <c r="W451" s="24">
        <f>IFERROR(Table2[[#This Row],[Blue Min]]/Table2[[#This Row],[ClassLength]],"")</f>
        <v>0.30508474576271188</v>
      </c>
      <c r="X451" s="24">
        <f>IFERROR(Table2[[#This Row],[Green Min]]/Table2[[#This Row],[ClassLength]],"")</f>
        <v>0.23728813559322035</v>
      </c>
      <c r="Y451" s="24">
        <f>IFERROR(Table2[[#This Row],[Orange Min]]/Table2[[#This Row],[ClassLength]],"")</f>
        <v>0.23728813559322035</v>
      </c>
      <c r="Z451" s="24">
        <f>IFERROR(Table2[[#This Row],[Red Min]]/Table2[[#This Row],[ClassLength]],"")</f>
        <v>5.0847457627118647E-2</v>
      </c>
      <c r="AA451" s="25">
        <v>232.14</v>
      </c>
      <c r="AB451" s="25">
        <f t="shared" si="122"/>
        <v>15.475999999999999</v>
      </c>
      <c r="AC451" s="26">
        <f t="shared" si="129"/>
        <v>630.21428571428567</v>
      </c>
      <c r="AD451" s="26">
        <f t="shared" si="130"/>
        <v>14.285714285714286</v>
      </c>
      <c r="AE451">
        <f t="shared" si="131"/>
        <v>2023</v>
      </c>
      <c r="AG451">
        <v>12</v>
      </c>
      <c r="AH451" s="26">
        <f t="shared" si="132"/>
        <v>11.152542372881356</v>
      </c>
      <c r="AI451" t="str">
        <f t="shared" si="133"/>
        <v>PM</v>
      </c>
      <c r="AJ451" t="str">
        <f t="shared" si="134"/>
        <v>3-2023-3</v>
      </c>
      <c r="AK451">
        <f t="shared" si="135"/>
        <v>3</v>
      </c>
      <c r="AL451" s="26">
        <f>IFERROR(Table2[[#This Row],[Calories]]/Table2[[#This Row],[Splat]],"")</f>
        <v>38.705882352941174</v>
      </c>
      <c r="AM451">
        <f>COUNTIF(N$2:$N$938,N451)</f>
        <v>191</v>
      </c>
      <c r="AN451" t="str">
        <f>VLOOKUP(N451,'Helpful Tables'!A:D,4,FALSE)</f>
        <v>Washington, DC</v>
      </c>
      <c r="AO451" s="24">
        <f>COUNTIF(AN:AN,Table2[[#This Row],[State]])/COUNTA(AN:AN)</f>
        <v>0.54904051172707891</v>
      </c>
      <c r="AP451">
        <f>VLOOKUP(N451,'Helpful Tables'!A:B,2,FALSE)</f>
        <v>38.949649000000001</v>
      </c>
      <c r="AQ451">
        <f>VLOOKUP(N451,'Helpful Tables'!A:C,3,FALSE)</f>
        <v>-77.080878999999996</v>
      </c>
      <c r="AR451">
        <f>COUNTIF(P$2:$P$938,P451)</f>
        <v>66</v>
      </c>
      <c r="AS451" cm="1">
        <f t="array" ref="AS451">_xlfn.IFS(E451&lt;6,((E451/D451)*60)*0.5,AND(E451&gt;=6,E451&lt;9),((E451/D451)*60)*0.75,AND(E451&gt;=9,E451&lt;=11),((E451/D451)*60)*0.9,AND(E451=12),((E451/D451)*60)*1,AND(E451&gt;=13,E451&lt;=15),((E451/D451)*60)*1.2,AND(E451&gt;=16,E451&lt;=19),((E451/D451)*60)*1.5,E451&gt;=20,((E451/D451)*60)*1.8)</f>
        <v>25.932203389830509</v>
      </c>
      <c r="AT451" cm="1">
        <f t="array" ref="AT451">_xlfn.IFS(F451&lt;550,((F451/D451)*60)*0.5,AND(F451&gt;=550,F451&lt;575),((F451/D451)*60)*0.75,AND(F451&gt;=575,F451&lt;600),((F451/D451)*60)*0.9,AND(F451=600),((F451/D451)*60)*1,AND(F451&gt;=601,F451&lt;=625),((F451/D451)*60)*1.2,AND(F451&gt;=626,F451&lt;=650),((F451/D451)*60)*1.5,F451&gt;=651,((F451/D451)*60)*1.8)</f>
        <v>1204.4745762711866</v>
      </c>
      <c r="AU451">
        <f t="shared" si="123"/>
        <v>7.6999999999999993</v>
      </c>
      <c r="AV451">
        <f t="shared" ref="AV451:AV514" si="138">(AS451*0.4)+(AT451*0.4)+(AU451*0.2)</f>
        <v>493.70271186440687</v>
      </c>
      <c r="AW451">
        <f t="shared" si="124"/>
        <v>75.2</v>
      </c>
      <c r="AX451" t="str">
        <f t="shared" si="136"/>
        <v>Mar-2023</v>
      </c>
      <c r="AY451">
        <f>ROUNDUP(Table2[[#This Row],[Month]]/3,0)</f>
        <v>1</v>
      </c>
    </row>
    <row r="452" spans="1:51" x14ac:dyDescent="0.2">
      <c r="A452">
        <v>451</v>
      </c>
      <c r="B452">
        <f t="shared" si="125"/>
        <v>15</v>
      </c>
      <c r="C452" s="22">
        <v>45002</v>
      </c>
      <c r="D452">
        <f>SUM(Table2[[#This Row],[Gray Min]:[Red Min]])</f>
        <v>54</v>
      </c>
      <c r="E452">
        <v>13</v>
      </c>
      <c r="F452">
        <v>614</v>
      </c>
      <c r="G452">
        <v>129</v>
      </c>
      <c r="H452">
        <v>165</v>
      </c>
      <c r="I452">
        <v>6</v>
      </c>
      <c r="J452">
        <v>18</v>
      </c>
      <c r="K452">
        <v>17</v>
      </c>
      <c r="L452">
        <v>12</v>
      </c>
      <c r="M452">
        <v>1</v>
      </c>
      <c r="N452" t="s">
        <v>160</v>
      </c>
      <c r="O452" t="s">
        <v>45</v>
      </c>
      <c r="P452" t="s">
        <v>175</v>
      </c>
      <c r="Q452">
        <f t="shared" si="137"/>
        <v>4</v>
      </c>
      <c r="R452" t="str">
        <f t="shared" si="126"/>
        <v>3-2023</v>
      </c>
      <c r="S452" t="s">
        <v>104</v>
      </c>
      <c r="T452" t="str">
        <f t="shared" si="127"/>
        <v>Friday</v>
      </c>
      <c r="U452">
        <f t="shared" si="128"/>
        <v>1</v>
      </c>
      <c r="V452" s="24">
        <f>IFERROR(Table2[[#This Row],[Gray Min]]/Table2[[#This Row],[ClassLength]],"")</f>
        <v>0.1111111111111111</v>
      </c>
      <c r="W452" s="24">
        <f>IFERROR(Table2[[#This Row],[Blue Min]]/Table2[[#This Row],[ClassLength]],"")</f>
        <v>0.33333333333333331</v>
      </c>
      <c r="X452" s="24">
        <f>IFERROR(Table2[[#This Row],[Green Min]]/Table2[[#This Row],[ClassLength]],"")</f>
        <v>0.31481481481481483</v>
      </c>
      <c r="Y452" s="24">
        <f>IFERROR(Table2[[#This Row],[Orange Min]]/Table2[[#This Row],[ClassLength]],"")</f>
        <v>0.22222222222222221</v>
      </c>
      <c r="Z452" s="24">
        <f>IFERROR(Table2[[#This Row],[Red Min]]/Table2[[#This Row],[ClassLength]],"")</f>
        <v>1.8518518518518517E-2</v>
      </c>
      <c r="AA452" s="25">
        <v>232.14</v>
      </c>
      <c r="AB452" s="25">
        <f t="shared" si="122"/>
        <v>15.475999999999999</v>
      </c>
      <c r="AC452" s="26">
        <f t="shared" si="129"/>
        <v>630.21428571428567</v>
      </c>
      <c r="AD452" s="26">
        <f t="shared" si="130"/>
        <v>14.285714285714286</v>
      </c>
      <c r="AE452">
        <f t="shared" si="131"/>
        <v>2023</v>
      </c>
      <c r="AG452">
        <v>12</v>
      </c>
      <c r="AH452" s="26">
        <f t="shared" si="132"/>
        <v>11.37037037037037</v>
      </c>
      <c r="AI452" t="str">
        <f t="shared" si="133"/>
        <v>AM</v>
      </c>
      <c r="AJ452" t="str">
        <f t="shared" si="134"/>
        <v>3-2023-3</v>
      </c>
      <c r="AK452">
        <f t="shared" si="135"/>
        <v>3</v>
      </c>
      <c r="AL452" s="26">
        <f>IFERROR(Table2[[#This Row],[Calories]]/Table2[[#This Row],[Splat]],"")</f>
        <v>47.230769230769234</v>
      </c>
      <c r="AM452">
        <f>COUNTIF(N$2:$N$938,N452)</f>
        <v>9</v>
      </c>
      <c r="AN452" t="str">
        <f>VLOOKUP(N452,'Helpful Tables'!A:D,4,FALSE)</f>
        <v>Virginia</v>
      </c>
      <c r="AO452" s="24">
        <f>COUNTIF(AN:AN,Table2[[#This Row],[State]])/COUNTA(AN:AN)</f>
        <v>5.6503198294243072E-2</v>
      </c>
      <c r="AP452">
        <f>VLOOKUP(N452,'Helpful Tables'!A:B,2,FALSE)</f>
        <v>38.880467000000003</v>
      </c>
      <c r="AQ452">
        <f>VLOOKUP(N452,'Helpful Tables'!A:C,3,FALSE)</f>
        <v>-77.111583999999993</v>
      </c>
      <c r="AR452">
        <f>COUNTIF(P$2:$P$938,P452)</f>
        <v>1</v>
      </c>
      <c r="AS452" cm="1">
        <f t="array" ref="AS452">_xlfn.IFS(E452&lt;6,((E452/D452)*60)*0.5,AND(E452&gt;=6,E452&lt;9),((E452/D452)*60)*0.75,AND(E452&gt;=9,E452&lt;=11),((E452/D452)*60)*0.9,AND(E452=12),((E452/D452)*60)*1,AND(E452&gt;=13,E452&lt;=15),((E452/D452)*60)*1.2,AND(E452&gt;=16,E452&lt;=19),((E452/D452)*60)*1.5,E452&gt;=20,((E452/D452)*60)*1.8)</f>
        <v>17.333333333333332</v>
      </c>
      <c r="AT452" cm="1">
        <f t="array" ref="AT452">_xlfn.IFS(F452&lt;550,((F452/D452)*60)*0.5,AND(F452&gt;=550,F452&lt;575),((F452/D452)*60)*0.75,AND(F452&gt;=575,F452&lt;600),((F452/D452)*60)*0.9,AND(F452=600),((F452/D452)*60)*1,AND(F452&gt;=601,F452&lt;=625),((F452/D452)*60)*1.2,AND(F452&gt;=626,F452&lt;=650),((F452/D452)*60)*1.5,F452&gt;=651,((F452/D452)*60)*1.8)</f>
        <v>818.66666666666663</v>
      </c>
      <c r="AU452">
        <f t="shared" si="123"/>
        <v>10.5</v>
      </c>
      <c r="AV452">
        <f t="shared" si="138"/>
        <v>336.50000000000006</v>
      </c>
      <c r="AW452">
        <f t="shared" si="124"/>
        <v>41.9</v>
      </c>
      <c r="AX452" t="str">
        <f t="shared" si="136"/>
        <v>Mar-2023</v>
      </c>
      <c r="AY452">
        <f>ROUNDUP(Table2[[#This Row],[Month]]/3,0)</f>
        <v>1</v>
      </c>
    </row>
    <row r="453" spans="1:51" x14ac:dyDescent="0.2">
      <c r="A453">
        <v>452</v>
      </c>
      <c r="B453">
        <f t="shared" si="125"/>
        <v>15</v>
      </c>
      <c r="C453" s="22">
        <v>45004</v>
      </c>
      <c r="D453">
        <f>SUM(Table2[[#This Row],[Gray Min]:[Red Min]])</f>
        <v>64</v>
      </c>
      <c r="E453">
        <v>15</v>
      </c>
      <c r="F453">
        <v>672</v>
      </c>
      <c r="G453">
        <v>124</v>
      </c>
      <c r="H453">
        <v>165</v>
      </c>
      <c r="I453">
        <v>20</v>
      </c>
      <c r="J453">
        <v>13</v>
      </c>
      <c r="K453">
        <v>16</v>
      </c>
      <c r="L453">
        <v>14</v>
      </c>
      <c r="M453">
        <v>1</v>
      </c>
      <c r="N453" t="s">
        <v>121</v>
      </c>
      <c r="O453" t="s">
        <v>81</v>
      </c>
      <c r="P453" t="s">
        <v>176</v>
      </c>
      <c r="Q453">
        <f t="shared" si="137"/>
        <v>2</v>
      </c>
      <c r="R453" t="str">
        <f t="shared" si="126"/>
        <v>3-2023</v>
      </c>
      <c r="S453" t="s">
        <v>117</v>
      </c>
      <c r="T453" t="str">
        <f t="shared" si="127"/>
        <v>Sunday</v>
      </c>
      <c r="U453">
        <f t="shared" si="128"/>
        <v>1</v>
      </c>
      <c r="V453" s="24">
        <f>IFERROR(Table2[[#This Row],[Gray Min]]/Table2[[#This Row],[ClassLength]],"")</f>
        <v>0.3125</v>
      </c>
      <c r="W453" s="24">
        <f>IFERROR(Table2[[#This Row],[Blue Min]]/Table2[[#This Row],[ClassLength]],"")</f>
        <v>0.203125</v>
      </c>
      <c r="X453" s="24">
        <f>IFERROR(Table2[[#This Row],[Green Min]]/Table2[[#This Row],[ClassLength]],"")</f>
        <v>0.25</v>
      </c>
      <c r="Y453" s="24">
        <f>IFERROR(Table2[[#This Row],[Orange Min]]/Table2[[#This Row],[ClassLength]],"")</f>
        <v>0.21875</v>
      </c>
      <c r="Z453" s="24">
        <f>IFERROR(Table2[[#This Row],[Red Min]]/Table2[[#This Row],[ClassLength]],"")</f>
        <v>1.5625E-2</v>
      </c>
      <c r="AA453" s="25">
        <v>232.14</v>
      </c>
      <c r="AB453" s="25">
        <f t="shared" si="122"/>
        <v>15.475999999999999</v>
      </c>
      <c r="AC453" s="26">
        <f t="shared" si="129"/>
        <v>630.21428571428567</v>
      </c>
      <c r="AD453" s="26">
        <f t="shared" si="130"/>
        <v>14.285714285714286</v>
      </c>
      <c r="AE453">
        <f t="shared" si="131"/>
        <v>2023</v>
      </c>
      <c r="AG453">
        <v>12</v>
      </c>
      <c r="AH453" s="26">
        <f t="shared" si="132"/>
        <v>10.5</v>
      </c>
      <c r="AI453" t="str">
        <f t="shared" si="133"/>
        <v>AM</v>
      </c>
      <c r="AJ453" t="str">
        <f t="shared" si="134"/>
        <v>3-2023-4</v>
      </c>
      <c r="AK453">
        <f t="shared" si="135"/>
        <v>3</v>
      </c>
      <c r="AL453" s="26">
        <f>IFERROR(Table2[[#This Row],[Calories]]/Table2[[#This Row],[Splat]],"")</f>
        <v>44.8</v>
      </c>
      <c r="AM453">
        <f>COUNTIF(N$2:$N$938,N453)</f>
        <v>2</v>
      </c>
      <c r="AN453" t="str">
        <f>VLOOKUP(N453,'Helpful Tables'!A:D,4,FALSE)</f>
        <v>Connecticut</v>
      </c>
      <c r="AO453" s="24">
        <f>COUNTIF(AN:AN,Table2[[#This Row],[State]])/COUNTA(AN:AN)</f>
        <v>2.1321961620469083E-3</v>
      </c>
      <c r="AP453">
        <f>VLOOKUP(N453,'Helpful Tables'!A:B,2,FALSE)</f>
        <v>41.370860999999998</v>
      </c>
      <c r="AQ453">
        <f>VLOOKUP(N453,'Helpful Tables'!A:C,3,FALSE)</f>
        <v>-72.915813999999997</v>
      </c>
      <c r="AR453">
        <f>COUNTIF(P$2:$P$938,P453)</f>
        <v>1</v>
      </c>
      <c r="AS453" cm="1">
        <f t="array" ref="AS453">_xlfn.IFS(E453&lt;6,((E453/D453)*60)*0.5,AND(E453&gt;=6,E453&lt;9),((E453/D453)*60)*0.75,AND(E453&gt;=9,E453&lt;=11),((E453/D453)*60)*0.9,AND(E453=12),((E453/D453)*60)*1,AND(E453&gt;=13,E453&lt;=15),((E453/D453)*60)*1.2,AND(E453&gt;=16,E453&lt;=19),((E453/D453)*60)*1.5,E453&gt;=20,((E453/D453)*60)*1.8)</f>
        <v>16.875</v>
      </c>
      <c r="AT453" cm="1">
        <f t="array" ref="AT453">_xlfn.IFS(F453&lt;550,((F453/D453)*60)*0.5,AND(F453&gt;=550,F453&lt;575),((F453/D453)*60)*0.75,AND(F453&gt;=575,F453&lt;600),((F453/D453)*60)*0.9,AND(F453=600),((F453/D453)*60)*1,AND(F453&gt;=601,F453&lt;=625),((F453/D453)*60)*1.2,AND(F453&gt;=626,F453&lt;=650),((F453/D453)*60)*1.5,F453&gt;=651,((F453/D453)*60)*1.8)</f>
        <v>1134</v>
      </c>
      <c r="AU453">
        <f t="shared" si="123"/>
        <v>0.60000000000000142</v>
      </c>
      <c r="AV453">
        <f t="shared" si="138"/>
        <v>460.47</v>
      </c>
      <c r="AW453">
        <f t="shared" si="124"/>
        <v>66.2</v>
      </c>
      <c r="AX453" t="str">
        <f t="shared" si="136"/>
        <v>Mar-2023</v>
      </c>
      <c r="AY453">
        <f>ROUNDUP(Table2[[#This Row],[Month]]/3,0)</f>
        <v>1</v>
      </c>
    </row>
    <row r="454" spans="1:51" x14ac:dyDescent="0.2">
      <c r="A454">
        <v>453</v>
      </c>
      <c r="B454">
        <f t="shared" si="125"/>
        <v>15</v>
      </c>
      <c r="C454" s="22">
        <v>45006</v>
      </c>
      <c r="D454">
        <f>SUM(Table2[[#This Row],[Gray Min]:[Red Min]])</f>
        <v>0</v>
      </c>
      <c r="N454" t="s">
        <v>138</v>
      </c>
      <c r="O454" t="s">
        <v>76</v>
      </c>
      <c r="P454" t="s">
        <v>141</v>
      </c>
      <c r="Q454">
        <f t="shared" si="137"/>
        <v>2</v>
      </c>
      <c r="R454" t="str">
        <f t="shared" si="126"/>
        <v>3-2023</v>
      </c>
      <c r="T454" t="str">
        <f t="shared" si="127"/>
        <v>Tuesday</v>
      </c>
      <c r="U454">
        <f t="shared" si="128"/>
        <v>0</v>
      </c>
      <c r="V454" s="24" t="str">
        <f>IFERROR(Table2[[#This Row],[Gray Min]]/Table2[[#This Row],[ClassLength]],"")</f>
        <v/>
      </c>
      <c r="W454" s="24" t="str">
        <f>IFERROR(Table2[[#This Row],[Blue Min]]/Table2[[#This Row],[ClassLength]],"")</f>
        <v/>
      </c>
      <c r="X454" s="24" t="str">
        <f>IFERROR(Table2[[#This Row],[Green Min]]/Table2[[#This Row],[ClassLength]],"")</f>
        <v/>
      </c>
      <c r="Y454" s="24" t="str">
        <f>IFERROR(Table2[[#This Row],[Orange Min]]/Table2[[#This Row],[ClassLength]],"")</f>
        <v/>
      </c>
      <c r="Z454" s="24" t="str">
        <f>IFERROR(Table2[[#This Row],[Red Min]]/Table2[[#This Row],[ClassLength]],"")</f>
        <v/>
      </c>
      <c r="AA454" s="25">
        <v>232.14</v>
      </c>
      <c r="AB454" s="25">
        <f t="shared" si="122"/>
        <v>15.475999999999999</v>
      </c>
      <c r="AC454" s="26">
        <f t="shared" si="129"/>
        <v>630.21428571428567</v>
      </c>
      <c r="AD454" s="26">
        <f t="shared" si="130"/>
        <v>14.285714285714286</v>
      </c>
      <c r="AE454">
        <f t="shared" si="131"/>
        <v>2023</v>
      </c>
      <c r="AG454">
        <v>12</v>
      </c>
      <c r="AH454" s="26" t="e">
        <f t="shared" si="132"/>
        <v>#DIV/0!</v>
      </c>
      <c r="AI454" t="str">
        <f t="shared" si="133"/>
        <v>AM</v>
      </c>
      <c r="AJ454" t="str">
        <f t="shared" si="134"/>
        <v>3-2023-4</v>
      </c>
      <c r="AK454">
        <f t="shared" si="135"/>
        <v>3</v>
      </c>
      <c r="AL454" s="26" t="str">
        <f>IFERROR(Table2[[#This Row],[Calories]]/Table2[[#This Row],[Splat]],"")</f>
        <v/>
      </c>
      <c r="AM454">
        <f>COUNTIF(N$2:$N$938,N454)</f>
        <v>11</v>
      </c>
      <c r="AN454" t="str">
        <f>VLOOKUP(N454,'Helpful Tables'!A:D,4,FALSE)</f>
        <v>Massachusetts</v>
      </c>
      <c r="AO454" s="24">
        <f>COUNTIF(AN:AN,Table2[[#This Row],[State]])/COUNTA(AN:AN)</f>
        <v>1.7057569296375266E-2</v>
      </c>
      <c r="AP454">
        <f>VLOOKUP(N454,'Helpful Tables'!A:B,2,FALSE)</f>
        <v>42.350487000000001</v>
      </c>
      <c r="AQ454">
        <f>VLOOKUP(N454,'Helpful Tables'!A:C,3,FALSE)</f>
        <v>-71.152720000000002</v>
      </c>
      <c r="AR454">
        <f>COUNTIF(P$2:$P$938,P454)</f>
        <v>2</v>
      </c>
      <c r="AX454" t="str">
        <f t="shared" si="136"/>
        <v>Mar-2023</v>
      </c>
      <c r="AY454">
        <f>ROUNDUP(Table2[[#This Row],[Month]]/3,0)</f>
        <v>1</v>
      </c>
    </row>
    <row r="455" spans="1:51" x14ac:dyDescent="0.2">
      <c r="A455">
        <v>454</v>
      </c>
      <c r="B455">
        <f t="shared" si="125"/>
        <v>15</v>
      </c>
      <c r="C455" s="22">
        <v>45008</v>
      </c>
      <c r="D455">
        <f>SUM(Table2[[#This Row],[Gray Min]:[Red Min]])</f>
        <v>55</v>
      </c>
      <c r="E455">
        <v>18</v>
      </c>
      <c r="F455">
        <v>675</v>
      </c>
      <c r="G455">
        <v>134</v>
      </c>
      <c r="H455">
        <v>172</v>
      </c>
      <c r="I455">
        <v>7</v>
      </c>
      <c r="J455">
        <v>9</v>
      </c>
      <c r="K455">
        <v>21</v>
      </c>
      <c r="L455">
        <v>14</v>
      </c>
      <c r="M455">
        <v>4</v>
      </c>
      <c r="N455" t="s">
        <v>91</v>
      </c>
      <c r="O455" t="s">
        <v>83</v>
      </c>
      <c r="P455" t="s">
        <v>96</v>
      </c>
      <c r="Q455">
        <f t="shared" si="137"/>
        <v>2</v>
      </c>
      <c r="R455" t="str">
        <f t="shared" si="126"/>
        <v>3-2023</v>
      </c>
      <c r="S455" t="s">
        <v>104</v>
      </c>
      <c r="T455" t="str">
        <f t="shared" si="127"/>
        <v>Thursday</v>
      </c>
      <c r="U455">
        <f t="shared" si="128"/>
        <v>1</v>
      </c>
      <c r="V455" s="24">
        <f>IFERROR(Table2[[#This Row],[Gray Min]]/Table2[[#This Row],[ClassLength]],"")</f>
        <v>0.12727272727272726</v>
      </c>
      <c r="W455" s="24">
        <f>IFERROR(Table2[[#This Row],[Blue Min]]/Table2[[#This Row],[ClassLength]],"")</f>
        <v>0.16363636363636364</v>
      </c>
      <c r="X455" s="24">
        <f>IFERROR(Table2[[#This Row],[Green Min]]/Table2[[#This Row],[ClassLength]],"")</f>
        <v>0.38181818181818183</v>
      </c>
      <c r="Y455" s="24">
        <f>IFERROR(Table2[[#This Row],[Orange Min]]/Table2[[#This Row],[ClassLength]],"")</f>
        <v>0.25454545454545452</v>
      </c>
      <c r="Z455" s="24">
        <f>IFERROR(Table2[[#This Row],[Red Min]]/Table2[[#This Row],[ClassLength]],"")</f>
        <v>7.2727272727272724E-2</v>
      </c>
      <c r="AA455" s="25">
        <v>232.14</v>
      </c>
      <c r="AB455" s="25">
        <f t="shared" si="122"/>
        <v>15.475999999999999</v>
      </c>
      <c r="AC455" s="26">
        <f t="shared" si="129"/>
        <v>630.21428571428567</v>
      </c>
      <c r="AD455" s="26">
        <f t="shared" si="130"/>
        <v>14.285714285714286</v>
      </c>
      <c r="AE455">
        <f t="shared" si="131"/>
        <v>2023</v>
      </c>
      <c r="AG455">
        <v>12</v>
      </c>
      <c r="AH455" s="26">
        <f t="shared" si="132"/>
        <v>12.272727272727273</v>
      </c>
      <c r="AI455" t="str">
        <f t="shared" si="133"/>
        <v>PM</v>
      </c>
      <c r="AJ455" t="str">
        <f t="shared" si="134"/>
        <v>3-2023-4</v>
      </c>
      <c r="AK455">
        <f t="shared" si="135"/>
        <v>3</v>
      </c>
      <c r="AL455" s="26">
        <f>IFERROR(Table2[[#This Row],[Calories]]/Table2[[#This Row],[Splat]],"")</f>
        <v>37.5</v>
      </c>
      <c r="AM455">
        <f>COUNTIF(N$2:$N$938,N455)</f>
        <v>218</v>
      </c>
      <c r="AN455" t="str">
        <f>VLOOKUP(N455,'Helpful Tables'!A:D,4,FALSE)</f>
        <v>Washington, DC</v>
      </c>
      <c r="AO455" s="24">
        <f>COUNTIF(AN:AN,Table2[[#This Row],[State]])/COUNTA(AN:AN)</f>
        <v>0.54904051172707891</v>
      </c>
      <c r="AP455">
        <f>VLOOKUP(N455,'Helpful Tables'!A:B,2,FALSE)</f>
        <v>38.934710000000003</v>
      </c>
      <c r="AQ455">
        <f>VLOOKUP(N455,'Helpful Tables'!A:C,3,FALSE)</f>
        <v>-77.058222999999998</v>
      </c>
      <c r="AR455">
        <f>COUNTIF(P$2:$P$938,P455)</f>
        <v>71</v>
      </c>
      <c r="AS455" cm="1">
        <f t="array" ref="AS455">_xlfn.IFS(E455&lt;6,((E455/D455)*60)*0.5,AND(E455&gt;=6,E455&lt;9),((E455/D455)*60)*0.75,AND(E455&gt;=9,E455&lt;=11),((E455/D455)*60)*0.9,AND(E455=12),((E455/D455)*60)*1,AND(E455&gt;=13,E455&lt;=15),((E455/D455)*60)*1.2,AND(E455&gt;=16,E455&lt;=19),((E455/D455)*60)*1.5,E455&gt;=20,((E455/D455)*60)*1.8)</f>
        <v>29.454545454545453</v>
      </c>
      <c r="AT455" cm="1">
        <f t="array" ref="AT455">_xlfn.IFS(F455&lt;550,((F455/D455)*60)*0.5,AND(F455&gt;=550,F455&lt;575),((F455/D455)*60)*0.75,AND(F455&gt;=575,F455&lt;600),((F455/D455)*60)*0.9,AND(F455=600),((F455/D455)*60)*1,AND(F455&gt;=601,F455&lt;=625),((F455/D455)*60)*1.2,AND(F455&gt;=626,F455&lt;=650),((F455/D455)*60)*1.5,F455&gt;=651,((F455/D455)*60)*1.8)</f>
        <v>1325.4545454545455</v>
      </c>
      <c r="AU455">
        <f t="shared" ref="AU455:AU476" si="139">(I455*-1.2)+(J455*-1.1)+(K455*1.2)+(L455*1.3)+(M455*1.5)</f>
        <v>31.099999999999998</v>
      </c>
      <c r="AV455">
        <f t="shared" si="138"/>
        <v>548.18363636363642</v>
      </c>
      <c r="AW455">
        <f t="shared" ref="AW455:AW476" si="140">PERCENTRANK(AV:AV,AV455)*100</f>
        <v>97.8</v>
      </c>
      <c r="AX455" t="str">
        <f t="shared" si="136"/>
        <v>Mar-2023</v>
      </c>
      <c r="AY455">
        <f>ROUNDUP(Table2[[#This Row],[Month]]/3,0)</f>
        <v>1</v>
      </c>
    </row>
    <row r="456" spans="1:51" x14ac:dyDescent="0.2">
      <c r="A456">
        <v>455</v>
      </c>
      <c r="B456">
        <f t="shared" si="125"/>
        <v>15</v>
      </c>
      <c r="C456" s="22">
        <v>45010</v>
      </c>
      <c r="D456">
        <f>SUM(Table2[[#This Row],[Gray Min]:[Red Min]])</f>
        <v>54</v>
      </c>
      <c r="E456">
        <v>12</v>
      </c>
      <c r="F456">
        <v>589</v>
      </c>
      <c r="G456">
        <v>125</v>
      </c>
      <c r="H456">
        <v>166</v>
      </c>
      <c r="I456">
        <v>14</v>
      </c>
      <c r="J456">
        <v>16</v>
      </c>
      <c r="K456">
        <v>12</v>
      </c>
      <c r="L456">
        <v>10</v>
      </c>
      <c r="M456">
        <v>2</v>
      </c>
      <c r="N456" t="s">
        <v>91</v>
      </c>
      <c r="O456" t="s">
        <v>79</v>
      </c>
      <c r="P456" t="s">
        <v>168</v>
      </c>
      <c r="Q456">
        <f t="shared" si="137"/>
        <v>2</v>
      </c>
      <c r="R456" t="str">
        <f t="shared" si="126"/>
        <v>3-2023</v>
      </c>
      <c r="S456" t="s">
        <v>104</v>
      </c>
      <c r="T456" t="str">
        <f t="shared" si="127"/>
        <v>Saturday</v>
      </c>
      <c r="U456">
        <f t="shared" si="128"/>
        <v>1</v>
      </c>
      <c r="V456" s="24">
        <f>IFERROR(Table2[[#This Row],[Gray Min]]/Table2[[#This Row],[ClassLength]],"")</f>
        <v>0.25925925925925924</v>
      </c>
      <c r="W456" s="24">
        <f>IFERROR(Table2[[#This Row],[Blue Min]]/Table2[[#This Row],[ClassLength]],"")</f>
        <v>0.29629629629629628</v>
      </c>
      <c r="X456" s="24">
        <f>IFERROR(Table2[[#This Row],[Green Min]]/Table2[[#This Row],[ClassLength]],"")</f>
        <v>0.22222222222222221</v>
      </c>
      <c r="Y456" s="24">
        <f>IFERROR(Table2[[#This Row],[Orange Min]]/Table2[[#This Row],[ClassLength]],"")</f>
        <v>0.18518518518518517</v>
      </c>
      <c r="Z456" s="24">
        <f>IFERROR(Table2[[#This Row],[Red Min]]/Table2[[#This Row],[ClassLength]],"")</f>
        <v>3.7037037037037035E-2</v>
      </c>
      <c r="AA456" s="25">
        <v>232.14</v>
      </c>
      <c r="AB456" s="25">
        <f t="shared" si="122"/>
        <v>15.475999999999999</v>
      </c>
      <c r="AC456" s="26">
        <f t="shared" si="129"/>
        <v>630.21428571428567</v>
      </c>
      <c r="AD456" s="26">
        <f t="shared" si="130"/>
        <v>14.285714285714286</v>
      </c>
      <c r="AE456">
        <f t="shared" si="131"/>
        <v>2023</v>
      </c>
      <c r="AG456">
        <v>12</v>
      </c>
      <c r="AH456" s="26">
        <f t="shared" si="132"/>
        <v>10.907407407407407</v>
      </c>
      <c r="AI456" t="str">
        <f t="shared" si="133"/>
        <v>AM</v>
      </c>
      <c r="AJ456" t="str">
        <f t="shared" si="134"/>
        <v>3-2023-4</v>
      </c>
      <c r="AK456">
        <f t="shared" si="135"/>
        <v>3</v>
      </c>
      <c r="AL456" s="26">
        <f>IFERROR(Table2[[#This Row],[Calories]]/Table2[[#This Row],[Splat]],"")</f>
        <v>49.083333333333336</v>
      </c>
      <c r="AM456">
        <f>COUNTIF(N$2:$N$938,N456)</f>
        <v>218</v>
      </c>
      <c r="AN456" t="str">
        <f>VLOOKUP(N456,'Helpful Tables'!A:D,4,FALSE)</f>
        <v>Washington, DC</v>
      </c>
      <c r="AO456" s="24">
        <f>COUNTIF(AN:AN,Table2[[#This Row],[State]])/COUNTA(AN:AN)</f>
        <v>0.54904051172707891</v>
      </c>
      <c r="AP456">
        <f>VLOOKUP(N456,'Helpful Tables'!A:B,2,FALSE)</f>
        <v>38.934710000000003</v>
      </c>
      <c r="AQ456">
        <f>VLOOKUP(N456,'Helpful Tables'!A:C,3,FALSE)</f>
        <v>-77.058222999999998</v>
      </c>
      <c r="AR456">
        <f>COUNTIF(P$2:$P$938,P456)</f>
        <v>12</v>
      </c>
      <c r="AS456" cm="1">
        <f t="array" ref="AS456">_xlfn.IFS(E456&lt;6,((E456/D456)*60)*0.5,AND(E456&gt;=6,E456&lt;9),((E456/D456)*60)*0.75,AND(E456&gt;=9,E456&lt;=11),((E456/D456)*60)*0.9,AND(E456=12),((E456/D456)*60)*1,AND(E456&gt;=13,E456&lt;=15),((E456/D456)*60)*1.2,AND(E456&gt;=16,E456&lt;=19),((E456/D456)*60)*1.5,E456&gt;=20,((E456/D456)*60)*1.8)</f>
        <v>13.333333333333332</v>
      </c>
      <c r="AT456" cm="1">
        <f t="array" ref="AT456">_xlfn.IFS(F456&lt;550,((F456/D456)*60)*0.5,AND(F456&gt;=550,F456&lt;575),((F456/D456)*60)*0.75,AND(F456&gt;=575,F456&lt;600),((F456/D456)*60)*0.9,AND(F456=600),((F456/D456)*60)*1,AND(F456&gt;=601,F456&lt;=625),((F456/D456)*60)*1.2,AND(F456&gt;=626,F456&lt;=650),((F456/D456)*60)*1.5,F456&gt;=651,((F456/D456)*60)*1.8)</f>
        <v>588.99999999999989</v>
      </c>
      <c r="AU456">
        <f t="shared" si="139"/>
        <v>-4.0000000000000071</v>
      </c>
      <c r="AV456">
        <f t="shared" si="138"/>
        <v>240.1333333333333</v>
      </c>
      <c r="AW456">
        <f t="shared" si="140"/>
        <v>22</v>
      </c>
      <c r="AX456" t="str">
        <f t="shared" si="136"/>
        <v>Mar-2023</v>
      </c>
      <c r="AY456">
        <f>ROUNDUP(Table2[[#This Row],[Month]]/3,0)</f>
        <v>1</v>
      </c>
    </row>
    <row r="457" spans="1:51" x14ac:dyDescent="0.2">
      <c r="A457">
        <v>456</v>
      </c>
      <c r="B457">
        <f t="shared" si="125"/>
        <v>15</v>
      </c>
      <c r="C457" s="22">
        <v>45012</v>
      </c>
      <c r="D457">
        <f>SUM(Table2[[#This Row],[Gray Min]:[Red Min]])</f>
        <v>55</v>
      </c>
      <c r="E457">
        <v>14</v>
      </c>
      <c r="F457">
        <v>637</v>
      </c>
      <c r="G457">
        <v>129</v>
      </c>
      <c r="H457">
        <v>167</v>
      </c>
      <c r="I457">
        <v>11</v>
      </c>
      <c r="J457">
        <v>11</v>
      </c>
      <c r="K457">
        <v>19</v>
      </c>
      <c r="L457">
        <v>12</v>
      </c>
      <c r="M457">
        <v>2</v>
      </c>
      <c r="N457" t="s">
        <v>91</v>
      </c>
      <c r="O457" t="s">
        <v>57</v>
      </c>
      <c r="P457" t="s">
        <v>98</v>
      </c>
      <c r="Q457">
        <f t="shared" si="137"/>
        <v>2</v>
      </c>
      <c r="R457" t="str">
        <f t="shared" si="126"/>
        <v>3-2023</v>
      </c>
      <c r="S457" t="s">
        <v>117</v>
      </c>
      <c r="T457" t="str">
        <f t="shared" si="127"/>
        <v>Monday</v>
      </c>
      <c r="U457">
        <f t="shared" si="128"/>
        <v>1</v>
      </c>
      <c r="V457" s="24">
        <f>IFERROR(Table2[[#This Row],[Gray Min]]/Table2[[#This Row],[ClassLength]],"")</f>
        <v>0.2</v>
      </c>
      <c r="W457" s="24">
        <f>IFERROR(Table2[[#This Row],[Blue Min]]/Table2[[#This Row],[ClassLength]],"")</f>
        <v>0.2</v>
      </c>
      <c r="X457" s="24">
        <f>IFERROR(Table2[[#This Row],[Green Min]]/Table2[[#This Row],[ClassLength]],"")</f>
        <v>0.34545454545454546</v>
      </c>
      <c r="Y457" s="24">
        <f>IFERROR(Table2[[#This Row],[Orange Min]]/Table2[[#This Row],[ClassLength]],"")</f>
        <v>0.21818181818181817</v>
      </c>
      <c r="Z457" s="24">
        <f>IFERROR(Table2[[#This Row],[Red Min]]/Table2[[#This Row],[ClassLength]],"")</f>
        <v>3.6363636363636362E-2</v>
      </c>
      <c r="AA457" s="25">
        <v>232.14</v>
      </c>
      <c r="AB457" s="25">
        <f t="shared" si="122"/>
        <v>15.475999999999999</v>
      </c>
      <c r="AC457" s="26">
        <f t="shared" si="129"/>
        <v>630.21428571428567</v>
      </c>
      <c r="AD457" s="26">
        <f t="shared" si="130"/>
        <v>14.285714285714286</v>
      </c>
      <c r="AE457">
        <f t="shared" si="131"/>
        <v>2023</v>
      </c>
      <c r="AG457">
        <v>12</v>
      </c>
      <c r="AH457" s="26">
        <f t="shared" si="132"/>
        <v>11.581818181818182</v>
      </c>
      <c r="AI457" t="str">
        <f t="shared" si="133"/>
        <v>PM</v>
      </c>
      <c r="AJ457" t="str">
        <f t="shared" si="134"/>
        <v>3-2023-5</v>
      </c>
      <c r="AK457">
        <f t="shared" si="135"/>
        <v>3</v>
      </c>
      <c r="AL457" s="26">
        <f>IFERROR(Table2[[#This Row],[Calories]]/Table2[[#This Row],[Splat]],"")</f>
        <v>45.5</v>
      </c>
      <c r="AM457">
        <f>COUNTIF(N$2:$N$938,N457)</f>
        <v>218</v>
      </c>
      <c r="AN457" t="str">
        <f>VLOOKUP(N457,'Helpful Tables'!A:D,4,FALSE)</f>
        <v>Washington, DC</v>
      </c>
      <c r="AO457" s="24">
        <f>COUNTIF(AN:AN,Table2[[#This Row],[State]])/COUNTA(AN:AN)</f>
        <v>0.54904051172707891</v>
      </c>
      <c r="AP457">
        <f>VLOOKUP(N457,'Helpful Tables'!A:B,2,FALSE)</f>
        <v>38.934710000000003</v>
      </c>
      <c r="AQ457">
        <f>VLOOKUP(N457,'Helpful Tables'!A:C,3,FALSE)</f>
        <v>-77.058222999999998</v>
      </c>
      <c r="AR457">
        <f>COUNTIF(P$2:$P$938,P457)</f>
        <v>28</v>
      </c>
      <c r="AS457" cm="1">
        <f t="array" ref="AS457">_xlfn.IFS(E457&lt;6,((E457/D457)*60)*0.5,AND(E457&gt;=6,E457&lt;9),((E457/D457)*60)*0.75,AND(E457&gt;=9,E457&lt;=11),((E457/D457)*60)*0.9,AND(E457=12),((E457/D457)*60)*1,AND(E457&gt;=13,E457&lt;=15),((E457/D457)*60)*1.2,AND(E457&gt;=16,E457&lt;=19),((E457/D457)*60)*1.5,E457&gt;=20,((E457/D457)*60)*1.8)</f>
        <v>18.327272727272724</v>
      </c>
      <c r="AT457" cm="1">
        <f t="array" ref="AT457">_xlfn.IFS(F457&lt;550,((F457/D457)*60)*0.5,AND(F457&gt;=550,F457&lt;575),((F457/D457)*60)*0.75,AND(F457&gt;=575,F457&lt;600),((F457/D457)*60)*0.9,AND(F457=600),((F457/D457)*60)*1,AND(F457&gt;=601,F457&lt;=625),((F457/D457)*60)*1.2,AND(F457&gt;=626,F457&lt;=650),((F457/D457)*60)*1.5,F457&gt;=651,((F457/D457)*60)*1.8)</f>
        <v>1042.3636363636363</v>
      </c>
      <c r="AU457">
        <f t="shared" si="139"/>
        <v>16.100000000000001</v>
      </c>
      <c r="AV457">
        <f t="shared" si="138"/>
        <v>427.49636363636364</v>
      </c>
      <c r="AW457">
        <f t="shared" si="140"/>
        <v>64.099999999999994</v>
      </c>
      <c r="AX457" t="str">
        <f t="shared" si="136"/>
        <v>Mar-2023</v>
      </c>
      <c r="AY457">
        <f>ROUNDUP(Table2[[#This Row],[Month]]/3,0)</f>
        <v>1</v>
      </c>
    </row>
    <row r="458" spans="1:51" x14ac:dyDescent="0.2">
      <c r="A458">
        <v>457</v>
      </c>
      <c r="B458">
        <f t="shared" si="125"/>
        <v>15</v>
      </c>
      <c r="C458" s="22">
        <v>45014</v>
      </c>
      <c r="D458">
        <f>SUM(Table2[[#This Row],[Gray Min]:[Red Min]])</f>
        <v>58</v>
      </c>
      <c r="E458">
        <v>16</v>
      </c>
      <c r="F458">
        <v>680</v>
      </c>
      <c r="G458">
        <v>130</v>
      </c>
      <c r="H458">
        <v>167</v>
      </c>
      <c r="I458">
        <v>8</v>
      </c>
      <c r="J458">
        <v>16</v>
      </c>
      <c r="K458">
        <v>18</v>
      </c>
      <c r="L458">
        <v>15</v>
      </c>
      <c r="M458">
        <v>1</v>
      </c>
      <c r="N458" t="s">
        <v>101</v>
      </c>
      <c r="O458" t="s">
        <v>173</v>
      </c>
      <c r="P458" t="s">
        <v>147</v>
      </c>
      <c r="Q458">
        <f t="shared" si="137"/>
        <v>2</v>
      </c>
      <c r="R458" t="str">
        <f t="shared" si="126"/>
        <v>3-2023</v>
      </c>
      <c r="S458" t="s">
        <v>104</v>
      </c>
      <c r="T458" t="str">
        <f t="shared" si="127"/>
        <v>Wednesday</v>
      </c>
      <c r="U458">
        <f t="shared" si="128"/>
        <v>1</v>
      </c>
      <c r="V458" s="24">
        <f>IFERROR(Table2[[#This Row],[Gray Min]]/Table2[[#This Row],[ClassLength]],"")</f>
        <v>0.13793103448275862</v>
      </c>
      <c r="W458" s="24">
        <f>IFERROR(Table2[[#This Row],[Blue Min]]/Table2[[#This Row],[ClassLength]],"")</f>
        <v>0.27586206896551724</v>
      </c>
      <c r="X458" s="24">
        <f>IFERROR(Table2[[#This Row],[Green Min]]/Table2[[#This Row],[ClassLength]],"")</f>
        <v>0.31034482758620691</v>
      </c>
      <c r="Y458" s="24">
        <f>IFERROR(Table2[[#This Row],[Orange Min]]/Table2[[#This Row],[ClassLength]],"")</f>
        <v>0.25862068965517243</v>
      </c>
      <c r="Z458" s="24">
        <f>IFERROR(Table2[[#This Row],[Red Min]]/Table2[[#This Row],[ClassLength]],"")</f>
        <v>1.7241379310344827E-2</v>
      </c>
      <c r="AA458" s="25">
        <v>232.14</v>
      </c>
      <c r="AB458" s="25">
        <f t="shared" si="122"/>
        <v>15.475999999999999</v>
      </c>
      <c r="AC458" s="26">
        <f t="shared" si="129"/>
        <v>630.21428571428567</v>
      </c>
      <c r="AD458" s="26">
        <f t="shared" si="130"/>
        <v>14.285714285714286</v>
      </c>
      <c r="AE458">
        <f t="shared" si="131"/>
        <v>2023</v>
      </c>
      <c r="AG458">
        <v>12</v>
      </c>
      <c r="AH458" s="26">
        <f t="shared" si="132"/>
        <v>11.724137931034482</v>
      </c>
      <c r="AI458" t="str">
        <f t="shared" si="133"/>
        <v>PM</v>
      </c>
      <c r="AJ458" t="str">
        <f t="shared" si="134"/>
        <v>3-2023-5</v>
      </c>
      <c r="AK458">
        <f t="shared" si="135"/>
        <v>3</v>
      </c>
      <c r="AL458" s="26">
        <f>IFERROR(Table2[[#This Row],[Calories]]/Table2[[#This Row],[Splat]],"")</f>
        <v>42.5</v>
      </c>
      <c r="AM458">
        <f>COUNTIF(N$2:$N$938,N458)</f>
        <v>191</v>
      </c>
      <c r="AN458" t="str">
        <f>VLOOKUP(N458,'Helpful Tables'!A:D,4,FALSE)</f>
        <v>Washington, DC</v>
      </c>
      <c r="AO458" s="24">
        <f>COUNTIF(AN:AN,Table2[[#This Row],[State]])/COUNTA(AN:AN)</f>
        <v>0.54904051172707891</v>
      </c>
      <c r="AP458">
        <f>VLOOKUP(N458,'Helpful Tables'!A:B,2,FALSE)</f>
        <v>38.949649000000001</v>
      </c>
      <c r="AQ458">
        <f>VLOOKUP(N458,'Helpful Tables'!A:C,3,FALSE)</f>
        <v>-77.080878999999996</v>
      </c>
      <c r="AR458">
        <f>COUNTIF(P$2:$P$938,P458)</f>
        <v>17</v>
      </c>
      <c r="AS458" cm="1">
        <f t="array" ref="AS458">_xlfn.IFS(E458&lt;6,((E458/D458)*60)*0.5,AND(E458&gt;=6,E458&lt;9),((E458/D458)*60)*0.75,AND(E458&gt;=9,E458&lt;=11),((E458/D458)*60)*0.9,AND(E458=12),((E458/D458)*60)*1,AND(E458&gt;=13,E458&lt;=15),((E458/D458)*60)*1.2,AND(E458&gt;=16,E458&lt;=19),((E458/D458)*60)*1.5,E458&gt;=20,((E458/D458)*60)*1.8)</f>
        <v>24.827586206896555</v>
      </c>
      <c r="AT458" cm="1">
        <f t="array" ref="AT458">_xlfn.IFS(F458&lt;550,((F458/D458)*60)*0.5,AND(F458&gt;=550,F458&lt;575),((F458/D458)*60)*0.75,AND(F458&gt;=575,F458&lt;600),((F458/D458)*60)*0.9,AND(F458=600),((F458/D458)*60)*1,AND(F458&gt;=601,F458&lt;=625),((F458/D458)*60)*1.2,AND(F458&gt;=626,F458&lt;=650),((F458/D458)*60)*1.5,F458&gt;=651,((F458/D458)*60)*1.8)</f>
        <v>1266.2068965517242</v>
      </c>
      <c r="AU458">
        <f t="shared" si="139"/>
        <v>15.399999999999995</v>
      </c>
      <c r="AV458">
        <f t="shared" si="138"/>
        <v>519.49379310344841</v>
      </c>
      <c r="AW458">
        <f t="shared" si="140"/>
        <v>89.600000000000009</v>
      </c>
      <c r="AX458" t="str">
        <f t="shared" si="136"/>
        <v>Mar-2023</v>
      </c>
      <c r="AY458">
        <f>ROUNDUP(Table2[[#This Row],[Month]]/3,0)</f>
        <v>1</v>
      </c>
    </row>
    <row r="459" spans="1:51" x14ac:dyDescent="0.2">
      <c r="A459">
        <v>458</v>
      </c>
      <c r="B459">
        <f t="shared" si="125"/>
        <v>15</v>
      </c>
      <c r="C459" s="22">
        <v>45017</v>
      </c>
      <c r="D459">
        <f>SUM(Table2[[#This Row],[Gray Min]:[Red Min]])</f>
        <v>61</v>
      </c>
      <c r="E459">
        <v>15</v>
      </c>
      <c r="F459">
        <v>684</v>
      </c>
      <c r="G459">
        <v>127</v>
      </c>
      <c r="H459">
        <v>166</v>
      </c>
      <c r="I459">
        <v>11</v>
      </c>
      <c r="J459">
        <v>16</v>
      </c>
      <c r="K459">
        <v>19</v>
      </c>
      <c r="L459">
        <v>14</v>
      </c>
      <c r="M459">
        <v>1</v>
      </c>
      <c r="N459" t="s">
        <v>162</v>
      </c>
      <c r="O459" t="s">
        <v>45</v>
      </c>
      <c r="P459" t="s">
        <v>177</v>
      </c>
      <c r="Q459">
        <f t="shared" si="137"/>
        <v>3</v>
      </c>
      <c r="R459" t="str">
        <f t="shared" si="126"/>
        <v>4-2023</v>
      </c>
      <c r="S459" t="s">
        <v>117</v>
      </c>
      <c r="T459" t="str">
        <f t="shared" si="127"/>
        <v>Saturday</v>
      </c>
      <c r="U459">
        <f t="shared" si="128"/>
        <v>1</v>
      </c>
      <c r="V459" s="24">
        <f>IFERROR(Table2[[#This Row],[Gray Min]]/Table2[[#This Row],[ClassLength]],"")</f>
        <v>0.18032786885245902</v>
      </c>
      <c r="W459" s="24">
        <f>IFERROR(Table2[[#This Row],[Blue Min]]/Table2[[#This Row],[ClassLength]],"")</f>
        <v>0.26229508196721313</v>
      </c>
      <c r="X459" s="24">
        <f>IFERROR(Table2[[#This Row],[Green Min]]/Table2[[#This Row],[ClassLength]],"")</f>
        <v>0.31147540983606559</v>
      </c>
      <c r="Y459" s="24">
        <f>IFERROR(Table2[[#This Row],[Orange Min]]/Table2[[#This Row],[ClassLength]],"")</f>
        <v>0.22950819672131148</v>
      </c>
      <c r="Z459" s="24">
        <f>IFERROR(Table2[[#This Row],[Red Min]]/Table2[[#This Row],[ClassLength]],"")</f>
        <v>1.6393442622950821E-2</v>
      </c>
      <c r="AA459" s="25">
        <v>232.14</v>
      </c>
      <c r="AB459" s="25">
        <f t="shared" si="122"/>
        <v>15.475999999999999</v>
      </c>
      <c r="AC459" s="26">
        <f t="shared" si="129"/>
        <v>632.6</v>
      </c>
      <c r="AD459" s="26">
        <f t="shared" si="130"/>
        <v>13.733333333333333</v>
      </c>
      <c r="AE459">
        <f t="shared" si="131"/>
        <v>2023</v>
      </c>
      <c r="AG459">
        <v>12</v>
      </c>
      <c r="AH459" s="26">
        <f t="shared" si="132"/>
        <v>11.21311475409836</v>
      </c>
      <c r="AI459" t="str">
        <f t="shared" si="133"/>
        <v>AM</v>
      </c>
      <c r="AJ459" t="str">
        <f t="shared" si="134"/>
        <v>4-2023-1</v>
      </c>
      <c r="AK459">
        <f t="shared" si="135"/>
        <v>4</v>
      </c>
      <c r="AL459" s="26">
        <f>IFERROR(Table2[[#This Row],[Calories]]/Table2[[#This Row],[Splat]],"")</f>
        <v>45.6</v>
      </c>
      <c r="AM459">
        <f>COUNTIF(N$2:$N$938,N459)</f>
        <v>5</v>
      </c>
      <c r="AN459" t="str">
        <f>VLOOKUP(N459,'Helpful Tables'!A:D,4,FALSE)</f>
        <v>Maryland</v>
      </c>
      <c r="AO459" s="24">
        <f>COUNTIF(AN:AN,Table2[[#This Row],[State]])/COUNTA(AN:AN)</f>
        <v>5.3304904051172707E-3</v>
      </c>
      <c r="AP459">
        <f>VLOOKUP(N459,'Helpful Tables'!A:B,2,FALSE)</f>
        <v>38.989806999999999</v>
      </c>
      <c r="AQ459">
        <f>VLOOKUP(N459,'Helpful Tables'!A:C,3,FALSE)</f>
        <v>-77.096371000000005</v>
      </c>
      <c r="AR459">
        <f>COUNTIF(P$2:$P$938,P459)</f>
        <v>1</v>
      </c>
      <c r="AS459" cm="1">
        <f t="array" ref="AS459">_xlfn.IFS(E459&lt;6,((E459/D459)*60)*0.5,AND(E459&gt;=6,E459&lt;9),((E459/D459)*60)*0.75,AND(E459&gt;=9,E459&lt;=11),((E459/D459)*60)*0.9,AND(E459=12),((E459/D459)*60)*1,AND(E459&gt;=13,E459&lt;=15),((E459/D459)*60)*1.2,AND(E459&gt;=16,E459&lt;=19),((E459/D459)*60)*1.5,E459&gt;=20,((E459/D459)*60)*1.8)</f>
        <v>17.704918032786885</v>
      </c>
      <c r="AT459" cm="1">
        <f t="array" ref="AT459">_xlfn.IFS(F459&lt;550,((F459/D459)*60)*0.5,AND(F459&gt;=550,F459&lt;575),((F459/D459)*60)*0.75,AND(F459&gt;=575,F459&lt;600),((F459/D459)*60)*0.9,AND(F459=600),((F459/D459)*60)*1,AND(F459&gt;=601,F459&lt;=625),((F459/D459)*60)*1.2,AND(F459&gt;=626,F459&lt;=650),((F459/D459)*60)*1.5,F459&gt;=651,((F459/D459)*60)*1.8)</f>
        <v>1211.0163934426228</v>
      </c>
      <c r="AU459">
        <f t="shared" si="139"/>
        <v>11.7</v>
      </c>
      <c r="AV459">
        <f t="shared" si="138"/>
        <v>493.82852459016385</v>
      </c>
      <c r="AW459">
        <f t="shared" si="140"/>
        <v>75.5</v>
      </c>
      <c r="AX459" t="str">
        <f t="shared" si="136"/>
        <v>Apr-2023</v>
      </c>
      <c r="AY459">
        <f>ROUNDUP(Table2[[#This Row],[Month]]/3,0)</f>
        <v>2</v>
      </c>
    </row>
    <row r="460" spans="1:51" x14ac:dyDescent="0.2">
      <c r="A460">
        <v>459</v>
      </c>
      <c r="B460">
        <f t="shared" si="125"/>
        <v>15</v>
      </c>
      <c r="C460" s="22">
        <v>45018</v>
      </c>
      <c r="D460">
        <f>SUM(Table2[[#This Row],[Gray Min]:[Red Min]])</f>
        <v>56</v>
      </c>
      <c r="E460">
        <v>13</v>
      </c>
      <c r="F460">
        <v>618</v>
      </c>
      <c r="G460">
        <v>126</v>
      </c>
      <c r="H460">
        <v>170</v>
      </c>
      <c r="I460">
        <v>13</v>
      </c>
      <c r="J460">
        <v>13</v>
      </c>
      <c r="K460">
        <v>17</v>
      </c>
      <c r="L460">
        <v>12</v>
      </c>
      <c r="M460">
        <v>1</v>
      </c>
      <c r="N460" t="s">
        <v>91</v>
      </c>
      <c r="O460" t="s">
        <v>79</v>
      </c>
      <c r="P460" t="s">
        <v>100</v>
      </c>
      <c r="Q460">
        <f t="shared" si="137"/>
        <v>1</v>
      </c>
      <c r="R460" t="str">
        <f t="shared" si="126"/>
        <v>4-2023</v>
      </c>
      <c r="S460" t="s">
        <v>117</v>
      </c>
      <c r="T460" t="str">
        <f t="shared" si="127"/>
        <v>Sunday</v>
      </c>
      <c r="U460">
        <f t="shared" si="128"/>
        <v>1</v>
      </c>
      <c r="V460" s="24">
        <f>IFERROR(Table2[[#This Row],[Gray Min]]/Table2[[#This Row],[ClassLength]],"")</f>
        <v>0.23214285714285715</v>
      </c>
      <c r="W460" s="24">
        <f>IFERROR(Table2[[#This Row],[Blue Min]]/Table2[[#This Row],[ClassLength]],"")</f>
        <v>0.23214285714285715</v>
      </c>
      <c r="X460" s="24">
        <f>IFERROR(Table2[[#This Row],[Green Min]]/Table2[[#This Row],[ClassLength]],"")</f>
        <v>0.30357142857142855</v>
      </c>
      <c r="Y460" s="24">
        <f>IFERROR(Table2[[#This Row],[Orange Min]]/Table2[[#This Row],[ClassLength]],"")</f>
        <v>0.21428571428571427</v>
      </c>
      <c r="Z460" s="24">
        <f>IFERROR(Table2[[#This Row],[Red Min]]/Table2[[#This Row],[ClassLength]],"")</f>
        <v>1.7857142857142856E-2</v>
      </c>
      <c r="AA460" s="25">
        <v>232.14</v>
      </c>
      <c r="AB460" s="25">
        <f t="shared" si="122"/>
        <v>15.475999999999999</v>
      </c>
      <c r="AC460" s="26">
        <f t="shared" si="129"/>
        <v>632.6</v>
      </c>
      <c r="AD460" s="26">
        <f t="shared" si="130"/>
        <v>13.733333333333333</v>
      </c>
      <c r="AE460">
        <f t="shared" si="131"/>
        <v>2023</v>
      </c>
      <c r="AG460">
        <v>12</v>
      </c>
      <c r="AH460" s="26">
        <f t="shared" si="132"/>
        <v>11.035714285714286</v>
      </c>
      <c r="AI460" t="str">
        <f t="shared" si="133"/>
        <v>AM</v>
      </c>
      <c r="AJ460" t="str">
        <f t="shared" si="134"/>
        <v>4-2023-2</v>
      </c>
      <c r="AK460">
        <f t="shared" si="135"/>
        <v>4</v>
      </c>
      <c r="AL460" s="26">
        <f>IFERROR(Table2[[#This Row],[Calories]]/Table2[[#This Row],[Splat]],"")</f>
        <v>47.53846153846154</v>
      </c>
      <c r="AM460">
        <f>COUNTIF(N$2:$N$938,N460)</f>
        <v>218</v>
      </c>
      <c r="AN460" t="str">
        <f>VLOOKUP(N460,'Helpful Tables'!A:D,4,FALSE)</f>
        <v>Washington, DC</v>
      </c>
      <c r="AO460" s="24">
        <f>COUNTIF(AN:AN,Table2[[#This Row],[State]])/COUNTA(AN:AN)</f>
        <v>0.54904051172707891</v>
      </c>
      <c r="AP460">
        <f>VLOOKUP(N460,'Helpful Tables'!A:B,2,FALSE)</f>
        <v>38.934710000000003</v>
      </c>
      <c r="AQ460">
        <f>VLOOKUP(N460,'Helpful Tables'!A:C,3,FALSE)</f>
        <v>-77.058222999999998</v>
      </c>
      <c r="AR460">
        <f>COUNTIF(P$2:$P$938,P460)</f>
        <v>35</v>
      </c>
      <c r="AS460" cm="1">
        <f t="array" ref="AS460">_xlfn.IFS(E460&lt;6,((E460/D460)*60)*0.5,AND(E460&gt;=6,E460&lt;9),((E460/D460)*60)*0.75,AND(E460&gt;=9,E460&lt;=11),((E460/D460)*60)*0.9,AND(E460=12),((E460/D460)*60)*1,AND(E460&gt;=13,E460&lt;=15),((E460/D460)*60)*1.2,AND(E460&gt;=16,E460&lt;=19),((E460/D460)*60)*1.5,E460&gt;=20,((E460/D460)*60)*1.8)</f>
        <v>16.714285714285715</v>
      </c>
      <c r="AT460" cm="1">
        <f t="array" ref="AT460">_xlfn.IFS(F460&lt;550,((F460/D460)*60)*0.5,AND(F460&gt;=550,F460&lt;575),((F460/D460)*60)*0.75,AND(F460&gt;=575,F460&lt;600),((F460/D460)*60)*0.9,AND(F460=600),((F460/D460)*60)*1,AND(F460&gt;=601,F460&lt;=625),((F460/D460)*60)*1.2,AND(F460&gt;=626,F460&lt;=650),((F460/D460)*60)*1.5,F460&gt;=651,((F460/D460)*60)*1.8)</f>
        <v>794.57142857142867</v>
      </c>
      <c r="AU460">
        <f t="shared" si="139"/>
        <v>7.6000000000000014</v>
      </c>
      <c r="AV460">
        <f t="shared" si="138"/>
        <v>326.03428571428577</v>
      </c>
      <c r="AW460">
        <f t="shared" si="140"/>
        <v>39.200000000000003</v>
      </c>
      <c r="AX460" t="str">
        <f t="shared" si="136"/>
        <v>Apr-2023</v>
      </c>
      <c r="AY460">
        <f>ROUNDUP(Table2[[#This Row],[Month]]/3,0)</f>
        <v>2</v>
      </c>
    </row>
    <row r="461" spans="1:51" x14ac:dyDescent="0.2">
      <c r="A461">
        <v>460</v>
      </c>
      <c r="B461">
        <f t="shared" si="125"/>
        <v>15</v>
      </c>
      <c r="C461" s="22">
        <v>45020</v>
      </c>
      <c r="D461">
        <f>SUM(Table2[[#This Row],[Gray Min]:[Red Min]])</f>
        <v>58</v>
      </c>
      <c r="E461">
        <v>16</v>
      </c>
      <c r="F461">
        <v>658</v>
      </c>
      <c r="G461">
        <v>129</v>
      </c>
      <c r="H461">
        <v>167</v>
      </c>
      <c r="I461">
        <v>10</v>
      </c>
      <c r="J461">
        <v>16</v>
      </c>
      <c r="K461">
        <v>16</v>
      </c>
      <c r="L461">
        <v>14</v>
      </c>
      <c r="M461">
        <v>2</v>
      </c>
      <c r="N461" t="s">
        <v>101</v>
      </c>
      <c r="O461" t="s">
        <v>173</v>
      </c>
      <c r="P461" t="s">
        <v>109</v>
      </c>
      <c r="Q461">
        <f t="shared" si="137"/>
        <v>2</v>
      </c>
      <c r="R461" t="str">
        <f t="shared" si="126"/>
        <v>4-2023</v>
      </c>
      <c r="S461" t="s">
        <v>104</v>
      </c>
      <c r="T461" t="str">
        <f t="shared" si="127"/>
        <v>Tuesday</v>
      </c>
      <c r="U461">
        <f t="shared" si="128"/>
        <v>1</v>
      </c>
      <c r="V461" s="24">
        <f>IFERROR(Table2[[#This Row],[Gray Min]]/Table2[[#This Row],[ClassLength]],"")</f>
        <v>0.17241379310344829</v>
      </c>
      <c r="W461" s="24">
        <f>IFERROR(Table2[[#This Row],[Blue Min]]/Table2[[#This Row],[ClassLength]],"")</f>
        <v>0.27586206896551724</v>
      </c>
      <c r="X461" s="24">
        <f>IFERROR(Table2[[#This Row],[Green Min]]/Table2[[#This Row],[ClassLength]],"")</f>
        <v>0.27586206896551724</v>
      </c>
      <c r="Y461" s="24">
        <f>IFERROR(Table2[[#This Row],[Orange Min]]/Table2[[#This Row],[ClassLength]],"")</f>
        <v>0.2413793103448276</v>
      </c>
      <c r="Z461" s="24">
        <f>IFERROR(Table2[[#This Row],[Red Min]]/Table2[[#This Row],[ClassLength]],"")</f>
        <v>3.4482758620689655E-2</v>
      </c>
      <c r="AA461" s="25">
        <v>232.14</v>
      </c>
      <c r="AB461" s="25">
        <f t="shared" si="122"/>
        <v>15.475999999999999</v>
      </c>
      <c r="AC461" s="26">
        <f t="shared" si="129"/>
        <v>632.6</v>
      </c>
      <c r="AD461" s="26">
        <f t="shared" si="130"/>
        <v>13.733333333333333</v>
      </c>
      <c r="AE461">
        <f t="shared" si="131"/>
        <v>2023</v>
      </c>
      <c r="AG461">
        <v>12</v>
      </c>
      <c r="AH461" s="26">
        <f t="shared" si="132"/>
        <v>11.344827586206897</v>
      </c>
      <c r="AI461" t="str">
        <f t="shared" si="133"/>
        <v>PM</v>
      </c>
      <c r="AJ461" t="str">
        <f t="shared" si="134"/>
        <v>4-2023-2</v>
      </c>
      <c r="AK461">
        <f t="shared" si="135"/>
        <v>4</v>
      </c>
      <c r="AL461" s="26">
        <f>IFERROR(Table2[[#This Row],[Calories]]/Table2[[#This Row],[Splat]],"")</f>
        <v>41.125</v>
      </c>
      <c r="AM461">
        <f>COUNTIF(N$2:$N$938,N461)</f>
        <v>191</v>
      </c>
      <c r="AN461" t="str">
        <f>VLOOKUP(N461,'Helpful Tables'!A:D,4,FALSE)</f>
        <v>Washington, DC</v>
      </c>
      <c r="AO461" s="24">
        <f>COUNTIF(AN:AN,Table2[[#This Row],[State]])/COUNTA(AN:AN)</f>
        <v>0.54904051172707891</v>
      </c>
      <c r="AP461">
        <f>VLOOKUP(N461,'Helpful Tables'!A:B,2,FALSE)</f>
        <v>38.949649000000001</v>
      </c>
      <c r="AQ461">
        <f>VLOOKUP(N461,'Helpful Tables'!A:C,3,FALSE)</f>
        <v>-77.080878999999996</v>
      </c>
      <c r="AR461">
        <f>COUNTIF(P$2:$P$938,P461)</f>
        <v>66</v>
      </c>
      <c r="AS461" cm="1">
        <f t="array" ref="AS461">_xlfn.IFS(E461&lt;6,((E461/D461)*60)*0.5,AND(E461&gt;=6,E461&lt;9),((E461/D461)*60)*0.75,AND(E461&gt;=9,E461&lt;=11),((E461/D461)*60)*0.9,AND(E461=12),((E461/D461)*60)*1,AND(E461&gt;=13,E461&lt;=15),((E461/D461)*60)*1.2,AND(E461&gt;=16,E461&lt;=19),((E461/D461)*60)*1.5,E461&gt;=20,((E461/D461)*60)*1.8)</f>
        <v>24.827586206896555</v>
      </c>
      <c r="AT461" cm="1">
        <f t="array" ref="AT461">_xlfn.IFS(F461&lt;550,((F461/D461)*60)*0.5,AND(F461&gt;=550,F461&lt;575),((F461/D461)*60)*0.75,AND(F461&gt;=575,F461&lt;600),((F461/D461)*60)*0.9,AND(F461=600),((F461/D461)*60)*1,AND(F461&gt;=601,F461&lt;=625),((F461/D461)*60)*1.2,AND(F461&gt;=626,F461&lt;=650),((F461/D461)*60)*1.5,F461&gt;=651,((F461/D461)*60)*1.8)</f>
        <v>1225.2413793103449</v>
      </c>
      <c r="AU461">
        <f t="shared" si="139"/>
        <v>10.799999999999997</v>
      </c>
      <c r="AV461">
        <f t="shared" si="138"/>
        <v>502.18758620689658</v>
      </c>
      <c r="AW461">
        <f t="shared" si="140"/>
        <v>80.400000000000006</v>
      </c>
      <c r="AX461" t="str">
        <f t="shared" si="136"/>
        <v>Apr-2023</v>
      </c>
      <c r="AY461">
        <f>ROUNDUP(Table2[[#This Row],[Month]]/3,0)</f>
        <v>2</v>
      </c>
    </row>
    <row r="462" spans="1:51" x14ac:dyDescent="0.2">
      <c r="A462">
        <v>461</v>
      </c>
      <c r="B462">
        <f t="shared" si="125"/>
        <v>15</v>
      </c>
      <c r="C462" s="22">
        <v>45021</v>
      </c>
      <c r="D462">
        <f>SUM(Table2[[#This Row],[Gray Min]:[Red Min]])</f>
        <v>56</v>
      </c>
      <c r="E462">
        <v>2</v>
      </c>
      <c r="F462">
        <v>500</v>
      </c>
      <c r="G462">
        <v>113</v>
      </c>
      <c r="H462">
        <v>152</v>
      </c>
      <c r="I462">
        <v>25</v>
      </c>
      <c r="J462">
        <v>13</v>
      </c>
      <c r="K462">
        <v>16</v>
      </c>
      <c r="L462">
        <v>2</v>
      </c>
      <c r="M462">
        <v>0</v>
      </c>
      <c r="N462" t="s">
        <v>101</v>
      </c>
      <c r="O462" t="s">
        <v>173</v>
      </c>
      <c r="P462" t="s">
        <v>147</v>
      </c>
      <c r="Q462">
        <f t="shared" si="137"/>
        <v>1</v>
      </c>
      <c r="R462" t="str">
        <f t="shared" si="126"/>
        <v>4-2023</v>
      </c>
      <c r="S462" t="s">
        <v>104</v>
      </c>
      <c r="T462" t="str">
        <f t="shared" si="127"/>
        <v>Wednesday</v>
      </c>
      <c r="U462">
        <f t="shared" si="128"/>
        <v>0</v>
      </c>
      <c r="V462" s="24">
        <f>IFERROR(Table2[[#This Row],[Gray Min]]/Table2[[#This Row],[ClassLength]],"")</f>
        <v>0.44642857142857145</v>
      </c>
      <c r="W462" s="24">
        <f>IFERROR(Table2[[#This Row],[Blue Min]]/Table2[[#This Row],[ClassLength]],"")</f>
        <v>0.23214285714285715</v>
      </c>
      <c r="X462" s="24">
        <f>IFERROR(Table2[[#This Row],[Green Min]]/Table2[[#This Row],[ClassLength]],"")</f>
        <v>0.2857142857142857</v>
      </c>
      <c r="Y462" s="24">
        <f>IFERROR(Table2[[#This Row],[Orange Min]]/Table2[[#This Row],[ClassLength]],"")</f>
        <v>3.5714285714285712E-2</v>
      </c>
      <c r="Z462" s="24">
        <f>IFERROR(Table2[[#This Row],[Red Min]]/Table2[[#This Row],[ClassLength]],"")</f>
        <v>0</v>
      </c>
      <c r="AA462" s="25">
        <v>232.14</v>
      </c>
      <c r="AB462" s="25">
        <f t="shared" si="122"/>
        <v>15.475999999999999</v>
      </c>
      <c r="AC462" s="26">
        <f t="shared" si="129"/>
        <v>632.6</v>
      </c>
      <c r="AD462" s="26">
        <f t="shared" si="130"/>
        <v>13.733333333333333</v>
      </c>
      <c r="AE462">
        <f t="shared" si="131"/>
        <v>2023</v>
      </c>
      <c r="AG462">
        <v>12</v>
      </c>
      <c r="AH462" s="26">
        <f t="shared" si="132"/>
        <v>8.9285714285714288</v>
      </c>
      <c r="AI462" t="str">
        <f t="shared" si="133"/>
        <v>PM</v>
      </c>
      <c r="AJ462" t="str">
        <f t="shared" si="134"/>
        <v>4-2023-2</v>
      </c>
      <c r="AK462">
        <f t="shared" si="135"/>
        <v>4</v>
      </c>
      <c r="AL462" s="26">
        <f>IFERROR(Table2[[#This Row],[Calories]]/Table2[[#This Row],[Splat]],"")</f>
        <v>250</v>
      </c>
      <c r="AM462">
        <f>COUNTIF(N$2:$N$938,N462)</f>
        <v>191</v>
      </c>
      <c r="AN462" t="str">
        <f>VLOOKUP(N462,'Helpful Tables'!A:D,4,FALSE)</f>
        <v>Washington, DC</v>
      </c>
      <c r="AO462" s="24">
        <f>COUNTIF(AN:AN,Table2[[#This Row],[State]])/COUNTA(AN:AN)</f>
        <v>0.54904051172707891</v>
      </c>
      <c r="AP462">
        <f>VLOOKUP(N462,'Helpful Tables'!A:B,2,FALSE)</f>
        <v>38.949649000000001</v>
      </c>
      <c r="AQ462">
        <f>VLOOKUP(N462,'Helpful Tables'!A:C,3,FALSE)</f>
        <v>-77.080878999999996</v>
      </c>
      <c r="AR462">
        <f>COUNTIF(P$2:$P$938,P462)</f>
        <v>17</v>
      </c>
      <c r="AS462" cm="1">
        <f t="array" ref="AS462">_xlfn.IFS(E462&lt;6,((E462/D462)*60)*0.5,AND(E462&gt;=6,E462&lt;9),((E462/D462)*60)*0.75,AND(E462&gt;=9,E462&lt;=11),((E462/D462)*60)*0.9,AND(E462=12),((E462/D462)*60)*1,AND(E462&gt;=13,E462&lt;=15),((E462/D462)*60)*1.2,AND(E462&gt;=16,E462&lt;=19),((E462/D462)*60)*1.5,E462&gt;=20,((E462/D462)*60)*1.8)</f>
        <v>1.0714285714285714</v>
      </c>
      <c r="AT462" cm="1">
        <f t="array" ref="AT462">_xlfn.IFS(F462&lt;550,((F462/D462)*60)*0.5,AND(F462&gt;=550,F462&lt;575),((F462/D462)*60)*0.75,AND(F462&gt;=575,F462&lt;600),((F462/D462)*60)*0.9,AND(F462=600),((F462/D462)*60)*1,AND(F462&gt;=601,F462&lt;=625),((F462/D462)*60)*1.2,AND(F462&gt;=626,F462&lt;=650),((F462/D462)*60)*1.5,F462&gt;=651,((F462/D462)*60)*1.8)</f>
        <v>267.85714285714289</v>
      </c>
      <c r="AU462">
        <f t="shared" si="139"/>
        <v>-22.499999999999996</v>
      </c>
      <c r="AV462">
        <f t="shared" si="138"/>
        <v>103.0714285714286</v>
      </c>
      <c r="AW462">
        <f t="shared" si="140"/>
        <v>1.9</v>
      </c>
      <c r="AX462" t="str">
        <f t="shared" si="136"/>
        <v>Apr-2023</v>
      </c>
      <c r="AY462">
        <f>ROUNDUP(Table2[[#This Row],[Month]]/3,0)</f>
        <v>2</v>
      </c>
    </row>
    <row r="463" spans="1:51" x14ac:dyDescent="0.2">
      <c r="A463">
        <v>462</v>
      </c>
      <c r="B463">
        <f t="shared" si="125"/>
        <v>15</v>
      </c>
      <c r="C463" s="22">
        <v>45023</v>
      </c>
      <c r="D463">
        <f>SUM(Table2[[#This Row],[Gray Min]:[Red Min]])</f>
        <v>59</v>
      </c>
      <c r="E463">
        <v>15</v>
      </c>
      <c r="F463">
        <v>616</v>
      </c>
      <c r="G463">
        <v>122</v>
      </c>
      <c r="H463">
        <v>165</v>
      </c>
      <c r="I463">
        <v>25</v>
      </c>
      <c r="J463">
        <v>6</v>
      </c>
      <c r="K463">
        <v>13</v>
      </c>
      <c r="L463">
        <v>14</v>
      </c>
      <c r="M463">
        <v>1</v>
      </c>
      <c r="N463" t="s">
        <v>91</v>
      </c>
      <c r="O463" t="s">
        <v>57</v>
      </c>
      <c r="P463" t="s">
        <v>96</v>
      </c>
      <c r="Q463">
        <f t="shared" si="137"/>
        <v>2</v>
      </c>
      <c r="R463" t="str">
        <f t="shared" si="126"/>
        <v>4-2023</v>
      </c>
      <c r="S463" t="s">
        <v>104</v>
      </c>
      <c r="T463" t="str">
        <f t="shared" si="127"/>
        <v>Friday</v>
      </c>
      <c r="U463">
        <f t="shared" si="128"/>
        <v>1</v>
      </c>
      <c r="V463" s="24">
        <f>IFERROR(Table2[[#This Row],[Gray Min]]/Table2[[#This Row],[ClassLength]],"")</f>
        <v>0.42372881355932202</v>
      </c>
      <c r="W463" s="24">
        <f>IFERROR(Table2[[#This Row],[Blue Min]]/Table2[[#This Row],[ClassLength]],"")</f>
        <v>0.10169491525423729</v>
      </c>
      <c r="X463" s="24">
        <f>IFERROR(Table2[[#This Row],[Green Min]]/Table2[[#This Row],[ClassLength]],"")</f>
        <v>0.22033898305084745</v>
      </c>
      <c r="Y463" s="24">
        <f>IFERROR(Table2[[#This Row],[Orange Min]]/Table2[[#This Row],[ClassLength]],"")</f>
        <v>0.23728813559322035</v>
      </c>
      <c r="Z463" s="24">
        <f>IFERROR(Table2[[#This Row],[Red Min]]/Table2[[#This Row],[ClassLength]],"")</f>
        <v>1.6949152542372881E-2</v>
      </c>
      <c r="AA463" s="25">
        <v>232.14</v>
      </c>
      <c r="AB463" s="25">
        <f t="shared" si="122"/>
        <v>15.475999999999999</v>
      </c>
      <c r="AC463" s="26">
        <f t="shared" si="129"/>
        <v>632.6</v>
      </c>
      <c r="AD463" s="26">
        <f t="shared" si="130"/>
        <v>13.733333333333333</v>
      </c>
      <c r="AE463">
        <f t="shared" si="131"/>
        <v>2023</v>
      </c>
      <c r="AG463">
        <v>12</v>
      </c>
      <c r="AH463" s="26">
        <f t="shared" si="132"/>
        <v>10.440677966101696</v>
      </c>
      <c r="AI463" t="str">
        <f t="shared" si="133"/>
        <v>PM</v>
      </c>
      <c r="AJ463" t="str">
        <f t="shared" si="134"/>
        <v>4-2023-2</v>
      </c>
      <c r="AK463">
        <f t="shared" si="135"/>
        <v>4</v>
      </c>
      <c r="AL463" s="26">
        <f>IFERROR(Table2[[#This Row],[Calories]]/Table2[[#This Row],[Splat]],"")</f>
        <v>41.06666666666667</v>
      </c>
      <c r="AM463">
        <f>COUNTIF(N$2:$N$938,N463)</f>
        <v>218</v>
      </c>
      <c r="AN463" t="str">
        <f>VLOOKUP(N463,'Helpful Tables'!A:D,4,FALSE)</f>
        <v>Washington, DC</v>
      </c>
      <c r="AO463" s="24">
        <f>COUNTIF(AN:AN,Table2[[#This Row],[State]])/COUNTA(AN:AN)</f>
        <v>0.54904051172707891</v>
      </c>
      <c r="AP463">
        <f>VLOOKUP(N463,'Helpful Tables'!A:B,2,FALSE)</f>
        <v>38.934710000000003</v>
      </c>
      <c r="AQ463">
        <f>VLOOKUP(N463,'Helpful Tables'!A:C,3,FALSE)</f>
        <v>-77.058222999999998</v>
      </c>
      <c r="AR463">
        <f>COUNTIF(P$2:$P$938,P463)</f>
        <v>71</v>
      </c>
      <c r="AS463" cm="1">
        <f t="array" ref="AS463">_xlfn.IFS(E463&lt;6,((E463/D463)*60)*0.5,AND(E463&gt;=6,E463&lt;9),((E463/D463)*60)*0.75,AND(E463&gt;=9,E463&lt;=11),((E463/D463)*60)*0.9,AND(E463=12),((E463/D463)*60)*1,AND(E463&gt;=13,E463&lt;=15),((E463/D463)*60)*1.2,AND(E463&gt;=16,E463&lt;=19),((E463/D463)*60)*1.5,E463&gt;=20,((E463/D463)*60)*1.8)</f>
        <v>18.305084745762709</v>
      </c>
      <c r="AT463" cm="1">
        <f t="array" ref="AT463">_xlfn.IFS(F463&lt;550,((F463/D463)*60)*0.5,AND(F463&gt;=550,F463&lt;575),((F463/D463)*60)*0.75,AND(F463&gt;=575,F463&lt;600),((F463/D463)*60)*0.9,AND(F463=600),((F463/D463)*60)*1,AND(F463&gt;=601,F463&lt;=625),((F463/D463)*60)*1.2,AND(F463&gt;=626,F463&lt;=650),((F463/D463)*60)*1.5,F463&gt;=651,((F463/D463)*60)*1.8)</f>
        <v>751.72881355932202</v>
      </c>
      <c r="AU463">
        <f t="shared" si="139"/>
        <v>-1.3000000000000007</v>
      </c>
      <c r="AV463">
        <f t="shared" si="138"/>
        <v>307.75355932203394</v>
      </c>
      <c r="AW463">
        <f t="shared" si="140"/>
        <v>30.099999999999998</v>
      </c>
      <c r="AX463" t="str">
        <f t="shared" si="136"/>
        <v>Apr-2023</v>
      </c>
      <c r="AY463">
        <f>ROUNDUP(Table2[[#This Row],[Month]]/3,0)</f>
        <v>2</v>
      </c>
    </row>
    <row r="464" spans="1:51" x14ac:dyDescent="0.2">
      <c r="A464">
        <v>463</v>
      </c>
      <c r="B464">
        <f t="shared" si="125"/>
        <v>15</v>
      </c>
      <c r="C464" s="22">
        <v>45025</v>
      </c>
      <c r="D464">
        <f>SUM(Table2[[#This Row],[Gray Min]:[Red Min]])</f>
        <v>59</v>
      </c>
      <c r="E464">
        <v>14</v>
      </c>
      <c r="F464">
        <v>636</v>
      </c>
      <c r="G464">
        <v>125</v>
      </c>
      <c r="H464">
        <v>167</v>
      </c>
      <c r="I464">
        <v>17</v>
      </c>
      <c r="J464">
        <v>11</v>
      </c>
      <c r="K464">
        <v>17</v>
      </c>
      <c r="L464">
        <v>12</v>
      </c>
      <c r="M464">
        <v>2</v>
      </c>
      <c r="N464" t="s">
        <v>101</v>
      </c>
      <c r="O464" t="s">
        <v>93</v>
      </c>
      <c r="P464" t="s">
        <v>155</v>
      </c>
      <c r="Q464">
        <f t="shared" si="137"/>
        <v>2</v>
      </c>
      <c r="R464" t="str">
        <f t="shared" si="126"/>
        <v>4-2023</v>
      </c>
      <c r="S464" t="s">
        <v>117</v>
      </c>
      <c r="T464" t="str">
        <f t="shared" si="127"/>
        <v>Sunday</v>
      </c>
      <c r="U464">
        <f t="shared" si="128"/>
        <v>1</v>
      </c>
      <c r="V464" s="24">
        <f>IFERROR(Table2[[#This Row],[Gray Min]]/Table2[[#This Row],[ClassLength]],"")</f>
        <v>0.28813559322033899</v>
      </c>
      <c r="W464" s="24">
        <f>IFERROR(Table2[[#This Row],[Blue Min]]/Table2[[#This Row],[ClassLength]],"")</f>
        <v>0.1864406779661017</v>
      </c>
      <c r="X464" s="24">
        <f>IFERROR(Table2[[#This Row],[Green Min]]/Table2[[#This Row],[ClassLength]],"")</f>
        <v>0.28813559322033899</v>
      </c>
      <c r="Y464" s="24">
        <f>IFERROR(Table2[[#This Row],[Orange Min]]/Table2[[#This Row],[ClassLength]],"")</f>
        <v>0.20338983050847459</v>
      </c>
      <c r="Z464" s="24">
        <f>IFERROR(Table2[[#This Row],[Red Min]]/Table2[[#This Row],[ClassLength]],"")</f>
        <v>3.3898305084745763E-2</v>
      </c>
      <c r="AA464" s="25">
        <v>232.14</v>
      </c>
      <c r="AB464" s="25">
        <f t="shared" ref="AB464:AB527" si="141">AA464/B464</f>
        <v>15.475999999999999</v>
      </c>
      <c r="AC464" s="26">
        <f t="shared" si="129"/>
        <v>632.6</v>
      </c>
      <c r="AD464" s="26">
        <f t="shared" si="130"/>
        <v>13.733333333333333</v>
      </c>
      <c r="AE464">
        <f t="shared" si="131"/>
        <v>2023</v>
      </c>
      <c r="AG464">
        <v>12</v>
      </c>
      <c r="AH464" s="26">
        <f t="shared" si="132"/>
        <v>10.779661016949152</v>
      </c>
      <c r="AI464" t="str">
        <f t="shared" si="133"/>
        <v>AM</v>
      </c>
      <c r="AJ464" t="str">
        <f t="shared" si="134"/>
        <v>4-2023-3</v>
      </c>
      <c r="AK464">
        <f t="shared" si="135"/>
        <v>4</v>
      </c>
      <c r="AL464" s="26">
        <f>IFERROR(Table2[[#This Row],[Calories]]/Table2[[#This Row],[Splat]],"")</f>
        <v>45.428571428571431</v>
      </c>
      <c r="AM464">
        <f>COUNTIF(N$2:$N$938,N464)</f>
        <v>191</v>
      </c>
      <c r="AN464" t="str">
        <f>VLOOKUP(N464,'Helpful Tables'!A:D,4,FALSE)</f>
        <v>Washington, DC</v>
      </c>
      <c r="AO464" s="24">
        <f>COUNTIF(AN:AN,Table2[[#This Row],[State]])/COUNTA(AN:AN)</f>
        <v>0.54904051172707891</v>
      </c>
      <c r="AP464">
        <f>VLOOKUP(N464,'Helpful Tables'!A:B,2,FALSE)</f>
        <v>38.949649000000001</v>
      </c>
      <c r="AQ464">
        <f>VLOOKUP(N464,'Helpful Tables'!A:C,3,FALSE)</f>
        <v>-77.080878999999996</v>
      </c>
      <c r="AR464">
        <f>COUNTIF(P$2:$P$938,P464)</f>
        <v>13</v>
      </c>
      <c r="AS464" cm="1">
        <f t="array" ref="AS464">_xlfn.IFS(E464&lt;6,((E464/D464)*60)*0.5,AND(E464&gt;=6,E464&lt;9),((E464/D464)*60)*0.75,AND(E464&gt;=9,E464&lt;=11),((E464/D464)*60)*0.9,AND(E464=12),((E464/D464)*60)*1,AND(E464&gt;=13,E464&lt;=15),((E464/D464)*60)*1.2,AND(E464&gt;=16,E464&lt;=19),((E464/D464)*60)*1.5,E464&gt;=20,((E464/D464)*60)*1.8)</f>
        <v>17.084745762711865</v>
      </c>
      <c r="AT464" cm="1">
        <f t="array" ref="AT464">_xlfn.IFS(F464&lt;550,((F464/D464)*60)*0.5,AND(F464&gt;=550,F464&lt;575),((F464/D464)*60)*0.75,AND(F464&gt;=575,F464&lt;600),((F464/D464)*60)*0.9,AND(F464=600),((F464/D464)*60)*1,AND(F464&gt;=601,F464&lt;=625),((F464/D464)*60)*1.2,AND(F464&gt;=626,F464&lt;=650),((F464/D464)*60)*1.5,F464&gt;=651,((F464/D464)*60)*1.8)</f>
        <v>970.16949152542372</v>
      </c>
      <c r="AU464">
        <f t="shared" si="139"/>
        <v>6.5</v>
      </c>
      <c r="AV464">
        <f t="shared" si="138"/>
        <v>396.20169491525428</v>
      </c>
      <c r="AW464">
        <f t="shared" si="140"/>
        <v>51.2</v>
      </c>
      <c r="AX464" t="str">
        <f t="shared" si="136"/>
        <v>Apr-2023</v>
      </c>
      <c r="AY464">
        <f>ROUNDUP(Table2[[#This Row],[Month]]/3,0)</f>
        <v>2</v>
      </c>
    </row>
    <row r="465" spans="1:51" x14ac:dyDescent="0.2">
      <c r="A465">
        <v>464</v>
      </c>
      <c r="B465">
        <f t="shared" si="125"/>
        <v>15</v>
      </c>
      <c r="C465" s="22">
        <v>45028</v>
      </c>
      <c r="D465">
        <f>SUM(Table2[[#This Row],[Gray Min]:[Red Min]])</f>
        <v>58</v>
      </c>
      <c r="E465">
        <v>14</v>
      </c>
      <c r="F465">
        <v>675</v>
      </c>
      <c r="G465">
        <v>129</v>
      </c>
      <c r="H465">
        <v>169</v>
      </c>
      <c r="I465">
        <v>12</v>
      </c>
      <c r="J465">
        <v>10</v>
      </c>
      <c r="K465">
        <v>22</v>
      </c>
      <c r="L465">
        <v>13</v>
      </c>
      <c r="M465">
        <v>1</v>
      </c>
      <c r="N465" t="s">
        <v>101</v>
      </c>
      <c r="O465" t="s">
        <v>173</v>
      </c>
      <c r="P465" t="s">
        <v>147</v>
      </c>
      <c r="Q465">
        <f t="shared" si="137"/>
        <v>3</v>
      </c>
      <c r="R465" t="str">
        <f t="shared" si="126"/>
        <v>4-2023</v>
      </c>
      <c r="S465" t="s">
        <v>104</v>
      </c>
      <c r="T465" t="str">
        <f t="shared" si="127"/>
        <v>Wednesday</v>
      </c>
      <c r="U465">
        <f t="shared" si="128"/>
        <v>1</v>
      </c>
      <c r="V465" s="24">
        <f>IFERROR(Table2[[#This Row],[Gray Min]]/Table2[[#This Row],[ClassLength]],"")</f>
        <v>0.20689655172413793</v>
      </c>
      <c r="W465" s="24">
        <f>IFERROR(Table2[[#This Row],[Blue Min]]/Table2[[#This Row],[ClassLength]],"")</f>
        <v>0.17241379310344829</v>
      </c>
      <c r="X465" s="24">
        <f>IFERROR(Table2[[#This Row],[Green Min]]/Table2[[#This Row],[ClassLength]],"")</f>
        <v>0.37931034482758619</v>
      </c>
      <c r="Y465" s="24">
        <f>IFERROR(Table2[[#This Row],[Orange Min]]/Table2[[#This Row],[ClassLength]],"")</f>
        <v>0.22413793103448276</v>
      </c>
      <c r="Z465" s="24">
        <f>IFERROR(Table2[[#This Row],[Red Min]]/Table2[[#This Row],[ClassLength]],"")</f>
        <v>1.7241379310344827E-2</v>
      </c>
      <c r="AA465" s="25">
        <v>232.14</v>
      </c>
      <c r="AB465" s="25">
        <f t="shared" si="141"/>
        <v>15.475999999999999</v>
      </c>
      <c r="AC465" s="26">
        <f t="shared" si="129"/>
        <v>632.6</v>
      </c>
      <c r="AD465" s="26">
        <f t="shared" si="130"/>
        <v>13.733333333333333</v>
      </c>
      <c r="AE465">
        <f t="shared" si="131"/>
        <v>2023</v>
      </c>
      <c r="AG465">
        <v>12</v>
      </c>
      <c r="AH465" s="26">
        <f t="shared" si="132"/>
        <v>11.637931034482758</v>
      </c>
      <c r="AI465" t="str">
        <f t="shared" si="133"/>
        <v>PM</v>
      </c>
      <c r="AJ465" t="str">
        <f t="shared" si="134"/>
        <v>4-2023-3</v>
      </c>
      <c r="AK465">
        <f t="shared" si="135"/>
        <v>4</v>
      </c>
      <c r="AL465" s="26">
        <f>IFERROR(Table2[[#This Row],[Calories]]/Table2[[#This Row],[Splat]],"")</f>
        <v>48.214285714285715</v>
      </c>
      <c r="AM465">
        <f>COUNTIF(N$2:$N$938,N465)</f>
        <v>191</v>
      </c>
      <c r="AN465" t="str">
        <f>VLOOKUP(N465,'Helpful Tables'!A:D,4,FALSE)</f>
        <v>Washington, DC</v>
      </c>
      <c r="AO465" s="24">
        <f>COUNTIF(AN:AN,Table2[[#This Row],[State]])/COUNTA(AN:AN)</f>
        <v>0.54904051172707891</v>
      </c>
      <c r="AP465">
        <f>VLOOKUP(N465,'Helpful Tables'!A:B,2,FALSE)</f>
        <v>38.949649000000001</v>
      </c>
      <c r="AQ465">
        <f>VLOOKUP(N465,'Helpful Tables'!A:C,3,FALSE)</f>
        <v>-77.080878999999996</v>
      </c>
      <c r="AR465">
        <f>COUNTIF(P$2:$P$938,P465)</f>
        <v>17</v>
      </c>
      <c r="AS465" cm="1">
        <f t="array" ref="AS465">_xlfn.IFS(E465&lt;6,((E465/D465)*60)*0.5,AND(E465&gt;=6,E465&lt;9),((E465/D465)*60)*0.75,AND(E465&gt;=9,E465&lt;=11),((E465/D465)*60)*0.9,AND(E465=12),((E465/D465)*60)*1,AND(E465&gt;=13,E465&lt;=15),((E465/D465)*60)*1.2,AND(E465&gt;=16,E465&lt;=19),((E465/D465)*60)*1.5,E465&gt;=20,((E465/D465)*60)*1.8)</f>
        <v>17.379310344827587</v>
      </c>
      <c r="AT465" cm="1">
        <f t="array" ref="AT465">_xlfn.IFS(F465&lt;550,((F465/D465)*60)*0.5,AND(F465&gt;=550,F465&lt;575),((F465/D465)*60)*0.75,AND(F465&gt;=575,F465&lt;600),((F465/D465)*60)*0.9,AND(F465=600),((F465/D465)*60)*1,AND(F465&gt;=601,F465&lt;=625),((F465/D465)*60)*1.2,AND(F465&gt;=626,F465&lt;=650),((F465/D465)*60)*1.5,F465&gt;=651,((F465/D465)*60)*1.8)</f>
        <v>1256.8965517241379</v>
      </c>
      <c r="AU465">
        <f t="shared" si="139"/>
        <v>19.400000000000002</v>
      </c>
      <c r="AV465">
        <f t="shared" si="138"/>
        <v>513.59034482758625</v>
      </c>
      <c r="AW465">
        <f t="shared" si="140"/>
        <v>87.3</v>
      </c>
      <c r="AX465" t="str">
        <f t="shared" si="136"/>
        <v>Apr-2023</v>
      </c>
      <c r="AY465">
        <f>ROUNDUP(Table2[[#This Row],[Month]]/3,0)</f>
        <v>2</v>
      </c>
    </row>
    <row r="466" spans="1:51" x14ac:dyDescent="0.2">
      <c r="A466">
        <v>465</v>
      </c>
      <c r="B466">
        <f t="shared" si="125"/>
        <v>15</v>
      </c>
      <c r="C466" s="22">
        <v>45030</v>
      </c>
      <c r="D466">
        <f>SUM(Table2[[#This Row],[Gray Min]:[Red Min]])</f>
        <v>57</v>
      </c>
      <c r="E466">
        <v>13</v>
      </c>
      <c r="F466">
        <v>599</v>
      </c>
      <c r="G466">
        <v>123</v>
      </c>
      <c r="H466">
        <v>166</v>
      </c>
      <c r="I466">
        <v>19</v>
      </c>
      <c r="J466">
        <v>9</v>
      </c>
      <c r="K466">
        <v>16</v>
      </c>
      <c r="L466">
        <v>12</v>
      </c>
      <c r="M466">
        <v>1</v>
      </c>
      <c r="N466" t="s">
        <v>91</v>
      </c>
      <c r="O466" t="s">
        <v>57</v>
      </c>
      <c r="P466" t="s">
        <v>96</v>
      </c>
      <c r="Q466">
        <f t="shared" si="137"/>
        <v>2</v>
      </c>
      <c r="R466" t="str">
        <f t="shared" si="126"/>
        <v>4-2023</v>
      </c>
      <c r="S466" t="s">
        <v>104</v>
      </c>
      <c r="T466" t="str">
        <f t="shared" si="127"/>
        <v>Friday</v>
      </c>
      <c r="U466">
        <f t="shared" si="128"/>
        <v>1</v>
      </c>
      <c r="V466" s="24">
        <f>IFERROR(Table2[[#This Row],[Gray Min]]/Table2[[#This Row],[ClassLength]],"")</f>
        <v>0.33333333333333331</v>
      </c>
      <c r="W466" s="24">
        <f>IFERROR(Table2[[#This Row],[Blue Min]]/Table2[[#This Row],[ClassLength]],"")</f>
        <v>0.15789473684210525</v>
      </c>
      <c r="X466" s="24">
        <f>IFERROR(Table2[[#This Row],[Green Min]]/Table2[[#This Row],[ClassLength]],"")</f>
        <v>0.2807017543859649</v>
      </c>
      <c r="Y466" s="24">
        <f>IFERROR(Table2[[#This Row],[Orange Min]]/Table2[[#This Row],[ClassLength]],"")</f>
        <v>0.21052631578947367</v>
      </c>
      <c r="Z466" s="24">
        <f>IFERROR(Table2[[#This Row],[Red Min]]/Table2[[#This Row],[ClassLength]],"")</f>
        <v>1.7543859649122806E-2</v>
      </c>
      <c r="AA466" s="25">
        <v>232.14</v>
      </c>
      <c r="AB466" s="25">
        <f t="shared" si="141"/>
        <v>15.475999999999999</v>
      </c>
      <c r="AC466" s="26">
        <f t="shared" si="129"/>
        <v>632.6</v>
      </c>
      <c r="AD466" s="26">
        <f t="shared" si="130"/>
        <v>13.733333333333333</v>
      </c>
      <c r="AE466">
        <f t="shared" si="131"/>
        <v>2023</v>
      </c>
      <c r="AG466">
        <v>12</v>
      </c>
      <c r="AH466" s="26">
        <f t="shared" si="132"/>
        <v>10.508771929824562</v>
      </c>
      <c r="AI466" t="str">
        <f t="shared" si="133"/>
        <v>PM</v>
      </c>
      <c r="AJ466" t="str">
        <f t="shared" si="134"/>
        <v>4-2023-3</v>
      </c>
      <c r="AK466">
        <f t="shared" si="135"/>
        <v>4</v>
      </c>
      <c r="AL466" s="26">
        <f>IFERROR(Table2[[#This Row],[Calories]]/Table2[[#This Row],[Splat]],"")</f>
        <v>46.07692307692308</v>
      </c>
      <c r="AM466">
        <f>COUNTIF(N$2:$N$938,N466)</f>
        <v>218</v>
      </c>
      <c r="AN466" t="str">
        <f>VLOOKUP(N466,'Helpful Tables'!A:D,4,FALSE)</f>
        <v>Washington, DC</v>
      </c>
      <c r="AO466" s="24">
        <f>COUNTIF(AN:AN,Table2[[#This Row],[State]])/COUNTA(AN:AN)</f>
        <v>0.54904051172707891</v>
      </c>
      <c r="AP466">
        <f>VLOOKUP(N466,'Helpful Tables'!A:B,2,FALSE)</f>
        <v>38.934710000000003</v>
      </c>
      <c r="AQ466">
        <f>VLOOKUP(N466,'Helpful Tables'!A:C,3,FALSE)</f>
        <v>-77.058222999999998</v>
      </c>
      <c r="AR466">
        <f>COUNTIF(P$2:$P$938,P466)</f>
        <v>71</v>
      </c>
      <c r="AS466" cm="1">
        <f t="array" ref="AS466">_xlfn.IFS(E466&lt;6,((E466/D466)*60)*0.5,AND(E466&gt;=6,E466&lt;9),((E466/D466)*60)*0.75,AND(E466&gt;=9,E466&lt;=11),((E466/D466)*60)*0.9,AND(E466=12),((E466/D466)*60)*1,AND(E466&gt;=13,E466&lt;=15),((E466/D466)*60)*1.2,AND(E466&gt;=16,E466&lt;=19),((E466/D466)*60)*1.5,E466&gt;=20,((E466/D466)*60)*1.8)</f>
        <v>16.421052631578945</v>
      </c>
      <c r="AT466" cm="1">
        <f t="array" ref="AT466">_xlfn.IFS(F466&lt;550,((F466/D466)*60)*0.5,AND(F466&gt;=550,F466&lt;575),((F466/D466)*60)*0.75,AND(F466&gt;=575,F466&lt;600),((F466/D466)*60)*0.9,AND(F466=600),((F466/D466)*60)*1,AND(F466&gt;=601,F466&lt;=625),((F466/D466)*60)*1.2,AND(F466&gt;=626,F466&lt;=650),((F466/D466)*60)*1.5,F466&gt;=651,((F466/D466)*60)*1.8)</f>
        <v>567.47368421052636</v>
      </c>
      <c r="AU466">
        <f t="shared" si="139"/>
        <v>3.5999999999999979</v>
      </c>
      <c r="AV466">
        <f t="shared" si="138"/>
        <v>234.27789473684214</v>
      </c>
      <c r="AW466">
        <f t="shared" si="140"/>
        <v>20.9</v>
      </c>
      <c r="AX466" t="str">
        <f t="shared" si="136"/>
        <v>Apr-2023</v>
      </c>
      <c r="AY466">
        <f>ROUNDUP(Table2[[#This Row],[Month]]/3,0)</f>
        <v>2</v>
      </c>
    </row>
    <row r="467" spans="1:51" x14ac:dyDescent="0.2">
      <c r="A467">
        <v>466</v>
      </c>
      <c r="B467">
        <f t="shared" si="125"/>
        <v>15</v>
      </c>
      <c r="C467" s="22">
        <v>45032</v>
      </c>
      <c r="D467">
        <f>SUM(Table2[[#This Row],[Gray Min]:[Red Min]])</f>
        <v>58</v>
      </c>
      <c r="E467">
        <v>13</v>
      </c>
      <c r="F467">
        <v>610</v>
      </c>
      <c r="G467">
        <v>124</v>
      </c>
      <c r="H467">
        <v>164</v>
      </c>
      <c r="I467">
        <v>18</v>
      </c>
      <c r="J467">
        <v>13</v>
      </c>
      <c r="K467">
        <v>14</v>
      </c>
      <c r="L467">
        <v>12</v>
      </c>
      <c r="M467">
        <v>1</v>
      </c>
      <c r="N467" t="s">
        <v>101</v>
      </c>
      <c r="O467" t="s">
        <v>93</v>
      </c>
      <c r="P467" t="s">
        <v>168</v>
      </c>
      <c r="Q467">
        <f t="shared" si="137"/>
        <v>2</v>
      </c>
      <c r="R467" t="str">
        <f t="shared" si="126"/>
        <v>4-2023</v>
      </c>
      <c r="S467" t="s">
        <v>117</v>
      </c>
      <c r="T467" t="str">
        <f t="shared" si="127"/>
        <v>Sunday</v>
      </c>
      <c r="U467">
        <f t="shared" si="128"/>
        <v>1</v>
      </c>
      <c r="V467" s="24">
        <f>IFERROR(Table2[[#This Row],[Gray Min]]/Table2[[#This Row],[ClassLength]],"")</f>
        <v>0.31034482758620691</v>
      </c>
      <c r="W467" s="24">
        <f>IFERROR(Table2[[#This Row],[Blue Min]]/Table2[[#This Row],[ClassLength]],"")</f>
        <v>0.22413793103448276</v>
      </c>
      <c r="X467" s="24">
        <f>IFERROR(Table2[[#This Row],[Green Min]]/Table2[[#This Row],[ClassLength]],"")</f>
        <v>0.2413793103448276</v>
      </c>
      <c r="Y467" s="24">
        <f>IFERROR(Table2[[#This Row],[Orange Min]]/Table2[[#This Row],[ClassLength]],"")</f>
        <v>0.20689655172413793</v>
      </c>
      <c r="Z467" s="24">
        <f>IFERROR(Table2[[#This Row],[Red Min]]/Table2[[#This Row],[ClassLength]],"")</f>
        <v>1.7241379310344827E-2</v>
      </c>
      <c r="AA467" s="25">
        <v>232.14</v>
      </c>
      <c r="AB467" s="25">
        <f t="shared" si="141"/>
        <v>15.475999999999999</v>
      </c>
      <c r="AC467" s="26">
        <f t="shared" si="129"/>
        <v>632.6</v>
      </c>
      <c r="AD467" s="26">
        <f t="shared" si="130"/>
        <v>13.733333333333333</v>
      </c>
      <c r="AE467">
        <f t="shared" si="131"/>
        <v>2023</v>
      </c>
      <c r="AG467">
        <v>12</v>
      </c>
      <c r="AH467" s="26">
        <f t="shared" si="132"/>
        <v>10.517241379310345</v>
      </c>
      <c r="AI467" t="str">
        <f t="shared" si="133"/>
        <v>AM</v>
      </c>
      <c r="AJ467" t="str">
        <f t="shared" si="134"/>
        <v>4-2023-4</v>
      </c>
      <c r="AK467">
        <f t="shared" si="135"/>
        <v>4</v>
      </c>
      <c r="AL467" s="26">
        <f>IFERROR(Table2[[#This Row],[Calories]]/Table2[[#This Row],[Splat]],"")</f>
        <v>46.92307692307692</v>
      </c>
      <c r="AM467">
        <f>COUNTIF(N$2:$N$938,N467)</f>
        <v>191</v>
      </c>
      <c r="AN467" t="str">
        <f>VLOOKUP(N467,'Helpful Tables'!A:D,4,FALSE)</f>
        <v>Washington, DC</v>
      </c>
      <c r="AO467" s="24">
        <f>COUNTIF(AN:AN,Table2[[#This Row],[State]])/COUNTA(AN:AN)</f>
        <v>0.54904051172707891</v>
      </c>
      <c r="AP467">
        <f>VLOOKUP(N467,'Helpful Tables'!A:B,2,FALSE)</f>
        <v>38.949649000000001</v>
      </c>
      <c r="AQ467">
        <f>VLOOKUP(N467,'Helpful Tables'!A:C,3,FALSE)</f>
        <v>-77.080878999999996</v>
      </c>
      <c r="AR467">
        <f>COUNTIF(P$2:$P$938,P467)</f>
        <v>12</v>
      </c>
      <c r="AS467" cm="1">
        <f t="array" ref="AS467">_xlfn.IFS(E467&lt;6,((E467/D467)*60)*0.5,AND(E467&gt;=6,E467&lt;9),((E467/D467)*60)*0.75,AND(E467&gt;=9,E467&lt;=11),((E467/D467)*60)*0.9,AND(E467=12),((E467/D467)*60)*1,AND(E467&gt;=13,E467&lt;=15),((E467/D467)*60)*1.2,AND(E467&gt;=16,E467&lt;=19),((E467/D467)*60)*1.5,E467&gt;=20,((E467/D467)*60)*1.8)</f>
        <v>16.137931034482758</v>
      </c>
      <c r="AT467" cm="1">
        <f t="array" ref="AT467">_xlfn.IFS(F467&lt;550,((F467/D467)*60)*0.5,AND(F467&gt;=550,F467&lt;575),((F467/D467)*60)*0.75,AND(F467&gt;=575,F467&lt;600),((F467/D467)*60)*0.9,AND(F467=600),((F467/D467)*60)*1,AND(F467&gt;=601,F467&lt;=625),((F467/D467)*60)*1.2,AND(F467&gt;=626,F467&lt;=650),((F467/D467)*60)*1.5,F467&gt;=651,((F467/D467)*60)*1.8)</f>
        <v>757.24137931034477</v>
      </c>
      <c r="AU467">
        <f t="shared" si="139"/>
        <v>-1.9999999999999964</v>
      </c>
      <c r="AV467">
        <f t="shared" si="138"/>
        <v>308.95172413793102</v>
      </c>
      <c r="AW467">
        <f t="shared" si="140"/>
        <v>31.2</v>
      </c>
      <c r="AX467" t="str">
        <f t="shared" si="136"/>
        <v>Apr-2023</v>
      </c>
      <c r="AY467">
        <f>ROUNDUP(Table2[[#This Row],[Month]]/3,0)</f>
        <v>2</v>
      </c>
    </row>
    <row r="468" spans="1:51" x14ac:dyDescent="0.2">
      <c r="A468">
        <v>467</v>
      </c>
      <c r="B468">
        <f t="shared" si="125"/>
        <v>15</v>
      </c>
      <c r="C468" s="22">
        <v>45035</v>
      </c>
      <c r="D468">
        <f>SUM(Table2[[#This Row],[Gray Min]:[Red Min]])</f>
        <v>58</v>
      </c>
      <c r="E468">
        <v>17</v>
      </c>
      <c r="F468">
        <v>681</v>
      </c>
      <c r="G468">
        <v>132</v>
      </c>
      <c r="H468">
        <v>170</v>
      </c>
      <c r="I468">
        <v>6</v>
      </c>
      <c r="J468">
        <v>14</v>
      </c>
      <c r="K468">
        <v>21</v>
      </c>
      <c r="L468">
        <v>14</v>
      </c>
      <c r="M468">
        <v>3</v>
      </c>
      <c r="N468" t="s">
        <v>101</v>
      </c>
      <c r="O468" t="s">
        <v>173</v>
      </c>
      <c r="P468" t="s">
        <v>147</v>
      </c>
      <c r="Q468">
        <f t="shared" si="137"/>
        <v>3</v>
      </c>
      <c r="R468" t="str">
        <f t="shared" si="126"/>
        <v>4-2023</v>
      </c>
      <c r="S468" t="s">
        <v>104</v>
      </c>
      <c r="T468" t="str">
        <f t="shared" si="127"/>
        <v>Wednesday</v>
      </c>
      <c r="U468">
        <f t="shared" si="128"/>
        <v>1</v>
      </c>
      <c r="V468" s="24">
        <f>IFERROR(Table2[[#This Row],[Gray Min]]/Table2[[#This Row],[ClassLength]],"")</f>
        <v>0.10344827586206896</v>
      </c>
      <c r="W468" s="24">
        <f>IFERROR(Table2[[#This Row],[Blue Min]]/Table2[[#This Row],[ClassLength]],"")</f>
        <v>0.2413793103448276</v>
      </c>
      <c r="X468" s="24">
        <f>IFERROR(Table2[[#This Row],[Green Min]]/Table2[[#This Row],[ClassLength]],"")</f>
        <v>0.36206896551724138</v>
      </c>
      <c r="Y468" s="24">
        <f>IFERROR(Table2[[#This Row],[Orange Min]]/Table2[[#This Row],[ClassLength]],"")</f>
        <v>0.2413793103448276</v>
      </c>
      <c r="Z468" s="24">
        <f>IFERROR(Table2[[#This Row],[Red Min]]/Table2[[#This Row],[ClassLength]],"")</f>
        <v>5.1724137931034482E-2</v>
      </c>
      <c r="AA468" s="25">
        <v>232.14</v>
      </c>
      <c r="AB468" s="25">
        <f t="shared" si="141"/>
        <v>15.475999999999999</v>
      </c>
      <c r="AC468" s="26">
        <f t="shared" si="129"/>
        <v>632.6</v>
      </c>
      <c r="AD468" s="26">
        <f t="shared" si="130"/>
        <v>13.733333333333333</v>
      </c>
      <c r="AE468">
        <f t="shared" si="131"/>
        <v>2023</v>
      </c>
      <c r="AG468">
        <v>12</v>
      </c>
      <c r="AH468" s="26">
        <f t="shared" si="132"/>
        <v>11.741379310344827</v>
      </c>
      <c r="AI468" t="str">
        <f t="shared" si="133"/>
        <v>PM</v>
      </c>
      <c r="AJ468" t="str">
        <f t="shared" si="134"/>
        <v>4-2023-4</v>
      </c>
      <c r="AK468">
        <f t="shared" si="135"/>
        <v>4</v>
      </c>
      <c r="AL468" s="26">
        <f>IFERROR(Table2[[#This Row],[Calories]]/Table2[[#This Row],[Splat]],"")</f>
        <v>40.058823529411768</v>
      </c>
      <c r="AM468">
        <f>COUNTIF(N$2:$N$938,N468)</f>
        <v>191</v>
      </c>
      <c r="AN468" t="str">
        <f>VLOOKUP(N468,'Helpful Tables'!A:D,4,FALSE)</f>
        <v>Washington, DC</v>
      </c>
      <c r="AO468" s="24">
        <f>COUNTIF(AN:AN,Table2[[#This Row],[State]])/COUNTA(AN:AN)</f>
        <v>0.54904051172707891</v>
      </c>
      <c r="AP468">
        <f>VLOOKUP(N468,'Helpful Tables'!A:B,2,FALSE)</f>
        <v>38.949649000000001</v>
      </c>
      <c r="AQ468">
        <f>VLOOKUP(N468,'Helpful Tables'!A:C,3,FALSE)</f>
        <v>-77.080878999999996</v>
      </c>
      <c r="AR468">
        <f>COUNTIF(P$2:$P$938,P468)</f>
        <v>17</v>
      </c>
      <c r="AS468" cm="1">
        <f t="array" ref="AS468">_xlfn.IFS(E468&lt;6,((E468/D468)*60)*0.5,AND(E468&gt;=6,E468&lt;9),((E468/D468)*60)*0.75,AND(E468&gt;=9,E468&lt;=11),((E468/D468)*60)*0.9,AND(E468=12),((E468/D468)*60)*1,AND(E468&gt;=13,E468&lt;=15),((E468/D468)*60)*1.2,AND(E468&gt;=16,E468&lt;=19),((E468/D468)*60)*1.5,E468&gt;=20,((E468/D468)*60)*1.8)</f>
        <v>26.379310344827584</v>
      </c>
      <c r="AT468" cm="1">
        <f t="array" ref="AT468">_xlfn.IFS(F468&lt;550,((F468/D468)*60)*0.5,AND(F468&gt;=550,F468&lt;575),((F468/D468)*60)*0.75,AND(F468&gt;=575,F468&lt;600),((F468/D468)*60)*0.9,AND(F468=600),((F468/D468)*60)*1,AND(F468&gt;=601,F468&lt;=625),((F468/D468)*60)*1.2,AND(F468&gt;=626,F468&lt;=650),((F468/D468)*60)*1.5,F468&gt;=651,((F468/D468)*60)*1.8)</f>
        <v>1268.0689655172414</v>
      </c>
      <c r="AU468">
        <f t="shared" si="139"/>
        <v>25.299999999999997</v>
      </c>
      <c r="AV468">
        <f t="shared" si="138"/>
        <v>522.8393103448276</v>
      </c>
      <c r="AW468">
        <f t="shared" si="140"/>
        <v>91.100000000000009</v>
      </c>
      <c r="AX468" t="str">
        <f t="shared" si="136"/>
        <v>Apr-2023</v>
      </c>
      <c r="AY468">
        <f>ROUNDUP(Table2[[#This Row],[Month]]/3,0)</f>
        <v>2</v>
      </c>
    </row>
    <row r="469" spans="1:51" x14ac:dyDescent="0.2">
      <c r="A469">
        <v>468</v>
      </c>
      <c r="B469">
        <f t="shared" si="125"/>
        <v>15</v>
      </c>
      <c r="C469" s="22">
        <v>45037</v>
      </c>
      <c r="D469">
        <f>SUM(Table2[[#This Row],[Gray Min]:[Red Min]])</f>
        <v>59</v>
      </c>
      <c r="E469">
        <v>14</v>
      </c>
      <c r="F469">
        <v>642</v>
      </c>
      <c r="G469">
        <v>125</v>
      </c>
      <c r="H469">
        <v>167</v>
      </c>
      <c r="I469">
        <v>15</v>
      </c>
      <c r="J469">
        <v>14</v>
      </c>
      <c r="K469">
        <v>16</v>
      </c>
      <c r="L469">
        <v>13</v>
      </c>
      <c r="M469">
        <v>1</v>
      </c>
      <c r="N469" t="s">
        <v>91</v>
      </c>
      <c r="O469" t="s">
        <v>57</v>
      </c>
      <c r="P469" t="s">
        <v>96</v>
      </c>
      <c r="Q469">
        <f t="shared" si="137"/>
        <v>2</v>
      </c>
      <c r="R469" t="str">
        <f t="shared" si="126"/>
        <v>4-2023</v>
      </c>
      <c r="S469" t="s">
        <v>104</v>
      </c>
      <c r="T469" t="str">
        <f t="shared" si="127"/>
        <v>Friday</v>
      </c>
      <c r="U469">
        <f t="shared" si="128"/>
        <v>1</v>
      </c>
      <c r="V469" s="24">
        <f>IFERROR(Table2[[#This Row],[Gray Min]]/Table2[[#This Row],[ClassLength]],"")</f>
        <v>0.25423728813559321</v>
      </c>
      <c r="W469" s="24">
        <f>IFERROR(Table2[[#This Row],[Blue Min]]/Table2[[#This Row],[ClassLength]],"")</f>
        <v>0.23728813559322035</v>
      </c>
      <c r="X469" s="24">
        <f>IFERROR(Table2[[#This Row],[Green Min]]/Table2[[#This Row],[ClassLength]],"")</f>
        <v>0.2711864406779661</v>
      </c>
      <c r="Y469" s="24">
        <f>IFERROR(Table2[[#This Row],[Orange Min]]/Table2[[#This Row],[ClassLength]],"")</f>
        <v>0.22033898305084745</v>
      </c>
      <c r="Z469" s="24">
        <f>IFERROR(Table2[[#This Row],[Red Min]]/Table2[[#This Row],[ClassLength]],"")</f>
        <v>1.6949152542372881E-2</v>
      </c>
      <c r="AA469" s="25">
        <v>232.14</v>
      </c>
      <c r="AB469" s="25">
        <f t="shared" si="141"/>
        <v>15.475999999999999</v>
      </c>
      <c r="AC469" s="26">
        <f t="shared" si="129"/>
        <v>632.6</v>
      </c>
      <c r="AD469" s="26">
        <f t="shared" si="130"/>
        <v>13.733333333333333</v>
      </c>
      <c r="AE469">
        <f t="shared" si="131"/>
        <v>2023</v>
      </c>
      <c r="AG469">
        <v>12</v>
      </c>
      <c r="AH469" s="26">
        <f t="shared" si="132"/>
        <v>10.881355932203389</v>
      </c>
      <c r="AI469" t="str">
        <f t="shared" si="133"/>
        <v>PM</v>
      </c>
      <c r="AJ469" t="str">
        <f t="shared" si="134"/>
        <v>4-2023-4</v>
      </c>
      <c r="AK469">
        <f t="shared" si="135"/>
        <v>4</v>
      </c>
      <c r="AL469" s="26">
        <f>IFERROR(Table2[[#This Row],[Calories]]/Table2[[#This Row],[Splat]],"")</f>
        <v>45.857142857142854</v>
      </c>
      <c r="AM469">
        <f>COUNTIF(N$2:$N$938,N469)</f>
        <v>218</v>
      </c>
      <c r="AN469" t="str">
        <f>VLOOKUP(N469,'Helpful Tables'!A:D,4,FALSE)</f>
        <v>Washington, DC</v>
      </c>
      <c r="AO469" s="24">
        <f>COUNTIF(AN:AN,Table2[[#This Row],[State]])/COUNTA(AN:AN)</f>
        <v>0.54904051172707891</v>
      </c>
      <c r="AP469">
        <f>VLOOKUP(N469,'Helpful Tables'!A:B,2,FALSE)</f>
        <v>38.934710000000003</v>
      </c>
      <c r="AQ469">
        <f>VLOOKUP(N469,'Helpful Tables'!A:C,3,FALSE)</f>
        <v>-77.058222999999998</v>
      </c>
      <c r="AR469">
        <f>COUNTIF(P$2:$P$938,P469)</f>
        <v>71</v>
      </c>
      <c r="AS469" cm="1">
        <f t="array" ref="AS469">_xlfn.IFS(E469&lt;6,((E469/D469)*60)*0.5,AND(E469&gt;=6,E469&lt;9),((E469/D469)*60)*0.75,AND(E469&gt;=9,E469&lt;=11),((E469/D469)*60)*0.9,AND(E469=12),((E469/D469)*60)*1,AND(E469&gt;=13,E469&lt;=15),((E469/D469)*60)*1.2,AND(E469&gt;=16,E469&lt;=19),((E469/D469)*60)*1.5,E469&gt;=20,((E469/D469)*60)*1.8)</f>
        <v>17.084745762711865</v>
      </c>
      <c r="AT469" cm="1">
        <f t="array" ref="AT469">_xlfn.IFS(F469&lt;550,((F469/D469)*60)*0.5,AND(F469&gt;=550,F469&lt;575),((F469/D469)*60)*0.75,AND(F469&gt;=575,F469&lt;600),((F469/D469)*60)*0.9,AND(F469=600),((F469/D469)*60)*1,AND(F469&gt;=601,F469&lt;=625),((F469/D469)*60)*1.2,AND(F469&gt;=626,F469&lt;=650),((F469/D469)*60)*1.5,F469&gt;=651,((F469/D469)*60)*1.8)</f>
        <v>979.32203389830511</v>
      </c>
      <c r="AU469">
        <f t="shared" si="139"/>
        <v>4.1999999999999957</v>
      </c>
      <c r="AV469">
        <f t="shared" si="138"/>
        <v>399.4027118644068</v>
      </c>
      <c r="AW469">
        <f t="shared" si="140"/>
        <v>52.900000000000006</v>
      </c>
      <c r="AX469" t="str">
        <f t="shared" si="136"/>
        <v>Apr-2023</v>
      </c>
      <c r="AY469">
        <f>ROUNDUP(Table2[[#This Row],[Month]]/3,0)</f>
        <v>2</v>
      </c>
    </row>
    <row r="470" spans="1:51" x14ac:dyDescent="0.2">
      <c r="A470">
        <v>469</v>
      </c>
      <c r="B470">
        <f t="shared" si="125"/>
        <v>15</v>
      </c>
      <c r="C470" s="22">
        <v>45039</v>
      </c>
      <c r="D470">
        <f>SUM(Table2[[#This Row],[Gray Min]:[Red Min]])</f>
        <v>60</v>
      </c>
      <c r="E470">
        <v>17</v>
      </c>
      <c r="F470">
        <v>616</v>
      </c>
      <c r="G470">
        <v>121</v>
      </c>
      <c r="H470">
        <v>164</v>
      </c>
      <c r="I470">
        <v>24</v>
      </c>
      <c r="J470">
        <v>9</v>
      </c>
      <c r="K470">
        <v>10</v>
      </c>
      <c r="L470">
        <v>16</v>
      </c>
      <c r="M470">
        <v>1</v>
      </c>
      <c r="N470" t="s">
        <v>91</v>
      </c>
      <c r="O470" t="s">
        <v>79</v>
      </c>
      <c r="P470" t="s">
        <v>100</v>
      </c>
      <c r="Q470">
        <f t="shared" si="137"/>
        <v>2</v>
      </c>
      <c r="R470" t="str">
        <f t="shared" si="126"/>
        <v>4-2023</v>
      </c>
      <c r="S470" t="s">
        <v>104</v>
      </c>
      <c r="T470" t="str">
        <f t="shared" si="127"/>
        <v>Sunday</v>
      </c>
      <c r="U470">
        <f t="shared" si="128"/>
        <v>1</v>
      </c>
      <c r="V470" s="24">
        <f>IFERROR(Table2[[#This Row],[Gray Min]]/Table2[[#This Row],[ClassLength]],"")</f>
        <v>0.4</v>
      </c>
      <c r="W470" s="24">
        <f>IFERROR(Table2[[#This Row],[Blue Min]]/Table2[[#This Row],[ClassLength]],"")</f>
        <v>0.15</v>
      </c>
      <c r="X470" s="24">
        <f>IFERROR(Table2[[#This Row],[Green Min]]/Table2[[#This Row],[ClassLength]],"")</f>
        <v>0.16666666666666666</v>
      </c>
      <c r="Y470" s="24">
        <f>IFERROR(Table2[[#This Row],[Orange Min]]/Table2[[#This Row],[ClassLength]],"")</f>
        <v>0.26666666666666666</v>
      </c>
      <c r="Z470" s="24">
        <f>IFERROR(Table2[[#This Row],[Red Min]]/Table2[[#This Row],[ClassLength]],"")</f>
        <v>1.6666666666666666E-2</v>
      </c>
      <c r="AA470" s="25">
        <v>232.14</v>
      </c>
      <c r="AB470" s="25">
        <f t="shared" si="141"/>
        <v>15.475999999999999</v>
      </c>
      <c r="AC470" s="26">
        <f t="shared" si="129"/>
        <v>632.6</v>
      </c>
      <c r="AD470" s="26">
        <f t="shared" si="130"/>
        <v>13.733333333333333</v>
      </c>
      <c r="AE470">
        <f t="shared" si="131"/>
        <v>2023</v>
      </c>
      <c r="AG470">
        <v>12</v>
      </c>
      <c r="AH470" s="26">
        <f t="shared" si="132"/>
        <v>10.266666666666667</v>
      </c>
      <c r="AI470" t="str">
        <f t="shared" si="133"/>
        <v>AM</v>
      </c>
      <c r="AJ470" t="str">
        <f t="shared" si="134"/>
        <v>4-2023-5</v>
      </c>
      <c r="AK470">
        <f t="shared" si="135"/>
        <v>4</v>
      </c>
      <c r="AL470" s="26">
        <f>IFERROR(Table2[[#This Row],[Calories]]/Table2[[#This Row],[Splat]],"")</f>
        <v>36.235294117647058</v>
      </c>
      <c r="AM470">
        <f>COUNTIF(N$2:$N$938,N470)</f>
        <v>218</v>
      </c>
      <c r="AN470" t="str">
        <f>VLOOKUP(N470,'Helpful Tables'!A:D,4,FALSE)</f>
        <v>Washington, DC</v>
      </c>
      <c r="AO470" s="24">
        <f>COUNTIF(AN:AN,Table2[[#This Row],[State]])/COUNTA(AN:AN)</f>
        <v>0.54904051172707891</v>
      </c>
      <c r="AP470">
        <f>VLOOKUP(N470,'Helpful Tables'!A:B,2,FALSE)</f>
        <v>38.934710000000003</v>
      </c>
      <c r="AQ470">
        <f>VLOOKUP(N470,'Helpful Tables'!A:C,3,FALSE)</f>
        <v>-77.058222999999998</v>
      </c>
      <c r="AR470">
        <f>COUNTIF(P$2:$P$938,P470)</f>
        <v>35</v>
      </c>
      <c r="AS470" cm="1">
        <f t="array" ref="AS470">_xlfn.IFS(E470&lt;6,((E470/D470)*60)*0.5,AND(E470&gt;=6,E470&lt;9),((E470/D470)*60)*0.75,AND(E470&gt;=9,E470&lt;=11),((E470/D470)*60)*0.9,AND(E470=12),((E470/D470)*60)*1,AND(E470&gt;=13,E470&lt;=15),((E470/D470)*60)*1.2,AND(E470&gt;=16,E470&lt;=19),((E470/D470)*60)*1.5,E470&gt;=20,((E470/D470)*60)*1.8)</f>
        <v>25.5</v>
      </c>
      <c r="AT470" cm="1">
        <f t="array" ref="AT470">_xlfn.IFS(F470&lt;550,((F470/D470)*60)*0.5,AND(F470&gt;=550,F470&lt;575),((F470/D470)*60)*0.75,AND(F470&gt;=575,F470&lt;600),((F470/D470)*60)*0.9,AND(F470=600),((F470/D470)*60)*1,AND(F470&gt;=601,F470&lt;=625),((F470/D470)*60)*1.2,AND(F470&gt;=626,F470&lt;=650),((F470/D470)*60)*1.5,F470&gt;=651,((F470/D470)*60)*1.8)</f>
        <v>739.19999999999993</v>
      </c>
      <c r="AU470">
        <f t="shared" si="139"/>
        <v>-4.399999999999995</v>
      </c>
      <c r="AV470">
        <f t="shared" si="138"/>
        <v>305</v>
      </c>
      <c r="AW470">
        <f t="shared" si="140"/>
        <v>29.099999999999998</v>
      </c>
      <c r="AX470" t="str">
        <f t="shared" si="136"/>
        <v>Apr-2023</v>
      </c>
      <c r="AY470">
        <f>ROUNDUP(Table2[[#This Row],[Month]]/3,0)</f>
        <v>2</v>
      </c>
    </row>
    <row r="471" spans="1:51" x14ac:dyDescent="0.2">
      <c r="A471">
        <v>470</v>
      </c>
      <c r="B471">
        <f t="shared" si="125"/>
        <v>15</v>
      </c>
      <c r="C471" s="22">
        <v>45040</v>
      </c>
      <c r="D471">
        <f>SUM(Table2[[#This Row],[Gray Min]:[Red Min]])</f>
        <v>56</v>
      </c>
      <c r="E471">
        <v>13</v>
      </c>
      <c r="F471">
        <v>630</v>
      </c>
      <c r="G471">
        <v>128</v>
      </c>
      <c r="H471">
        <v>165</v>
      </c>
      <c r="I471">
        <v>10</v>
      </c>
      <c r="J471">
        <v>13</v>
      </c>
      <c r="K471">
        <v>20</v>
      </c>
      <c r="L471">
        <v>12</v>
      </c>
      <c r="M471">
        <v>1</v>
      </c>
      <c r="N471" t="s">
        <v>101</v>
      </c>
      <c r="O471" t="s">
        <v>173</v>
      </c>
      <c r="P471" t="s">
        <v>109</v>
      </c>
      <c r="Q471">
        <f t="shared" si="137"/>
        <v>1</v>
      </c>
      <c r="R471" t="str">
        <f t="shared" si="126"/>
        <v>4-2023</v>
      </c>
      <c r="S471" t="s">
        <v>104</v>
      </c>
      <c r="T471" t="str">
        <f t="shared" si="127"/>
        <v>Monday</v>
      </c>
      <c r="U471">
        <f t="shared" si="128"/>
        <v>1</v>
      </c>
      <c r="V471" s="24">
        <f>IFERROR(Table2[[#This Row],[Gray Min]]/Table2[[#This Row],[ClassLength]],"")</f>
        <v>0.17857142857142858</v>
      </c>
      <c r="W471" s="24">
        <f>IFERROR(Table2[[#This Row],[Blue Min]]/Table2[[#This Row],[ClassLength]],"")</f>
        <v>0.23214285714285715</v>
      </c>
      <c r="X471" s="24">
        <f>IFERROR(Table2[[#This Row],[Green Min]]/Table2[[#This Row],[ClassLength]],"")</f>
        <v>0.35714285714285715</v>
      </c>
      <c r="Y471" s="24">
        <f>IFERROR(Table2[[#This Row],[Orange Min]]/Table2[[#This Row],[ClassLength]],"")</f>
        <v>0.21428571428571427</v>
      </c>
      <c r="Z471" s="24">
        <f>IFERROR(Table2[[#This Row],[Red Min]]/Table2[[#This Row],[ClassLength]],"")</f>
        <v>1.7857142857142856E-2</v>
      </c>
      <c r="AA471" s="25">
        <v>232.14</v>
      </c>
      <c r="AB471" s="25">
        <f t="shared" si="141"/>
        <v>15.475999999999999</v>
      </c>
      <c r="AC471" s="26">
        <f t="shared" si="129"/>
        <v>632.6</v>
      </c>
      <c r="AD471" s="26">
        <f t="shared" si="130"/>
        <v>13.733333333333333</v>
      </c>
      <c r="AE471">
        <f t="shared" si="131"/>
        <v>2023</v>
      </c>
      <c r="AG471">
        <v>12</v>
      </c>
      <c r="AH471" s="26">
        <f t="shared" si="132"/>
        <v>11.25</v>
      </c>
      <c r="AI471" t="str">
        <f t="shared" si="133"/>
        <v>PM</v>
      </c>
      <c r="AJ471" t="str">
        <f t="shared" si="134"/>
        <v>4-2023-5</v>
      </c>
      <c r="AK471">
        <f t="shared" si="135"/>
        <v>4</v>
      </c>
      <c r="AL471" s="26">
        <f>IFERROR(Table2[[#This Row],[Calories]]/Table2[[#This Row],[Splat]],"")</f>
        <v>48.46153846153846</v>
      </c>
      <c r="AM471">
        <f>COUNTIF(N$2:$N$938,N471)</f>
        <v>191</v>
      </c>
      <c r="AN471" t="str">
        <f>VLOOKUP(N471,'Helpful Tables'!A:D,4,FALSE)</f>
        <v>Washington, DC</v>
      </c>
      <c r="AO471" s="24">
        <f>COUNTIF(AN:AN,Table2[[#This Row],[State]])/COUNTA(AN:AN)</f>
        <v>0.54904051172707891</v>
      </c>
      <c r="AP471">
        <f>VLOOKUP(N471,'Helpful Tables'!A:B,2,FALSE)</f>
        <v>38.949649000000001</v>
      </c>
      <c r="AQ471">
        <f>VLOOKUP(N471,'Helpful Tables'!A:C,3,FALSE)</f>
        <v>-77.080878999999996</v>
      </c>
      <c r="AR471">
        <f>COUNTIF(P$2:$P$938,P471)</f>
        <v>66</v>
      </c>
      <c r="AS471" cm="1">
        <f t="array" ref="AS471">_xlfn.IFS(E471&lt;6,((E471/D471)*60)*0.5,AND(E471&gt;=6,E471&lt;9),((E471/D471)*60)*0.75,AND(E471&gt;=9,E471&lt;=11),((E471/D471)*60)*0.9,AND(E471=12),((E471/D471)*60)*1,AND(E471&gt;=13,E471&lt;=15),((E471/D471)*60)*1.2,AND(E471&gt;=16,E471&lt;=19),((E471/D471)*60)*1.5,E471&gt;=20,((E471/D471)*60)*1.8)</f>
        <v>16.714285714285715</v>
      </c>
      <c r="AT471" cm="1">
        <f t="array" ref="AT471">_xlfn.IFS(F471&lt;550,((F471/D471)*60)*0.5,AND(F471&gt;=550,F471&lt;575),((F471/D471)*60)*0.75,AND(F471&gt;=575,F471&lt;600),((F471/D471)*60)*0.9,AND(F471=600),((F471/D471)*60)*1,AND(F471&gt;=601,F471&lt;=625),((F471/D471)*60)*1.2,AND(F471&gt;=626,F471&lt;=650),((F471/D471)*60)*1.5,F471&gt;=651,((F471/D471)*60)*1.8)</f>
        <v>1012.5</v>
      </c>
      <c r="AU471">
        <f t="shared" si="139"/>
        <v>14.8</v>
      </c>
      <c r="AV471">
        <f t="shared" si="138"/>
        <v>414.64571428571429</v>
      </c>
      <c r="AW471">
        <f t="shared" si="140"/>
        <v>60</v>
      </c>
      <c r="AX471" t="str">
        <f t="shared" si="136"/>
        <v>Apr-2023</v>
      </c>
      <c r="AY471">
        <f>ROUNDUP(Table2[[#This Row],[Month]]/3,0)</f>
        <v>2</v>
      </c>
    </row>
    <row r="472" spans="1:51" x14ac:dyDescent="0.2">
      <c r="A472">
        <v>471</v>
      </c>
      <c r="B472">
        <f t="shared" si="125"/>
        <v>15</v>
      </c>
      <c r="C472" s="22">
        <v>45042</v>
      </c>
      <c r="D472">
        <f>SUM(Table2[[#This Row],[Gray Min]:[Red Min]])</f>
        <v>55</v>
      </c>
      <c r="E472">
        <v>14</v>
      </c>
      <c r="F472">
        <v>655</v>
      </c>
      <c r="G472">
        <v>131</v>
      </c>
      <c r="H472">
        <v>169</v>
      </c>
      <c r="I472">
        <v>6</v>
      </c>
      <c r="J472">
        <v>14</v>
      </c>
      <c r="K472">
        <v>21</v>
      </c>
      <c r="L472">
        <v>11</v>
      </c>
      <c r="M472">
        <v>3</v>
      </c>
      <c r="N472" t="s">
        <v>91</v>
      </c>
      <c r="O472" t="s">
        <v>57</v>
      </c>
      <c r="P472" t="s">
        <v>96</v>
      </c>
      <c r="Q472">
        <f t="shared" si="137"/>
        <v>2</v>
      </c>
      <c r="R472" t="str">
        <f t="shared" si="126"/>
        <v>4-2023</v>
      </c>
      <c r="S472" t="s">
        <v>104</v>
      </c>
      <c r="T472" t="str">
        <f t="shared" si="127"/>
        <v>Wednesday</v>
      </c>
      <c r="U472">
        <f t="shared" si="128"/>
        <v>1</v>
      </c>
      <c r="V472" s="24">
        <f>IFERROR(Table2[[#This Row],[Gray Min]]/Table2[[#This Row],[ClassLength]],"")</f>
        <v>0.10909090909090909</v>
      </c>
      <c r="W472" s="24">
        <f>IFERROR(Table2[[#This Row],[Blue Min]]/Table2[[#This Row],[ClassLength]],"")</f>
        <v>0.25454545454545452</v>
      </c>
      <c r="X472" s="24">
        <f>IFERROR(Table2[[#This Row],[Green Min]]/Table2[[#This Row],[ClassLength]],"")</f>
        <v>0.38181818181818183</v>
      </c>
      <c r="Y472" s="24">
        <f>IFERROR(Table2[[#This Row],[Orange Min]]/Table2[[#This Row],[ClassLength]],"")</f>
        <v>0.2</v>
      </c>
      <c r="Z472" s="24">
        <f>IFERROR(Table2[[#This Row],[Red Min]]/Table2[[#This Row],[ClassLength]],"")</f>
        <v>5.4545454545454543E-2</v>
      </c>
      <c r="AA472" s="25">
        <v>232.14</v>
      </c>
      <c r="AB472" s="25">
        <f t="shared" si="141"/>
        <v>15.475999999999999</v>
      </c>
      <c r="AC472" s="26">
        <f t="shared" si="129"/>
        <v>632.6</v>
      </c>
      <c r="AD472" s="26">
        <f t="shared" si="130"/>
        <v>13.733333333333333</v>
      </c>
      <c r="AE472">
        <f t="shared" si="131"/>
        <v>2023</v>
      </c>
      <c r="AG472">
        <v>12</v>
      </c>
      <c r="AH472" s="26">
        <f t="shared" si="132"/>
        <v>11.909090909090908</v>
      </c>
      <c r="AI472" t="str">
        <f t="shared" si="133"/>
        <v>PM</v>
      </c>
      <c r="AJ472" t="str">
        <f t="shared" si="134"/>
        <v>4-2023-5</v>
      </c>
      <c r="AK472">
        <f t="shared" si="135"/>
        <v>4</v>
      </c>
      <c r="AL472" s="26">
        <f>IFERROR(Table2[[#This Row],[Calories]]/Table2[[#This Row],[Splat]],"")</f>
        <v>46.785714285714285</v>
      </c>
      <c r="AM472">
        <f>COUNTIF(N$2:$N$938,N472)</f>
        <v>218</v>
      </c>
      <c r="AN472" t="str">
        <f>VLOOKUP(N472,'Helpful Tables'!A:D,4,FALSE)</f>
        <v>Washington, DC</v>
      </c>
      <c r="AO472" s="24">
        <f>COUNTIF(AN:AN,Table2[[#This Row],[State]])/COUNTA(AN:AN)</f>
        <v>0.54904051172707891</v>
      </c>
      <c r="AP472">
        <f>VLOOKUP(N472,'Helpful Tables'!A:B,2,FALSE)</f>
        <v>38.934710000000003</v>
      </c>
      <c r="AQ472">
        <f>VLOOKUP(N472,'Helpful Tables'!A:C,3,FALSE)</f>
        <v>-77.058222999999998</v>
      </c>
      <c r="AR472">
        <f>COUNTIF(P$2:$P$938,P472)</f>
        <v>71</v>
      </c>
      <c r="AS472" cm="1">
        <f t="array" ref="AS472">_xlfn.IFS(E472&lt;6,((E472/D472)*60)*0.5,AND(E472&gt;=6,E472&lt;9),((E472/D472)*60)*0.75,AND(E472&gt;=9,E472&lt;=11),((E472/D472)*60)*0.9,AND(E472=12),((E472/D472)*60)*1,AND(E472&gt;=13,E472&lt;=15),((E472/D472)*60)*1.2,AND(E472&gt;=16,E472&lt;=19),((E472/D472)*60)*1.5,E472&gt;=20,((E472/D472)*60)*1.8)</f>
        <v>18.327272727272724</v>
      </c>
      <c r="AT472" cm="1">
        <f t="array" ref="AT472">_xlfn.IFS(F472&lt;550,((F472/D472)*60)*0.5,AND(F472&gt;=550,F472&lt;575),((F472/D472)*60)*0.75,AND(F472&gt;=575,F472&lt;600),((F472/D472)*60)*0.9,AND(F472=600),((F472/D472)*60)*1,AND(F472&gt;=601,F472&lt;=625),((F472/D472)*60)*1.2,AND(F472&gt;=626,F472&lt;=650),((F472/D472)*60)*1.5,F472&gt;=651,((F472/D472)*60)*1.8)</f>
        <v>1286.1818181818182</v>
      </c>
      <c r="AU472">
        <f t="shared" si="139"/>
        <v>21.4</v>
      </c>
      <c r="AV472">
        <f t="shared" si="138"/>
        <v>526.0836363636364</v>
      </c>
      <c r="AW472">
        <f t="shared" si="140"/>
        <v>92.800000000000011</v>
      </c>
      <c r="AX472" t="str">
        <f t="shared" si="136"/>
        <v>Apr-2023</v>
      </c>
      <c r="AY472">
        <f>ROUNDUP(Table2[[#This Row],[Month]]/3,0)</f>
        <v>2</v>
      </c>
    </row>
    <row r="473" spans="1:51" x14ac:dyDescent="0.2">
      <c r="A473">
        <v>472</v>
      </c>
      <c r="B473">
        <f t="shared" si="125"/>
        <v>15</v>
      </c>
      <c r="C473" s="22">
        <v>45045</v>
      </c>
      <c r="D473">
        <f>SUM(Table2[[#This Row],[Gray Min]:[Red Min]])</f>
        <v>59</v>
      </c>
      <c r="E473">
        <v>16</v>
      </c>
      <c r="F473">
        <v>669</v>
      </c>
      <c r="G473">
        <v>127</v>
      </c>
      <c r="H473">
        <v>168</v>
      </c>
      <c r="I473">
        <v>15</v>
      </c>
      <c r="J473">
        <v>12</v>
      </c>
      <c r="K473">
        <v>16</v>
      </c>
      <c r="L473">
        <v>12</v>
      </c>
      <c r="M473">
        <v>4</v>
      </c>
      <c r="N473" t="s">
        <v>101</v>
      </c>
      <c r="O473" t="s">
        <v>178</v>
      </c>
      <c r="P473" t="s">
        <v>109</v>
      </c>
      <c r="Q473">
        <f t="shared" si="137"/>
        <v>3</v>
      </c>
      <c r="R473" t="str">
        <f t="shared" si="126"/>
        <v>4-2023</v>
      </c>
      <c r="S473" t="s">
        <v>104</v>
      </c>
      <c r="T473" t="str">
        <f t="shared" si="127"/>
        <v>Saturday</v>
      </c>
      <c r="U473">
        <f t="shared" si="128"/>
        <v>1</v>
      </c>
      <c r="V473" s="24">
        <f>IFERROR(Table2[[#This Row],[Gray Min]]/Table2[[#This Row],[ClassLength]],"")</f>
        <v>0.25423728813559321</v>
      </c>
      <c r="W473" s="24">
        <f>IFERROR(Table2[[#This Row],[Blue Min]]/Table2[[#This Row],[ClassLength]],"")</f>
        <v>0.20338983050847459</v>
      </c>
      <c r="X473" s="24">
        <f>IFERROR(Table2[[#This Row],[Green Min]]/Table2[[#This Row],[ClassLength]],"")</f>
        <v>0.2711864406779661</v>
      </c>
      <c r="Y473" s="24">
        <f>IFERROR(Table2[[#This Row],[Orange Min]]/Table2[[#This Row],[ClassLength]],"")</f>
        <v>0.20338983050847459</v>
      </c>
      <c r="Z473" s="24">
        <f>IFERROR(Table2[[#This Row],[Red Min]]/Table2[[#This Row],[ClassLength]],"")</f>
        <v>6.7796610169491525E-2</v>
      </c>
      <c r="AA473" s="25">
        <v>232.14</v>
      </c>
      <c r="AB473" s="25">
        <f t="shared" si="141"/>
        <v>15.475999999999999</v>
      </c>
      <c r="AC473" s="26">
        <f t="shared" si="129"/>
        <v>632.6</v>
      </c>
      <c r="AD473" s="26">
        <f t="shared" si="130"/>
        <v>13.733333333333333</v>
      </c>
      <c r="AE473">
        <f t="shared" si="131"/>
        <v>2023</v>
      </c>
      <c r="AG473">
        <v>12</v>
      </c>
      <c r="AH473" s="26">
        <f t="shared" si="132"/>
        <v>11.338983050847459</v>
      </c>
      <c r="AI473" t="str">
        <f t="shared" si="133"/>
        <v>AM</v>
      </c>
      <c r="AJ473" t="str">
        <f t="shared" si="134"/>
        <v>4-2023-5</v>
      </c>
      <c r="AK473">
        <f t="shared" si="135"/>
        <v>4</v>
      </c>
      <c r="AL473" s="26">
        <f>IFERROR(Table2[[#This Row],[Calories]]/Table2[[#This Row],[Splat]],"")</f>
        <v>41.8125</v>
      </c>
      <c r="AM473">
        <f>COUNTIF(N$2:$N$938,N473)</f>
        <v>191</v>
      </c>
      <c r="AN473" t="str">
        <f>VLOOKUP(N473,'Helpful Tables'!A:D,4,FALSE)</f>
        <v>Washington, DC</v>
      </c>
      <c r="AO473" s="24">
        <f>COUNTIF(AN:AN,Table2[[#This Row],[State]])/COUNTA(AN:AN)</f>
        <v>0.54904051172707891</v>
      </c>
      <c r="AP473">
        <f>VLOOKUP(N473,'Helpful Tables'!A:B,2,FALSE)</f>
        <v>38.949649000000001</v>
      </c>
      <c r="AQ473">
        <f>VLOOKUP(N473,'Helpful Tables'!A:C,3,FALSE)</f>
        <v>-77.080878999999996</v>
      </c>
      <c r="AR473">
        <f>COUNTIF(P$2:$P$938,P473)</f>
        <v>66</v>
      </c>
      <c r="AS473" cm="1">
        <f t="array" ref="AS473">_xlfn.IFS(E473&lt;6,((E473/D473)*60)*0.5,AND(E473&gt;=6,E473&lt;9),((E473/D473)*60)*0.75,AND(E473&gt;=9,E473&lt;=11),((E473/D473)*60)*0.9,AND(E473=12),((E473/D473)*60)*1,AND(E473&gt;=13,E473&lt;=15),((E473/D473)*60)*1.2,AND(E473&gt;=16,E473&lt;=19),((E473/D473)*60)*1.5,E473&gt;=20,((E473/D473)*60)*1.8)</f>
        <v>24.406779661016948</v>
      </c>
      <c r="AT473" cm="1">
        <f t="array" ref="AT473">_xlfn.IFS(F473&lt;550,((F473/D473)*60)*0.5,AND(F473&gt;=550,F473&lt;575),((F473/D473)*60)*0.75,AND(F473&gt;=575,F473&lt;600),((F473/D473)*60)*0.9,AND(F473=600),((F473/D473)*60)*1,AND(F473&gt;=601,F473&lt;=625),((F473/D473)*60)*1.2,AND(F473&gt;=626,F473&lt;=650),((F473/D473)*60)*1.5,F473&gt;=651,((F473/D473)*60)*1.8)</f>
        <v>1224.6101694915255</v>
      </c>
      <c r="AU473">
        <f t="shared" si="139"/>
        <v>9.5999999999999979</v>
      </c>
      <c r="AV473">
        <f t="shared" si="138"/>
        <v>501.52677966101703</v>
      </c>
      <c r="AW473">
        <f t="shared" si="140"/>
        <v>79.600000000000009</v>
      </c>
      <c r="AX473" t="str">
        <f t="shared" si="136"/>
        <v>Apr-2023</v>
      </c>
      <c r="AY473">
        <f>ROUNDUP(Table2[[#This Row],[Month]]/3,0)</f>
        <v>2</v>
      </c>
    </row>
    <row r="474" spans="1:51" x14ac:dyDescent="0.2">
      <c r="A474">
        <v>473</v>
      </c>
      <c r="B474">
        <f t="shared" si="125"/>
        <v>7</v>
      </c>
      <c r="C474" s="22">
        <v>45048</v>
      </c>
      <c r="D474">
        <f>SUM(Table2[[#This Row],[Gray Min]:[Red Min]])</f>
        <v>55</v>
      </c>
      <c r="E474">
        <v>14</v>
      </c>
      <c r="F474">
        <v>634</v>
      </c>
      <c r="G474">
        <v>129</v>
      </c>
      <c r="H474">
        <v>165</v>
      </c>
      <c r="I474">
        <v>9</v>
      </c>
      <c r="J474">
        <v>14</v>
      </c>
      <c r="K474">
        <v>18</v>
      </c>
      <c r="L474">
        <v>13</v>
      </c>
      <c r="M474">
        <v>1</v>
      </c>
      <c r="N474" t="s">
        <v>91</v>
      </c>
      <c r="O474" t="s">
        <v>57</v>
      </c>
      <c r="P474" t="s">
        <v>98</v>
      </c>
      <c r="Q474">
        <f t="shared" si="137"/>
        <v>3</v>
      </c>
      <c r="R474" t="str">
        <f t="shared" si="126"/>
        <v>5-2023</v>
      </c>
      <c r="S474" t="s">
        <v>117</v>
      </c>
      <c r="T474" t="str">
        <f t="shared" si="127"/>
        <v>Tuesday</v>
      </c>
      <c r="U474">
        <f t="shared" si="128"/>
        <v>1</v>
      </c>
      <c r="V474" s="24">
        <f>IFERROR(Table2[[#This Row],[Gray Min]]/Table2[[#This Row],[ClassLength]],"")</f>
        <v>0.16363636363636364</v>
      </c>
      <c r="W474" s="24">
        <f>IFERROR(Table2[[#This Row],[Blue Min]]/Table2[[#This Row],[ClassLength]],"")</f>
        <v>0.25454545454545452</v>
      </c>
      <c r="X474" s="24">
        <f>IFERROR(Table2[[#This Row],[Green Min]]/Table2[[#This Row],[ClassLength]],"")</f>
        <v>0.32727272727272727</v>
      </c>
      <c r="Y474" s="24">
        <f>IFERROR(Table2[[#This Row],[Orange Min]]/Table2[[#This Row],[ClassLength]],"")</f>
        <v>0.23636363636363636</v>
      </c>
      <c r="Z474" s="24">
        <f>IFERROR(Table2[[#This Row],[Red Min]]/Table2[[#This Row],[ClassLength]],"")</f>
        <v>1.8181818181818181E-2</v>
      </c>
      <c r="AA474" s="25">
        <v>232.14</v>
      </c>
      <c r="AB474" s="25">
        <f t="shared" si="141"/>
        <v>33.162857142857142</v>
      </c>
      <c r="AC474" s="26">
        <f t="shared" si="129"/>
        <v>644</v>
      </c>
      <c r="AD474" s="26">
        <f t="shared" si="130"/>
        <v>14</v>
      </c>
      <c r="AE474">
        <f t="shared" si="131"/>
        <v>2023</v>
      </c>
      <c r="AG474">
        <v>12</v>
      </c>
      <c r="AH474" s="26">
        <f t="shared" si="132"/>
        <v>11.527272727272727</v>
      </c>
      <c r="AI474" t="str">
        <f t="shared" si="133"/>
        <v>PM</v>
      </c>
      <c r="AJ474" t="str">
        <f t="shared" si="134"/>
        <v>5-2023-1</v>
      </c>
      <c r="AK474">
        <f t="shared" si="135"/>
        <v>5</v>
      </c>
      <c r="AL474" s="26">
        <f>IFERROR(Table2[[#This Row],[Calories]]/Table2[[#This Row],[Splat]],"")</f>
        <v>45.285714285714285</v>
      </c>
      <c r="AM474">
        <f>COUNTIF(N$2:$N$938,N474)</f>
        <v>218</v>
      </c>
      <c r="AN474" t="str">
        <f>VLOOKUP(N474,'Helpful Tables'!A:D,4,FALSE)</f>
        <v>Washington, DC</v>
      </c>
      <c r="AO474" s="24">
        <f>COUNTIF(AN:AN,Table2[[#This Row],[State]])/COUNTA(AN:AN)</f>
        <v>0.54904051172707891</v>
      </c>
      <c r="AP474">
        <f>VLOOKUP(N474,'Helpful Tables'!A:B,2,FALSE)</f>
        <v>38.934710000000003</v>
      </c>
      <c r="AQ474">
        <f>VLOOKUP(N474,'Helpful Tables'!A:C,3,FALSE)</f>
        <v>-77.058222999999998</v>
      </c>
      <c r="AR474">
        <f>COUNTIF(P$2:$P$938,P474)</f>
        <v>28</v>
      </c>
      <c r="AS474" cm="1">
        <f t="array" ref="AS474">_xlfn.IFS(E474&lt;6,((E474/D474)*60)*0.5,AND(E474&gt;=6,E474&lt;9),((E474/D474)*60)*0.75,AND(E474&gt;=9,E474&lt;=11),((E474/D474)*60)*0.9,AND(E474=12),((E474/D474)*60)*1,AND(E474&gt;=13,E474&lt;=15),((E474/D474)*60)*1.2,AND(E474&gt;=16,E474&lt;=19),((E474/D474)*60)*1.5,E474&gt;=20,((E474/D474)*60)*1.8)</f>
        <v>18.327272727272724</v>
      </c>
      <c r="AT474" cm="1">
        <f t="array" ref="AT474">_xlfn.IFS(F474&lt;550,((F474/D474)*60)*0.5,AND(F474&gt;=550,F474&lt;575),((F474/D474)*60)*0.75,AND(F474&gt;=575,F474&lt;600),((F474/D474)*60)*0.9,AND(F474=600),((F474/D474)*60)*1,AND(F474&gt;=601,F474&lt;=625),((F474/D474)*60)*1.2,AND(F474&gt;=626,F474&lt;=650),((F474/D474)*60)*1.5,F474&gt;=651,((F474/D474)*60)*1.8)</f>
        <v>1037.4545454545455</v>
      </c>
      <c r="AU474">
        <f t="shared" si="139"/>
        <v>13.799999999999997</v>
      </c>
      <c r="AV474">
        <f t="shared" si="138"/>
        <v>425.07272727272726</v>
      </c>
      <c r="AW474">
        <f t="shared" si="140"/>
        <v>63.5</v>
      </c>
      <c r="AX474" t="str">
        <f t="shared" si="136"/>
        <v>May-2023</v>
      </c>
      <c r="AY474">
        <f>ROUNDUP(Table2[[#This Row],[Month]]/3,0)</f>
        <v>2</v>
      </c>
    </row>
    <row r="475" spans="1:51" x14ac:dyDescent="0.2">
      <c r="A475">
        <v>474</v>
      </c>
      <c r="B475">
        <f t="shared" si="125"/>
        <v>7</v>
      </c>
      <c r="C475" s="22">
        <v>45049</v>
      </c>
      <c r="D475">
        <f>SUM(Table2[[#This Row],[Gray Min]:[Red Min]])</f>
        <v>59</v>
      </c>
      <c r="E475">
        <v>15</v>
      </c>
      <c r="F475">
        <v>691</v>
      </c>
      <c r="G475">
        <v>130</v>
      </c>
      <c r="H475">
        <v>168</v>
      </c>
      <c r="I475">
        <v>8</v>
      </c>
      <c r="J475">
        <v>15</v>
      </c>
      <c r="K475">
        <v>21</v>
      </c>
      <c r="L475">
        <v>12</v>
      </c>
      <c r="M475">
        <v>3</v>
      </c>
      <c r="N475" t="s">
        <v>101</v>
      </c>
      <c r="O475" t="s">
        <v>173</v>
      </c>
      <c r="P475" t="s">
        <v>118</v>
      </c>
      <c r="Q475">
        <f t="shared" si="137"/>
        <v>1</v>
      </c>
      <c r="R475" t="str">
        <f t="shared" si="126"/>
        <v>5-2023</v>
      </c>
      <c r="S475" t="s">
        <v>104</v>
      </c>
      <c r="T475" t="str">
        <f t="shared" si="127"/>
        <v>Wednesday</v>
      </c>
      <c r="U475">
        <f t="shared" si="128"/>
        <v>1</v>
      </c>
      <c r="V475" s="24">
        <f>IFERROR(Table2[[#This Row],[Gray Min]]/Table2[[#This Row],[ClassLength]],"")</f>
        <v>0.13559322033898305</v>
      </c>
      <c r="W475" s="24">
        <f>IFERROR(Table2[[#This Row],[Blue Min]]/Table2[[#This Row],[ClassLength]],"")</f>
        <v>0.25423728813559321</v>
      </c>
      <c r="X475" s="24">
        <f>IFERROR(Table2[[#This Row],[Green Min]]/Table2[[#This Row],[ClassLength]],"")</f>
        <v>0.3559322033898305</v>
      </c>
      <c r="Y475" s="24">
        <f>IFERROR(Table2[[#This Row],[Orange Min]]/Table2[[#This Row],[ClassLength]],"")</f>
        <v>0.20338983050847459</v>
      </c>
      <c r="Z475" s="24">
        <f>IFERROR(Table2[[#This Row],[Red Min]]/Table2[[#This Row],[ClassLength]],"")</f>
        <v>5.0847457627118647E-2</v>
      </c>
      <c r="AA475" s="25">
        <v>232.14</v>
      </c>
      <c r="AB475" s="25">
        <f t="shared" si="141"/>
        <v>33.162857142857142</v>
      </c>
      <c r="AC475" s="26">
        <f t="shared" si="129"/>
        <v>644</v>
      </c>
      <c r="AD475" s="26">
        <f t="shared" si="130"/>
        <v>14</v>
      </c>
      <c r="AE475">
        <f t="shared" si="131"/>
        <v>2023</v>
      </c>
      <c r="AG475">
        <v>12</v>
      </c>
      <c r="AH475" s="26">
        <f t="shared" si="132"/>
        <v>11.711864406779661</v>
      </c>
      <c r="AI475" t="str">
        <f t="shared" si="133"/>
        <v>PM</v>
      </c>
      <c r="AJ475" t="str">
        <f t="shared" si="134"/>
        <v>5-2023-1</v>
      </c>
      <c r="AK475">
        <f t="shared" si="135"/>
        <v>5</v>
      </c>
      <c r="AL475" s="26">
        <f>IFERROR(Table2[[#This Row],[Calories]]/Table2[[#This Row],[Splat]],"")</f>
        <v>46.06666666666667</v>
      </c>
      <c r="AM475">
        <f>COUNTIF(N$2:$N$938,N475)</f>
        <v>191</v>
      </c>
      <c r="AN475" t="str">
        <f>VLOOKUP(N475,'Helpful Tables'!A:D,4,FALSE)</f>
        <v>Washington, DC</v>
      </c>
      <c r="AO475" s="24">
        <f>COUNTIF(AN:AN,Table2[[#This Row],[State]])/COUNTA(AN:AN)</f>
        <v>0.54904051172707891</v>
      </c>
      <c r="AP475">
        <f>VLOOKUP(N475,'Helpful Tables'!A:B,2,FALSE)</f>
        <v>38.949649000000001</v>
      </c>
      <c r="AQ475">
        <f>VLOOKUP(N475,'Helpful Tables'!A:C,3,FALSE)</f>
        <v>-77.080878999999996</v>
      </c>
      <c r="AR475">
        <f>COUNTIF(P$2:$P$938,P475)</f>
        <v>16</v>
      </c>
      <c r="AS475" cm="1">
        <f t="array" ref="AS475">_xlfn.IFS(E475&lt;6,((E475/D475)*60)*0.5,AND(E475&gt;=6,E475&lt;9),((E475/D475)*60)*0.75,AND(E475&gt;=9,E475&lt;=11),((E475/D475)*60)*0.9,AND(E475=12),((E475/D475)*60)*1,AND(E475&gt;=13,E475&lt;=15),((E475/D475)*60)*1.2,AND(E475&gt;=16,E475&lt;=19),((E475/D475)*60)*1.5,E475&gt;=20,((E475/D475)*60)*1.8)</f>
        <v>18.305084745762709</v>
      </c>
      <c r="AT475" cm="1">
        <f t="array" ref="AT475">_xlfn.IFS(F475&lt;550,((F475/D475)*60)*0.5,AND(F475&gt;=550,F475&lt;575),((F475/D475)*60)*0.75,AND(F475&gt;=575,F475&lt;600),((F475/D475)*60)*0.9,AND(F475=600),((F475/D475)*60)*1,AND(F475&gt;=601,F475&lt;=625),((F475/D475)*60)*1.2,AND(F475&gt;=626,F475&lt;=650),((F475/D475)*60)*1.5,F475&gt;=651,((F475/D475)*60)*1.8)</f>
        <v>1264.8813559322034</v>
      </c>
      <c r="AU475">
        <f t="shared" si="139"/>
        <v>19.2</v>
      </c>
      <c r="AV475">
        <f t="shared" si="138"/>
        <v>517.11457627118648</v>
      </c>
      <c r="AW475">
        <f t="shared" si="140"/>
        <v>88.9</v>
      </c>
      <c r="AX475" t="str">
        <f t="shared" si="136"/>
        <v>May-2023</v>
      </c>
      <c r="AY475">
        <f>ROUNDUP(Table2[[#This Row],[Month]]/3,0)</f>
        <v>2</v>
      </c>
    </row>
    <row r="476" spans="1:51" x14ac:dyDescent="0.2">
      <c r="A476">
        <v>475</v>
      </c>
      <c r="B476">
        <f t="shared" si="125"/>
        <v>7</v>
      </c>
      <c r="C476" s="22">
        <v>45052</v>
      </c>
      <c r="D476">
        <f>SUM(Table2[[#This Row],[Gray Min]:[Red Min]])</f>
        <v>56</v>
      </c>
      <c r="E476">
        <v>15</v>
      </c>
      <c r="F476">
        <v>619</v>
      </c>
      <c r="G476">
        <v>126</v>
      </c>
      <c r="H476">
        <v>167</v>
      </c>
      <c r="I476">
        <v>17</v>
      </c>
      <c r="J476">
        <v>10</v>
      </c>
      <c r="K476">
        <v>14</v>
      </c>
      <c r="L476">
        <v>11</v>
      </c>
      <c r="M476">
        <v>4</v>
      </c>
      <c r="N476" t="s">
        <v>101</v>
      </c>
      <c r="O476" t="s">
        <v>179</v>
      </c>
      <c r="P476" t="s">
        <v>148</v>
      </c>
      <c r="Q476">
        <f t="shared" si="137"/>
        <v>3</v>
      </c>
      <c r="R476" t="str">
        <f t="shared" si="126"/>
        <v>5-2023</v>
      </c>
      <c r="S476" t="s">
        <v>104</v>
      </c>
      <c r="T476" t="str">
        <f t="shared" si="127"/>
        <v>Saturday</v>
      </c>
      <c r="U476">
        <f t="shared" si="128"/>
        <v>1</v>
      </c>
      <c r="V476" s="24">
        <f>IFERROR(Table2[[#This Row],[Gray Min]]/Table2[[#This Row],[ClassLength]],"")</f>
        <v>0.30357142857142855</v>
      </c>
      <c r="W476" s="24">
        <f>IFERROR(Table2[[#This Row],[Blue Min]]/Table2[[#This Row],[ClassLength]],"")</f>
        <v>0.17857142857142858</v>
      </c>
      <c r="X476" s="24">
        <f>IFERROR(Table2[[#This Row],[Green Min]]/Table2[[#This Row],[ClassLength]],"")</f>
        <v>0.25</v>
      </c>
      <c r="Y476" s="24">
        <f>IFERROR(Table2[[#This Row],[Orange Min]]/Table2[[#This Row],[ClassLength]],"")</f>
        <v>0.19642857142857142</v>
      </c>
      <c r="Z476" s="24">
        <f>IFERROR(Table2[[#This Row],[Red Min]]/Table2[[#This Row],[ClassLength]],"")</f>
        <v>7.1428571428571425E-2</v>
      </c>
      <c r="AA476" s="25">
        <v>232.14</v>
      </c>
      <c r="AB476" s="25">
        <f t="shared" si="141"/>
        <v>33.162857142857142</v>
      </c>
      <c r="AC476" s="26">
        <f t="shared" si="129"/>
        <v>644</v>
      </c>
      <c r="AD476" s="26">
        <f t="shared" si="130"/>
        <v>14</v>
      </c>
      <c r="AE476">
        <f t="shared" si="131"/>
        <v>2023</v>
      </c>
      <c r="AG476">
        <v>12</v>
      </c>
      <c r="AH476" s="26">
        <f t="shared" si="132"/>
        <v>11.053571428571429</v>
      </c>
      <c r="AI476" t="str">
        <f t="shared" si="133"/>
        <v>AM</v>
      </c>
      <c r="AJ476" t="str">
        <f t="shared" si="134"/>
        <v>5-2023-1</v>
      </c>
      <c r="AK476">
        <f t="shared" si="135"/>
        <v>5</v>
      </c>
      <c r="AL476" s="26">
        <f>IFERROR(Table2[[#This Row],[Calories]]/Table2[[#This Row],[Splat]],"")</f>
        <v>41.266666666666666</v>
      </c>
      <c r="AM476">
        <f>COUNTIF(N$2:$N$938,N476)</f>
        <v>191</v>
      </c>
      <c r="AN476" t="str">
        <f>VLOOKUP(N476,'Helpful Tables'!A:D,4,FALSE)</f>
        <v>Washington, DC</v>
      </c>
      <c r="AO476" s="24">
        <f>COUNTIF(AN:AN,Table2[[#This Row],[State]])/COUNTA(AN:AN)</f>
        <v>0.54904051172707891</v>
      </c>
      <c r="AP476">
        <f>VLOOKUP(N476,'Helpful Tables'!A:B,2,FALSE)</f>
        <v>38.949649000000001</v>
      </c>
      <c r="AQ476">
        <f>VLOOKUP(N476,'Helpful Tables'!A:C,3,FALSE)</f>
        <v>-77.080878999999996</v>
      </c>
      <c r="AR476">
        <f>COUNTIF(P$2:$P$938,P476)</f>
        <v>14</v>
      </c>
      <c r="AS476" cm="1">
        <f t="array" ref="AS476">_xlfn.IFS(E476&lt;6,((E476/D476)*60)*0.5,AND(E476&gt;=6,E476&lt;9),((E476/D476)*60)*0.75,AND(E476&gt;=9,E476&lt;=11),((E476/D476)*60)*0.9,AND(E476=12),((E476/D476)*60)*1,AND(E476&gt;=13,E476&lt;=15),((E476/D476)*60)*1.2,AND(E476&gt;=16,E476&lt;=19),((E476/D476)*60)*1.5,E476&gt;=20,((E476/D476)*60)*1.8)</f>
        <v>19.285714285714281</v>
      </c>
      <c r="AT476" cm="1">
        <f t="array" ref="AT476">_xlfn.IFS(F476&lt;550,((F476/D476)*60)*0.5,AND(F476&gt;=550,F476&lt;575),((F476/D476)*60)*0.75,AND(F476&gt;=575,F476&lt;600),((F476/D476)*60)*0.9,AND(F476=600),((F476/D476)*60)*1,AND(F476&gt;=601,F476&lt;=625),((F476/D476)*60)*1.2,AND(F476&gt;=626,F476&lt;=650),((F476/D476)*60)*1.5,F476&gt;=651,((F476/D476)*60)*1.8)</f>
        <v>795.85714285714289</v>
      </c>
      <c r="AU476">
        <f t="shared" si="139"/>
        <v>5.7000000000000028</v>
      </c>
      <c r="AV476">
        <f t="shared" si="138"/>
        <v>327.19714285714286</v>
      </c>
      <c r="AW476">
        <f t="shared" si="140"/>
        <v>39.300000000000004</v>
      </c>
      <c r="AX476" t="str">
        <f t="shared" si="136"/>
        <v>May-2023</v>
      </c>
      <c r="AY476">
        <f>ROUNDUP(Table2[[#This Row],[Month]]/3,0)</f>
        <v>2</v>
      </c>
    </row>
    <row r="477" spans="1:51" x14ac:dyDescent="0.2">
      <c r="A477">
        <v>476</v>
      </c>
      <c r="B477">
        <f t="shared" si="125"/>
        <v>7</v>
      </c>
      <c r="C477" s="22">
        <v>45053</v>
      </c>
      <c r="D477">
        <f>SUM(Table2[[#This Row],[Gray Min]:[Red Min]])</f>
        <v>0</v>
      </c>
      <c r="N477" t="s">
        <v>101</v>
      </c>
      <c r="O477" t="s">
        <v>93</v>
      </c>
      <c r="P477" t="s">
        <v>147</v>
      </c>
      <c r="Q477">
        <f t="shared" si="137"/>
        <v>1</v>
      </c>
      <c r="R477" t="str">
        <f t="shared" si="126"/>
        <v>5-2023</v>
      </c>
      <c r="T477" t="str">
        <f t="shared" si="127"/>
        <v>Sunday</v>
      </c>
      <c r="U477">
        <f t="shared" si="128"/>
        <v>0</v>
      </c>
      <c r="V477" s="24" t="str">
        <f>IFERROR(Table2[[#This Row],[Gray Min]]/Table2[[#This Row],[ClassLength]],"")</f>
        <v/>
      </c>
      <c r="W477" s="24" t="str">
        <f>IFERROR(Table2[[#This Row],[Blue Min]]/Table2[[#This Row],[ClassLength]],"")</f>
        <v/>
      </c>
      <c r="X477" s="24" t="str">
        <f>IFERROR(Table2[[#This Row],[Green Min]]/Table2[[#This Row],[ClassLength]],"")</f>
        <v/>
      </c>
      <c r="Y477" s="24" t="str">
        <f>IFERROR(Table2[[#This Row],[Orange Min]]/Table2[[#This Row],[ClassLength]],"")</f>
        <v/>
      </c>
      <c r="Z477" s="24" t="str">
        <f>IFERROR(Table2[[#This Row],[Red Min]]/Table2[[#This Row],[ClassLength]],"")</f>
        <v/>
      </c>
      <c r="AA477" s="25">
        <v>232.14</v>
      </c>
      <c r="AB477" s="25">
        <f t="shared" si="141"/>
        <v>33.162857142857142</v>
      </c>
      <c r="AC477" s="26">
        <f t="shared" si="129"/>
        <v>644</v>
      </c>
      <c r="AD477" s="26">
        <f t="shared" si="130"/>
        <v>14</v>
      </c>
      <c r="AE477">
        <f t="shared" si="131"/>
        <v>2023</v>
      </c>
      <c r="AG477">
        <v>12</v>
      </c>
      <c r="AH477" s="26" t="e">
        <f t="shared" si="132"/>
        <v>#DIV/0!</v>
      </c>
      <c r="AI477" t="str">
        <f t="shared" si="133"/>
        <v>AM</v>
      </c>
      <c r="AJ477" t="str">
        <f t="shared" si="134"/>
        <v>5-2023-2</v>
      </c>
      <c r="AK477">
        <f t="shared" si="135"/>
        <v>5</v>
      </c>
      <c r="AL477" s="26" t="str">
        <f>IFERROR(Table2[[#This Row],[Calories]]/Table2[[#This Row],[Splat]],"")</f>
        <v/>
      </c>
      <c r="AM477">
        <f>COUNTIF(N$2:$N$938,N477)</f>
        <v>191</v>
      </c>
      <c r="AN477" t="str">
        <f>VLOOKUP(N477,'Helpful Tables'!A:D,4,FALSE)</f>
        <v>Washington, DC</v>
      </c>
      <c r="AO477" s="24">
        <f>COUNTIF(AN:AN,Table2[[#This Row],[State]])/COUNTA(AN:AN)</f>
        <v>0.54904051172707891</v>
      </c>
      <c r="AP477">
        <f>VLOOKUP(N477,'Helpful Tables'!A:B,2,FALSE)</f>
        <v>38.949649000000001</v>
      </c>
      <c r="AQ477">
        <f>VLOOKUP(N477,'Helpful Tables'!A:C,3,FALSE)</f>
        <v>-77.080878999999996</v>
      </c>
      <c r="AR477">
        <f>COUNTIF(P$2:$P$938,P477)</f>
        <v>17</v>
      </c>
      <c r="AX477" t="str">
        <f t="shared" si="136"/>
        <v>May-2023</v>
      </c>
      <c r="AY477">
        <f>ROUNDUP(Table2[[#This Row],[Month]]/3,0)</f>
        <v>2</v>
      </c>
    </row>
    <row r="478" spans="1:51" x14ac:dyDescent="0.2">
      <c r="A478">
        <v>477</v>
      </c>
      <c r="B478">
        <f t="shared" si="125"/>
        <v>7</v>
      </c>
      <c r="C478" s="22">
        <v>45073</v>
      </c>
      <c r="D478">
        <f>SUM(Table2[[#This Row],[Gray Min]:[Red Min]])</f>
        <v>60</v>
      </c>
      <c r="E478">
        <v>17</v>
      </c>
      <c r="F478">
        <v>681</v>
      </c>
      <c r="G478">
        <v>128</v>
      </c>
      <c r="H478">
        <v>169</v>
      </c>
      <c r="I478">
        <v>12</v>
      </c>
      <c r="J478">
        <v>15</v>
      </c>
      <c r="K478">
        <v>16</v>
      </c>
      <c r="L478">
        <v>15</v>
      </c>
      <c r="M478">
        <v>2</v>
      </c>
      <c r="N478" t="s">
        <v>101</v>
      </c>
      <c r="O478" t="s">
        <v>180</v>
      </c>
      <c r="P478" t="s">
        <v>148</v>
      </c>
      <c r="Q478">
        <f t="shared" si="137"/>
        <v>20</v>
      </c>
      <c r="R478" t="str">
        <f t="shared" si="126"/>
        <v>5-2023</v>
      </c>
      <c r="S478" t="s">
        <v>117</v>
      </c>
      <c r="T478" t="str">
        <f t="shared" si="127"/>
        <v>Saturday</v>
      </c>
      <c r="U478">
        <f t="shared" si="128"/>
        <v>1</v>
      </c>
      <c r="V478" s="24">
        <f>IFERROR(Table2[[#This Row],[Gray Min]]/Table2[[#This Row],[ClassLength]],"")</f>
        <v>0.2</v>
      </c>
      <c r="W478" s="24">
        <f>IFERROR(Table2[[#This Row],[Blue Min]]/Table2[[#This Row],[ClassLength]],"")</f>
        <v>0.25</v>
      </c>
      <c r="X478" s="24">
        <f>IFERROR(Table2[[#This Row],[Green Min]]/Table2[[#This Row],[ClassLength]],"")</f>
        <v>0.26666666666666666</v>
      </c>
      <c r="Y478" s="24">
        <f>IFERROR(Table2[[#This Row],[Orange Min]]/Table2[[#This Row],[ClassLength]],"")</f>
        <v>0.25</v>
      </c>
      <c r="Z478" s="24">
        <f>IFERROR(Table2[[#This Row],[Red Min]]/Table2[[#This Row],[ClassLength]],"")</f>
        <v>3.3333333333333333E-2</v>
      </c>
      <c r="AA478" s="25">
        <v>232.14</v>
      </c>
      <c r="AB478" s="25">
        <f t="shared" si="141"/>
        <v>33.162857142857142</v>
      </c>
      <c r="AC478" s="26">
        <f t="shared" si="129"/>
        <v>644</v>
      </c>
      <c r="AD478" s="26">
        <f t="shared" si="130"/>
        <v>14</v>
      </c>
      <c r="AE478">
        <f t="shared" si="131"/>
        <v>2023</v>
      </c>
      <c r="AG478">
        <v>12</v>
      </c>
      <c r="AH478" s="26">
        <f t="shared" si="132"/>
        <v>11.35</v>
      </c>
      <c r="AI478" t="str">
        <f t="shared" si="133"/>
        <v>AM</v>
      </c>
      <c r="AJ478" t="str">
        <f t="shared" si="134"/>
        <v>5-2023-4</v>
      </c>
      <c r="AK478">
        <f t="shared" si="135"/>
        <v>5</v>
      </c>
      <c r="AL478" s="26">
        <f>IFERROR(Table2[[#This Row],[Calories]]/Table2[[#This Row],[Splat]],"")</f>
        <v>40.058823529411768</v>
      </c>
      <c r="AM478">
        <f>COUNTIF(N$2:$N$938,N478)</f>
        <v>191</v>
      </c>
      <c r="AN478" t="str">
        <f>VLOOKUP(N478,'Helpful Tables'!A:D,4,FALSE)</f>
        <v>Washington, DC</v>
      </c>
      <c r="AO478" s="24">
        <f>COUNTIF(AN:AN,Table2[[#This Row],[State]])/COUNTA(AN:AN)</f>
        <v>0.54904051172707891</v>
      </c>
      <c r="AP478">
        <f>VLOOKUP(N478,'Helpful Tables'!A:B,2,FALSE)</f>
        <v>38.949649000000001</v>
      </c>
      <c r="AQ478">
        <f>VLOOKUP(N478,'Helpful Tables'!A:C,3,FALSE)</f>
        <v>-77.080878999999996</v>
      </c>
      <c r="AR478">
        <f>COUNTIF(P$2:$P$938,P478)</f>
        <v>14</v>
      </c>
      <c r="AS478" cm="1">
        <f t="array" ref="AS478">_xlfn.IFS(E478&lt;6,((E478/D478)*60)*0.5,AND(E478&gt;=6,E478&lt;9),((E478/D478)*60)*0.75,AND(E478&gt;=9,E478&lt;=11),((E478/D478)*60)*0.9,AND(E478=12),((E478/D478)*60)*1,AND(E478&gt;=13,E478&lt;=15),((E478/D478)*60)*1.2,AND(E478&gt;=16,E478&lt;=19),((E478/D478)*60)*1.5,E478&gt;=20,((E478/D478)*60)*1.8)</f>
        <v>25.5</v>
      </c>
      <c r="AT478" cm="1">
        <f t="array" ref="AT478">_xlfn.IFS(F478&lt;550,((F478/D478)*60)*0.5,AND(F478&gt;=550,F478&lt;575),((F478/D478)*60)*0.75,AND(F478&gt;=575,F478&lt;600),((F478/D478)*60)*0.9,AND(F478=600),((F478/D478)*60)*1,AND(F478&gt;=601,F478&lt;=625),((F478/D478)*60)*1.2,AND(F478&gt;=626,F478&lt;=650),((F478/D478)*60)*1.5,F478&gt;=651,((F478/D478)*60)*1.8)</f>
        <v>1225.8</v>
      </c>
      <c r="AU478">
        <f t="shared" ref="AU478:AU541" si="142">(I478*-1.2)+(J478*-1.1)+(K478*1.2)+(L478*1.3)+(M478*1.5)</f>
        <v>10.8</v>
      </c>
      <c r="AV478">
        <f t="shared" si="138"/>
        <v>502.68</v>
      </c>
      <c r="AW478">
        <f t="shared" ref="AW478:AW541" si="143">PERCENTRANK(AV:AV,AV478)*100</f>
        <v>80.800000000000011</v>
      </c>
      <c r="AX478" t="str">
        <f t="shared" si="136"/>
        <v>May-2023</v>
      </c>
      <c r="AY478">
        <f>ROUNDUP(Table2[[#This Row],[Month]]/3,0)</f>
        <v>2</v>
      </c>
    </row>
    <row r="479" spans="1:51" x14ac:dyDescent="0.2">
      <c r="A479">
        <v>478</v>
      </c>
      <c r="B479">
        <f t="shared" si="125"/>
        <v>7</v>
      </c>
      <c r="C479" s="22">
        <v>45075</v>
      </c>
      <c r="D479">
        <f>SUM(Table2[[#This Row],[Gray Min]:[Red Min]])</f>
        <v>55</v>
      </c>
      <c r="E479">
        <v>14</v>
      </c>
      <c r="F479">
        <v>638</v>
      </c>
      <c r="G479">
        <v>131</v>
      </c>
      <c r="H479">
        <v>165</v>
      </c>
      <c r="I479">
        <v>5</v>
      </c>
      <c r="J479">
        <v>17</v>
      </c>
      <c r="K479">
        <v>19</v>
      </c>
      <c r="L479">
        <v>11</v>
      </c>
      <c r="M479">
        <v>3</v>
      </c>
      <c r="N479" t="s">
        <v>91</v>
      </c>
      <c r="O479" t="s">
        <v>32</v>
      </c>
      <c r="P479" t="s">
        <v>181</v>
      </c>
      <c r="Q479">
        <f t="shared" si="137"/>
        <v>2</v>
      </c>
      <c r="R479" t="str">
        <f t="shared" si="126"/>
        <v>5-2023</v>
      </c>
      <c r="S479" t="s">
        <v>104</v>
      </c>
      <c r="T479" t="str">
        <f t="shared" si="127"/>
        <v>Monday</v>
      </c>
      <c r="U479">
        <f t="shared" si="128"/>
        <v>1</v>
      </c>
      <c r="V479" s="24">
        <f>IFERROR(Table2[[#This Row],[Gray Min]]/Table2[[#This Row],[ClassLength]],"")</f>
        <v>9.0909090909090912E-2</v>
      </c>
      <c r="W479" s="24">
        <f>IFERROR(Table2[[#This Row],[Blue Min]]/Table2[[#This Row],[ClassLength]],"")</f>
        <v>0.30909090909090908</v>
      </c>
      <c r="X479" s="24">
        <f>IFERROR(Table2[[#This Row],[Green Min]]/Table2[[#This Row],[ClassLength]],"")</f>
        <v>0.34545454545454546</v>
      </c>
      <c r="Y479" s="24">
        <f>IFERROR(Table2[[#This Row],[Orange Min]]/Table2[[#This Row],[ClassLength]],"")</f>
        <v>0.2</v>
      </c>
      <c r="Z479" s="24">
        <f>IFERROR(Table2[[#This Row],[Red Min]]/Table2[[#This Row],[ClassLength]],"")</f>
        <v>5.4545454545454543E-2</v>
      </c>
      <c r="AA479" s="25">
        <v>232.14</v>
      </c>
      <c r="AB479" s="25">
        <f t="shared" si="141"/>
        <v>33.162857142857142</v>
      </c>
      <c r="AC479" s="26">
        <f t="shared" si="129"/>
        <v>644</v>
      </c>
      <c r="AD479" s="26">
        <f t="shared" si="130"/>
        <v>14</v>
      </c>
      <c r="AE479">
        <f t="shared" si="131"/>
        <v>2023</v>
      </c>
      <c r="AG479">
        <v>12</v>
      </c>
      <c r="AH479" s="26">
        <f t="shared" si="132"/>
        <v>11.6</v>
      </c>
      <c r="AI479" t="str">
        <f t="shared" si="133"/>
        <v>AM</v>
      </c>
      <c r="AJ479" t="str">
        <f t="shared" si="134"/>
        <v>5-2023-5</v>
      </c>
      <c r="AK479">
        <f t="shared" si="135"/>
        <v>5</v>
      </c>
      <c r="AL479" s="26">
        <f>IFERROR(Table2[[#This Row],[Calories]]/Table2[[#This Row],[Splat]],"")</f>
        <v>45.571428571428569</v>
      </c>
      <c r="AM479">
        <f>COUNTIF(N$2:$N$938,N479)</f>
        <v>218</v>
      </c>
      <c r="AN479" t="str">
        <f>VLOOKUP(N479,'Helpful Tables'!A:D,4,FALSE)</f>
        <v>Washington, DC</v>
      </c>
      <c r="AO479" s="24">
        <f>COUNTIF(AN:AN,Table2[[#This Row],[State]])/COUNTA(AN:AN)</f>
        <v>0.54904051172707891</v>
      </c>
      <c r="AP479">
        <f>VLOOKUP(N479,'Helpful Tables'!A:B,2,FALSE)</f>
        <v>38.934710000000003</v>
      </c>
      <c r="AQ479">
        <f>VLOOKUP(N479,'Helpful Tables'!A:C,3,FALSE)</f>
        <v>-77.058222999999998</v>
      </c>
      <c r="AR479">
        <f>COUNTIF(P$2:$P$938,P479)</f>
        <v>1</v>
      </c>
      <c r="AS479" cm="1">
        <f t="array" ref="AS479">_xlfn.IFS(E479&lt;6,((E479/D479)*60)*0.5,AND(E479&gt;=6,E479&lt;9),((E479/D479)*60)*0.75,AND(E479&gt;=9,E479&lt;=11),((E479/D479)*60)*0.9,AND(E479=12),((E479/D479)*60)*1,AND(E479&gt;=13,E479&lt;=15),((E479/D479)*60)*1.2,AND(E479&gt;=16,E479&lt;=19),((E479/D479)*60)*1.5,E479&gt;=20,((E479/D479)*60)*1.8)</f>
        <v>18.327272727272724</v>
      </c>
      <c r="AT479" cm="1">
        <f t="array" ref="AT479">_xlfn.IFS(F479&lt;550,((F479/D479)*60)*0.5,AND(F479&gt;=550,F479&lt;575),((F479/D479)*60)*0.75,AND(F479&gt;=575,F479&lt;600),((F479/D479)*60)*0.9,AND(F479=600),((F479/D479)*60)*1,AND(F479&gt;=601,F479&lt;=625),((F479/D479)*60)*1.2,AND(F479&gt;=626,F479&lt;=650),((F479/D479)*60)*1.5,F479&gt;=651,((F479/D479)*60)*1.8)</f>
        <v>1044</v>
      </c>
      <c r="AU479">
        <f t="shared" si="142"/>
        <v>16.899999999999999</v>
      </c>
      <c r="AV479">
        <f t="shared" si="138"/>
        <v>428.31090909090909</v>
      </c>
      <c r="AW479">
        <f t="shared" si="143"/>
        <v>64.2</v>
      </c>
      <c r="AX479" t="str">
        <f t="shared" si="136"/>
        <v>May-2023</v>
      </c>
      <c r="AY479">
        <f>ROUNDUP(Table2[[#This Row],[Month]]/3,0)</f>
        <v>2</v>
      </c>
    </row>
    <row r="480" spans="1:51" x14ac:dyDescent="0.2">
      <c r="A480">
        <v>479</v>
      </c>
      <c r="B480">
        <f t="shared" si="125"/>
        <v>7</v>
      </c>
      <c r="C480" s="22">
        <v>45077</v>
      </c>
      <c r="D480">
        <f>SUM(Table2[[#This Row],[Gray Min]:[Red Min]])</f>
        <v>58</v>
      </c>
      <c r="E480">
        <v>9</v>
      </c>
      <c r="F480">
        <v>601</v>
      </c>
      <c r="G480">
        <v>122</v>
      </c>
      <c r="H480">
        <v>163</v>
      </c>
      <c r="I480">
        <v>17</v>
      </c>
      <c r="J480">
        <v>13</v>
      </c>
      <c r="K480">
        <v>19</v>
      </c>
      <c r="L480">
        <v>9</v>
      </c>
      <c r="M480">
        <v>0</v>
      </c>
      <c r="N480" t="s">
        <v>91</v>
      </c>
      <c r="O480" t="s">
        <v>57</v>
      </c>
      <c r="P480" t="s">
        <v>96</v>
      </c>
      <c r="Q480">
        <f t="shared" si="137"/>
        <v>2</v>
      </c>
      <c r="R480" t="str">
        <f t="shared" si="126"/>
        <v>5-2023</v>
      </c>
      <c r="S480" t="s">
        <v>104</v>
      </c>
      <c r="T480" t="str">
        <f t="shared" si="127"/>
        <v>Wednesday</v>
      </c>
      <c r="U480">
        <f t="shared" si="128"/>
        <v>0</v>
      </c>
      <c r="V480" s="24">
        <f>IFERROR(Table2[[#This Row],[Gray Min]]/Table2[[#This Row],[ClassLength]],"")</f>
        <v>0.29310344827586204</v>
      </c>
      <c r="W480" s="24">
        <f>IFERROR(Table2[[#This Row],[Blue Min]]/Table2[[#This Row],[ClassLength]],"")</f>
        <v>0.22413793103448276</v>
      </c>
      <c r="X480" s="24">
        <f>IFERROR(Table2[[#This Row],[Green Min]]/Table2[[#This Row],[ClassLength]],"")</f>
        <v>0.32758620689655171</v>
      </c>
      <c r="Y480" s="24">
        <f>IFERROR(Table2[[#This Row],[Orange Min]]/Table2[[#This Row],[ClassLength]],"")</f>
        <v>0.15517241379310345</v>
      </c>
      <c r="Z480" s="24">
        <f>IFERROR(Table2[[#This Row],[Red Min]]/Table2[[#This Row],[ClassLength]],"")</f>
        <v>0</v>
      </c>
      <c r="AA480" s="25">
        <v>232.14</v>
      </c>
      <c r="AB480" s="25">
        <f t="shared" si="141"/>
        <v>33.162857142857142</v>
      </c>
      <c r="AC480" s="26">
        <f t="shared" si="129"/>
        <v>644</v>
      </c>
      <c r="AD480" s="26">
        <f t="shared" si="130"/>
        <v>14</v>
      </c>
      <c r="AE480">
        <f t="shared" si="131"/>
        <v>2023</v>
      </c>
      <c r="AG480">
        <v>12</v>
      </c>
      <c r="AH480" s="26">
        <f t="shared" si="132"/>
        <v>10.362068965517242</v>
      </c>
      <c r="AI480" t="str">
        <f t="shared" si="133"/>
        <v>PM</v>
      </c>
      <c r="AJ480" t="str">
        <f t="shared" si="134"/>
        <v>5-2023-5</v>
      </c>
      <c r="AK480">
        <f t="shared" si="135"/>
        <v>5</v>
      </c>
      <c r="AL480" s="26">
        <f>IFERROR(Table2[[#This Row],[Calories]]/Table2[[#This Row],[Splat]],"")</f>
        <v>66.777777777777771</v>
      </c>
      <c r="AM480">
        <f>COUNTIF(N$2:$N$938,N480)</f>
        <v>218</v>
      </c>
      <c r="AN480" t="str">
        <f>VLOOKUP(N480,'Helpful Tables'!A:D,4,FALSE)</f>
        <v>Washington, DC</v>
      </c>
      <c r="AO480" s="24">
        <f>COUNTIF(AN:AN,Table2[[#This Row],[State]])/COUNTA(AN:AN)</f>
        <v>0.54904051172707891</v>
      </c>
      <c r="AP480">
        <f>VLOOKUP(N480,'Helpful Tables'!A:B,2,FALSE)</f>
        <v>38.934710000000003</v>
      </c>
      <c r="AQ480">
        <f>VLOOKUP(N480,'Helpful Tables'!A:C,3,FALSE)</f>
        <v>-77.058222999999998</v>
      </c>
      <c r="AR480">
        <f>COUNTIF(P$2:$P$938,P480)</f>
        <v>71</v>
      </c>
      <c r="AS480" cm="1">
        <f t="array" ref="AS480">_xlfn.IFS(E480&lt;6,((E480/D480)*60)*0.5,AND(E480&gt;=6,E480&lt;9),((E480/D480)*60)*0.75,AND(E480&gt;=9,E480&lt;=11),((E480/D480)*60)*0.9,AND(E480=12),((E480/D480)*60)*1,AND(E480&gt;=13,E480&lt;=15),((E480/D480)*60)*1.2,AND(E480&gt;=16,E480&lt;=19),((E480/D480)*60)*1.5,E480&gt;=20,((E480/D480)*60)*1.8)</f>
        <v>8.3793103448275854</v>
      </c>
      <c r="AT480" cm="1">
        <f t="array" ref="AT480">_xlfn.IFS(F480&lt;550,((F480/D480)*60)*0.5,AND(F480&gt;=550,F480&lt;575),((F480/D480)*60)*0.75,AND(F480&gt;=575,F480&lt;600),((F480/D480)*60)*0.9,AND(F480=600),((F480/D480)*60)*1,AND(F480&gt;=601,F480&lt;=625),((F480/D480)*60)*1.2,AND(F480&gt;=626,F480&lt;=650),((F480/D480)*60)*1.5,F480&gt;=651,((F480/D480)*60)*1.8)</f>
        <v>746.06896551724139</v>
      </c>
      <c r="AU480">
        <f t="shared" si="142"/>
        <v>-0.20000000000000107</v>
      </c>
      <c r="AV480">
        <f t="shared" si="138"/>
        <v>301.73931034482763</v>
      </c>
      <c r="AW480">
        <f t="shared" si="143"/>
        <v>27.3</v>
      </c>
      <c r="AX480" t="str">
        <f t="shared" si="136"/>
        <v>May-2023</v>
      </c>
      <c r="AY480">
        <f>ROUNDUP(Table2[[#This Row],[Month]]/3,0)</f>
        <v>2</v>
      </c>
    </row>
    <row r="481" spans="1:51" x14ac:dyDescent="0.2">
      <c r="A481">
        <v>480</v>
      </c>
      <c r="B481">
        <f t="shared" si="125"/>
        <v>13</v>
      </c>
      <c r="C481" s="22">
        <v>45079</v>
      </c>
      <c r="D481">
        <f>SUM(Table2[[#This Row],[Gray Min]:[Red Min]])</f>
        <v>56</v>
      </c>
      <c r="E481">
        <v>16</v>
      </c>
      <c r="F481">
        <v>634</v>
      </c>
      <c r="G481">
        <v>127</v>
      </c>
      <c r="H481">
        <v>169</v>
      </c>
      <c r="I481">
        <v>13</v>
      </c>
      <c r="J481">
        <v>15</v>
      </c>
      <c r="K481">
        <v>12</v>
      </c>
      <c r="L481">
        <v>15</v>
      </c>
      <c r="M481">
        <v>1</v>
      </c>
      <c r="N481" t="s">
        <v>91</v>
      </c>
      <c r="O481" t="s">
        <v>26</v>
      </c>
      <c r="P481" t="s">
        <v>96</v>
      </c>
      <c r="Q481">
        <f t="shared" si="137"/>
        <v>2</v>
      </c>
      <c r="R481" t="str">
        <f t="shared" si="126"/>
        <v>6-2023</v>
      </c>
      <c r="S481" t="s">
        <v>104</v>
      </c>
      <c r="T481" t="str">
        <f t="shared" si="127"/>
        <v>Friday</v>
      </c>
      <c r="U481">
        <f t="shared" si="128"/>
        <v>1</v>
      </c>
      <c r="V481" s="24">
        <f>IFERROR(Table2[[#This Row],[Gray Min]]/Table2[[#This Row],[ClassLength]],"")</f>
        <v>0.23214285714285715</v>
      </c>
      <c r="W481" s="24">
        <f>IFERROR(Table2[[#This Row],[Blue Min]]/Table2[[#This Row],[ClassLength]],"")</f>
        <v>0.26785714285714285</v>
      </c>
      <c r="X481" s="24">
        <f>IFERROR(Table2[[#This Row],[Green Min]]/Table2[[#This Row],[ClassLength]],"")</f>
        <v>0.21428571428571427</v>
      </c>
      <c r="Y481" s="24">
        <f>IFERROR(Table2[[#This Row],[Orange Min]]/Table2[[#This Row],[ClassLength]],"")</f>
        <v>0.26785714285714285</v>
      </c>
      <c r="Z481" s="24">
        <f>IFERROR(Table2[[#This Row],[Red Min]]/Table2[[#This Row],[ClassLength]],"")</f>
        <v>1.7857142857142856E-2</v>
      </c>
      <c r="AA481" s="25">
        <v>232.14</v>
      </c>
      <c r="AB481" s="25">
        <f t="shared" si="141"/>
        <v>17.856923076923074</v>
      </c>
      <c r="AC481" s="26">
        <f t="shared" si="129"/>
        <v>622.92307692307691</v>
      </c>
      <c r="AD481" s="26">
        <f t="shared" si="130"/>
        <v>13.153846153846153</v>
      </c>
      <c r="AE481">
        <f t="shared" si="131"/>
        <v>2023</v>
      </c>
      <c r="AG481">
        <v>12</v>
      </c>
      <c r="AH481" s="26">
        <f t="shared" si="132"/>
        <v>11.321428571428571</v>
      </c>
      <c r="AI481" t="str">
        <f t="shared" si="133"/>
        <v>PM</v>
      </c>
      <c r="AJ481" t="str">
        <f t="shared" si="134"/>
        <v>6-2023-1</v>
      </c>
      <c r="AK481">
        <f t="shared" si="135"/>
        <v>6</v>
      </c>
      <c r="AL481" s="26">
        <f>IFERROR(Table2[[#This Row],[Calories]]/Table2[[#This Row],[Splat]],"")</f>
        <v>39.625</v>
      </c>
      <c r="AM481">
        <f>COUNTIF(N$2:$N$938,N481)</f>
        <v>218</v>
      </c>
      <c r="AN481" t="str">
        <f>VLOOKUP(N481,'Helpful Tables'!A:D,4,FALSE)</f>
        <v>Washington, DC</v>
      </c>
      <c r="AO481" s="24">
        <f>COUNTIF(AN:AN,Table2[[#This Row],[State]])/COUNTA(AN:AN)</f>
        <v>0.54904051172707891</v>
      </c>
      <c r="AP481">
        <f>VLOOKUP(N481,'Helpful Tables'!A:B,2,FALSE)</f>
        <v>38.934710000000003</v>
      </c>
      <c r="AQ481">
        <f>VLOOKUP(N481,'Helpful Tables'!A:C,3,FALSE)</f>
        <v>-77.058222999999998</v>
      </c>
      <c r="AR481">
        <f>COUNTIF(P$2:$P$938,P481)</f>
        <v>71</v>
      </c>
      <c r="AS481" cm="1">
        <f t="array" ref="AS481">_xlfn.IFS(E481&lt;6,((E481/D481)*60)*0.5,AND(E481&gt;=6,E481&lt;9),((E481/D481)*60)*0.75,AND(E481&gt;=9,E481&lt;=11),((E481/D481)*60)*0.9,AND(E481=12),((E481/D481)*60)*1,AND(E481&gt;=13,E481&lt;=15),((E481/D481)*60)*1.2,AND(E481&gt;=16,E481&lt;=19),((E481/D481)*60)*1.5,E481&gt;=20,((E481/D481)*60)*1.8)</f>
        <v>25.714285714285715</v>
      </c>
      <c r="AT481" cm="1">
        <f t="array" ref="AT481">_xlfn.IFS(F481&lt;550,((F481/D481)*60)*0.5,AND(F481&gt;=550,F481&lt;575),((F481/D481)*60)*0.75,AND(F481&gt;=575,F481&lt;600),((F481/D481)*60)*0.9,AND(F481=600),((F481/D481)*60)*1,AND(F481&gt;=601,F481&lt;=625),((F481/D481)*60)*1.2,AND(F481&gt;=626,F481&lt;=650),((F481/D481)*60)*1.5,F481&gt;=651,((F481/D481)*60)*1.8)</f>
        <v>1018.9285714285713</v>
      </c>
      <c r="AU481">
        <f t="shared" si="142"/>
        <v>3.2999999999999972</v>
      </c>
      <c r="AV481">
        <f t="shared" si="138"/>
        <v>418.51714285714286</v>
      </c>
      <c r="AW481">
        <f t="shared" si="143"/>
        <v>61.3</v>
      </c>
      <c r="AX481" t="str">
        <f t="shared" si="136"/>
        <v>Jun-2023</v>
      </c>
      <c r="AY481">
        <f>ROUNDUP(Table2[[#This Row],[Month]]/3,0)</f>
        <v>2</v>
      </c>
    </row>
    <row r="482" spans="1:51" x14ac:dyDescent="0.2">
      <c r="A482">
        <v>481</v>
      </c>
      <c r="B482">
        <f t="shared" si="125"/>
        <v>13</v>
      </c>
      <c r="C482" s="22">
        <v>45080</v>
      </c>
      <c r="D482">
        <f>SUM(Table2[[#This Row],[Gray Min]:[Red Min]])</f>
        <v>59</v>
      </c>
      <c r="E482">
        <v>7</v>
      </c>
      <c r="F482">
        <v>493</v>
      </c>
      <c r="G482">
        <v>108</v>
      </c>
      <c r="H482">
        <v>162</v>
      </c>
      <c r="I482">
        <v>36</v>
      </c>
      <c r="J482">
        <v>7</v>
      </c>
      <c r="K482">
        <v>9</v>
      </c>
      <c r="L482">
        <v>7</v>
      </c>
      <c r="M482">
        <v>0</v>
      </c>
      <c r="N482" t="s">
        <v>101</v>
      </c>
      <c r="O482" t="s">
        <v>93</v>
      </c>
      <c r="P482" t="s">
        <v>109</v>
      </c>
      <c r="Q482">
        <f t="shared" si="137"/>
        <v>1</v>
      </c>
      <c r="R482" t="str">
        <f t="shared" si="126"/>
        <v>6-2023</v>
      </c>
      <c r="S482" t="s">
        <v>117</v>
      </c>
      <c r="T482" t="str">
        <f t="shared" si="127"/>
        <v>Saturday</v>
      </c>
      <c r="U482">
        <f t="shared" si="128"/>
        <v>0</v>
      </c>
      <c r="V482" s="24">
        <f>IFERROR(Table2[[#This Row],[Gray Min]]/Table2[[#This Row],[ClassLength]],"")</f>
        <v>0.61016949152542377</v>
      </c>
      <c r="W482" s="24">
        <f>IFERROR(Table2[[#This Row],[Blue Min]]/Table2[[#This Row],[ClassLength]],"")</f>
        <v>0.11864406779661017</v>
      </c>
      <c r="X482" s="24">
        <f>IFERROR(Table2[[#This Row],[Green Min]]/Table2[[#This Row],[ClassLength]],"")</f>
        <v>0.15254237288135594</v>
      </c>
      <c r="Y482" s="24">
        <f>IFERROR(Table2[[#This Row],[Orange Min]]/Table2[[#This Row],[ClassLength]],"")</f>
        <v>0.11864406779661017</v>
      </c>
      <c r="Z482" s="24">
        <f>IFERROR(Table2[[#This Row],[Red Min]]/Table2[[#This Row],[ClassLength]],"")</f>
        <v>0</v>
      </c>
      <c r="AA482" s="25">
        <v>232.14</v>
      </c>
      <c r="AB482" s="25">
        <f t="shared" si="141"/>
        <v>17.856923076923074</v>
      </c>
      <c r="AC482" s="26">
        <f t="shared" si="129"/>
        <v>622.92307692307691</v>
      </c>
      <c r="AD482" s="26">
        <f t="shared" si="130"/>
        <v>13.153846153846153</v>
      </c>
      <c r="AE482">
        <f t="shared" si="131"/>
        <v>2023</v>
      </c>
      <c r="AG482">
        <v>12</v>
      </c>
      <c r="AH482" s="26">
        <f t="shared" si="132"/>
        <v>8.3559322033898304</v>
      </c>
      <c r="AI482" t="str">
        <f t="shared" si="133"/>
        <v>AM</v>
      </c>
      <c r="AJ482" t="str">
        <f t="shared" si="134"/>
        <v>6-2023-1</v>
      </c>
      <c r="AK482">
        <f t="shared" si="135"/>
        <v>6</v>
      </c>
      <c r="AL482" s="26">
        <f>IFERROR(Table2[[#This Row],[Calories]]/Table2[[#This Row],[Splat]],"")</f>
        <v>70.428571428571431</v>
      </c>
      <c r="AM482">
        <f>COUNTIF(N$2:$N$938,N482)</f>
        <v>191</v>
      </c>
      <c r="AN482" t="str">
        <f>VLOOKUP(N482,'Helpful Tables'!A:D,4,FALSE)</f>
        <v>Washington, DC</v>
      </c>
      <c r="AO482" s="24">
        <f>COUNTIF(AN:AN,Table2[[#This Row],[State]])/COUNTA(AN:AN)</f>
        <v>0.54904051172707891</v>
      </c>
      <c r="AP482">
        <f>VLOOKUP(N482,'Helpful Tables'!A:B,2,FALSE)</f>
        <v>38.949649000000001</v>
      </c>
      <c r="AQ482">
        <f>VLOOKUP(N482,'Helpful Tables'!A:C,3,FALSE)</f>
        <v>-77.080878999999996</v>
      </c>
      <c r="AR482">
        <f>COUNTIF(P$2:$P$938,P482)</f>
        <v>66</v>
      </c>
      <c r="AS482" cm="1">
        <f t="array" ref="AS482">_xlfn.IFS(E482&lt;6,((E482/D482)*60)*0.5,AND(E482&gt;=6,E482&lt;9),((E482/D482)*60)*0.75,AND(E482&gt;=9,E482&lt;=11),((E482/D482)*60)*0.9,AND(E482=12),((E482/D482)*60)*1,AND(E482&gt;=13,E482&lt;=15),((E482/D482)*60)*1.2,AND(E482&gt;=16,E482&lt;=19),((E482/D482)*60)*1.5,E482&gt;=20,((E482/D482)*60)*1.8)</f>
        <v>5.3389830508474585</v>
      </c>
      <c r="AT482" cm="1">
        <f t="array" ref="AT482">_xlfn.IFS(F482&lt;550,((F482/D482)*60)*0.5,AND(F482&gt;=550,F482&lt;575),((F482/D482)*60)*0.75,AND(F482&gt;=575,F482&lt;600),((F482/D482)*60)*0.9,AND(F482=600),((F482/D482)*60)*1,AND(F482&gt;=601,F482&lt;=625),((F482/D482)*60)*1.2,AND(F482&gt;=626,F482&lt;=650),((F482/D482)*60)*1.5,F482&gt;=651,((F482/D482)*60)*1.8)</f>
        <v>250.67796610169492</v>
      </c>
      <c r="AU482">
        <f t="shared" si="142"/>
        <v>-31</v>
      </c>
      <c r="AV482">
        <f t="shared" si="138"/>
        <v>96.206779661016967</v>
      </c>
      <c r="AW482">
        <f t="shared" si="143"/>
        <v>0.6</v>
      </c>
      <c r="AX482" t="str">
        <f t="shared" si="136"/>
        <v>Jun-2023</v>
      </c>
      <c r="AY482">
        <f>ROUNDUP(Table2[[#This Row],[Month]]/3,0)</f>
        <v>2</v>
      </c>
    </row>
    <row r="483" spans="1:51" x14ac:dyDescent="0.2">
      <c r="A483">
        <v>482</v>
      </c>
      <c r="B483">
        <f t="shared" si="125"/>
        <v>13</v>
      </c>
      <c r="C483" s="22">
        <v>45082</v>
      </c>
      <c r="D483">
        <f>SUM(Table2[[#This Row],[Gray Min]:[Red Min]])</f>
        <v>55</v>
      </c>
      <c r="E483">
        <v>7</v>
      </c>
      <c r="F483">
        <v>525</v>
      </c>
      <c r="G483">
        <v>116</v>
      </c>
      <c r="H483">
        <v>163</v>
      </c>
      <c r="I483">
        <v>27</v>
      </c>
      <c r="J483">
        <v>7</v>
      </c>
      <c r="K483">
        <v>14</v>
      </c>
      <c r="L483">
        <v>7</v>
      </c>
      <c r="M483">
        <v>0</v>
      </c>
      <c r="N483" t="s">
        <v>101</v>
      </c>
      <c r="O483" t="s">
        <v>173</v>
      </c>
      <c r="P483" t="s">
        <v>109</v>
      </c>
      <c r="Q483">
        <f t="shared" si="137"/>
        <v>2</v>
      </c>
      <c r="R483" t="str">
        <f t="shared" si="126"/>
        <v>6-2023</v>
      </c>
      <c r="S483" t="s">
        <v>104</v>
      </c>
      <c r="T483" t="str">
        <f t="shared" si="127"/>
        <v>Monday</v>
      </c>
      <c r="U483">
        <f t="shared" si="128"/>
        <v>0</v>
      </c>
      <c r="V483" s="24">
        <f>IFERROR(Table2[[#This Row],[Gray Min]]/Table2[[#This Row],[ClassLength]],"")</f>
        <v>0.49090909090909091</v>
      </c>
      <c r="W483" s="24">
        <f>IFERROR(Table2[[#This Row],[Blue Min]]/Table2[[#This Row],[ClassLength]],"")</f>
        <v>0.12727272727272726</v>
      </c>
      <c r="X483" s="24">
        <f>IFERROR(Table2[[#This Row],[Green Min]]/Table2[[#This Row],[ClassLength]],"")</f>
        <v>0.25454545454545452</v>
      </c>
      <c r="Y483" s="24">
        <f>IFERROR(Table2[[#This Row],[Orange Min]]/Table2[[#This Row],[ClassLength]],"")</f>
        <v>0.12727272727272726</v>
      </c>
      <c r="Z483" s="24">
        <f>IFERROR(Table2[[#This Row],[Red Min]]/Table2[[#This Row],[ClassLength]],"")</f>
        <v>0</v>
      </c>
      <c r="AA483" s="25">
        <v>232.14</v>
      </c>
      <c r="AB483" s="25">
        <f t="shared" si="141"/>
        <v>17.856923076923074</v>
      </c>
      <c r="AC483" s="26">
        <f t="shared" si="129"/>
        <v>622.92307692307691</v>
      </c>
      <c r="AD483" s="26">
        <f t="shared" si="130"/>
        <v>13.153846153846153</v>
      </c>
      <c r="AE483">
        <f t="shared" si="131"/>
        <v>2023</v>
      </c>
      <c r="AG483">
        <v>12</v>
      </c>
      <c r="AH483" s="26">
        <f t="shared" si="132"/>
        <v>9.545454545454545</v>
      </c>
      <c r="AI483" t="str">
        <f t="shared" si="133"/>
        <v>PM</v>
      </c>
      <c r="AJ483" t="str">
        <f t="shared" si="134"/>
        <v>6-2023-2</v>
      </c>
      <c r="AK483">
        <f t="shared" si="135"/>
        <v>6</v>
      </c>
      <c r="AL483" s="26">
        <f>IFERROR(Table2[[#This Row],[Calories]]/Table2[[#This Row],[Splat]],"")</f>
        <v>75</v>
      </c>
      <c r="AM483">
        <f>COUNTIF(N$2:$N$938,N483)</f>
        <v>191</v>
      </c>
      <c r="AN483" t="str">
        <f>VLOOKUP(N483,'Helpful Tables'!A:D,4,FALSE)</f>
        <v>Washington, DC</v>
      </c>
      <c r="AO483" s="24">
        <f>COUNTIF(AN:AN,Table2[[#This Row],[State]])/COUNTA(AN:AN)</f>
        <v>0.54904051172707891</v>
      </c>
      <c r="AP483">
        <f>VLOOKUP(N483,'Helpful Tables'!A:B,2,FALSE)</f>
        <v>38.949649000000001</v>
      </c>
      <c r="AQ483">
        <f>VLOOKUP(N483,'Helpful Tables'!A:C,3,FALSE)</f>
        <v>-77.080878999999996</v>
      </c>
      <c r="AR483">
        <f>COUNTIF(P$2:$P$938,P483)</f>
        <v>66</v>
      </c>
      <c r="AS483" cm="1">
        <f t="array" ref="AS483">_xlfn.IFS(E483&lt;6,((E483/D483)*60)*0.5,AND(E483&gt;=6,E483&lt;9),((E483/D483)*60)*0.75,AND(E483&gt;=9,E483&lt;=11),((E483/D483)*60)*0.9,AND(E483=12),((E483/D483)*60)*1,AND(E483&gt;=13,E483&lt;=15),((E483/D483)*60)*1.2,AND(E483&gt;=16,E483&lt;=19),((E483/D483)*60)*1.5,E483&gt;=20,((E483/D483)*60)*1.8)</f>
        <v>5.7272727272727266</v>
      </c>
      <c r="AT483" cm="1">
        <f t="array" ref="AT483">_xlfn.IFS(F483&lt;550,((F483/D483)*60)*0.5,AND(F483&gt;=550,F483&lt;575),((F483/D483)*60)*0.75,AND(F483&gt;=575,F483&lt;600),((F483/D483)*60)*0.9,AND(F483=600),((F483/D483)*60)*1,AND(F483&gt;=601,F483&lt;=625),((F483/D483)*60)*1.2,AND(F483&gt;=626,F483&lt;=650),((F483/D483)*60)*1.5,F483&gt;=651,((F483/D483)*60)*1.8)</f>
        <v>286.36363636363637</v>
      </c>
      <c r="AU483">
        <f t="shared" si="142"/>
        <v>-14.200000000000001</v>
      </c>
      <c r="AV483">
        <f t="shared" si="138"/>
        <v>113.99636363636365</v>
      </c>
      <c r="AW483">
        <f t="shared" si="143"/>
        <v>5.0999999999999996</v>
      </c>
      <c r="AX483" t="str">
        <f t="shared" si="136"/>
        <v>Jun-2023</v>
      </c>
      <c r="AY483">
        <f>ROUNDUP(Table2[[#This Row],[Month]]/3,0)</f>
        <v>2</v>
      </c>
    </row>
    <row r="484" spans="1:51" x14ac:dyDescent="0.2">
      <c r="A484">
        <v>483</v>
      </c>
      <c r="B484">
        <f t="shared" si="125"/>
        <v>13</v>
      </c>
      <c r="C484" s="22">
        <v>45084</v>
      </c>
      <c r="D484">
        <f>SUM(Table2[[#This Row],[Gray Min]:[Red Min]])</f>
        <v>58</v>
      </c>
      <c r="E484">
        <v>22</v>
      </c>
      <c r="F484">
        <v>739</v>
      </c>
      <c r="G484">
        <v>138</v>
      </c>
      <c r="H484">
        <v>167</v>
      </c>
      <c r="I484">
        <v>1</v>
      </c>
      <c r="J484">
        <v>13</v>
      </c>
      <c r="K484">
        <v>22</v>
      </c>
      <c r="L484">
        <v>17</v>
      </c>
      <c r="M484">
        <v>5</v>
      </c>
      <c r="N484" t="s">
        <v>91</v>
      </c>
      <c r="O484" t="s">
        <v>57</v>
      </c>
      <c r="P484" t="s">
        <v>96</v>
      </c>
      <c r="Q484">
        <f t="shared" si="137"/>
        <v>2</v>
      </c>
      <c r="R484" t="str">
        <f t="shared" si="126"/>
        <v>6-2023</v>
      </c>
      <c r="S484" t="s">
        <v>104</v>
      </c>
      <c r="T484" t="str">
        <f t="shared" si="127"/>
        <v>Wednesday</v>
      </c>
      <c r="U484">
        <f t="shared" si="128"/>
        <v>1</v>
      </c>
      <c r="V484" s="24">
        <f>IFERROR(Table2[[#This Row],[Gray Min]]/Table2[[#This Row],[ClassLength]],"")</f>
        <v>1.7241379310344827E-2</v>
      </c>
      <c r="W484" s="24">
        <f>IFERROR(Table2[[#This Row],[Blue Min]]/Table2[[#This Row],[ClassLength]],"")</f>
        <v>0.22413793103448276</v>
      </c>
      <c r="X484" s="24">
        <f>IFERROR(Table2[[#This Row],[Green Min]]/Table2[[#This Row],[ClassLength]],"")</f>
        <v>0.37931034482758619</v>
      </c>
      <c r="Y484" s="24">
        <f>IFERROR(Table2[[#This Row],[Orange Min]]/Table2[[#This Row],[ClassLength]],"")</f>
        <v>0.29310344827586204</v>
      </c>
      <c r="Z484" s="24">
        <f>IFERROR(Table2[[#This Row],[Red Min]]/Table2[[#This Row],[ClassLength]],"")</f>
        <v>8.6206896551724144E-2</v>
      </c>
      <c r="AA484" s="25">
        <v>232.14</v>
      </c>
      <c r="AB484" s="25">
        <f t="shared" si="141"/>
        <v>17.856923076923074</v>
      </c>
      <c r="AC484" s="26">
        <f t="shared" si="129"/>
        <v>622.92307692307691</v>
      </c>
      <c r="AD484" s="26">
        <f t="shared" si="130"/>
        <v>13.153846153846153</v>
      </c>
      <c r="AE484">
        <f t="shared" si="131"/>
        <v>2023</v>
      </c>
      <c r="AG484">
        <v>12</v>
      </c>
      <c r="AH484" s="26">
        <f t="shared" si="132"/>
        <v>12.741379310344827</v>
      </c>
      <c r="AI484" t="str">
        <f t="shared" si="133"/>
        <v>PM</v>
      </c>
      <c r="AJ484" t="str">
        <f t="shared" si="134"/>
        <v>6-2023-2</v>
      </c>
      <c r="AK484">
        <f t="shared" si="135"/>
        <v>6</v>
      </c>
      <c r="AL484" s="26">
        <f>IFERROR(Table2[[#This Row],[Calories]]/Table2[[#This Row],[Splat]],"")</f>
        <v>33.590909090909093</v>
      </c>
      <c r="AM484">
        <f>COUNTIF(N$2:$N$938,N484)</f>
        <v>218</v>
      </c>
      <c r="AN484" t="str">
        <f>VLOOKUP(N484,'Helpful Tables'!A:D,4,FALSE)</f>
        <v>Washington, DC</v>
      </c>
      <c r="AO484" s="24">
        <f>COUNTIF(AN:AN,Table2[[#This Row],[State]])/COUNTA(AN:AN)</f>
        <v>0.54904051172707891</v>
      </c>
      <c r="AP484">
        <f>VLOOKUP(N484,'Helpful Tables'!A:B,2,FALSE)</f>
        <v>38.934710000000003</v>
      </c>
      <c r="AQ484">
        <f>VLOOKUP(N484,'Helpful Tables'!A:C,3,FALSE)</f>
        <v>-77.058222999999998</v>
      </c>
      <c r="AR484">
        <f>COUNTIF(P$2:$P$938,P484)</f>
        <v>71</v>
      </c>
      <c r="AS484" cm="1">
        <f t="array" ref="AS484">_xlfn.IFS(E484&lt;6,((E484/D484)*60)*0.5,AND(E484&gt;=6,E484&lt;9),((E484/D484)*60)*0.75,AND(E484&gt;=9,E484&lt;=11),((E484/D484)*60)*0.9,AND(E484=12),((E484/D484)*60)*1,AND(E484&gt;=13,E484&lt;=15),((E484/D484)*60)*1.2,AND(E484&gt;=16,E484&lt;=19),((E484/D484)*60)*1.5,E484&gt;=20,((E484/D484)*60)*1.8)</f>
        <v>40.96551724137931</v>
      </c>
      <c r="AT484" cm="1">
        <f t="array" ref="AT484">_xlfn.IFS(F484&lt;550,((F484/D484)*60)*0.5,AND(F484&gt;=550,F484&lt;575),((F484/D484)*60)*0.75,AND(F484&gt;=575,F484&lt;600),((F484/D484)*60)*0.9,AND(F484=600),((F484/D484)*60)*1,AND(F484&gt;=601,F484&lt;=625),((F484/D484)*60)*1.2,AND(F484&gt;=626,F484&lt;=650),((F484/D484)*60)*1.5,F484&gt;=651,((F484/D484)*60)*1.8)</f>
        <v>1376.0689655172414</v>
      </c>
      <c r="AU484">
        <f t="shared" si="142"/>
        <v>40.5</v>
      </c>
      <c r="AV484">
        <f t="shared" si="138"/>
        <v>574.91379310344826</v>
      </c>
      <c r="AW484">
        <f t="shared" si="143"/>
        <v>99.6</v>
      </c>
      <c r="AX484" t="str">
        <f t="shared" si="136"/>
        <v>Jun-2023</v>
      </c>
      <c r="AY484">
        <f>ROUNDUP(Table2[[#This Row],[Month]]/3,0)</f>
        <v>2</v>
      </c>
    </row>
    <row r="485" spans="1:51" x14ac:dyDescent="0.2">
      <c r="A485">
        <v>484</v>
      </c>
      <c r="B485">
        <f t="shared" si="125"/>
        <v>13</v>
      </c>
      <c r="C485" s="22">
        <v>45086</v>
      </c>
      <c r="D485">
        <f>SUM(Table2[[#This Row],[Gray Min]:[Red Min]])</f>
        <v>56</v>
      </c>
      <c r="E485">
        <v>13</v>
      </c>
      <c r="F485">
        <v>637</v>
      </c>
      <c r="G485">
        <v>129</v>
      </c>
      <c r="H485">
        <v>169</v>
      </c>
      <c r="I485">
        <v>11</v>
      </c>
      <c r="J485">
        <v>14</v>
      </c>
      <c r="K485">
        <v>18</v>
      </c>
      <c r="L485">
        <v>11</v>
      </c>
      <c r="M485">
        <v>2</v>
      </c>
      <c r="N485" t="s">
        <v>91</v>
      </c>
      <c r="O485" t="s">
        <v>26</v>
      </c>
      <c r="P485" t="s">
        <v>96</v>
      </c>
      <c r="Q485">
        <f t="shared" si="137"/>
        <v>2</v>
      </c>
      <c r="R485" t="str">
        <f t="shared" si="126"/>
        <v>6-2023</v>
      </c>
      <c r="S485" t="s">
        <v>104</v>
      </c>
      <c r="T485" t="str">
        <f t="shared" si="127"/>
        <v>Friday</v>
      </c>
      <c r="U485">
        <f t="shared" si="128"/>
        <v>1</v>
      </c>
      <c r="V485" s="24">
        <f>IFERROR(Table2[[#This Row],[Gray Min]]/Table2[[#This Row],[ClassLength]],"")</f>
        <v>0.19642857142857142</v>
      </c>
      <c r="W485" s="24">
        <f>IFERROR(Table2[[#This Row],[Blue Min]]/Table2[[#This Row],[ClassLength]],"")</f>
        <v>0.25</v>
      </c>
      <c r="X485" s="24">
        <f>IFERROR(Table2[[#This Row],[Green Min]]/Table2[[#This Row],[ClassLength]],"")</f>
        <v>0.32142857142857145</v>
      </c>
      <c r="Y485" s="24">
        <f>IFERROR(Table2[[#This Row],[Orange Min]]/Table2[[#This Row],[ClassLength]],"")</f>
        <v>0.19642857142857142</v>
      </c>
      <c r="Z485" s="24">
        <f>IFERROR(Table2[[#This Row],[Red Min]]/Table2[[#This Row],[ClassLength]],"")</f>
        <v>3.5714285714285712E-2</v>
      </c>
      <c r="AA485" s="25">
        <v>232.14</v>
      </c>
      <c r="AB485" s="25">
        <f t="shared" si="141"/>
        <v>17.856923076923074</v>
      </c>
      <c r="AC485" s="26">
        <f t="shared" si="129"/>
        <v>622.92307692307691</v>
      </c>
      <c r="AD485" s="26">
        <f t="shared" si="130"/>
        <v>13.153846153846153</v>
      </c>
      <c r="AE485">
        <f t="shared" si="131"/>
        <v>2023</v>
      </c>
      <c r="AG485">
        <v>12</v>
      </c>
      <c r="AH485" s="26">
        <f t="shared" si="132"/>
        <v>11.375</v>
      </c>
      <c r="AI485" t="str">
        <f t="shared" si="133"/>
        <v>PM</v>
      </c>
      <c r="AJ485" t="str">
        <f t="shared" si="134"/>
        <v>6-2023-2</v>
      </c>
      <c r="AK485">
        <f t="shared" si="135"/>
        <v>6</v>
      </c>
      <c r="AL485" s="26">
        <f>IFERROR(Table2[[#This Row],[Calories]]/Table2[[#This Row],[Splat]],"")</f>
        <v>49</v>
      </c>
      <c r="AM485">
        <f>COUNTIF(N$2:$N$938,N485)</f>
        <v>218</v>
      </c>
      <c r="AN485" t="str">
        <f>VLOOKUP(N485,'Helpful Tables'!A:D,4,FALSE)</f>
        <v>Washington, DC</v>
      </c>
      <c r="AO485" s="24">
        <f>COUNTIF(AN:AN,Table2[[#This Row],[State]])/COUNTA(AN:AN)</f>
        <v>0.54904051172707891</v>
      </c>
      <c r="AP485">
        <f>VLOOKUP(N485,'Helpful Tables'!A:B,2,FALSE)</f>
        <v>38.934710000000003</v>
      </c>
      <c r="AQ485">
        <f>VLOOKUP(N485,'Helpful Tables'!A:C,3,FALSE)</f>
        <v>-77.058222999999998</v>
      </c>
      <c r="AR485">
        <f>COUNTIF(P$2:$P$938,P485)</f>
        <v>71</v>
      </c>
      <c r="AS485" cm="1">
        <f t="array" ref="AS485">_xlfn.IFS(E485&lt;6,((E485/D485)*60)*0.5,AND(E485&gt;=6,E485&lt;9),((E485/D485)*60)*0.75,AND(E485&gt;=9,E485&lt;=11),((E485/D485)*60)*0.9,AND(E485=12),((E485/D485)*60)*1,AND(E485&gt;=13,E485&lt;=15),((E485/D485)*60)*1.2,AND(E485&gt;=16,E485&lt;=19),((E485/D485)*60)*1.5,E485&gt;=20,((E485/D485)*60)*1.8)</f>
        <v>16.714285714285715</v>
      </c>
      <c r="AT485" cm="1">
        <f t="array" ref="AT485">_xlfn.IFS(F485&lt;550,((F485/D485)*60)*0.5,AND(F485&gt;=550,F485&lt;575),((F485/D485)*60)*0.75,AND(F485&gt;=575,F485&lt;600),((F485/D485)*60)*0.9,AND(F485=600),((F485/D485)*60)*1,AND(F485&gt;=601,F485&lt;=625),((F485/D485)*60)*1.2,AND(F485&gt;=626,F485&lt;=650),((F485/D485)*60)*1.5,F485&gt;=651,((F485/D485)*60)*1.8)</f>
        <v>1023.75</v>
      </c>
      <c r="AU485">
        <f t="shared" si="142"/>
        <v>10.299999999999997</v>
      </c>
      <c r="AV485">
        <f t="shared" si="138"/>
        <v>418.24571428571431</v>
      </c>
      <c r="AW485">
        <f t="shared" si="143"/>
        <v>61.199999999999996</v>
      </c>
      <c r="AX485" t="str">
        <f t="shared" si="136"/>
        <v>Jun-2023</v>
      </c>
      <c r="AY485">
        <f>ROUNDUP(Table2[[#This Row],[Month]]/3,0)</f>
        <v>2</v>
      </c>
    </row>
    <row r="486" spans="1:51" x14ac:dyDescent="0.2">
      <c r="A486">
        <v>485</v>
      </c>
      <c r="B486">
        <f t="shared" si="125"/>
        <v>13</v>
      </c>
      <c r="C486" s="22">
        <v>45090</v>
      </c>
      <c r="D486">
        <f>SUM(Table2[[#This Row],[Gray Min]:[Red Min]])</f>
        <v>59</v>
      </c>
      <c r="E486">
        <v>15</v>
      </c>
      <c r="F486">
        <v>664</v>
      </c>
      <c r="G486">
        <v>129</v>
      </c>
      <c r="H486">
        <v>173</v>
      </c>
      <c r="I486">
        <v>7</v>
      </c>
      <c r="J486">
        <v>20</v>
      </c>
      <c r="K486">
        <v>17</v>
      </c>
      <c r="L486">
        <v>12</v>
      </c>
      <c r="M486">
        <v>3</v>
      </c>
      <c r="N486" t="s">
        <v>101</v>
      </c>
      <c r="O486" t="s">
        <v>173</v>
      </c>
      <c r="P486" t="s">
        <v>109</v>
      </c>
      <c r="Q486">
        <f t="shared" si="137"/>
        <v>4</v>
      </c>
      <c r="R486" t="str">
        <f t="shared" si="126"/>
        <v>6-2023</v>
      </c>
      <c r="S486" t="s">
        <v>104</v>
      </c>
      <c r="T486" t="str">
        <f t="shared" si="127"/>
        <v>Tuesday</v>
      </c>
      <c r="U486">
        <f t="shared" si="128"/>
        <v>1</v>
      </c>
      <c r="V486" s="24">
        <f>IFERROR(Table2[[#This Row],[Gray Min]]/Table2[[#This Row],[ClassLength]],"")</f>
        <v>0.11864406779661017</v>
      </c>
      <c r="W486" s="24">
        <f>IFERROR(Table2[[#This Row],[Blue Min]]/Table2[[#This Row],[ClassLength]],"")</f>
        <v>0.33898305084745761</v>
      </c>
      <c r="X486" s="24">
        <f>IFERROR(Table2[[#This Row],[Green Min]]/Table2[[#This Row],[ClassLength]],"")</f>
        <v>0.28813559322033899</v>
      </c>
      <c r="Y486" s="24">
        <f>IFERROR(Table2[[#This Row],[Orange Min]]/Table2[[#This Row],[ClassLength]],"")</f>
        <v>0.20338983050847459</v>
      </c>
      <c r="Z486" s="24">
        <f>IFERROR(Table2[[#This Row],[Red Min]]/Table2[[#This Row],[ClassLength]],"")</f>
        <v>5.0847457627118647E-2</v>
      </c>
      <c r="AA486" s="25">
        <v>232.14</v>
      </c>
      <c r="AB486" s="25">
        <f t="shared" si="141"/>
        <v>17.856923076923074</v>
      </c>
      <c r="AC486" s="26">
        <f t="shared" si="129"/>
        <v>622.92307692307691</v>
      </c>
      <c r="AD486" s="26">
        <f t="shared" si="130"/>
        <v>13.153846153846153</v>
      </c>
      <c r="AE486">
        <f t="shared" si="131"/>
        <v>2023</v>
      </c>
      <c r="AG486">
        <v>12</v>
      </c>
      <c r="AH486" s="26">
        <f t="shared" si="132"/>
        <v>11.254237288135593</v>
      </c>
      <c r="AI486" t="str">
        <f t="shared" si="133"/>
        <v>PM</v>
      </c>
      <c r="AJ486" t="str">
        <f t="shared" si="134"/>
        <v>6-2023-3</v>
      </c>
      <c r="AK486">
        <f t="shared" si="135"/>
        <v>6</v>
      </c>
      <c r="AL486" s="26">
        <f>IFERROR(Table2[[#This Row],[Calories]]/Table2[[#This Row],[Splat]],"")</f>
        <v>44.266666666666666</v>
      </c>
      <c r="AM486">
        <f>COUNTIF(N$2:$N$938,N486)</f>
        <v>191</v>
      </c>
      <c r="AN486" t="str">
        <f>VLOOKUP(N486,'Helpful Tables'!A:D,4,FALSE)</f>
        <v>Washington, DC</v>
      </c>
      <c r="AO486" s="24">
        <f>COUNTIF(AN:AN,Table2[[#This Row],[State]])/COUNTA(AN:AN)</f>
        <v>0.54904051172707891</v>
      </c>
      <c r="AP486">
        <f>VLOOKUP(N486,'Helpful Tables'!A:B,2,FALSE)</f>
        <v>38.949649000000001</v>
      </c>
      <c r="AQ486">
        <f>VLOOKUP(N486,'Helpful Tables'!A:C,3,FALSE)</f>
        <v>-77.080878999999996</v>
      </c>
      <c r="AR486">
        <f>COUNTIF(P$2:$P$938,P486)</f>
        <v>66</v>
      </c>
      <c r="AS486" cm="1">
        <f t="array" ref="AS486">_xlfn.IFS(E486&lt;6,((E486/D486)*60)*0.5,AND(E486&gt;=6,E486&lt;9),((E486/D486)*60)*0.75,AND(E486&gt;=9,E486&lt;=11),((E486/D486)*60)*0.9,AND(E486=12),((E486/D486)*60)*1,AND(E486&gt;=13,E486&lt;=15),((E486/D486)*60)*1.2,AND(E486&gt;=16,E486&lt;=19),((E486/D486)*60)*1.5,E486&gt;=20,((E486/D486)*60)*1.8)</f>
        <v>18.305084745762709</v>
      </c>
      <c r="AT486" cm="1">
        <f t="array" ref="AT486">_xlfn.IFS(F486&lt;550,((F486/D486)*60)*0.5,AND(F486&gt;=550,F486&lt;575),((F486/D486)*60)*0.75,AND(F486&gt;=575,F486&lt;600),((F486/D486)*60)*0.9,AND(F486=600),((F486/D486)*60)*1,AND(F486&gt;=601,F486&lt;=625),((F486/D486)*60)*1.2,AND(F486&gt;=626,F486&lt;=650),((F486/D486)*60)*1.5,F486&gt;=651,((F486/D486)*60)*1.8)</f>
        <v>1215.4576271186443</v>
      </c>
      <c r="AU486">
        <f t="shared" si="142"/>
        <v>10.100000000000001</v>
      </c>
      <c r="AV486">
        <f t="shared" si="138"/>
        <v>495.5250847457628</v>
      </c>
      <c r="AW486">
        <f t="shared" si="143"/>
        <v>76.3</v>
      </c>
      <c r="AX486" t="str">
        <f t="shared" si="136"/>
        <v>Jun-2023</v>
      </c>
      <c r="AY486">
        <f>ROUNDUP(Table2[[#This Row],[Month]]/3,0)</f>
        <v>2</v>
      </c>
    </row>
    <row r="487" spans="1:51" x14ac:dyDescent="0.2">
      <c r="A487">
        <v>486</v>
      </c>
      <c r="B487">
        <f t="shared" si="125"/>
        <v>13</v>
      </c>
      <c r="C487" s="22">
        <v>45091</v>
      </c>
      <c r="D487">
        <f>SUM(Table2[[#This Row],[Gray Min]:[Red Min]])</f>
        <v>57</v>
      </c>
      <c r="E487">
        <v>21</v>
      </c>
      <c r="F487">
        <v>690</v>
      </c>
      <c r="G487">
        <v>132</v>
      </c>
      <c r="H487">
        <v>166</v>
      </c>
      <c r="I487">
        <v>11</v>
      </c>
      <c r="J487">
        <v>10</v>
      </c>
      <c r="K487">
        <v>15</v>
      </c>
      <c r="L487">
        <v>19</v>
      </c>
      <c r="M487">
        <v>2</v>
      </c>
      <c r="N487" t="s">
        <v>91</v>
      </c>
      <c r="O487" t="s">
        <v>57</v>
      </c>
      <c r="P487" t="s">
        <v>96</v>
      </c>
      <c r="Q487">
        <f t="shared" si="137"/>
        <v>1</v>
      </c>
      <c r="R487" t="str">
        <f t="shared" si="126"/>
        <v>6-2023</v>
      </c>
      <c r="S487" t="s">
        <v>104</v>
      </c>
      <c r="T487" t="str">
        <f t="shared" si="127"/>
        <v>Wednesday</v>
      </c>
      <c r="U487">
        <f t="shared" si="128"/>
        <v>1</v>
      </c>
      <c r="V487" s="24">
        <f>IFERROR(Table2[[#This Row],[Gray Min]]/Table2[[#This Row],[ClassLength]],"")</f>
        <v>0.19298245614035087</v>
      </c>
      <c r="W487" s="24">
        <f>IFERROR(Table2[[#This Row],[Blue Min]]/Table2[[#This Row],[ClassLength]],"")</f>
        <v>0.17543859649122806</v>
      </c>
      <c r="X487" s="24">
        <f>IFERROR(Table2[[#This Row],[Green Min]]/Table2[[#This Row],[ClassLength]],"")</f>
        <v>0.26315789473684209</v>
      </c>
      <c r="Y487" s="24">
        <f>IFERROR(Table2[[#This Row],[Orange Min]]/Table2[[#This Row],[ClassLength]],"")</f>
        <v>0.33333333333333331</v>
      </c>
      <c r="Z487" s="24">
        <f>IFERROR(Table2[[#This Row],[Red Min]]/Table2[[#This Row],[ClassLength]],"")</f>
        <v>3.5087719298245612E-2</v>
      </c>
      <c r="AA487" s="25">
        <v>232.14</v>
      </c>
      <c r="AB487" s="25">
        <f t="shared" si="141"/>
        <v>17.856923076923074</v>
      </c>
      <c r="AC487" s="26">
        <f t="shared" si="129"/>
        <v>622.92307692307691</v>
      </c>
      <c r="AD487" s="26">
        <f t="shared" si="130"/>
        <v>13.153846153846153</v>
      </c>
      <c r="AE487">
        <f t="shared" si="131"/>
        <v>2023</v>
      </c>
      <c r="AG487">
        <v>12</v>
      </c>
      <c r="AH487" s="26">
        <f t="shared" si="132"/>
        <v>12.105263157894736</v>
      </c>
      <c r="AI487" t="str">
        <f t="shared" si="133"/>
        <v>PM</v>
      </c>
      <c r="AJ487" t="str">
        <f t="shared" si="134"/>
        <v>6-2023-3</v>
      </c>
      <c r="AK487">
        <f t="shared" si="135"/>
        <v>6</v>
      </c>
      <c r="AL487" s="26">
        <f>IFERROR(Table2[[#This Row],[Calories]]/Table2[[#This Row],[Splat]],"")</f>
        <v>32.857142857142854</v>
      </c>
      <c r="AM487">
        <f>COUNTIF(N$2:$N$938,N487)</f>
        <v>218</v>
      </c>
      <c r="AN487" t="str">
        <f>VLOOKUP(N487,'Helpful Tables'!A:D,4,FALSE)</f>
        <v>Washington, DC</v>
      </c>
      <c r="AO487" s="24">
        <f>COUNTIF(AN:AN,Table2[[#This Row],[State]])/COUNTA(AN:AN)</f>
        <v>0.54904051172707891</v>
      </c>
      <c r="AP487">
        <f>VLOOKUP(N487,'Helpful Tables'!A:B,2,FALSE)</f>
        <v>38.934710000000003</v>
      </c>
      <c r="AQ487">
        <f>VLOOKUP(N487,'Helpful Tables'!A:C,3,FALSE)</f>
        <v>-77.058222999999998</v>
      </c>
      <c r="AR487">
        <f>COUNTIF(P$2:$P$938,P487)</f>
        <v>71</v>
      </c>
      <c r="AS487" cm="1">
        <f t="array" ref="AS487">_xlfn.IFS(E487&lt;6,((E487/D487)*60)*0.5,AND(E487&gt;=6,E487&lt;9),((E487/D487)*60)*0.75,AND(E487&gt;=9,E487&lt;=11),((E487/D487)*60)*0.9,AND(E487=12),((E487/D487)*60)*1,AND(E487&gt;=13,E487&lt;=15),((E487/D487)*60)*1.2,AND(E487&gt;=16,E487&lt;=19),((E487/D487)*60)*1.5,E487&gt;=20,((E487/D487)*60)*1.8)</f>
        <v>39.789473684210527</v>
      </c>
      <c r="AT487" cm="1">
        <f t="array" ref="AT487">_xlfn.IFS(F487&lt;550,((F487/D487)*60)*0.5,AND(F487&gt;=550,F487&lt;575),((F487/D487)*60)*0.75,AND(F487&gt;=575,F487&lt;600),((F487/D487)*60)*0.9,AND(F487=600),((F487/D487)*60)*1,AND(F487&gt;=601,F487&lt;=625),((F487/D487)*60)*1.2,AND(F487&gt;=626,F487&lt;=650),((F487/D487)*60)*1.5,F487&gt;=651,((F487/D487)*60)*1.8)</f>
        <v>1307.3684210526314</v>
      </c>
      <c r="AU487">
        <f t="shared" si="142"/>
        <v>21.5</v>
      </c>
      <c r="AV487">
        <f t="shared" si="138"/>
        <v>543.16315789473674</v>
      </c>
      <c r="AW487">
        <f t="shared" si="143"/>
        <v>96.8</v>
      </c>
      <c r="AX487" t="str">
        <f t="shared" si="136"/>
        <v>Jun-2023</v>
      </c>
      <c r="AY487">
        <f>ROUNDUP(Table2[[#This Row],[Month]]/3,0)</f>
        <v>2</v>
      </c>
    </row>
    <row r="488" spans="1:51" x14ac:dyDescent="0.2">
      <c r="A488">
        <v>487</v>
      </c>
      <c r="B488">
        <f t="shared" si="125"/>
        <v>13</v>
      </c>
      <c r="C488" s="22">
        <v>45094</v>
      </c>
      <c r="D488">
        <f>SUM(Table2[[#This Row],[Gray Min]:[Red Min]])</f>
        <v>57</v>
      </c>
      <c r="E488">
        <v>19</v>
      </c>
      <c r="F488">
        <v>673</v>
      </c>
      <c r="G488">
        <v>132</v>
      </c>
      <c r="H488">
        <v>172</v>
      </c>
      <c r="I488">
        <v>7</v>
      </c>
      <c r="J488">
        <v>20</v>
      </c>
      <c r="K488">
        <v>11</v>
      </c>
      <c r="L488">
        <v>11</v>
      </c>
      <c r="M488">
        <v>8</v>
      </c>
      <c r="N488" t="s">
        <v>91</v>
      </c>
      <c r="O488" t="s">
        <v>79</v>
      </c>
      <c r="P488" t="s">
        <v>168</v>
      </c>
      <c r="Q488">
        <f t="shared" si="137"/>
        <v>3</v>
      </c>
      <c r="R488" t="str">
        <f t="shared" si="126"/>
        <v>6-2023</v>
      </c>
      <c r="S488" t="s">
        <v>104</v>
      </c>
      <c r="T488" t="str">
        <f t="shared" si="127"/>
        <v>Saturday</v>
      </c>
      <c r="U488">
        <f t="shared" si="128"/>
        <v>1</v>
      </c>
      <c r="V488" s="24">
        <f>IFERROR(Table2[[#This Row],[Gray Min]]/Table2[[#This Row],[ClassLength]],"")</f>
        <v>0.12280701754385964</v>
      </c>
      <c r="W488" s="24">
        <f>IFERROR(Table2[[#This Row],[Blue Min]]/Table2[[#This Row],[ClassLength]],"")</f>
        <v>0.35087719298245612</v>
      </c>
      <c r="X488" s="24">
        <f>IFERROR(Table2[[#This Row],[Green Min]]/Table2[[#This Row],[ClassLength]],"")</f>
        <v>0.19298245614035087</v>
      </c>
      <c r="Y488" s="24">
        <f>IFERROR(Table2[[#This Row],[Orange Min]]/Table2[[#This Row],[ClassLength]],"")</f>
        <v>0.19298245614035087</v>
      </c>
      <c r="Z488" s="24">
        <f>IFERROR(Table2[[#This Row],[Red Min]]/Table2[[#This Row],[ClassLength]],"")</f>
        <v>0.14035087719298245</v>
      </c>
      <c r="AA488" s="25">
        <v>232.14</v>
      </c>
      <c r="AB488" s="25">
        <f t="shared" si="141"/>
        <v>17.856923076923074</v>
      </c>
      <c r="AC488" s="26">
        <f t="shared" si="129"/>
        <v>622.92307692307691</v>
      </c>
      <c r="AD488" s="26">
        <f t="shared" si="130"/>
        <v>13.153846153846153</v>
      </c>
      <c r="AE488">
        <f t="shared" si="131"/>
        <v>2023</v>
      </c>
      <c r="AG488">
        <v>12</v>
      </c>
      <c r="AH488" s="26">
        <f t="shared" si="132"/>
        <v>11.807017543859649</v>
      </c>
      <c r="AI488" t="str">
        <f t="shared" si="133"/>
        <v>AM</v>
      </c>
      <c r="AJ488" t="str">
        <f t="shared" si="134"/>
        <v>6-2023-3</v>
      </c>
      <c r="AK488">
        <f t="shared" si="135"/>
        <v>6</v>
      </c>
      <c r="AL488" s="26">
        <f>IFERROR(Table2[[#This Row],[Calories]]/Table2[[#This Row],[Splat]],"")</f>
        <v>35.421052631578945</v>
      </c>
      <c r="AM488">
        <f>COUNTIF(N$2:$N$938,N488)</f>
        <v>218</v>
      </c>
      <c r="AN488" t="str">
        <f>VLOOKUP(N488,'Helpful Tables'!A:D,4,FALSE)</f>
        <v>Washington, DC</v>
      </c>
      <c r="AO488" s="24">
        <f>COUNTIF(AN:AN,Table2[[#This Row],[State]])/COUNTA(AN:AN)</f>
        <v>0.54904051172707891</v>
      </c>
      <c r="AP488">
        <f>VLOOKUP(N488,'Helpful Tables'!A:B,2,FALSE)</f>
        <v>38.934710000000003</v>
      </c>
      <c r="AQ488">
        <f>VLOOKUP(N488,'Helpful Tables'!A:C,3,FALSE)</f>
        <v>-77.058222999999998</v>
      </c>
      <c r="AR488">
        <f>COUNTIF(P$2:$P$938,P488)</f>
        <v>12</v>
      </c>
      <c r="AS488" cm="1">
        <f t="array" ref="AS488">_xlfn.IFS(E488&lt;6,((E488/D488)*60)*0.5,AND(E488&gt;=6,E488&lt;9),((E488/D488)*60)*0.75,AND(E488&gt;=9,E488&lt;=11),((E488/D488)*60)*0.9,AND(E488=12),((E488/D488)*60)*1,AND(E488&gt;=13,E488&lt;=15),((E488/D488)*60)*1.2,AND(E488&gt;=16,E488&lt;=19),((E488/D488)*60)*1.5,E488&gt;=20,((E488/D488)*60)*1.8)</f>
        <v>30</v>
      </c>
      <c r="AT488" cm="1">
        <f t="array" ref="AT488">_xlfn.IFS(F488&lt;550,((F488/D488)*60)*0.5,AND(F488&gt;=550,F488&lt;575),((F488/D488)*60)*0.75,AND(F488&gt;=575,F488&lt;600),((F488/D488)*60)*0.9,AND(F488=600),((F488/D488)*60)*1,AND(F488&gt;=601,F488&lt;=625),((F488/D488)*60)*1.2,AND(F488&gt;=626,F488&lt;=650),((F488/D488)*60)*1.5,F488&gt;=651,((F488/D488)*60)*1.8)</f>
        <v>1275.1578947368421</v>
      </c>
      <c r="AU488">
        <f t="shared" si="142"/>
        <v>9.1000000000000014</v>
      </c>
      <c r="AV488">
        <f t="shared" si="138"/>
        <v>523.88315789473688</v>
      </c>
      <c r="AW488">
        <f t="shared" si="143"/>
        <v>91.9</v>
      </c>
      <c r="AX488" t="str">
        <f t="shared" si="136"/>
        <v>Jun-2023</v>
      </c>
      <c r="AY488">
        <f>ROUNDUP(Table2[[#This Row],[Month]]/3,0)</f>
        <v>2</v>
      </c>
    </row>
    <row r="489" spans="1:51" x14ac:dyDescent="0.2">
      <c r="A489">
        <v>488</v>
      </c>
      <c r="B489">
        <f t="shared" si="125"/>
        <v>13</v>
      </c>
      <c r="C489" s="22">
        <v>45096</v>
      </c>
      <c r="D489">
        <f>SUM(Table2[[#This Row],[Gray Min]:[Red Min]])</f>
        <v>55</v>
      </c>
      <c r="E489">
        <v>13</v>
      </c>
      <c r="F489">
        <v>667</v>
      </c>
      <c r="G489">
        <v>133</v>
      </c>
      <c r="H489">
        <v>170</v>
      </c>
      <c r="I489">
        <v>4</v>
      </c>
      <c r="J489">
        <v>13</v>
      </c>
      <c r="K489">
        <v>25</v>
      </c>
      <c r="L489">
        <v>12</v>
      </c>
      <c r="M489">
        <v>1</v>
      </c>
      <c r="N489" t="s">
        <v>162</v>
      </c>
      <c r="O489" t="s">
        <v>166</v>
      </c>
      <c r="P489" t="s">
        <v>182</v>
      </c>
      <c r="Q489">
        <f t="shared" si="137"/>
        <v>2</v>
      </c>
      <c r="R489" t="str">
        <f t="shared" si="126"/>
        <v>6-2023</v>
      </c>
      <c r="S489" t="s">
        <v>104</v>
      </c>
      <c r="T489" t="str">
        <f t="shared" si="127"/>
        <v>Monday</v>
      </c>
      <c r="U489">
        <f t="shared" si="128"/>
        <v>1</v>
      </c>
      <c r="V489" s="24">
        <f>IFERROR(Table2[[#This Row],[Gray Min]]/Table2[[#This Row],[ClassLength]],"")</f>
        <v>7.2727272727272724E-2</v>
      </c>
      <c r="W489" s="24">
        <f>IFERROR(Table2[[#This Row],[Blue Min]]/Table2[[#This Row],[ClassLength]],"")</f>
        <v>0.23636363636363636</v>
      </c>
      <c r="X489" s="24">
        <f>IFERROR(Table2[[#This Row],[Green Min]]/Table2[[#This Row],[ClassLength]],"")</f>
        <v>0.45454545454545453</v>
      </c>
      <c r="Y489" s="24">
        <f>IFERROR(Table2[[#This Row],[Orange Min]]/Table2[[#This Row],[ClassLength]],"")</f>
        <v>0.21818181818181817</v>
      </c>
      <c r="Z489" s="24">
        <f>IFERROR(Table2[[#This Row],[Red Min]]/Table2[[#This Row],[ClassLength]],"")</f>
        <v>1.8181818181818181E-2</v>
      </c>
      <c r="AA489" s="25">
        <v>232.14</v>
      </c>
      <c r="AB489" s="25">
        <f t="shared" si="141"/>
        <v>17.856923076923074</v>
      </c>
      <c r="AC489" s="26">
        <f t="shared" si="129"/>
        <v>622.92307692307691</v>
      </c>
      <c r="AD489" s="26">
        <f t="shared" si="130"/>
        <v>13.153846153846153</v>
      </c>
      <c r="AE489">
        <f t="shared" si="131"/>
        <v>2023</v>
      </c>
      <c r="AG489">
        <v>12</v>
      </c>
      <c r="AH489" s="26">
        <f t="shared" si="132"/>
        <v>12.127272727272727</v>
      </c>
      <c r="AI489" t="str">
        <f t="shared" si="133"/>
        <v>AM</v>
      </c>
      <c r="AJ489" t="str">
        <f t="shared" si="134"/>
        <v>6-2023-4</v>
      </c>
      <c r="AK489">
        <f t="shared" si="135"/>
        <v>6</v>
      </c>
      <c r="AL489" s="26">
        <f>IFERROR(Table2[[#This Row],[Calories]]/Table2[[#This Row],[Splat]],"")</f>
        <v>51.307692307692307</v>
      </c>
      <c r="AM489">
        <f>COUNTIF(N$2:$N$938,N489)</f>
        <v>5</v>
      </c>
      <c r="AN489" t="str">
        <f>VLOOKUP(N489,'Helpful Tables'!A:D,4,FALSE)</f>
        <v>Maryland</v>
      </c>
      <c r="AO489" s="24">
        <f>COUNTIF(AN:AN,Table2[[#This Row],[State]])/COUNTA(AN:AN)</f>
        <v>5.3304904051172707E-3</v>
      </c>
      <c r="AP489">
        <f>VLOOKUP(N489,'Helpful Tables'!A:B,2,FALSE)</f>
        <v>38.989806999999999</v>
      </c>
      <c r="AQ489">
        <f>VLOOKUP(N489,'Helpful Tables'!A:C,3,FALSE)</f>
        <v>-77.096371000000005</v>
      </c>
      <c r="AR489">
        <f>COUNTIF(P$2:$P$938,P489)</f>
        <v>2</v>
      </c>
      <c r="AS489" cm="1">
        <f t="array" ref="AS489">_xlfn.IFS(E489&lt;6,((E489/D489)*60)*0.5,AND(E489&gt;=6,E489&lt;9),((E489/D489)*60)*0.75,AND(E489&gt;=9,E489&lt;=11),((E489/D489)*60)*0.9,AND(E489=12),((E489/D489)*60)*1,AND(E489&gt;=13,E489&lt;=15),((E489/D489)*60)*1.2,AND(E489&gt;=16,E489&lt;=19),((E489/D489)*60)*1.5,E489&gt;=20,((E489/D489)*60)*1.8)</f>
        <v>17.018181818181816</v>
      </c>
      <c r="AT489" cm="1">
        <f t="array" ref="AT489">_xlfn.IFS(F489&lt;550,((F489/D489)*60)*0.5,AND(F489&gt;=550,F489&lt;575),((F489/D489)*60)*0.75,AND(F489&gt;=575,F489&lt;600),((F489/D489)*60)*0.9,AND(F489=600),((F489/D489)*60)*1,AND(F489&gt;=601,F489&lt;=625),((F489/D489)*60)*1.2,AND(F489&gt;=626,F489&lt;=650),((F489/D489)*60)*1.5,F489&gt;=651,((F489/D489)*60)*1.8)</f>
        <v>1309.7454545454545</v>
      </c>
      <c r="AU489">
        <f t="shared" si="142"/>
        <v>28</v>
      </c>
      <c r="AV489">
        <f t="shared" si="138"/>
        <v>536.3054545454545</v>
      </c>
      <c r="AW489">
        <f t="shared" si="143"/>
        <v>95.7</v>
      </c>
      <c r="AX489" t="str">
        <f t="shared" si="136"/>
        <v>Jun-2023</v>
      </c>
      <c r="AY489">
        <f>ROUNDUP(Table2[[#This Row],[Month]]/3,0)</f>
        <v>2</v>
      </c>
    </row>
    <row r="490" spans="1:51" x14ac:dyDescent="0.2">
      <c r="A490">
        <v>489</v>
      </c>
      <c r="B490">
        <f t="shared" si="125"/>
        <v>13</v>
      </c>
      <c r="C490" s="22">
        <v>45098</v>
      </c>
      <c r="D490">
        <f>SUM(Table2[[#This Row],[Gray Min]:[Red Min]])</f>
        <v>58</v>
      </c>
      <c r="E490">
        <v>4</v>
      </c>
      <c r="F490">
        <v>520</v>
      </c>
      <c r="G490">
        <v>112</v>
      </c>
      <c r="H490">
        <v>156</v>
      </c>
      <c r="I490">
        <v>27</v>
      </c>
      <c r="J490">
        <v>16</v>
      </c>
      <c r="K490">
        <v>11</v>
      </c>
      <c r="L490">
        <v>4</v>
      </c>
      <c r="M490">
        <v>0</v>
      </c>
      <c r="N490" t="s">
        <v>101</v>
      </c>
      <c r="O490" t="s">
        <v>173</v>
      </c>
      <c r="P490" t="s">
        <v>147</v>
      </c>
      <c r="Q490">
        <f t="shared" si="137"/>
        <v>2</v>
      </c>
      <c r="R490" t="str">
        <f t="shared" si="126"/>
        <v>6-2023</v>
      </c>
      <c r="S490" t="s">
        <v>104</v>
      </c>
      <c r="T490" t="str">
        <f t="shared" si="127"/>
        <v>Wednesday</v>
      </c>
      <c r="U490">
        <f t="shared" si="128"/>
        <v>0</v>
      </c>
      <c r="V490" s="24">
        <f>IFERROR(Table2[[#This Row],[Gray Min]]/Table2[[#This Row],[ClassLength]],"")</f>
        <v>0.46551724137931033</v>
      </c>
      <c r="W490" s="24">
        <f>IFERROR(Table2[[#This Row],[Blue Min]]/Table2[[#This Row],[ClassLength]],"")</f>
        <v>0.27586206896551724</v>
      </c>
      <c r="X490" s="24">
        <f>IFERROR(Table2[[#This Row],[Green Min]]/Table2[[#This Row],[ClassLength]],"")</f>
        <v>0.18965517241379309</v>
      </c>
      <c r="Y490" s="24">
        <f>IFERROR(Table2[[#This Row],[Orange Min]]/Table2[[#This Row],[ClassLength]],"")</f>
        <v>6.8965517241379309E-2</v>
      </c>
      <c r="Z490" s="24">
        <f>IFERROR(Table2[[#This Row],[Red Min]]/Table2[[#This Row],[ClassLength]],"")</f>
        <v>0</v>
      </c>
      <c r="AA490" s="25">
        <v>232.14</v>
      </c>
      <c r="AB490" s="25">
        <f t="shared" si="141"/>
        <v>17.856923076923074</v>
      </c>
      <c r="AC490" s="26">
        <f t="shared" si="129"/>
        <v>622.92307692307691</v>
      </c>
      <c r="AD490" s="26">
        <f t="shared" si="130"/>
        <v>13.153846153846153</v>
      </c>
      <c r="AE490">
        <f t="shared" si="131"/>
        <v>2023</v>
      </c>
      <c r="AG490">
        <v>12</v>
      </c>
      <c r="AH490" s="26">
        <f t="shared" si="132"/>
        <v>8.9655172413793096</v>
      </c>
      <c r="AI490" t="str">
        <f t="shared" si="133"/>
        <v>PM</v>
      </c>
      <c r="AJ490" t="str">
        <f t="shared" si="134"/>
        <v>6-2023-4</v>
      </c>
      <c r="AK490">
        <f t="shared" si="135"/>
        <v>6</v>
      </c>
      <c r="AL490" s="26">
        <f>IFERROR(Table2[[#This Row],[Calories]]/Table2[[#This Row],[Splat]],"")</f>
        <v>130</v>
      </c>
      <c r="AM490">
        <f>COUNTIF(N$2:$N$938,N490)</f>
        <v>191</v>
      </c>
      <c r="AN490" t="str">
        <f>VLOOKUP(N490,'Helpful Tables'!A:D,4,FALSE)</f>
        <v>Washington, DC</v>
      </c>
      <c r="AO490" s="24">
        <f>COUNTIF(AN:AN,Table2[[#This Row],[State]])/COUNTA(AN:AN)</f>
        <v>0.54904051172707891</v>
      </c>
      <c r="AP490">
        <f>VLOOKUP(N490,'Helpful Tables'!A:B,2,FALSE)</f>
        <v>38.949649000000001</v>
      </c>
      <c r="AQ490">
        <f>VLOOKUP(N490,'Helpful Tables'!A:C,3,FALSE)</f>
        <v>-77.080878999999996</v>
      </c>
      <c r="AR490">
        <f>COUNTIF(P$2:$P$938,P490)</f>
        <v>17</v>
      </c>
      <c r="AS490" cm="1">
        <f t="array" ref="AS490">_xlfn.IFS(E490&lt;6,((E490/D490)*60)*0.5,AND(E490&gt;=6,E490&lt;9),((E490/D490)*60)*0.75,AND(E490&gt;=9,E490&lt;=11),((E490/D490)*60)*0.9,AND(E490=12),((E490/D490)*60)*1,AND(E490&gt;=13,E490&lt;=15),((E490/D490)*60)*1.2,AND(E490&gt;=16,E490&lt;=19),((E490/D490)*60)*1.5,E490&gt;=20,((E490/D490)*60)*1.8)</f>
        <v>2.0689655172413794</v>
      </c>
      <c r="AT490" cm="1">
        <f t="array" ref="AT490">_xlfn.IFS(F490&lt;550,((F490/D490)*60)*0.5,AND(F490&gt;=550,F490&lt;575),((F490/D490)*60)*0.75,AND(F490&gt;=575,F490&lt;600),((F490/D490)*60)*0.9,AND(F490=600),((F490/D490)*60)*1,AND(F490&gt;=601,F490&lt;=625),((F490/D490)*60)*1.2,AND(F490&gt;=626,F490&lt;=650),((F490/D490)*60)*1.5,F490&gt;=651,((F490/D490)*60)*1.8)</f>
        <v>268.9655172413793</v>
      </c>
      <c r="AU490">
        <f t="shared" si="142"/>
        <v>-31.599999999999998</v>
      </c>
      <c r="AV490">
        <f t="shared" si="138"/>
        <v>102.09379310344829</v>
      </c>
      <c r="AW490">
        <f t="shared" si="143"/>
        <v>1.3</v>
      </c>
      <c r="AX490" t="str">
        <f t="shared" si="136"/>
        <v>Jun-2023</v>
      </c>
      <c r="AY490">
        <f>ROUNDUP(Table2[[#This Row],[Month]]/3,0)</f>
        <v>2</v>
      </c>
    </row>
    <row r="491" spans="1:51" x14ac:dyDescent="0.2">
      <c r="A491">
        <v>490</v>
      </c>
      <c r="B491">
        <f t="shared" si="125"/>
        <v>13</v>
      </c>
      <c r="C491" s="22">
        <v>45100</v>
      </c>
      <c r="D491">
        <f>SUM(Table2[[#This Row],[Gray Min]:[Red Min]])</f>
        <v>55</v>
      </c>
      <c r="E491">
        <v>7</v>
      </c>
      <c r="F491">
        <v>578</v>
      </c>
      <c r="G491">
        <v>121</v>
      </c>
      <c r="H491">
        <v>165</v>
      </c>
      <c r="I491">
        <v>15</v>
      </c>
      <c r="J491">
        <v>17</v>
      </c>
      <c r="K491">
        <v>16</v>
      </c>
      <c r="L491">
        <v>6</v>
      </c>
      <c r="M491">
        <v>1</v>
      </c>
      <c r="N491" t="s">
        <v>91</v>
      </c>
      <c r="O491" t="s">
        <v>26</v>
      </c>
      <c r="P491" t="s">
        <v>96</v>
      </c>
      <c r="Q491">
        <f t="shared" si="137"/>
        <v>2</v>
      </c>
      <c r="R491" t="str">
        <f t="shared" si="126"/>
        <v>6-2023</v>
      </c>
      <c r="S491" t="s">
        <v>104</v>
      </c>
      <c r="T491" t="str">
        <f t="shared" si="127"/>
        <v>Friday</v>
      </c>
      <c r="U491">
        <f t="shared" si="128"/>
        <v>0</v>
      </c>
      <c r="V491" s="24">
        <f>IFERROR(Table2[[#This Row],[Gray Min]]/Table2[[#This Row],[ClassLength]],"")</f>
        <v>0.27272727272727271</v>
      </c>
      <c r="W491" s="24">
        <f>IFERROR(Table2[[#This Row],[Blue Min]]/Table2[[#This Row],[ClassLength]],"")</f>
        <v>0.30909090909090908</v>
      </c>
      <c r="X491" s="24">
        <f>IFERROR(Table2[[#This Row],[Green Min]]/Table2[[#This Row],[ClassLength]],"")</f>
        <v>0.29090909090909089</v>
      </c>
      <c r="Y491" s="24">
        <f>IFERROR(Table2[[#This Row],[Orange Min]]/Table2[[#This Row],[ClassLength]],"")</f>
        <v>0.10909090909090909</v>
      </c>
      <c r="Z491" s="24">
        <f>IFERROR(Table2[[#This Row],[Red Min]]/Table2[[#This Row],[ClassLength]],"")</f>
        <v>1.8181818181818181E-2</v>
      </c>
      <c r="AA491" s="25">
        <v>232.14</v>
      </c>
      <c r="AB491" s="25">
        <f t="shared" si="141"/>
        <v>17.856923076923074</v>
      </c>
      <c r="AC491" s="26">
        <f t="shared" si="129"/>
        <v>622.92307692307691</v>
      </c>
      <c r="AD491" s="26">
        <f t="shared" si="130"/>
        <v>13.153846153846153</v>
      </c>
      <c r="AE491">
        <f t="shared" si="131"/>
        <v>2023</v>
      </c>
      <c r="AG491">
        <v>12</v>
      </c>
      <c r="AH491" s="26">
        <f t="shared" si="132"/>
        <v>10.50909090909091</v>
      </c>
      <c r="AI491" t="str">
        <f t="shared" si="133"/>
        <v>PM</v>
      </c>
      <c r="AJ491" t="str">
        <f t="shared" si="134"/>
        <v>6-2023-4</v>
      </c>
      <c r="AK491">
        <f t="shared" si="135"/>
        <v>6</v>
      </c>
      <c r="AL491" s="26">
        <f>IFERROR(Table2[[#This Row],[Calories]]/Table2[[#This Row],[Splat]],"")</f>
        <v>82.571428571428569</v>
      </c>
      <c r="AM491">
        <f>COUNTIF(N$2:$N$938,N491)</f>
        <v>218</v>
      </c>
      <c r="AN491" t="str">
        <f>VLOOKUP(N491,'Helpful Tables'!A:D,4,FALSE)</f>
        <v>Washington, DC</v>
      </c>
      <c r="AO491" s="24">
        <f>COUNTIF(AN:AN,Table2[[#This Row],[State]])/COUNTA(AN:AN)</f>
        <v>0.54904051172707891</v>
      </c>
      <c r="AP491">
        <f>VLOOKUP(N491,'Helpful Tables'!A:B,2,FALSE)</f>
        <v>38.934710000000003</v>
      </c>
      <c r="AQ491">
        <f>VLOOKUP(N491,'Helpful Tables'!A:C,3,FALSE)</f>
        <v>-77.058222999999998</v>
      </c>
      <c r="AR491">
        <f>COUNTIF(P$2:$P$938,P491)</f>
        <v>71</v>
      </c>
      <c r="AS491" cm="1">
        <f t="array" ref="AS491">_xlfn.IFS(E491&lt;6,((E491/D491)*60)*0.5,AND(E491&gt;=6,E491&lt;9),((E491/D491)*60)*0.75,AND(E491&gt;=9,E491&lt;=11),((E491/D491)*60)*0.9,AND(E491=12),((E491/D491)*60)*1,AND(E491&gt;=13,E491&lt;=15),((E491/D491)*60)*1.2,AND(E491&gt;=16,E491&lt;=19),((E491/D491)*60)*1.5,E491&gt;=20,((E491/D491)*60)*1.8)</f>
        <v>5.7272727272727266</v>
      </c>
      <c r="AT491" cm="1">
        <f t="array" ref="AT491">_xlfn.IFS(F491&lt;550,((F491/D491)*60)*0.5,AND(F491&gt;=550,F491&lt;575),((F491/D491)*60)*0.75,AND(F491&gt;=575,F491&lt;600),((F491/D491)*60)*0.9,AND(F491=600),((F491/D491)*60)*1,AND(F491&gt;=601,F491&lt;=625),((F491/D491)*60)*1.2,AND(F491&gt;=626,F491&lt;=650),((F491/D491)*60)*1.5,F491&gt;=651,((F491/D491)*60)*1.8)</f>
        <v>567.49090909090921</v>
      </c>
      <c r="AU491">
        <f t="shared" si="142"/>
        <v>-8.2000000000000028</v>
      </c>
      <c r="AV491">
        <f t="shared" si="138"/>
        <v>227.64727272727276</v>
      </c>
      <c r="AW491">
        <f t="shared" si="143"/>
        <v>19.2</v>
      </c>
      <c r="AX491" t="str">
        <f t="shared" si="136"/>
        <v>Jun-2023</v>
      </c>
      <c r="AY491">
        <f>ROUNDUP(Table2[[#This Row],[Month]]/3,0)</f>
        <v>2</v>
      </c>
    </row>
    <row r="492" spans="1:51" x14ac:dyDescent="0.2">
      <c r="A492">
        <v>491</v>
      </c>
      <c r="B492">
        <f t="shared" si="125"/>
        <v>13</v>
      </c>
      <c r="C492" s="22">
        <v>45102</v>
      </c>
      <c r="D492">
        <f>SUM(Table2[[#This Row],[Gray Min]:[Red Min]])</f>
        <v>57</v>
      </c>
      <c r="E492">
        <v>13</v>
      </c>
      <c r="F492">
        <v>618</v>
      </c>
      <c r="G492">
        <v>125</v>
      </c>
      <c r="H492">
        <v>169</v>
      </c>
      <c r="I492">
        <v>15</v>
      </c>
      <c r="J492">
        <v>15</v>
      </c>
      <c r="K492">
        <v>14</v>
      </c>
      <c r="L492">
        <v>9</v>
      </c>
      <c r="M492">
        <v>4</v>
      </c>
      <c r="N492" t="s">
        <v>101</v>
      </c>
      <c r="O492" t="s">
        <v>93</v>
      </c>
      <c r="P492" t="s">
        <v>155</v>
      </c>
      <c r="Q492">
        <f t="shared" si="137"/>
        <v>2</v>
      </c>
      <c r="R492" t="str">
        <f t="shared" si="126"/>
        <v>6-2023</v>
      </c>
      <c r="S492" t="s">
        <v>117</v>
      </c>
      <c r="T492" t="str">
        <f t="shared" si="127"/>
        <v>Sunday</v>
      </c>
      <c r="U492">
        <f t="shared" si="128"/>
        <v>1</v>
      </c>
      <c r="V492" s="24">
        <f>IFERROR(Table2[[#This Row],[Gray Min]]/Table2[[#This Row],[ClassLength]],"")</f>
        <v>0.26315789473684209</v>
      </c>
      <c r="W492" s="24">
        <f>IFERROR(Table2[[#This Row],[Blue Min]]/Table2[[#This Row],[ClassLength]],"")</f>
        <v>0.26315789473684209</v>
      </c>
      <c r="X492" s="24">
        <f>IFERROR(Table2[[#This Row],[Green Min]]/Table2[[#This Row],[ClassLength]],"")</f>
        <v>0.24561403508771928</v>
      </c>
      <c r="Y492" s="24">
        <f>IFERROR(Table2[[#This Row],[Orange Min]]/Table2[[#This Row],[ClassLength]],"")</f>
        <v>0.15789473684210525</v>
      </c>
      <c r="Z492" s="24">
        <f>IFERROR(Table2[[#This Row],[Red Min]]/Table2[[#This Row],[ClassLength]],"")</f>
        <v>7.0175438596491224E-2</v>
      </c>
      <c r="AA492" s="25">
        <v>232.14</v>
      </c>
      <c r="AB492" s="25">
        <f t="shared" si="141"/>
        <v>17.856923076923074</v>
      </c>
      <c r="AC492" s="26">
        <f t="shared" si="129"/>
        <v>622.92307692307691</v>
      </c>
      <c r="AD492" s="26">
        <f t="shared" si="130"/>
        <v>13.153846153846153</v>
      </c>
      <c r="AE492">
        <f t="shared" si="131"/>
        <v>2023</v>
      </c>
      <c r="AG492">
        <v>12</v>
      </c>
      <c r="AH492" s="26">
        <f t="shared" si="132"/>
        <v>10.842105263157896</v>
      </c>
      <c r="AI492" t="str">
        <f t="shared" si="133"/>
        <v>AM</v>
      </c>
      <c r="AJ492" t="str">
        <f t="shared" si="134"/>
        <v>6-2023-5</v>
      </c>
      <c r="AK492">
        <f t="shared" si="135"/>
        <v>6</v>
      </c>
      <c r="AL492" s="26">
        <f>IFERROR(Table2[[#This Row],[Calories]]/Table2[[#This Row],[Splat]],"")</f>
        <v>47.53846153846154</v>
      </c>
      <c r="AM492">
        <f>COUNTIF(N$2:$N$938,N492)</f>
        <v>191</v>
      </c>
      <c r="AN492" t="str">
        <f>VLOOKUP(N492,'Helpful Tables'!A:D,4,FALSE)</f>
        <v>Washington, DC</v>
      </c>
      <c r="AO492" s="24">
        <f>COUNTIF(AN:AN,Table2[[#This Row],[State]])/COUNTA(AN:AN)</f>
        <v>0.54904051172707891</v>
      </c>
      <c r="AP492">
        <f>VLOOKUP(N492,'Helpful Tables'!A:B,2,FALSE)</f>
        <v>38.949649000000001</v>
      </c>
      <c r="AQ492">
        <f>VLOOKUP(N492,'Helpful Tables'!A:C,3,FALSE)</f>
        <v>-77.080878999999996</v>
      </c>
      <c r="AR492">
        <f>COUNTIF(P$2:$P$938,P492)</f>
        <v>13</v>
      </c>
      <c r="AS492" cm="1">
        <f t="array" ref="AS492">_xlfn.IFS(E492&lt;6,((E492/D492)*60)*0.5,AND(E492&gt;=6,E492&lt;9),((E492/D492)*60)*0.75,AND(E492&gt;=9,E492&lt;=11),((E492/D492)*60)*0.9,AND(E492=12),((E492/D492)*60)*1,AND(E492&gt;=13,E492&lt;=15),((E492/D492)*60)*1.2,AND(E492&gt;=16,E492&lt;=19),((E492/D492)*60)*1.5,E492&gt;=20,((E492/D492)*60)*1.8)</f>
        <v>16.421052631578945</v>
      </c>
      <c r="AT492" cm="1">
        <f t="array" ref="AT492">_xlfn.IFS(F492&lt;550,((F492/D492)*60)*0.5,AND(F492&gt;=550,F492&lt;575),((F492/D492)*60)*0.75,AND(F492&gt;=575,F492&lt;600),((F492/D492)*60)*0.9,AND(F492=600),((F492/D492)*60)*1,AND(F492&gt;=601,F492&lt;=625),((F492/D492)*60)*1.2,AND(F492&gt;=626,F492&lt;=650),((F492/D492)*60)*1.5,F492&gt;=651,((F492/D492)*60)*1.8)</f>
        <v>780.63157894736844</v>
      </c>
      <c r="AU492">
        <f t="shared" si="142"/>
        <v>0</v>
      </c>
      <c r="AV492">
        <f t="shared" si="138"/>
        <v>318.82105263157894</v>
      </c>
      <c r="AW492">
        <f t="shared" si="143"/>
        <v>36.5</v>
      </c>
      <c r="AX492" t="str">
        <f t="shared" si="136"/>
        <v>Jun-2023</v>
      </c>
      <c r="AY492">
        <f>ROUNDUP(Table2[[#This Row],[Month]]/3,0)</f>
        <v>2</v>
      </c>
    </row>
    <row r="493" spans="1:51" x14ac:dyDescent="0.2">
      <c r="A493">
        <v>492</v>
      </c>
      <c r="B493">
        <f t="shared" si="125"/>
        <v>13</v>
      </c>
      <c r="C493" s="22">
        <v>45103</v>
      </c>
      <c r="D493">
        <f>SUM(Table2[[#This Row],[Gray Min]:[Red Min]])</f>
        <v>57</v>
      </c>
      <c r="E493">
        <v>14</v>
      </c>
      <c r="F493">
        <v>660</v>
      </c>
      <c r="G493">
        <v>130</v>
      </c>
      <c r="H493">
        <v>170</v>
      </c>
      <c r="I493">
        <v>9</v>
      </c>
      <c r="J493">
        <v>17</v>
      </c>
      <c r="K493">
        <v>17</v>
      </c>
      <c r="L493">
        <v>8</v>
      </c>
      <c r="M493">
        <v>6</v>
      </c>
      <c r="N493" t="s">
        <v>91</v>
      </c>
      <c r="O493" t="s">
        <v>57</v>
      </c>
      <c r="P493" t="s">
        <v>98</v>
      </c>
      <c r="Q493">
        <f t="shared" si="137"/>
        <v>1</v>
      </c>
      <c r="R493" t="str">
        <f t="shared" si="126"/>
        <v>6-2023</v>
      </c>
      <c r="S493" t="s">
        <v>117</v>
      </c>
      <c r="T493" t="str">
        <f t="shared" si="127"/>
        <v>Monday</v>
      </c>
      <c r="U493">
        <f t="shared" si="128"/>
        <v>1</v>
      </c>
      <c r="V493" s="24">
        <f>IFERROR(Table2[[#This Row],[Gray Min]]/Table2[[#This Row],[ClassLength]],"")</f>
        <v>0.15789473684210525</v>
      </c>
      <c r="W493" s="24">
        <f>IFERROR(Table2[[#This Row],[Blue Min]]/Table2[[#This Row],[ClassLength]],"")</f>
        <v>0.2982456140350877</v>
      </c>
      <c r="X493" s="24">
        <f>IFERROR(Table2[[#This Row],[Green Min]]/Table2[[#This Row],[ClassLength]],"")</f>
        <v>0.2982456140350877</v>
      </c>
      <c r="Y493" s="24">
        <f>IFERROR(Table2[[#This Row],[Orange Min]]/Table2[[#This Row],[ClassLength]],"")</f>
        <v>0.14035087719298245</v>
      </c>
      <c r="Z493" s="24">
        <f>IFERROR(Table2[[#This Row],[Red Min]]/Table2[[#This Row],[ClassLength]],"")</f>
        <v>0.10526315789473684</v>
      </c>
      <c r="AA493" s="25">
        <v>232.14</v>
      </c>
      <c r="AB493" s="25">
        <f t="shared" si="141"/>
        <v>17.856923076923074</v>
      </c>
      <c r="AC493" s="26">
        <f t="shared" si="129"/>
        <v>622.92307692307691</v>
      </c>
      <c r="AD493" s="26">
        <f t="shared" si="130"/>
        <v>13.153846153846153</v>
      </c>
      <c r="AE493">
        <f t="shared" si="131"/>
        <v>2023</v>
      </c>
      <c r="AG493">
        <v>12</v>
      </c>
      <c r="AH493" s="26">
        <f t="shared" si="132"/>
        <v>11.578947368421053</v>
      </c>
      <c r="AI493" t="str">
        <f t="shared" si="133"/>
        <v>PM</v>
      </c>
      <c r="AJ493" t="str">
        <f t="shared" si="134"/>
        <v>6-2023-5</v>
      </c>
      <c r="AK493">
        <f t="shared" si="135"/>
        <v>6</v>
      </c>
      <c r="AL493" s="26">
        <f>IFERROR(Table2[[#This Row],[Calories]]/Table2[[#This Row],[Splat]],"")</f>
        <v>47.142857142857146</v>
      </c>
      <c r="AM493">
        <f>COUNTIF(N$2:$N$938,N493)</f>
        <v>218</v>
      </c>
      <c r="AN493" t="str">
        <f>VLOOKUP(N493,'Helpful Tables'!A:D,4,FALSE)</f>
        <v>Washington, DC</v>
      </c>
      <c r="AO493" s="24">
        <f>COUNTIF(AN:AN,Table2[[#This Row],[State]])/COUNTA(AN:AN)</f>
        <v>0.54904051172707891</v>
      </c>
      <c r="AP493">
        <f>VLOOKUP(N493,'Helpful Tables'!A:B,2,FALSE)</f>
        <v>38.934710000000003</v>
      </c>
      <c r="AQ493">
        <f>VLOOKUP(N493,'Helpful Tables'!A:C,3,FALSE)</f>
        <v>-77.058222999999998</v>
      </c>
      <c r="AR493">
        <f>COUNTIF(P$2:$P$938,P493)</f>
        <v>28</v>
      </c>
      <c r="AS493" cm="1">
        <f t="array" ref="AS493">_xlfn.IFS(E493&lt;6,((E493/D493)*60)*0.5,AND(E493&gt;=6,E493&lt;9),((E493/D493)*60)*0.75,AND(E493&gt;=9,E493&lt;=11),((E493/D493)*60)*0.9,AND(E493=12),((E493/D493)*60)*1,AND(E493&gt;=13,E493&lt;=15),((E493/D493)*60)*1.2,AND(E493&gt;=16,E493&lt;=19),((E493/D493)*60)*1.5,E493&gt;=20,((E493/D493)*60)*1.8)</f>
        <v>17.684210526315788</v>
      </c>
      <c r="AT493" cm="1">
        <f t="array" ref="AT493">_xlfn.IFS(F493&lt;550,((F493/D493)*60)*0.5,AND(F493&gt;=550,F493&lt;575),((F493/D493)*60)*0.75,AND(F493&gt;=575,F493&lt;600),((F493/D493)*60)*0.9,AND(F493=600),((F493/D493)*60)*1,AND(F493&gt;=601,F493&lt;=625),((F493/D493)*60)*1.2,AND(F493&gt;=626,F493&lt;=650),((F493/D493)*60)*1.5,F493&gt;=651,((F493/D493)*60)*1.8)</f>
        <v>1250.5263157894738</v>
      </c>
      <c r="AU493">
        <f t="shared" si="142"/>
        <v>10.299999999999999</v>
      </c>
      <c r="AV493">
        <f t="shared" si="138"/>
        <v>509.34421052631586</v>
      </c>
      <c r="AW493">
        <f t="shared" si="143"/>
        <v>85</v>
      </c>
      <c r="AX493" t="str">
        <f t="shared" si="136"/>
        <v>Jun-2023</v>
      </c>
      <c r="AY493">
        <f>ROUNDUP(Table2[[#This Row],[Month]]/3,0)</f>
        <v>2</v>
      </c>
    </row>
    <row r="494" spans="1:51" x14ac:dyDescent="0.2">
      <c r="A494">
        <v>493</v>
      </c>
      <c r="B494">
        <f t="shared" si="125"/>
        <v>15</v>
      </c>
      <c r="C494" s="22">
        <v>45110</v>
      </c>
      <c r="D494">
        <f>SUM(Table2[[#This Row],[Gray Min]:[Red Min]])</f>
        <v>59</v>
      </c>
      <c r="E494">
        <v>13</v>
      </c>
      <c r="F494">
        <v>643</v>
      </c>
      <c r="G494">
        <v>126</v>
      </c>
      <c r="H494">
        <v>166</v>
      </c>
      <c r="I494">
        <v>11</v>
      </c>
      <c r="J494">
        <v>20</v>
      </c>
      <c r="K494">
        <v>15</v>
      </c>
      <c r="L494">
        <v>10</v>
      </c>
      <c r="M494">
        <v>3</v>
      </c>
      <c r="N494" t="s">
        <v>162</v>
      </c>
      <c r="O494" t="s">
        <v>183</v>
      </c>
      <c r="P494" t="s">
        <v>182</v>
      </c>
      <c r="Q494">
        <f t="shared" si="137"/>
        <v>7</v>
      </c>
      <c r="R494" t="str">
        <f t="shared" si="126"/>
        <v>7-2023</v>
      </c>
      <c r="S494" t="s">
        <v>104</v>
      </c>
      <c r="T494" t="str">
        <f t="shared" si="127"/>
        <v>Monday</v>
      </c>
      <c r="U494">
        <f t="shared" si="128"/>
        <v>1</v>
      </c>
      <c r="V494" s="24">
        <f>IFERROR(Table2[[#This Row],[Gray Min]]/Table2[[#This Row],[ClassLength]],"")</f>
        <v>0.1864406779661017</v>
      </c>
      <c r="W494" s="24">
        <f>IFERROR(Table2[[#This Row],[Blue Min]]/Table2[[#This Row],[ClassLength]],"")</f>
        <v>0.33898305084745761</v>
      </c>
      <c r="X494" s="24">
        <f>IFERROR(Table2[[#This Row],[Green Min]]/Table2[[#This Row],[ClassLength]],"")</f>
        <v>0.25423728813559321</v>
      </c>
      <c r="Y494" s="24">
        <f>IFERROR(Table2[[#This Row],[Orange Min]]/Table2[[#This Row],[ClassLength]],"")</f>
        <v>0.16949152542372881</v>
      </c>
      <c r="Z494" s="24">
        <f>IFERROR(Table2[[#This Row],[Red Min]]/Table2[[#This Row],[ClassLength]],"")</f>
        <v>5.0847457627118647E-2</v>
      </c>
      <c r="AA494" s="25">
        <v>232.14</v>
      </c>
      <c r="AB494" s="25">
        <f t="shared" si="141"/>
        <v>15.475999999999999</v>
      </c>
      <c r="AC494" s="26">
        <f t="shared" si="129"/>
        <v>630.86666666666667</v>
      </c>
      <c r="AD494" s="26">
        <f t="shared" si="130"/>
        <v>14.866666666666667</v>
      </c>
      <c r="AE494">
        <f t="shared" si="131"/>
        <v>2023</v>
      </c>
      <c r="AG494">
        <v>12</v>
      </c>
      <c r="AH494" s="26">
        <f t="shared" si="132"/>
        <v>10.898305084745763</v>
      </c>
      <c r="AI494" t="str">
        <f t="shared" si="133"/>
        <v>AM</v>
      </c>
      <c r="AJ494" t="str">
        <f t="shared" si="134"/>
        <v>7-2023-2</v>
      </c>
      <c r="AK494">
        <f t="shared" si="135"/>
        <v>7</v>
      </c>
      <c r="AL494" s="26">
        <f>IFERROR(Table2[[#This Row],[Calories]]/Table2[[#This Row],[Splat]],"")</f>
        <v>49.46153846153846</v>
      </c>
      <c r="AM494">
        <f>COUNTIF(N$2:$N$938,N494)</f>
        <v>5</v>
      </c>
      <c r="AN494" t="str">
        <f>VLOOKUP(N494,'Helpful Tables'!A:D,4,FALSE)</f>
        <v>Maryland</v>
      </c>
      <c r="AO494" s="24">
        <f>COUNTIF(AN:AN,Table2[[#This Row],[State]])/COUNTA(AN:AN)</f>
        <v>5.3304904051172707E-3</v>
      </c>
      <c r="AP494">
        <f>VLOOKUP(N494,'Helpful Tables'!A:B,2,FALSE)</f>
        <v>38.989806999999999</v>
      </c>
      <c r="AQ494">
        <f>VLOOKUP(N494,'Helpful Tables'!A:C,3,FALSE)</f>
        <v>-77.096371000000005</v>
      </c>
      <c r="AR494">
        <f>COUNTIF(P$2:$P$938,P494)</f>
        <v>2</v>
      </c>
      <c r="AS494" cm="1">
        <f t="array" ref="AS494">_xlfn.IFS(E494&lt;6,((E494/D494)*60)*0.5,AND(E494&gt;=6,E494&lt;9),((E494/D494)*60)*0.75,AND(E494&gt;=9,E494&lt;=11),((E494/D494)*60)*0.9,AND(E494=12),((E494/D494)*60)*1,AND(E494&gt;=13,E494&lt;=15),((E494/D494)*60)*1.2,AND(E494&gt;=16,E494&lt;=19),((E494/D494)*60)*1.5,E494&gt;=20,((E494/D494)*60)*1.8)</f>
        <v>15.864406779661017</v>
      </c>
      <c r="AT494" cm="1">
        <f t="array" ref="AT494">_xlfn.IFS(F494&lt;550,((F494/D494)*60)*0.5,AND(F494&gt;=550,F494&lt;575),((F494/D494)*60)*0.75,AND(F494&gt;=575,F494&lt;600),((F494/D494)*60)*0.9,AND(F494=600),((F494/D494)*60)*1,AND(F494&gt;=601,F494&lt;=625),((F494/D494)*60)*1.2,AND(F494&gt;=626,F494&lt;=650),((F494/D494)*60)*1.5,F494&gt;=651,((F494/D494)*60)*1.8)</f>
        <v>980.84745762711862</v>
      </c>
      <c r="AU494">
        <f t="shared" si="142"/>
        <v>0.29999999999999716</v>
      </c>
      <c r="AV494">
        <f t="shared" si="138"/>
        <v>398.74474576271183</v>
      </c>
      <c r="AW494">
        <f t="shared" si="143"/>
        <v>52.300000000000004</v>
      </c>
      <c r="AX494" t="str">
        <f t="shared" si="136"/>
        <v>Jul-2023</v>
      </c>
      <c r="AY494">
        <f>ROUNDUP(Table2[[#This Row],[Month]]/3,0)</f>
        <v>3</v>
      </c>
    </row>
    <row r="495" spans="1:51" x14ac:dyDescent="0.2">
      <c r="A495">
        <v>494</v>
      </c>
      <c r="B495">
        <f t="shared" si="125"/>
        <v>15</v>
      </c>
      <c r="C495" s="22">
        <v>45111</v>
      </c>
      <c r="D495">
        <f>SUM(Table2[[#This Row],[Gray Min]:[Red Min]])</f>
        <v>56</v>
      </c>
      <c r="E495">
        <v>14</v>
      </c>
      <c r="F495">
        <v>618</v>
      </c>
      <c r="G495">
        <v>127</v>
      </c>
      <c r="H495">
        <v>166</v>
      </c>
      <c r="I495">
        <v>9</v>
      </c>
      <c r="J495">
        <v>20</v>
      </c>
      <c r="K495">
        <v>13</v>
      </c>
      <c r="L495">
        <v>13</v>
      </c>
      <c r="M495">
        <v>1</v>
      </c>
      <c r="N495" t="s">
        <v>91</v>
      </c>
      <c r="O495" t="s">
        <v>79</v>
      </c>
      <c r="P495" t="s">
        <v>98</v>
      </c>
      <c r="Q495">
        <f t="shared" si="137"/>
        <v>1</v>
      </c>
      <c r="R495" t="str">
        <f t="shared" si="126"/>
        <v>7-2023</v>
      </c>
      <c r="S495" t="s">
        <v>104</v>
      </c>
      <c r="T495" t="str">
        <f t="shared" si="127"/>
        <v>Tuesday</v>
      </c>
      <c r="U495">
        <f t="shared" si="128"/>
        <v>1</v>
      </c>
      <c r="V495" s="24">
        <f>IFERROR(Table2[[#This Row],[Gray Min]]/Table2[[#This Row],[ClassLength]],"")</f>
        <v>0.16071428571428573</v>
      </c>
      <c r="W495" s="24">
        <f>IFERROR(Table2[[#This Row],[Blue Min]]/Table2[[#This Row],[ClassLength]],"")</f>
        <v>0.35714285714285715</v>
      </c>
      <c r="X495" s="24">
        <f>IFERROR(Table2[[#This Row],[Green Min]]/Table2[[#This Row],[ClassLength]],"")</f>
        <v>0.23214285714285715</v>
      </c>
      <c r="Y495" s="24">
        <f>IFERROR(Table2[[#This Row],[Orange Min]]/Table2[[#This Row],[ClassLength]],"")</f>
        <v>0.23214285714285715</v>
      </c>
      <c r="Z495" s="24">
        <f>IFERROR(Table2[[#This Row],[Red Min]]/Table2[[#This Row],[ClassLength]],"")</f>
        <v>1.7857142857142856E-2</v>
      </c>
      <c r="AA495" s="25">
        <v>232.14</v>
      </c>
      <c r="AB495" s="25">
        <f t="shared" si="141"/>
        <v>15.475999999999999</v>
      </c>
      <c r="AC495" s="26">
        <f t="shared" si="129"/>
        <v>630.86666666666667</v>
      </c>
      <c r="AD495" s="26">
        <f t="shared" si="130"/>
        <v>14.866666666666667</v>
      </c>
      <c r="AE495">
        <f t="shared" si="131"/>
        <v>2023</v>
      </c>
      <c r="AG495">
        <v>12</v>
      </c>
      <c r="AH495" s="26">
        <f t="shared" si="132"/>
        <v>11.035714285714286</v>
      </c>
      <c r="AI495" t="str">
        <f t="shared" si="133"/>
        <v>AM</v>
      </c>
      <c r="AJ495" t="str">
        <f t="shared" si="134"/>
        <v>7-2023-2</v>
      </c>
      <c r="AK495">
        <f t="shared" si="135"/>
        <v>7</v>
      </c>
      <c r="AL495" s="26">
        <f>IFERROR(Table2[[#This Row],[Calories]]/Table2[[#This Row],[Splat]],"")</f>
        <v>44.142857142857146</v>
      </c>
      <c r="AM495">
        <f>COUNTIF(N$2:$N$938,N495)</f>
        <v>218</v>
      </c>
      <c r="AN495" t="str">
        <f>VLOOKUP(N495,'Helpful Tables'!A:D,4,FALSE)</f>
        <v>Washington, DC</v>
      </c>
      <c r="AO495" s="24">
        <f>COUNTIF(AN:AN,Table2[[#This Row],[State]])/COUNTA(AN:AN)</f>
        <v>0.54904051172707891</v>
      </c>
      <c r="AP495">
        <f>VLOOKUP(N495,'Helpful Tables'!A:B,2,FALSE)</f>
        <v>38.934710000000003</v>
      </c>
      <c r="AQ495">
        <f>VLOOKUP(N495,'Helpful Tables'!A:C,3,FALSE)</f>
        <v>-77.058222999999998</v>
      </c>
      <c r="AR495">
        <f>COUNTIF(P$2:$P$938,P495)</f>
        <v>28</v>
      </c>
      <c r="AS495" cm="1">
        <f t="array" ref="AS495">_xlfn.IFS(E495&lt;6,((E495/D495)*60)*0.5,AND(E495&gt;=6,E495&lt;9),((E495/D495)*60)*0.75,AND(E495&gt;=9,E495&lt;=11),((E495/D495)*60)*0.9,AND(E495=12),((E495/D495)*60)*1,AND(E495&gt;=13,E495&lt;=15),((E495/D495)*60)*1.2,AND(E495&gt;=16,E495&lt;=19),((E495/D495)*60)*1.5,E495&gt;=20,((E495/D495)*60)*1.8)</f>
        <v>18</v>
      </c>
      <c r="AT495" cm="1">
        <f t="array" ref="AT495">_xlfn.IFS(F495&lt;550,((F495/D495)*60)*0.5,AND(F495&gt;=550,F495&lt;575),((F495/D495)*60)*0.75,AND(F495&gt;=575,F495&lt;600),((F495/D495)*60)*0.9,AND(F495=600),((F495/D495)*60)*1,AND(F495&gt;=601,F495&lt;=625),((F495/D495)*60)*1.2,AND(F495&gt;=626,F495&lt;=650),((F495/D495)*60)*1.5,F495&gt;=651,((F495/D495)*60)*1.8)</f>
        <v>794.57142857142867</v>
      </c>
      <c r="AU495">
        <f t="shared" si="142"/>
        <v>1.2000000000000064</v>
      </c>
      <c r="AV495">
        <f t="shared" si="138"/>
        <v>325.26857142857148</v>
      </c>
      <c r="AW495">
        <f t="shared" si="143"/>
        <v>38.9</v>
      </c>
      <c r="AX495" t="str">
        <f t="shared" si="136"/>
        <v>Jul-2023</v>
      </c>
      <c r="AY495">
        <f>ROUNDUP(Table2[[#This Row],[Month]]/3,0)</f>
        <v>3</v>
      </c>
    </row>
    <row r="496" spans="1:51" x14ac:dyDescent="0.2">
      <c r="A496">
        <v>495</v>
      </c>
      <c r="B496">
        <f t="shared" si="125"/>
        <v>15</v>
      </c>
      <c r="C496" s="22">
        <v>45114</v>
      </c>
      <c r="D496">
        <f>SUM(Table2[[#This Row],[Gray Min]:[Red Min]])</f>
        <v>59</v>
      </c>
      <c r="E496">
        <v>19</v>
      </c>
      <c r="F496">
        <v>651</v>
      </c>
      <c r="G496">
        <v>125</v>
      </c>
      <c r="H496">
        <v>170</v>
      </c>
      <c r="I496">
        <v>18</v>
      </c>
      <c r="J496">
        <v>13</v>
      </c>
      <c r="K496">
        <v>9</v>
      </c>
      <c r="L496">
        <v>17</v>
      </c>
      <c r="M496">
        <v>2</v>
      </c>
      <c r="N496" t="s">
        <v>101</v>
      </c>
      <c r="O496" t="s">
        <v>184</v>
      </c>
      <c r="P496" t="s">
        <v>118</v>
      </c>
      <c r="Q496">
        <f t="shared" si="137"/>
        <v>3</v>
      </c>
      <c r="R496" t="str">
        <f t="shared" si="126"/>
        <v>7-2023</v>
      </c>
      <c r="S496" t="s">
        <v>104</v>
      </c>
      <c r="T496" t="str">
        <f t="shared" si="127"/>
        <v>Friday</v>
      </c>
      <c r="U496">
        <f t="shared" si="128"/>
        <v>1</v>
      </c>
      <c r="V496" s="24">
        <f>IFERROR(Table2[[#This Row],[Gray Min]]/Table2[[#This Row],[ClassLength]],"")</f>
        <v>0.30508474576271188</v>
      </c>
      <c r="W496" s="24">
        <f>IFERROR(Table2[[#This Row],[Blue Min]]/Table2[[#This Row],[ClassLength]],"")</f>
        <v>0.22033898305084745</v>
      </c>
      <c r="X496" s="24">
        <f>IFERROR(Table2[[#This Row],[Green Min]]/Table2[[#This Row],[ClassLength]],"")</f>
        <v>0.15254237288135594</v>
      </c>
      <c r="Y496" s="24">
        <f>IFERROR(Table2[[#This Row],[Orange Min]]/Table2[[#This Row],[ClassLength]],"")</f>
        <v>0.28813559322033899</v>
      </c>
      <c r="Z496" s="24">
        <f>IFERROR(Table2[[#This Row],[Red Min]]/Table2[[#This Row],[ClassLength]],"")</f>
        <v>3.3898305084745763E-2</v>
      </c>
      <c r="AA496" s="25">
        <v>232.14</v>
      </c>
      <c r="AB496" s="25">
        <f t="shared" si="141"/>
        <v>15.475999999999999</v>
      </c>
      <c r="AC496" s="26">
        <f t="shared" si="129"/>
        <v>630.86666666666667</v>
      </c>
      <c r="AD496" s="26">
        <f t="shared" si="130"/>
        <v>14.866666666666667</v>
      </c>
      <c r="AE496">
        <f t="shared" si="131"/>
        <v>2023</v>
      </c>
      <c r="AG496">
        <v>12</v>
      </c>
      <c r="AH496" s="26">
        <f t="shared" si="132"/>
        <v>11.033898305084746</v>
      </c>
      <c r="AI496" t="str">
        <f t="shared" si="133"/>
        <v>AM</v>
      </c>
      <c r="AJ496" t="str">
        <f t="shared" si="134"/>
        <v>7-2023-2</v>
      </c>
      <c r="AK496">
        <f t="shared" si="135"/>
        <v>7</v>
      </c>
      <c r="AL496" s="26">
        <f>IFERROR(Table2[[#This Row],[Calories]]/Table2[[#This Row],[Splat]],"")</f>
        <v>34.263157894736842</v>
      </c>
      <c r="AM496">
        <f>COUNTIF(N$2:$N$938,N496)</f>
        <v>191</v>
      </c>
      <c r="AN496" t="str">
        <f>VLOOKUP(N496,'Helpful Tables'!A:D,4,FALSE)</f>
        <v>Washington, DC</v>
      </c>
      <c r="AO496" s="24">
        <f>COUNTIF(AN:AN,Table2[[#This Row],[State]])/COUNTA(AN:AN)</f>
        <v>0.54904051172707891</v>
      </c>
      <c r="AP496">
        <f>VLOOKUP(N496,'Helpful Tables'!A:B,2,FALSE)</f>
        <v>38.949649000000001</v>
      </c>
      <c r="AQ496">
        <f>VLOOKUP(N496,'Helpful Tables'!A:C,3,FALSE)</f>
        <v>-77.080878999999996</v>
      </c>
      <c r="AR496">
        <f>COUNTIF(P$2:$P$938,P496)</f>
        <v>16</v>
      </c>
      <c r="AS496" cm="1">
        <f t="array" ref="AS496">_xlfn.IFS(E496&lt;6,((E496/D496)*60)*0.5,AND(E496&gt;=6,E496&lt;9),((E496/D496)*60)*0.75,AND(E496&gt;=9,E496&lt;=11),((E496/D496)*60)*0.9,AND(E496=12),((E496/D496)*60)*1,AND(E496&gt;=13,E496&lt;=15),((E496/D496)*60)*1.2,AND(E496&gt;=16,E496&lt;=19),((E496/D496)*60)*1.5,E496&gt;=20,((E496/D496)*60)*1.8)</f>
        <v>28.983050847457626</v>
      </c>
      <c r="AT496" cm="1">
        <f t="array" ref="AT496">_xlfn.IFS(F496&lt;550,((F496/D496)*60)*0.5,AND(F496&gt;=550,F496&lt;575),((F496/D496)*60)*0.75,AND(F496&gt;=575,F496&lt;600),((F496/D496)*60)*0.9,AND(F496=600),((F496/D496)*60)*1,AND(F496&gt;=601,F496&lt;=625),((F496/D496)*60)*1.2,AND(F496&gt;=626,F496&lt;=650),((F496/D496)*60)*1.5,F496&gt;=651,((F496/D496)*60)*1.8)</f>
        <v>1191.6610169491526</v>
      </c>
      <c r="AU496">
        <f t="shared" si="142"/>
        <v>0</v>
      </c>
      <c r="AV496">
        <f t="shared" si="138"/>
        <v>488.25762711864405</v>
      </c>
      <c r="AW496">
        <f t="shared" si="143"/>
        <v>72.7</v>
      </c>
      <c r="AX496" t="str">
        <f t="shared" si="136"/>
        <v>Jul-2023</v>
      </c>
      <c r="AY496">
        <f>ROUNDUP(Table2[[#This Row],[Month]]/3,0)</f>
        <v>3</v>
      </c>
    </row>
    <row r="497" spans="1:51" x14ac:dyDescent="0.2">
      <c r="A497">
        <v>496</v>
      </c>
      <c r="B497">
        <f t="shared" si="125"/>
        <v>15</v>
      </c>
      <c r="C497" s="22">
        <v>45118</v>
      </c>
      <c r="D497">
        <f>SUM(Table2[[#This Row],[Gray Min]:[Red Min]])</f>
        <v>59</v>
      </c>
      <c r="E497">
        <v>19</v>
      </c>
      <c r="F497">
        <v>638</v>
      </c>
      <c r="G497">
        <v>125</v>
      </c>
      <c r="H497">
        <v>168</v>
      </c>
      <c r="I497">
        <v>18</v>
      </c>
      <c r="J497">
        <v>13</v>
      </c>
      <c r="K497">
        <v>9</v>
      </c>
      <c r="L497">
        <v>17</v>
      </c>
      <c r="M497">
        <v>2</v>
      </c>
      <c r="N497" t="s">
        <v>101</v>
      </c>
      <c r="O497" t="s">
        <v>173</v>
      </c>
      <c r="P497" t="s">
        <v>147</v>
      </c>
      <c r="Q497">
        <f t="shared" si="137"/>
        <v>4</v>
      </c>
      <c r="R497" t="str">
        <f t="shared" si="126"/>
        <v>7-2023</v>
      </c>
      <c r="S497" t="s">
        <v>104</v>
      </c>
      <c r="T497" t="str">
        <f t="shared" si="127"/>
        <v>Tuesday</v>
      </c>
      <c r="U497">
        <f t="shared" si="128"/>
        <v>1</v>
      </c>
      <c r="V497" s="24">
        <f>IFERROR(Table2[[#This Row],[Gray Min]]/Table2[[#This Row],[ClassLength]],"")</f>
        <v>0.30508474576271188</v>
      </c>
      <c r="W497" s="24">
        <f>IFERROR(Table2[[#This Row],[Blue Min]]/Table2[[#This Row],[ClassLength]],"")</f>
        <v>0.22033898305084745</v>
      </c>
      <c r="X497" s="24">
        <f>IFERROR(Table2[[#This Row],[Green Min]]/Table2[[#This Row],[ClassLength]],"")</f>
        <v>0.15254237288135594</v>
      </c>
      <c r="Y497" s="24">
        <f>IFERROR(Table2[[#This Row],[Orange Min]]/Table2[[#This Row],[ClassLength]],"")</f>
        <v>0.28813559322033899</v>
      </c>
      <c r="Z497" s="24">
        <f>IFERROR(Table2[[#This Row],[Red Min]]/Table2[[#This Row],[ClassLength]],"")</f>
        <v>3.3898305084745763E-2</v>
      </c>
      <c r="AA497" s="25">
        <v>232.14</v>
      </c>
      <c r="AB497" s="25">
        <f t="shared" si="141"/>
        <v>15.475999999999999</v>
      </c>
      <c r="AC497" s="26">
        <f t="shared" si="129"/>
        <v>630.86666666666667</v>
      </c>
      <c r="AD497" s="26">
        <f t="shared" si="130"/>
        <v>14.866666666666667</v>
      </c>
      <c r="AE497">
        <f t="shared" si="131"/>
        <v>2023</v>
      </c>
      <c r="AG497">
        <v>12</v>
      </c>
      <c r="AH497" s="26">
        <f t="shared" si="132"/>
        <v>10.813559322033898</v>
      </c>
      <c r="AI497" t="str">
        <f t="shared" si="133"/>
        <v>PM</v>
      </c>
      <c r="AJ497" t="str">
        <f t="shared" si="134"/>
        <v>7-2023-3</v>
      </c>
      <c r="AK497">
        <f t="shared" si="135"/>
        <v>7</v>
      </c>
      <c r="AL497" s="26">
        <f>IFERROR(Table2[[#This Row],[Calories]]/Table2[[#This Row],[Splat]],"")</f>
        <v>33.578947368421055</v>
      </c>
      <c r="AM497">
        <f>COUNTIF(N$2:$N$938,N497)</f>
        <v>191</v>
      </c>
      <c r="AN497" t="str">
        <f>VLOOKUP(N497,'Helpful Tables'!A:D,4,FALSE)</f>
        <v>Washington, DC</v>
      </c>
      <c r="AO497" s="24">
        <f>COUNTIF(AN:AN,Table2[[#This Row],[State]])/COUNTA(AN:AN)</f>
        <v>0.54904051172707891</v>
      </c>
      <c r="AP497">
        <f>VLOOKUP(N497,'Helpful Tables'!A:B,2,FALSE)</f>
        <v>38.949649000000001</v>
      </c>
      <c r="AQ497">
        <f>VLOOKUP(N497,'Helpful Tables'!A:C,3,FALSE)</f>
        <v>-77.080878999999996</v>
      </c>
      <c r="AR497">
        <f>COUNTIF(P$2:$P$938,P497)</f>
        <v>17</v>
      </c>
      <c r="AS497" cm="1">
        <f t="array" ref="AS497">_xlfn.IFS(E497&lt;6,((E497/D497)*60)*0.5,AND(E497&gt;=6,E497&lt;9),((E497/D497)*60)*0.75,AND(E497&gt;=9,E497&lt;=11),((E497/D497)*60)*0.9,AND(E497=12),((E497/D497)*60)*1,AND(E497&gt;=13,E497&lt;=15),((E497/D497)*60)*1.2,AND(E497&gt;=16,E497&lt;=19),((E497/D497)*60)*1.5,E497&gt;=20,((E497/D497)*60)*1.8)</f>
        <v>28.983050847457626</v>
      </c>
      <c r="AT497" cm="1">
        <f t="array" ref="AT497">_xlfn.IFS(F497&lt;550,((F497/D497)*60)*0.5,AND(F497&gt;=550,F497&lt;575),((F497/D497)*60)*0.75,AND(F497&gt;=575,F497&lt;600),((F497/D497)*60)*0.9,AND(F497=600),((F497/D497)*60)*1,AND(F497&gt;=601,F497&lt;=625),((F497/D497)*60)*1.2,AND(F497&gt;=626,F497&lt;=650),((F497/D497)*60)*1.5,F497&gt;=651,((F497/D497)*60)*1.8)</f>
        <v>973.22033898305074</v>
      </c>
      <c r="AU497">
        <f t="shared" si="142"/>
        <v>0</v>
      </c>
      <c r="AV497">
        <f t="shared" si="138"/>
        <v>400.88135593220335</v>
      </c>
      <c r="AW497">
        <f t="shared" si="143"/>
        <v>53.5</v>
      </c>
      <c r="AX497" t="str">
        <f t="shared" si="136"/>
        <v>Jul-2023</v>
      </c>
      <c r="AY497">
        <f>ROUNDUP(Table2[[#This Row],[Month]]/3,0)</f>
        <v>3</v>
      </c>
    </row>
    <row r="498" spans="1:51" x14ac:dyDescent="0.2">
      <c r="A498">
        <v>497</v>
      </c>
      <c r="B498">
        <f t="shared" si="125"/>
        <v>15</v>
      </c>
      <c r="C498" s="22">
        <v>45119</v>
      </c>
      <c r="D498">
        <f>SUM(Table2[[#This Row],[Gray Min]:[Red Min]])</f>
        <v>60</v>
      </c>
      <c r="E498">
        <v>18</v>
      </c>
      <c r="F498">
        <v>675</v>
      </c>
      <c r="G498">
        <v>128</v>
      </c>
      <c r="H498">
        <v>167</v>
      </c>
      <c r="I498">
        <v>11</v>
      </c>
      <c r="J498">
        <v>19</v>
      </c>
      <c r="K498">
        <v>12</v>
      </c>
      <c r="L498">
        <v>17</v>
      </c>
      <c r="M498">
        <v>1</v>
      </c>
      <c r="N498" t="s">
        <v>101</v>
      </c>
      <c r="O498" t="s">
        <v>173</v>
      </c>
      <c r="P498" t="s">
        <v>147</v>
      </c>
      <c r="Q498">
        <f t="shared" si="137"/>
        <v>1</v>
      </c>
      <c r="R498" t="str">
        <f t="shared" si="126"/>
        <v>7-2023</v>
      </c>
      <c r="S498" t="s">
        <v>104</v>
      </c>
      <c r="T498" t="str">
        <f t="shared" si="127"/>
        <v>Wednesday</v>
      </c>
      <c r="U498">
        <f t="shared" si="128"/>
        <v>1</v>
      </c>
      <c r="V498" s="24">
        <f>IFERROR(Table2[[#This Row],[Gray Min]]/Table2[[#This Row],[ClassLength]],"")</f>
        <v>0.18333333333333332</v>
      </c>
      <c r="W498" s="24">
        <f>IFERROR(Table2[[#This Row],[Blue Min]]/Table2[[#This Row],[ClassLength]],"")</f>
        <v>0.31666666666666665</v>
      </c>
      <c r="X498" s="24">
        <f>IFERROR(Table2[[#This Row],[Green Min]]/Table2[[#This Row],[ClassLength]],"")</f>
        <v>0.2</v>
      </c>
      <c r="Y498" s="24">
        <f>IFERROR(Table2[[#This Row],[Orange Min]]/Table2[[#This Row],[ClassLength]],"")</f>
        <v>0.28333333333333333</v>
      </c>
      <c r="Z498" s="24">
        <f>IFERROR(Table2[[#This Row],[Red Min]]/Table2[[#This Row],[ClassLength]],"")</f>
        <v>1.6666666666666666E-2</v>
      </c>
      <c r="AA498" s="25">
        <v>232.14</v>
      </c>
      <c r="AB498" s="25">
        <f t="shared" si="141"/>
        <v>15.475999999999999</v>
      </c>
      <c r="AC498" s="26">
        <f t="shared" si="129"/>
        <v>630.86666666666667</v>
      </c>
      <c r="AD498" s="26">
        <f t="shared" si="130"/>
        <v>14.866666666666667</v>
      </c>
      <c r="AE498">
        <f t="shared" si="131"/>
        <v>2023</v>
      </c>
      <c r="AG498">
        <v>12</v>
      </c>
      <c r="AH498" s="26">
        <f t="shared" si="132"/>
        <v>11.25</v>
      </c>
      <c r="AI498" t="str">
        <f t="shared" si="133"/>
        <v>PM</v>
      </c>
      <c r="AJ498" t="str">
        <f t="shared" si="134"/>
        <v>7-2023-3</v>
      </c>
      <c r="AK498">
        <f t="shared" si="135"/>
        <v>7</v>
      </c>
      <c r="AL498" s="26">
        <f>IFERROR(Table2[[#This Row],[Calories]]/Table2[[#This Row],[Splat]],"")</f>
        <v>37.5</v>
      </c>
      <c r="AM498">
        <f>COUNTIF(N$2:$N$938,N498)</f>
        <v>191</v>
      </c>
      <c r="AN498" t="str">
        <f>VLOOKUP(N498,'Helpful Tables'!A:D,4,FALSE)</f>
        <v>Washington, DC</v>
      </c>
      <c r="AO498" s="24">
        <f>COUNTIF(AN:AN,Table2[[#This Row],[State]])/COUNTA(AN:AN)</f>
        <v>0.54904051172707891</v>
      </c>
      <c r="AP498">
        <f>VLOOKUP(N498,'Helpful Tables'!A:B,2,FALSE)</f>
        <v>38.949649000000001</v>
      </c>
      <c r="AQ498">
        <f>VLOOKUP(N498,'Helpful Tables'!A:C,3,FALSE)</f>
        <v>-77.080878999999996</v>
      </c>
      <c r="AR498">
        <f>COUNTIF(P$2:$P$938,P498)</f>
        <v>17</v>
      </c>
      <c r="AS498" cm="1">
        <f t="array" ref="AS498">_xlfn.IFS(E498&lt;6,((E498/D498)*60)*0.5,AND(E498&gt;=6,E498&lt;9),((E498/D498)*60)*0.75,AND(E498&gt;=9,E498&lt;=11),((E498/D498)*60)*0.9,AND(E498=12),((E498/D498)*60)*1,AND(E498&gt;=13,E498&lt;=15),((E498/D498)*60)*1.2,AND(E498&gt;=16,E498&lt;=19),((E498/D498)*60)*1.5,E498&gt;=20,((E498/D498)*60)*1.8)</f>
        <v>27</v>
      </c>
      <c r="AT498" cm="1">
        <f t="array" ref="AT498">_xlfn.IFS(F498&lt;550,((F498/D498)*60)*0.5,AND(F498&gt;=550,F498&lt;575),((F498/D498)*60)*0.75,AND(F498&gt;=575,F498&lt;600),((F498/D498)*60)*0.9,AND(F498=600),((F498/D498)*60)*1,AND(F498&gt;=601,F498&lt;=625),((F498/D498)*60)*1.2,AND(F498&gt;=626,F498&lt;=650),((F498/D498)*60)*1.5,F498&gt;=651,((F498/D498)*60)*1.8)</f>
        <v>1215</v>
      </c>
      <c r="AU498">
        <f t="shared" si="142"/>
        <v>3.8999999999999986</v>
      </c>
      <c r="AV498">
        <f t="shared" si="138"/>
        <v>497.58</v>
      </c>
      <c r="AW498">
        <f t="shared" si="143"/>
        <v>77.600000000000009</v>
      </c>
      <c r="AX498" t="str">
        <f t="shared" si="136"/>
        <v>Jul-2023</v>
      </c>
      <c r="AY498">
        <f>ROUNDUP(Table2[[#This Row],[Month]]/3,0)</f>
        <v>3</v>
      </c>
    </row>
    <row r="499" spans="1:51" x14ac:dyDescent="0.2">
      <c r="A499">
        <v>498</v>
      </c>
      <c r="B499">
        <f t="shared" si="125"/>
        <v>15</v>
      </c>
      <c r="C499" s="22">
        <v>45121</v>
      </c>
      <c r="D499">
        <f>SUM(Table2[[#This Row],[Gray Min]:[Red Min]])</f>
        <v>54</v>
      </c>
      <c r="E499">
        <v>15</v>
      </c>
      <c r="F499">
        <v>618</v>
      </c>
      <c r="G499">
        <v>128</v>
      </c>
      <c r="H499">
        <v>168</v>
      </c>
      <c r="I499">
        <v>11</v>
      </c>
      <c r="J499">
        <v>16</v>
      </c>
      <c r="K499">
        <v>12</v>
      </c>
      <c r="L499">
        <v>12</v>
      </c>
      <c r="M499">
        <v>3</v>
      </c>
      <c r="N499" t="s">
        <v>91</v>
      </c>
      <c r="O499" t="s">
        <v>174</v>
      </c>
      <c r="P499" t="s">
        <v>168</v>
      </c>
      <c r="Q499">
        <f t="shared" si="137"/>
        <v>2</v>
      </c>
      <c r="R499" t="str">
        <f t="shared" si="126"/>
        <v>7-2023</v>
      </c>
      <c r="S499" t="s">
        <v>104</v>
      </c>
      <c r="T499" t="str">
        <f t="shared" si="127"/>
        <v>Friday</v>
      </c>
      <c r="U499">
        <f t="shared" si="128"/>
        <v>1</v>
      </c>
      <c r="V499" s="24">
        <f>IFERROR(Table2[[#This Row],[Gray Min]]/Table2[[#This Row],[ClassLength]],"")</f>
        <v>0.20370370370370369</v>
      </c>
      <c r="W499" s="24">
        <f>IFERROR(Table2[[#This Row],[Blue Min]]/Table2[[#This Row],[ClassLength]],"")</f>
        <v>0.29629629629629628</v>
      </c>
      <c r="X499" s="24">
        <f>IFERROR(Table2[[#This Row],[Green Min]]/Table2[[#This Row],[ClassLength]],"")</f>
        <v>0.22222222222222221</v>
      </c>
      <c r="Y499" s="24">
        <f>IFERROR(Table2[[#This Row],[Orange Min]]/Table2[[#This Row],[ClassLength]],"")</f>
        <v>0.22222222222222221</v>
      </c>
      <c r="Z499" s="24">
        <f>IFERROR(Table2[[#This Row],[Red Min]]/Table2[[#This Row],[ClassLength]],"")</f>
        <v>5.5555555555555552E-2</v>
      </c>
      <c r="AA499" s="25">
        <v>232.14</v>
      </c>
      <c r="AB499" s="25">
        <f t="shared" si="141"/>
        <v>15.475999999999999</v>
      </c>
      <c r="AC499" s="26">
        <f t="shared" si="129"/>
        <v>630.86666666666667</v>
      </c>
      <c r="AD499" s="26">
        <f t="shared" si="130"/>
        <v>14.866666666666667</v>
      </c>
      <c r="AE499">
        <f t="shared" si="131"/>
        <v>2023</v>
      </c>
      <c r="AG499">
        <v>12</v>
      </c>
      <c r="AH499" s="26">
        <f t="shared" si="132"/>
        <v>11.444444444444445</v>
      </c>
      <c r="AI499" t="str">
        <f t="shared" si="133"/>
        <v>AM</v>
      </c>
      <c r="AJ499" t="str">
        <f t="shared" si="134"/>
        <v>7-2023-3</v>
      </c>
      <c r="AK499">
        <f t="shared" si="135"/>
        <v>7</v>
      </c>
      <c r="AL499" s="26">
        <f>IFERROR(Table2[[#This Row],[Calories]]/Table2[[#This Row],[Splat]],"")</f>
        <v>41.2</v>
      </c>
      <c r="AM499">
        <f>COUNTIF(N$2:$N$938,N499)</f>
        <v>218</v>
      </c>
      <c r="AN499" t="str">
        <f>VLOOKUP(N499,'Helpful Tables'!A:D,4,FALSE)</f>
        <v>Washington, DC</v>
      </c>
      <c r="AO499" s="24">
        <f>COUNTIF(AN:AN,Table2[[#This Row],[State]])/COUNTA(AN:AN)</f>
        <v>0.54904051172707891</v>
      </c>
      <c r="AP499">
        <f>VLOOKUP(N499,'Helpful Tables'!A:B,2,FALSE)</f>
        <v>38.934710000000003</v>
      </c>
      <c r="AQ499">
        <f>VLOOKUP(N499,'Helpful Tables'!A:C,3,FALSE)</f>
        <v>-77.058222999999998</v>
      </c>
      <c r="AR499">
        <f>COUNTIF(P$2:$P$938,P499)</f>
        <v>12</v>
      </c>
      <c r="AS499" cm="1">
        <f t="array" ref="AS499">_xlfn.IFS(E499&lt;6,((E499/D499)*60)*0.5,AND(E499&gt;=6,E499&lt;9),((E499/D499)*60)*0.75,AND(E499&gt;=9,E499&lt;=11),((E499/D499)*60)*0.9,AND(E499=12),((E499/D499)*60)*1,AND(E499&gt;=13,E499&lt;=15),((E499/D499)*60)*1.2,AND(E499&gt;=16,E499&lt;=19),((E499/D499)*60)*1.5,E499&gt;=20,((E499/D499)*60)*1.8)</f>
        <v>20</v>
      </c>
      <c r="AT499" cm="1">
        <f t="array" ref="AT499">_xlfn.IFS(F499&lt;550,((F499/D499)*60)*0.5,AND(F499&gt;=550,F499&lt;575),((F499/D499)*60)*0.75,AND(F499&gt;=575,F499&lt;600),((F499/D499)*60)*0.9,AND(F499=600),((F499/D499)*60)*1,AND(F499&gt;=601,F499&lt;=625),((F499/D499)*60)*1.2,AND(F499&gt;=626,F499&lt;=650),((F499/D499)*60)*1.5,F499&gt;=651,((F499/D499)*60)*1.8)</f>
        <v>823.99999999999989</v>
      </c>
      <c r="AU499">
        <f t="shared" si="142"/>
        <v>3.6999999999999993</v>
      </c>
      <c r="AV499">
        <f t="shared" si="138"/>
        <v>338.34</v>
      </c>
      <c r="AW499">
        <f t="shared" si="143"/>
        <v>42.1</v>
      </c>
      <c r="AX499" t="str">
        <f t="shared" si="136"/>
        <v>Jul-2023</v>
      </c>
      <c r="AY499">
        <f>ROUNDUP(Table2[[#This Row],[Month]]/3,0)</f>
        <v>3</v>
      </c>
    </row>
    <row r="500" spans="1:51" x14ac:dyDescent="0.2">
      <c r="A500">
        <v>499</v>
      </c>
      <c r="B500">
        <f t="shared" si="125"/>
        <v>15</v>
      </c>
      <c r="C500" s="22">
        <v>45123</v>
      </c>
      <c r="D500">
        <f>SUM(Table2[[#This Row],[Gray Min]:[Red Min]])</f>
        <v>58</v>
      </c>
      <c r="E500">
        <v>8</v>
      </c>
      <c r="F500">
        <v>512</v>
      </c>
      <c r="G500">
        <v>112</v>
      </c>
      <c r="H500">
        <v>168</v>
      </c>
      <c r="I500">
        <v>29</v>
      </c>
      <c r="J500">
        <v>13</v>
      </c>
      <c r="K500">
        <v>8</v>
      </c>
      <c r="L500">
        <v>6</v>
      </c>
      <c r="M500">
        <v>2</v>
      </c>
      <c r="N500" t="s">
        <v>101</v>
      </c>
      <c r="O500" t="s">
        <v>93</v>
      </c>
      <c r="P500" t="s">
        <v>155</v>
      </c>
      <c r="Q500">
        <f t="shared" si="137"/>
        <v>2</v>
      </c>
      <c r="R500" t="str">
        <f t="shared" si="126"/>
        <v>7-2023</v>
      </c>
      <c r="S500" t="s">
        <v>117</v>
      </c>
      <c r="T500" t="str">
        <f t="shared" si="127"/>
        <v>Sunday</v>
      </c>
      <c r="U500">
        <f t="shared" si="128"/>
        <v>0</v>
      </c>
      <c r="V500" s="24">
        <f>IFERROR(Table2[[#This Row],[Gray Min]]/Table2[[#This Row],[ClassLength]],"")</f>
        <v>0.5</v>
      </c>
      <c r="W500" s="24">
        <f>IFERROR(Table2[[#This Row],[Blue Min]]/Table2[[#This Row],[ClassLength]],"")</f>
        <v>0.22413793103448276</v>
      </c>
      <c r="X500" s="24">
        <f>IFERROR(Table2[[#This Row],[Green Min]]/Table2[[#This Row],[ClassLength]],"")</f>
        <v>0.13793103448275862</v>
      </c>
      <c r="Y500" s="24">
        <f>IFERROR(Table2[[#This Row],[Orange Min]]/Table2[[#This Row],[ClassLength]],"")</f>
        <v>0.10344827586206896</v>
      </c>
      <c r="Z500" s="24">
        <f>IFERROR(Table2[[#This Row],[Red Min]]/Table2[[#This Row],[ClassLength]],"")</f>
        <v>3.4482758620689655E-2</v>
      </c>
      <c r="AA500" s="25">
        <v>232.14</v>
      </c>
      <c r="AB500" s="25">
        <f t="shared" si="141"/>
        <v>15.475999999999999</v>
      </c>
      <c r="AC500" s="26">
        <f t="shared" si="129"/>
        <v>630.86666666666667</v>
      </c>
      <c r="AD500" s="26">
        <f t="shared" si="130"/>
        <v>14.866666666666667</v>
      </c>
      <c r="AE500">
        <f t="shared" si="131"/>
        <v>2023</v>
      </c>
      <c r="AG500">
        <v>12</v>
      </c>
      <c r="AH500" s="26">
        <f t="shared" si="132"/>
        <v>8.8275862068965516</v>
      </c>
      <c r="AI500" t="str">
        <f t="shared" si="133"/>
        <v>AM</v>
      </c>
      <c r="AJ500" t="str">
        <f t="shared" si="134"/>
        <v>7-2023-4</v>
      </c>
      <c r="AK500">
        <f t="shared" si="135"/>
        <v>7</v>
      </c>
      <c r="AL500" s="26">
        <f>IFERROR(Table2[[#This Row],[Calories]]/Table2[[#This Row],[Splat]],"")</f>
        <v>64</v>
      </c>
      <c r="AM500">
        <f>COUNTIF(N$2:$N$938,N500)</f>
        <v>191</v>
      </c>
      <c r="AN500" t="str">
        <f>VLOOKUP(N500,'Helpful Tables'!A:D,4,FALSE)</f>
        <v>Washington, DC</v>
      </c>
      <c r="AO500" s="24">
        <f>COUNTIF(AN:AN,Table2[[#This Row],[State]])/COUNTA(AN:AN)</f>
        <v>0.54904051172707891</v>
      </c>
      <c r="AP500">
        <f>VLOOKUP(N500,'Helpful Tables'!A:B,2,FALSE)</f>
        <v>38.949649000000001</v>
      </c>
      <c r="AQ500">
        <f>VLOOKUP(N500,'Helpful Tables'!A:C,3,FALSE)</f>
        <v>-77.080878999999996</v>
      </c>
      <c r="AR500">
        <f>COUNTIF(P$2:$P$938,P500)</f>
        <v>13</v>
      </c>
      <c r="AS500" cm="1">
        <f t="array" ref="AS500">_xlfn.IFS(E500&lt;6,((E500/D500)*60)*0.5,AND(E500&gt;=6,E500&lt;9),((E500/D500)*60)*0.75,AND(E500&gt;=9,E500&lt;=11),((E500/D500)*60)*0.9,AND(E500=12),((E500/D500)*60)*1,AND(E500&gt;=13,E500&lt;=15),((E500/D500)*60)*1.2,AND(E500&gt;=16,E500&lt;=19),((E500/D500)*60)*1.5,E500&gt;=20,((E500/D500)*60)*1.8)</f>
        <v>6.2068965517241388</v>
      </c>
      <c r="AT500" cm="1">
        <f t="array" ref="AT500">_xlfn.IFS(F500&lt;550,((F500/D500)*60)*0.5,AND(F500&gt;=550,F500&lt;575),((F500/D500)*60)*0.75,AND(F500&gt;=575,F500&lt;600),((F500/D500)*60)*0.9,AND(F500=600),((F500/D500)*60)*1,AND(F500&gt;=601,F500&lt;=625),((F500/D500)*60)*1.2,AND(F500&gt;=626,F500&lt;=650),((F500/D500)*60)*1.5,F500&gt;=651,((F500/D500)*60)*1.8)</f>
        <v>264.82758620689657</v>
      </c>
      <c r="AU500">
        <f t="shared" si="142"/>
        <v>-28.699999999999992</v>
      </c>
      <c r="AV500">
        <f t="shared" si="138"/>
        <v>102.67379310344829</v>
      </c>
      <c r="AW500">
        <f t="shared" si="143"/>
        <v>1.7999999999999998</v>
      </c>
      <c r="AX500" t="str">
        <f t="shared" si="136"/>
        <v>Jul-2023</v>
      </c>
      <c r="AY500">
        <f>ROUNDUP(Table2[[#This Row],[Month]]/3,0)</f>
        <v>3</v>
      </c>
    </row>
    <row r="501" spans="1:51" x14ac:dyDescent="0.2">
      <c r="A501">
        <v>500</v>
      </c>
      <c r="B501">
        <f t="shared" si="125"/>
        <v>15</v>
      </c>
      <c r="C501" s="22">
        <v>45124</v>
      </c>
      <c r="D501">
        <f>SUM(Table2[[#This Row],[Gray Min]:[Red Min]])</f>
        <v>58</v>
      </c>
      <c r="E501">
        <v>17</v>
      </c>
      <c r="F501">
        <v>664</v>
      </c>
      <c r="G501">
        <v>128</v>
      </c>
      <c r="H501">
        <v>170</v>
      </c>
      <c r="I501">
        <v>16</v>
      </c>
      <c r="J501">
        <v>12</v>
      </c>
      <c r="K501">
        <v>13</v>
      </c>
      <c r="L501">
        <v>16</v>
      </c>
      <c r="M501">
        <v>1</v>
      </c>
      <c r="N501" t="s">
        <v>91</v>
      </c>
      <c r="O501" t="s">
        <v>57</v>
      </c>
      <c r="P501" t="s">
        <v>185</v>
      </c>
      <c r="Q501">
        <f t="shared" si="137"/>
        <v>1</v>
      </c>
      <c r="R501" t="str">
        <f t="shared" si="126"/>
        <v>7-2023</v>
      </c>
      <c r="S501" t="s">
        <v>104</v>
      </c>
      <c r="T501" t="str">
        <f t="shared" si="127"/>
        <v>Monday</v>
      </c>
      <c r="U501">
        <f t="shared" si="128"/>
        <v>1</v>
      </c>
      <c r="V501" s="24">
        <f>IFERROR(Table2[[#This Row],[Gray Min]]/Table2[[#This Row],[ClassLength]],"")</f>
        <v>0.27586206896551724</v>
      </c>
      <c r="W501" s="24">
        <f>IFERROR(Table2[[#This Row],[Blue Min]]/Table2[[#This Row],[ClassLength]],"")</f>
        <v>0.20689655172413793</v>
      </c>
      <c r="X501" s="24">
        <f>IFERROR(Table2[[#This Row],[Green Min]]/Table2[[#This Row],[ClassLength]],"")</f>
        <v>0.22413793103448276</v>
      </c>
      <c r="Y501" s="24">
        <f>IFERROR(Table2[[#This Row],[Orange Min]]/Table2[[#This Row],[ClassLength]],"")</f>
        <v>0.27586206896551724</v>
      </c>
      <c r="Z501" s="24">
        <f>IFERROR(Table2[[#This Row],[Red Min]]/Table2[[#This Row],[ClassLength]],"")</f>
        <v>1.7241379310344827E-2</v>
      </c>
      <c r="AA501" s="25">
        <v>232.14</v>
      </c>
      <c r="AB501" s="25">
        <f t="shared" si="141"/>
        <v>15.475999999999999</v>
      </c>
      <c r="AC501" s="26">
        <f t="shared" si="129"/>
        <v>630.86666666666667</v>
      </c>
      <c r="AD501" s="26">
        <f t="shared" si="130"/>
        <v>14.866666666666667</v>
      </c>
      <c r="AE501">
        <f t="shared" si="131"/>
        <v>2023</v>
      </c>
      <c r="AG501">
        <v>12</v>
      </c>
      <c r="AH501" s="26">
        <f t="shared" si="132"/>
        <v>11.448275862068966</v>
      </c>
      <c r="AI501" t="str">
        <f t="shared" si="133"/>
        <v>PM</v>
      </c>
      <c r="AJ501" t="str">
        <f t="shared" si="134"/>
        <v>7-2023-4</v>
      </c>
      <c r="AK501">
        <f t="shared" si="135"/>
        <v>7</v>
      </c>
      <c r="AL501" s="26">
        <f>IFERROR(Table2[[#This Row],[Calories]]/Table2[[#This Row],[Splat]],"")</f>
        <v>39.058823529411768</v>
      </c>
      <c r="AM501">
        <f>COUNTIF(N$2:$N$938,N501)</f>
        <v>218</v>
      </c>
      <c r="AN501" t="str">
        <f>VLOOKUP(N501,'Helpful Tables'!A:D,4,FALSE)</f>
        <v>Washington, DC</v>
      </c>
      <c r="AO501" s="24">
        <f>COUNTIF(AN:AN,Table2[[#This Row],[State]])/COUNTA(AN:AN)</f>
        <v>0.54904051172707891</v>
      </c>
      <c r="AP501">
        <f>VLOOKUP(N501,'Helpful Tables'!A:B,2,FALSE)</f>
        <v>38.934710000000003</v>
      </c>
      <c r="AQ501">
        <f>VLOOKUP(N501,'Helpful Tables'!A:C,3,FALSE)</f>
        <v>-77.058222999999998</v>
      </c>
      <c r="AR501">
        <f>COUNTIF(P$2:$P$938,P501)</f>
        <v>3</v>
      </c>
      <c r="AS501" cm="1">
        <f t="array" ref="AS501">_xlfn.IFS(E501&lt;6,((E501/D501)*60)*0.5,AND(E501&gt;=6,E501&lt;9),((E501/D501)*60)*0.75,AND(E501&gt;=9,E501&lt;=11),((E501/D501)*60)*0.9,AND(E501=12),((E501/D501)*60)*1,AND(E501&gt;=13,E501&lt;=15),((E501/D501)*60)*1.2,AND(E501&gt;=16,E501&lt;=19),((E501/D501)*60)*1.5,E501&gt;=20,((E501/D501)*60)*1.8)</f>
        <v>26.379310344827584</v>
      </c>
      <c r="AT501" cm="1">
        <f t="array" ref="AT501">_xlfn.IFS(F501&lt;550,((F501/D501)*60)*0.5,AND(F501&gt;=550,F501&lt;575),((F501/D501)*60)*0.75,AND(F501&gt;=575,F501&lt;600),((F501/D501)*60)*0.9,AND(F501=600),((F501/D501)*60)*1,AND(F501&gt;=601,F501&lt;=625),((F501/D501)*60)*1.2,AND(F501&gt;=626,F501&lt;=650),((F501/D501)*60)*1.5,F501&gt;=651,((F501/D501)*60)*1.8)</f>
        <v>1236.4137931034484</v>
      </c>
      <c r="AU501">
        <f t="shared" si="142"/>
        <v>5.5000000000000036</v>
      </c>
      <c r="AV501">
        <f t="shared" si="138"/>
        <v>506.21724137931045</v>
      </c>
      <c r="AW501">
        <f t="shared" si="143"/>
        <v>83.1</v>
      </c>
      <c r="AX501" t="str">
        <f t="shared" si="136"/>
        <v>Jul-2023</v>
      </c>
      <c r="AY501">
        <f>ROUNDUP(Table2[[#This Row],[Month]]/3,0)</f>
        <v>3</v>
      </c>
    </row>
    <row r="502" spans="1:51" x14ac:dyDescent="0.2">
      <c r="A502">
        <v>501</v>
      </c>
      <c r="B502">
        <f t="shared" si="125"/>
        <v>15</v>
      </c>
      <c r="C502" s="22">
        <v>45126</v>
      </c>
      <c r="D502">
        <f>SUM(Table2[[#This Row],[Gray Min]:[Red Min]])</f>
        <v>60</v>
      </c>
      <c r="E502">
        <v>14</v>
      </c>
      <c r="F502">
        <v>638</v>
      </c>
      <c r="G502">
        <v>124</v>
      </c>
      <c r="H502">
        <v>171</v>
      </c>
      <c r="I502">
        <v>17</v>
      </c>
      <c r="J502">
        <v>15</v>
      </c>
      <c r="K502">
        <v>14</v>
      </c>
      <c r="L502">
        <v>12</v>
      </c>
      <c r="M502">
        <v>2</v>
      </c>
      <c r="N502" t="s">
        <v>91</v>
      </c>
      <c r="O502" t="s">
        <v>57</v>
      </c>
      <c r="P502" t="s">
        <v>96</v>
      </c>
      <c r="Q502">
        <f t="shared" si="137"/>
        <v>2</v>
      </c>
      <c r="R502" t="str">
        <f t="shared" si="126"/>
        <v>7-2023</v>
      </c>
      <c r="S502" t="s">
        <v>104</v>
      </c>
      <c r="T502" t="str">
        <f t="shared" si="127"/>
        <v>Wednesday</v>
      </c>
      <c r="U502">
        <f t="shared" si="128"/>
        <v>1</v>
      </c>
      <c r="V502" s="24">
        <f>IFERROR(Table2[[#This Row],[Gray Min]]/Table2[[#This Row],[ClassLength]],"")</f>
        <v>0.28333333333333333</v>
      </c>
      <c r="W502" s="24">
        <f>IFERROR(Table2[[#This Row],[Blue Min]]/Table2[[#This Row],[ClassLength]],"")</f>
        <v>0.25</v>
      </c>
      <c r="X502" s="24">
        <f>IFERROR(Table2[[#This Row],[Green Min]]/Table2[[#This Row],[ClassLength]],"")</f>
        <v>0.23333333333333334</v>
      </c>
      <c r="Y502" s="24">
        <f>IFERROR(Table2[[#This Row],[Orange Min]]/Table2[[#This Row],[ClassLength]],"")</f>
        <v>0.2</v>
      </c>
      <c r="Z502" s="24">
        <f>IFERROR(Table2[[#This Row],[Red Min]]/Table2[[#This Row],[ClassLength]],"")</f>
        <v>3.3333333333333333E-2</v>
      </c>
      <c r="AA502" s="25">
        <v>232.14</v>
      </c>
      <c r="AB502" s="25">
        <f t="shared" si="141"/>
        <v>15.475999999999999</v>
      </c>
      <c r="AC502" s="26">
        <f t="shared" si="129"/>
        <v>630.86666666666667</v>
      </c>
      <c r="AD502" s="26">
        <f t="shared" si="130"/>
        <v>14.866666666666667</v>
      </c>
      <c r="AE502">
        <f t="shared" si="131"/>
        <v>2023</v>
      </c>
      <c r="AG502">
        <v>12</v>
      </c>
      <c r="AH502" s="26">
        <f t="shared" si="132"/>
        <v>10.633333333333333</v>
      </c>
      <c r="AI502" t="str">
        <f t="shared" si="133"/>
        <v>PM</v>
      </c>
      <c r="AJ502" t="str">
        <f t="shared" si="134"/>
        <v>7-2023-4</v>
      </c>
      <c r="AK502">
        <f t="shared" si="135"/>
        <v>7</v>
      </c>
      <c r="AL502" s="26">
        <f>IFERROR(Table2[[#This Row],[Calories]]/Table2[[#This Row],[Splat]],"")</f>
        <v>45.571428571428569</v>
      </c>
      <c r="AM502">
        <f>COUNTIF(N$2:$N$938,N502)</f>
        <v>218</v>
      </c>
      <c r="AN502" t="str">
        <f>VLOOKUP(N502,'Helpful Tables'!A:D,4,FALSE)</f>
        <v>Washington, DC</v>
      </c>
      <c r="AO502" s="24">
        <f>COUNTIF(AN:AN,Table2[[#This Row],[State]])/COUNTA(AN:AN)</f>
        <v>0.54904051172707891</v>
      </c>
      <c r="AP502">
        <f>VLOOKUP(N502,'Helpful Tables'!A:B,2,FALSE)</f>
        <v>38.934710000000003</v>
      </c>
      <c r="AQ502">
        <f>VLOOKUP(N502,'Helpful Tables'!A:C,3,FALSE)</f>
        <v>-77.058222999999998</v>
      </c>
      <c r="AR502">
        <f>COUNTIF(P$2:$P$938,P502)</f>
        <v>71</v>
      </c>
      <c r="AS502" cm="1">
        <f t="array" ref="AS502">_xlfn.IFS(E502&lt;6,((E502/D502)*60)*0.5,AND(E502&gt;=6,E502&lt;9),((E502/D502)*60)*0.75,AND(E502&gt;=9,E502&lt;=11),((E502/D502)*60)*0.9,AND(E502=12),((E502/D502)*60)*1,AND(E502&gt;=13,E502&lt;=15),((E502/D502)*60)*1.2,AND(E502&gt;=16,E502&lt;=19),((E502/D502)*60)*1.5,E502&gt;=20,((E502/D502)*60)*1.8)</f>
        <v>16.8</v>
      </c>
      <c r="AT502" cm="1">
        <f t="array" ref="AT502">_xlfn.IFS(F502&lt;550,((F502/D502)*60)*0.5,AND(F502&gt;=550,F502&lt;575),((F502/D502)*60)*0.75,AND(F502&gt;=575,F502&lt;600),((F502/D502)*60)*0.9,AND(F502=600),((F502/D502)*60)*1,AND(F502&gt;=601,F502&lt;=625),((F502/D502)*60)*1.2,AND(F502&gt;=626,F502&lt;=650),((F502/D502)*60)*1.5,F502&gt;=651,((F502/D502)*60)*1.8)</f>
        <v>957</v>
      </c>
      <c r="AU502">
        <f t="shared" si="142"/>
        <v>-1.4999999999999964</v>
      </c>
      <c r="AV502">
        <f t="shared" si="138"/>
        <v>389.22</v>
      </c>
      <c r="AW502">
        <f t="shared" si="143"/>
        <v>48.1</v>
      </c>
      <c r="AX502" t="str">
        <f t="shared" si="136"/>
        <v>Jul-2023</v>
      </c>
      <c r="AY502">
        <f>ROUNDUP(Table2[[#This Row],[Month]]/3,0)</f>
        <v>3</v>
      </c>
    </row>
    <row r="503" spans="1:51" x14ac:dyDescent="0.2">
      <c r="A503">
        <v>502</v>
      </c>
      <c r="B503">
        <f t="shared" si="125"/>
        <v>15</v>
      </c>
      <c r="C503" s="22">
        <v>45128</v>
      </c>
      <c r="D503">
        <f>SUM(Table2[[#This Row],[Gray Min]:[Red Min]])</f>
        <v>57</v>
      </c>
      <c r="E503">
        <v>12</v>
      </c>
      <c r="F503">
        <v>611</v>
      </c>
      <c r="G503">
        <v>125</v>
      </c>
      <c r="H503">
        <v>167</v>
      </c>
      <c r="I503">
        <v>12</v>
      </c>
      <c r="J503">
        <v>17</v>
      </c>
      <c r="K503">
        <v>16</v>
      </c>
      <c r="L503">
        <v>11</v>
      </c>
      <c r="M503">
        <v>1</v>
      </c>
      <c r="N503" t="s">
        <v>101</v>
      </c>
      <c r="O503" t="s">
        <v>184</v>
      </c>
      <c r="P503" t="s">
        <v>155</v>
      </c>
      <c r="Q503">
        <f t="shared" si="137"/>
        <v>2</v>
      </c>
      <c r="R503" t="str">
        <f t="shared" si="126"/>
        <v>7-2023</v>
      </c>
      <c r="S503" t="s">
        <v>104</v>
      </c>
      <c r="T503" t="str">
        <f t="shared" si="127"/>
        <v>Friday</v>
      </c>
      <c r="U503">
        <f t="shared" si="128"/>
        <v>1</v>
      </c>
      <c r="V503" s="24">
        <f>IFERROR(Table2[[#This Row],[Gray Min]]/Table2[[#This Row],[ClassLength]],"")</f>
        <v>0.21052631578947367</v>
      </c>
      <c r="W503" s="24">
        <f>IFERROR(Table2[[#This Row],[Blue Min]]/Table2[[#This Row],[ClassLength]],"")</f>
        <v>0.2982456140350877</v>
      </c>
      <c r="X503" s="24">
        <f>IFERROR(Table2[[#This Row],[Green Min]]/Table2[[#This Row],[ClassLength]],"")</f>
        <v>0.2807017543859649</v>
      </c>
      <c r="Y503" s="24">
        <f>IFERROR(Table2[[#This Row],[Orange Min]]/Table2[[#This Row],[ClassLength]],"")</f>
        <v>0.19298245614035087</v>
      </c>
      <c r="Z503" s="24">
        <f>IFERROR(Table2[[#This Row],[Red Min]]/Table2[[#This Row],[ClassLength]],"")</f>
        <v>1.7543859649122806E-2</v>
      </c>
      <c r="AA503" s="25">
        <v>232.14</v>
      </c>
      <c r="AB503" s="25">
        <f t="shared" si="141"/>
        <v>15.475999999999999</v>
      </c>
      <c r="AC503" s="26">
        <f t="shared" si="129"/>
        <v>630.86666666666667</v>
      </c>
      <c r="AD503" s="26">
        <f t="shared" si="130"/>
        <v>14.866666666666667</v>
      </c>
      <c r="AE503">
        <f t="shared" si="131"/>
        <v>2023</v>
      </c>
      <c r="AG503">
        <v>12</v>
      </c>
      <c r="AH503" s="26">
        <f t="shared" si="132"/>
        <v>10.719298245614034</v>
      </c>
      <c r="AI503" t="str">
        <f t="shared" si="133"/>
        <v>AM</v>
      </c>
      <c r="AJ503" t="str">
        <f t="shared" si="134"/>
        <v>7-2023-4</v>
      </c>
      <c r="AK503">
        <f t="shared" si="135"/>
        <v>7</v>
      </c>
      <c r="AL503" s="26">
        <f>IFERROR(Table2[[#This Row],[Calories]]/Table2[[#This Row],[Splat]],"")</f>
        <v>50.916666666666664</v>
      </c>
      <c r="AM503">
        <f>COUNTIF(N$2:$N$938,N503)</f>
        <v>191</v>
      </c>
      <c r="AN503" t="str">
        <f>VLOOKUP(N503,'Helpful Tables'!A:D,4,FALSE)</f>
        <v>Washington, DC</v>
      </c>
      <c r="AO503" s="24">
        <f>COUNTIF(AN:AN,Table2[[#This Row],[State]])/COUNTA(AN:AN)</f>
        <v>0.54904051172707891</v>
      </c>
      <c r="AP503">
        <f>VLOOKUP(N503,'Helpful Tables'!A:B,2,FALSE)</f>
        <v>38.949649000000001</v>
      </c>
      <c r="AQ503">
        <f>VLOOKUP(N503,'Helpful Tables'!A:C,3,FALSE)</f>
        <v>-77.080878999999996</v>
      </c>
      <c r="AR503">
        <f>COUNTIF(P$2:$P$938,P503)</f>
        <v>13</v>
      </c>
      <c r="AS503" cm="1">
        <f t="array" ref="AS503">_xlfn.IFS(E503&lt;6,((E503/D503)*60)*0.5,AND(E503&gt;=6,E503&lt;9),((E503/D503)*60)*0.75,AND(E503&gt;=9,E503&lt;=11),((E503/D503)*60)*0.9,AND(E503=12),((E503/D503)*60)*1,AND(E503&gt;=13,E503&lt;=15),((E503/D503)*60)*1.2,AND(E503&gt;=16,E503&lt;=19),((E503/D503)*60)*1.5,E503&gt;=20,((E503/D503)*60)*1.8)</f>
        <v>12.631578947368421</v>
      </c>
      <c r="AT503" cm="1">
        <f t="array" ref="AT503">_xlfn.IFS(F503&lt;550,((F503/D503)*60)*0.5,AND(F503&gt;=550,F503&lt;575),((F503/D503)*60)*0.75,AND(F503&gt;=575,F503&lt;600),((F503/D503)*60)*0.9,AND(F503=600),((F503/D503)*60)*1,AND(F503&gt;=601,F503&lt;=625),((F503/D503)*60)*1.2,AND(F503&gt;=626,F503&lt;=650),((F503/D503)*60)*1.5,F503&gt;=651,((F503/D503)*60)*1.8)</f>
        <v>771.78947368421052</v>
      </c>
      <c r="AU503">
        <f t="shared" si="142"/>
        <v>1.8999999999999986</v>
      </c>
      <c r="AV503">
        <f t="shared" si="138"/>
        <v>314.14842105263159</v>
      </c>
      <c r="AW503">
        <f t="shared" si="143"/>
        <v>33.200000000000003</v>
      </c>
      <c r="AX503" t="str">
        <f t="shared" si="136"/>
        <v>Jul-2023</v>
      </c>
      <c r="AY503">
        <f>ROUNDUP(Table2[[#This Row],[Month]]/3,0)</f>
        <v>3</v>
      </c>
    </row>
    <row r="504" spans="1:51" x14ac:dyDescent="0.2">
      <c r="A504">
        <v>503</v>
      </c>
      <c r="B504">
        <f t="shared" si="125"/>
        <v>15</v>
      </c>
      <c r="C504" s="22">
        <v>45131</v>
      </c>
      <c r="D504">
        <f>SUM(Table2[[#This Row],[Gray Min]:[Red Min]])</f>
        <v>57</v>
      </c>
      <c r="E504">
        <v>13</v>
      </c>
      <c r="F504">
        <v>652</v>
      </c>
      <c r="G504">
        <v>129</v>
      </c>
      <c r="H504">
        <v>167</v>
      </c>
      <c r="I504">
        <v>3</v>
      </c>
      <c r="J504">
        <v>24</v>
      </c>
      <c r="K504">
        <v>17</v>
      </c>
      <c r="L504">
        <v>10</v>
      </c>
      <c r="M504">
        <v>3</v>
      </c>
      <c r="N504" t="s">
        <v>91</v>
      </c>
      <c r="O504" t="s">
        <v>57</v>
      </c>
      <c r="P504" t="s">
        <v>185</v>
      </c>
      <c r="Q504">
        <f t="shared" si="137"/>
        <v>3</v>
      </c>
      <c r="R504" t="str">
        <f t="shared" si="126"/>
        <v>7-2023</v>
      </c>
      <c r="S504" t="s">
        <v>104</v>
      </c>
      <c r="T504" t="str">
        <f t="shared" si="127"/>
        <v>Monday</v>
      </c>
      <c r="U504">
        <f t="shared" si="128"/>
        <v>1</v>
      </c>
      <c r="V504" s="24">
        <f>IFERROR(Table2[[#This Row],[Gray Min]]/Table2[[#This Row],[ClassLength]],"")</f>
        <v>5.2631578947368418E-2</v>
      </c>
      <c r="W504" s="24">
        <f>IFERROR(Table2[[#This Row],[Blue Min]]/Table2[[#This Row],[ClassLength]],"")</f>
        <v>0.42105263157894735</v>
      </c>
      <c r="X504" s="24">
        <f>IFERROR(Table2[[#This Row],[Green Min]]/Table2[[#This Row],[ClassLength]],"")</f>
        <v>0.2982456140350877</v>
      </c>
      <c r="Y504" s="24">
        <f>IFERROR(Table2[[#This Row],[Orange Min]]/Table2[[#This Row],[ClassLength]],"")</f>
        <v>0.17543859649122806</v>
      </c>
      <c r="Z504" s="24">
        <f>IFERROR(Table2[[#This Row],[Red Min]]/Table2[[#This Row],[ClassLength]],"")</f>
        <v>5.2631578947368418E-2</v>
      </c>
      <c r="AA504" s="25">
        <v>232.14</v>
      </c>
      <c r="AB504" s="25">
        <f t="shared" si="141"/>
        <v>15.475999999999999</v>
      </c>
      <c r="AC504" s="26">
        <f t="shared" si="129"/>
        <v>630.86666666666667</v>
      </c>
      <c r="AD504" s="26">
        <f t="shared" si="130"/>
        <v>14.866666666666667</v>
      </c>
      <c r="AE504">
        <f t="shared" si="131"/>
        <v>2023</v>
      </c>
      <c r="AG504">
        <v>12</v>
      </c>
      <c r="AH504" s="26">
        <f t="shared" si="132"/>
        <v>11.43859649122807</v>
      </c>
      <c r="AI504" t="str">
        <f t="shared" si="133"/>
        <v>PM</v>
      </c>
      <c r="AJ504" t="str">
        <f t="shared" si="134"/>
        <v>7-2023-5</v>
      </c>
      <c r="AK504">
        <f t="shared" si="135"/>
        <v>7</v>
      </c>
      <c r="AL504" s="26">
        <f>IFERROR(Table2[[#This Row],[Calories]]/Table2[[#This Row],[Splat]],"")</f>
        <v>50.153846153846153</v>
      </c>
      <c r="AM504">
        <f>COUNTIF(N$2:$N$938,N504)</f>
        <v>218</v>
      </c>
      <c r="AN504" t="str">
        <f>VLOOKUP(N504,'Helpful Tables'!A:D,4,FALSE)</f>
        <v>Washington, DC</v>
      </c>
      <c r="AO504" s="24">
        <f>COUNTIF(AN:AN,Table2[[#This Row],[State]])/COUNTA(AN:AN)</f>
        <v>0.54904051172707891</v>
      </c>
      <c r="AP504">
        <f>VLOOKUP(N504,'Helpful Tables'!A:B,2,FALSE)</f>
        <v>38.934710000000003</v>
      </c>
      <c r="AQ504">
        <f>VLOOKUP(N504,'Helpful Tables'!A:C,3,FALSE)</f>
        <v>-77.058222999999998</v>
      </c>
      <c r="AR504">
        <f>COUNTIF(P$2:$P$938,P504)</f>
        <v>3</v>
      </c>
      <c r="AS504" cm="1">
        <f t="array" ref="AS504">_xlfn.IFS(E504&lt;6,((E504/D504)*60)*0.5,AND(E504&gt;=6,E504&lt;9),((E504/D504)*60)*0.75,AND(E504&gt;=9,E504&lt;=11),((E504/D504)*60)*0.9,AND(E504=12),((E504/D504)*60)*1,AND(E504&gt;=13,E504&lt;=15),((E504/D504)*60)*1.2,AND(E504&gt;=16,E504&lt;=19),((E504/D504)*60)*1.5,E504&gt;=20,((E504/D504)*60)*1.8)</f>
        <v>16.421052631578945</v>
      </c>
      <c r="AT504" cm="1">
        <f t="array" ref="AT504">_xlfn.IFS(F504&lt;550,((F504/D504)*60)*0.5,AND(F504&gt;=550,F504&lt;575),((F504/D504)*60)*0.75,AND(F504&gt;=575,F504&lt;600),((F504/D504)*60)*0.9,AND(F504=600),((F504/D504)*60)*1,AND(F504&gt;=601,F504&lt;=625),((F504/D504)*60)*1.2,AND(F504&gt;=626,F504&lt;=650),((F504/D504)*60)*1.5,F504&gt;=651,((F504/D504)*60)*1.8)</f>
        <v>1235.3684210526314</v>
      </c>
      <c r="AU504">
        <f t="shared" si="142"/>
        <v>7.8999999999999986</v>
      </c>
      <c r="AV504">
        <f t="shared" si="138"/>
        <v>502.29578947368412</v>
      </c>
      <c r="AW504">
        <f t="shared" si="143"/>
        <v>80.600000000000009</v>
      </c>
      <c r="AX504" t="str">
        <f t="shared" si="136"/>
        <v>Jul-2023</v>
      </c>
      <c r="AY504">
        <f>ROUNDUP(Table2[[#This Row],[Month]]/3,0)</f>
        <v>3</v>
      </c>
    </row>
    <row r="505" spans="1:51" x14ac:dyDescent="0.2">
      <c r="A505">
        <v>504</v>
      </c>
      <c r="B505">
        <f t="shared" si="125"/>
        <v>15</v>
      </c>
      <c r="C505" s="22">
        <v>45132</v>
      </c>
      <c r="D505">
        <f>SUM(Table2[[#This Row],[Gray Min]:[Red Min]])</f>
        <v>62</v>
      </c>
      <c r="E505">
        <v>12</v>
      </c>
      <c r="F505">
        <v>659</v>
      </c>
      <c r="G505">
        <v>125</v>
      </c>
      <c r="H505">
        <v>166</v>
      </c>
      <c r="I505">
        <v>13</v>
      </c>
      <c r="J505">
        <v>21</v>
      </c>
      <c r="K505">
        <v>16</v>
      </c>
      <c r="L505">
        <v>11</v>
      </c>
      <c r="M505">
        <v>1</v>
      </c>
      <c r="N505" t="s">
        <v>101</v>
      </c>
      <c r="O505" t="s">
        <v>173</v>
      </c>
      <c r="P505" t="s">
        <v>109</v>
      </c>
      <c r="Q505">
        <f t="shared" si="137"/>
        <v>1</v>
      </c>
      <c r="R505" t="str">
        <f t="shared" si="126"/>
        <v>7-2023</v>
      </c>
      <c r="S505" t="s">
        <v>145</v>
      </c>
      <c r="T505" t="str">
        <f t="shared" si="127"/>
        <v>Tuesday</v>
      </c>
      <c r="U505">
        <f t="shared" si="128"/>
        <v>1</v>
      </c>
      <c r="V505" s="24">
        <f>IFERROR(Table2[[#This Row],[Gray Min]]/Table2[[#This Row],[ClassLength]],"")</f>
        <v>0.20967741935483872</v>
      </c>
      <c r="W505" s="24">
        <f>IFERROR(Table2[[#This Row],[Blue Min]]/Table2[[#This Row],[ClassLength]],"")</f>
        <v>0.33870967741935482</v>
      </c>
      <c r="X505" s="24">
        <f>IFERROR(Table2[[#This Row],[Green Min]]/Table2[[#This Row],[ClassLength]],"")</f>
        <v>0.25806451612903225</v>
      </c>
      <c r="Y505" s="24">
        <f>IFERROR(Table2[[#This Row],[Orange Min]]/Table2[[#This Row],[ClassLength]],"")</f>
        <v>0.17741935483870969</v>
      </c>
      <c r="Z505" s="24">
        <f>IFERROR(Table2[[#This Row],[Red Min]]/Table2[[#This Row],[ClassLength]],"")</f>
        <v>1.6129032258064516E-2</v>
      </c>
      <c r="AA505" s="25">
        <v>232.14</v>
      </c>
      <c r="AB505" s="25">
        <f t="shared" si="141"/>
        <v>15.475999999999999</v>
      </c>
      <c r="AC505" s="26">
        <f t="shared" si="129"/>
        <v>630.86666666666667</v>
      </c>
      <c r="AD505" s="26">
        <f t="shared" si="130"/>
        <v>14.866666666666667</v>
      </c>
      <c r="AE505">
        <f t="shared" si="131"/>
        <v>2023</v>
      </c>
      <c r="AG505">
        <v>12</v>
      </c>
      <c r="AH505" s="26">
        <f t="shared" si="132"/>
        <v>10.629032258064516</v>
      </c>
      <c r="AI505" t="str">
        <f t="shared" si="133"/>
        <v>PM</v>
      </c>
      <c r="AJ505" t="str">
        <f t="shared" si="134"/>
        <v>7-2023-5</v>
      </c>
      <c r="AK505">
        <f t="shared" si="135"/>
        <v>7</v>
      </c>
      <c r="AL505" s="26">
        <f>IFERROR(Table2[[#This Row],[Calories]]/Table2[[#This Row],[Splat]],"")</f>
        <v>54.916666666666664</v>
      </c>
      <c r="AM505">
        <f>COUNTIF(N$2:$N$938,N505)</f>
        <v>191</v>
      </c>
      <c r="AN505" t="str">
        <f>VLOOKUP(N505,'Helpful Tables'!A:D,4,FALSE)</f>
        <v>Washington, DC</v>
      </c>
      <c r="AO505" s="24">
        <f>COUNTIF(AN:AN,Table2[[#This Row],[State]])/COUNTA(AN:AN)</f>
        <v>0.54904051172707891</v>
      </c>
      <c r="AP505">
        <f>VLOOKUP(N505,'Helpful Tables'!A:B,2,FALSE)</f>
        <v>38.949649000000001</v>
      </c>
      <c r="AQ505">
        <f>VLOOKUP(N505,'Helpful Tables'!A:C,3,FALSE)</f>
        <v>-77.080878999999996</v>
      </c>
      <c r="AR505">
        <f>COUNTIF(P$2:$P$938,P505)</f>
        <v>66</v>
      </c>
      <c r="AS505" cm="1">
        <f t="array" ref="AS505">_xlfn.IFS(E505&lt;6,((E505/D505)*60)*0.5,AND(E505&gt;=6,E505&lt;9),((E505/D505)*60)*0.75,AND(E505&gt;=9,E505&lt;=11),((E505/D505)*60)*0.9,AND(E505=12),((E505/D505)*60)*1,AND(E505&gt;=13,E505&lt;=15),((E505/D505)*60)*1.2,AND(E505&gt;=16,E505&lt;=19),((E505/D505)*60)*1.5,E505&gt;=20,((E505/D505)*60)*1.8)</f>
        <v>11.612903225806452</v>
      </c>
      <c r="AT505" cm="1">
        <f t="array" ref="AT505">_xlfn.IFS(F505&lt;550,((F505/D505)*60)*0.5,AND(F505&gt;=550,F505&lt;575),((F505/D505)*60)*0.75,AND(F505&gt;=575,F505&lt;600),((F505/D505)*60)*0.9,AND(F505=600),((F505/D505)*60)*1,AND(F505&gt;=601,F505&lt;=625),((F505/D505)*60)*1.2,AND(F505&gt;=626,F505&lt;=650),((F505/D505)*60)*1.5,F505&gt;=651,((F505/D505)*60)*1.8)</f>
        <v>1147.9354838709678</v>
      </c>
      <c r="AU505">
        <f t="shared" si="142"/>
        <v>-3.7000000000000028</v>
      </c>
      <c r="AV505">
        <f t="shared" si="138"/>
        <v>463.07935483870972</v>
      </c>
      <c r="AW505">
        <f t="shared" si="143"/>
        <v>66.7</v>
      </c>
      <c r="AX505" t="str">
        <f t="shared" si="136"/>
        <v>Jul-2023</v>
      </c>
      <c r="AY505">
        <f>ROUNDUP(Table2[[#This Row],[Month]]/3,0)</f>
        <v>3</v>
      </c>
    </row>
    <row r="506" spans="1:51" x14ac:dyDescent="0.2">
      <c r="A506">
        <v>505</v>
      </c>
      <c r="B506">
        <f t="shared" si="125"/>
        <v>15</v>
      </c>
      <c r="C506" s="22">
        <v>45135</v>
      </c>
      <c r="D506">
        <f>SUM(Table2[[#This Row],[Gray Min]:[Red Min]])</f>
        <v>56</v>
      </c>
      <c r="E506">
        <v>19</v>
      </c>
      <c r="F506">
        <v>655</v>
      </c>
      <c r="G506">
        <v>130</v>
      </c>
      <c r="H506">
        <v>169</v>
      </c>
      <c r="I506">
        <v>9</v>
      </c>
      <c r="J506">
        <v>19</v>
      </c>
      <c r="K506">
        <v>9</v>
      </c>
      <c r="L506">
        <v>16</v>
      </c>
      <c r="M506">
        <v>3</v>
      </c>
      <c r="N506" t="s">
        <v>91</v>
      </c>
      <c r="O506" t="s">
        <v>26</v>
      </c>
      <c r="P506" t="s">
        <v>98</v>
      </c>
      <c r="Q506">
        <f t="shared" si="137"/>
        <v>3</v>
      </c>
      <c r="R506" t="str">
        <f t="shared" si="126"/>
        <v>7-2023</v>
      </c>
      <c r="S506" t="s">
        <v>104</v>
      </c>
      <c r="T506" t="str">
        <f t="shared" si="127"/>
        <v>Friday</v>
      </c>
      <c r="U506">
        <f t="shared" si="128"/>
        <v>1</v>
      </c>
      <c r="V506" s="24">
        <f>IFERROR(Table2[[#This Row],[Gray Min]]/Table2[[#This Row],[ClassLength]],"")</f>
        <v>0.16071428571428573</v>
      </c>
      <c r="W506" s="24">
        <f>IFERROR(Table2[[#This Row],[Blue Min]]/Table2[[#This Row],[ClassLength]],"")</f>
        <v>0.3392857142857143</v>
      </c>
      <c r="X506" s="24">
        <f>IFERROR(Table2[[#This Row],[Green Min]]/Table2[[#This Row],[ClassLength]],"")</f>
        <v>0.16071428571428573</v>
      </c>
      <c r="Y506" s="24">
        <f>IFERROR(Table2[[#This Row],[Orange Min]]/Table2[[#This Row],[ClassLength]],"")</f>
        <v>0.2857142857142857</v>
      </c>
      <c r="Z506" s="24">
        <f>IFERROR(Table2[[#This Row],[Red Min]]/Table2[[#This Row],[ClassLength]],"")</f>
        <v>5.3571428571428568E-2</v>
      </c>
      <c r="AA506" s="25">
        <v>232.14</v>
      </c>
      <c r="AB506" s="25">
        <f t="shared" si="141"/>
        <v>15.475999999999999</v>
      </c>
      <c r="AC506" s="26">
        <f t="shared" si="129"/>
        <v>630.86666666666667</v>
      </c>
      <c r="AD506" s="26">
        <f t="shared" si="130"/>
        <v>14.866666666666667</v>
      </c>
      <c r="AE506">
        <f t="shared" si="131"/>
        <v>2023</v>
      </c>
      <c r="AG506">
        <v>12</v>
      </c>
      <c r="AH506" s="26">
        <f t="shared" si="132"/>
        <v>11.696428571428571</v>
      </c>
      <c r="AI506" t="str">
        <f t="shared" si="133"/>
        <v>PM</v>
      </c>
      <c r="AJ506" t="str">
        <f t="shared" si="134"/>
        <v>7-2023-5</v>
      </c>
      <c r="AK506">
        <f t="shared" si="135"/>
        <v>7</v>
      </c>
      <c r="AL506" s="26">
        <f>IFERROR(Table2[[#This Row],[Calories]]/Table2[[#This Row],[Splat]],"")</f>
        <v>34.473684210526315</v>
      </c>
      <c r="AM506">
        <f>COUNTIF(N$2:$N$938,N506)</f>
        <v>218</v>
      </c>
      <c r="AN506" t="str">
        <f>VLOOKUP(N506,'Helpful Tables'!A:D,4,FALSE)</f>
        <v>Washington, DC</v>
      </c>
      <c r="AO506" s="24">
        <f>COUNTIF(AN:AN,Table2[[#This Row],[State]])/COUNTA(AN:AN)</f>
        <v>0.54904051172707891</v>
      </c>
      <c r="AP506">
        <f>VLOOKUP(N506,'Helpful Tables'!A:B,2,FALSE)</f>
        <v>38.934710000000003</v>
      </c>
      <c r="AQ506">
        <f>VLOOKUP(N506,'Helpful Tables'!A:C,3,FALSE)</f>
        <v>-77.058222999999998</v>
      </c>
      <c r="AR506">
        <f>COUNTIF(P$2:$P$938,P506)</f>
        <v>28</v>
      </c>
      <c r="AS506" cm="1">
        <f t="array" ref="AS506">_xlfn.IFS(E506&lt;6,((E506/D506)*60)*0.5,AND(E506&gt;=6,E506&lt;9),((E506/D506)*60)*0.75,AND(E506&gt;=9,E506&lt;=11),((E506/D506)*60)*0.9,AND(E506=12),((E506/D506)*60)*1,AND(E506&gt;=13,E506&lt;=15),((E506/D506)*60)*1.2,AND(E506&gt;=16,E506&lt;=19),((E506/D506)*60)*1.5,E506&gt;=20,((E506/D506)*60)*1.8)</f>
        <v>30.535714285714285</v>
      </c>
      <c r="AT506" cm="1">
        <f t="array" ref="AT506">_xlfn.IFS(F506&lt;550,((F506/D506)*60)*0.5,AND(F506&gt;=550,F506&lt;575),((F506/D506)*60)*0.75,AND(F506&gt;=575,F506&lt;600),((F506/D506)*60)*0.9,AND(F506=600),((F506/D506)*60)*1,AND(F506&gt;=601,F506&lt;=625),((F506/D506)*60)*1.2,AND(F506&gt;=626,F506&lt;=650),((F506/D506)*60)*1.5,F506&gt;=651,((F506/D506)*60)*1.8)</f>
        <v>1263.2142857142856</v>
      </c>
      <c r="AU506">
        <f t="shared" si="142"/>
        <v>4.399999999999995</v>
      </c>
      <c r="AV506">
        <f t="shared" si="138"/>
        <v>518.37999999999988</v>
      </c>
      <c r="AW506">
        <f t="shared" si="143"/>
        <v>89.2</v>
      </c>
      <c r="AX506" t="str">
        <f t="shared" si="136"/>
        <v>Jul-2023</v>
      </c>
      <c r="AY506">
        <f>ROUNDUP(Table2[[#This Row],[Month]]/3,0)</f>
        <v>3</v>
      </c>
    </row>
    <row r="507" spans="1:51" x14ac:dyDescent="0.2">
      <c r="A507">
        <v>506</v>
      </c>
      <c r="B507">
        <f t="shared" si="125"/>
        <v>15</v>
      </c>
      <c r="C507" s="22">
        <v>45136</v>
      </c>
      <c r="D507">
        <f>SUM(Table2[[#This Row],[Gray Min]:[Red Min]])</f>
        <v>59</v>
      </c>
      <c r="E507">
        <v>15</v>
      </c>
      <c r="F507">
        <v>640</v>
      </c>
      <c r="G507">
        <v>126</v>
      </c>
      <c r="H507">
        <v>161</v>
      </c>
      <c r="I507">
        <v>13</v>
      </c>
      <c r="J507">
        <v>17</v>
      </c>
      <c r="K507">
        <v>14</v>
      </c>
      <c r="L507">
        <v>15</v>
      </c>
      <c r="M507">
        <v>0</v>
      </c>
      <c r="N507" t="s">
        <v>101</v>
      </c>
      <c r="O507" t="s">
        <v>178</v>
      </c>
      <c r="P507" t="s">
        <v>133</v>
      </c>
      <c r="Q507">
        <f t="shared" si="137"/>
        <v>1</v>
      </c>
      <c r="R507" t="str">
        <f t="shared" si="126"/>
        <v>7-2023</v>
      </c>
      <c r="S507" t="s">
        <v>104</v>
      </c>
      <c r="T507" t="str">
        <f t="shared" si="127"/>
        <v>Saturday</v>
      </c>
      <c r="U507">
        <f t="shared" si="128"/>
        <v>1</v>
      </c>
      <c r="V507" s="24">
        <f>IFERROR(Table2[[#This Row],[Gray Min]]/Table2[[#This Row],[ClassLength]],"")</f>
        <v>0.22033898305084745</v>
      </c>
      <c r="W507" s="24">
        <f>IFERROR(Table2[[#This Row],[Blue Min]]/Table2[[#This Row],[ClassLength]],"")</f>
        <v>0.28813559322033899</v>
      </c>
      <c r="X507" s="24">
        <f>IFERROR(Table2[[#This Row],[Green Min]]/Table2[[#This Row],[ClassLength]],"")</f>
        <v>0.23728813559322035</v>
      </c>
      <c r="Y507" s="24">
        <f>IFERROR(Table2[[#This Row],[Orange Min]]/Table2[[#This Row],[ClassLength]],"")</f>
        <v>0.25423728813559321</v>
      </c>
      <c r="Z507" s="24">
        <f>IFERROR(Table2[[#This Row],[Red Min]]/Table2[[#This Row],[ClassLength]],"")</f>
        <v>0</v>
      </c>
      <c r="AA507" s="25">
        <v>232.14</v>
      </c>
      <c r="AB507" s="25">
        <f t="shared" si="141"/>
        <v>15.475999999999999</v>
      </c>
      <c r="AC507" s="26">
        <f t="shared" si="129"/>
        <v>630.86666666666667</v>
      </c>
      <c r="AD507" s="26">
        <f t="shared" si="130"/>
        <v>14.866666666666667</v>
      </c>
      <c r="AE507">
        <f t="shared" si="131"/>
        <v>2023</v>
      </c>
      <c r="AG507">
        <v>12</v>
      </c>
      <c r="AH507" s="26">
        <f t="shared" si="132"/>
        <v>10.847457627118644</v>
      </c>
      <c r="AI507" t="str">
        <f t="shared" si="133"/>
        <v>AM</v>
      </c>
      <c r="AJ507" t="str">
        <f t="shared" si="134"/>
        <v>7-2023-5</v>
      </c>
      <c r="AK507">
        <f t="shared" si="135"/>
        <v>7</v>
      </c>
      <c r="AL507" s="26">
        <f>IFERROR(Table2[[#This Row],[Calories]]/Table2[[#This Row],[Splat]],"")</f>
        <v>42.666666666666664</v>
      </c>
      <c r="AM507">
        <f>COUNTIF(N$2:$N$938,N507)</f>
        <v>191</v>
      </c>
      <c r="AN507" t="str">
        <f>VLOOKUP(N507,'Helpful Tables'!A:D,4,FALSE)</f>
        <v>Washington, DC</v>
      </c>
      <c r="AO507" s="24">
        <f>COUNTIF(AN:AN,Table2[[#This Row],[State]])/COUNTA(AN:AN)</f>
        <v>0.54904051172707891</v>
      </c>
      <c r="AP507">
        <f>VLOOKUP(N507,'Helpful Tables'!A:B,2,FALSE)</f>
        <v>38.949649000000001</v>
      </c>
      <c r="AQ507">
        <f>VLOOKUP(N507,'Helpful Tables'!A:C,3,FALSE)</f>
        <v>-77.080878999999996</v>
      </c>
      <c r="AR507">
        <f>COUNTIF(P$2:$P$938,P507)</f>
        <v>25</v>
      </c>
      <c r="AS507" cm="1">
        <f t="array" ref="AS507">_xlfn.IFS(E507&lt;6,((E507/D507)*60)*0.5,AND(E507&gt;=6,E507&lt;9),((E507/D507)*60)*0.75,AND(E507&gt;=9,E507&lt;=11),((E507/D507)*60)*0.9,AND(E507=12),((E507/D507)*60)*1,AND(E507&gt;=13,E507&lt;=15),((E507/D507)*60)*1.2,AND(E507&gt;=16,E507&lt;=19),((E507/D507)*60)*1.5,E507&gt;=20,((E507/D507)*60)*1.8)</f>
        <v>18.305084745762709</v>
      </c>
      <c r="AT507" cm="1">
        <f t="array" ref="AT507">_xlfn.IFS(F507&lt;550,((F507/D507)*60)*0.5,AND(F507&gt;=550,F507&lt;575),((F507/D507)*60)*0.75,AND(F507&gt;=575,F507&lt;600),((F507/D507)*60)*0.9,AND(F507=600),((F507/D507)*60)*1,AND(F507&gt;=601,F507&lt;=625),((F507/D507)*60)*1.2,AND(F507&gt;=626,F507&lt;=650),((F507/D507)*60)*1.5,F507&gt;=651,((F507/D507)*60)*1.8)</f>
        <v>976.27118644067787</v>
      </c>
      <c r="AU507">
        <f t="shared" si="142"/>
        <v>1.9999999999999964</v>
      </c>
      <c r="AV507">
        <f t="shared" si="138"/>
        <v>398.23050847457625</v>
      </c>
      <c r="AW507">
        <f t="shared" si="143"/>
        <v>51.9</v>
      </c>
      <c r="AX507" t="str">
        <f t="shared" si="136"/>
        <v>Jul-2023</v>
      </c>
      <c r="AY507">
        <f>ROUNDUP(Table2[[#This Row],[Month]]/3,0)</f>
        <v>3</v>
      </c>
    </row>
    <row r="508" spans="1:51" x14ac:dyDescent="0.2">
      <c r="A508">
        <v>507</v>
      </c>
      <c r="B508">
        <f t="shared" si="125"/>
        <v>15</v>
      </c>
      <c r="C508" s="22">
        <v>45138</v>
      </c>
      <c r="D508">
        <f>SUM(Table2[[#This Row],[Gray Min]:[Red Min]])</f>
        <v>57</v>
      </c>
      <c r="E508">
        <v>15</v>
      </c>
      <c r="F508">
        <v>589</v>
      </c>
      <c r="G508">
        <v>123</v>
      </c>
      <c r="H508">
        <v>167</v>
      </c>
      <c r="I508">
        <v>17</v>
      </c>
      <c r="J508">
        <v>16</v>
      </c>
      <c r="K508">
        <v>9</v>
      </c>
      <c r="L508">
        <v>12</v>
      </c>
      <c r="M508">
        <v>3</v>
      </c>
      <c r="N508" t="s">
        <v>101</v>
      </c>
      <c r="O508" t="s">
        <v>173</v>
      </c>
      <c r="P508" t="s">
        <v>146</v>
      </c>
      <c r="Q508">
        <f t="shared" si="137"/>
        <v>2</v>
      </c>
      <c r="R508" t="str">
        <f t="shared" si="126"/>
        <v>7-2023</v>
      </c>
      <c r="S508" t="s">
        <v>104</v>
      </c>
      <c r="T508" t="str">
        <f t="shared" si="127"/>
        <v>Monday</v>
      </c>
      <c r="U508">
        <f t="shared" si="128"/>
        <v>1</v>
      </c>
      <c r="V508" s="24">
        <f>IFERROR(Table2[[#This Row],[Gray Min]]/Table2[[#This Row],[ClassLength]],"")</f>
        <v>0.2982456140350877</v>
      </c>
      <c r="W508" s="24">
        <f>IFERROR(Table2[[#This Row],[Blue Min]]/Table2[[#This Row],[ClassLength]],"")</f>
        <v>0.2807017543859649</v>
      </c>
      <c r="X508" s="24">
        <f>IFERROR(Table2[[#This Row],[Green Min]]/Table2[[#This Row],[ClassLength]],"")</f>
        <v>0.15789473684210525</v>
      </c>
      <c r="Y508" s="24">
        <f>IFERROR(Table2[[#This Row],[Orange Min]]/Table2[[#This Row],[ClassLength]],"")</f>
        <v>0.21052631578947367</v>
      </c>
      <c r="Z508" s="24">
        <f>IFERROR(Table2[[#This Row],[Red Min]]/Table2[[#This Row],[ClassLength]],"")</f>
        <v>5.2631578947368418E-2</v>
      </c>
      <c r="AA508" s="25">
        <v>232.14</v>
      </c>
      <c r="AB508" s="25">
        <f t="shared" si="141"/>
        <v>15.475999999999999</v>
      </c>
      <c r="AC508" s="26">
        <f t="shared" si="129"/>
        <v>630.86666666666667</v>
      </c>
      <c r="AD508" s="26">
        <f t="shared" si="130"/>
        <v>14.866666666666667</v>
      </c>
      <c r="AE508">
        <f t="shared" si="131"/>
        <v>2023</v>
      </c>
      <c r="AG508">
        <v>12</v>
      </c>
      <c r="AH508" s="26">
        <f t="shared" si="132"/>
        <v>10.333333333333334</v>
      </c>
      <c r="AI508" t="str">
        <f t="shared" si="133"/>
        <v>PM</v>
      </c>
      <c r="AJ508" t="str">
        <f t="shared" si="134"/>
        <v>7-2023-6</v>
      </c>
      <c r="AK508">
        <f t="shared" si="135"/>
        <v>7</v>
      </c>
      <c r="AL508" s="26">
        <f>IFERROR(Table2[[#This Row],[Calories]]/Table2[[#This Row],[Splat]],"")</f>
        <v>39.266666666666666</v>
      </c>
      <c r="AM508">
        <f>COUNTIF(N$2:$N$938,N508)</f>
        <v>191</v>
      </c>
      <c r="AN508" t="str">
        <f>VLOOKUP(N508,'Helpful Tables'!A:D,4,FALSE)</f>
        <v>Washington, DC</v>
      </c>
      <c r="AO508" s="24">
        <f>COUNTIF(AN:AN,Table2[[#This Row],[State]])/COUNTA(AN:AN)</f>
        <v>0.54904051172707891</v>
      </c>
      <c r="AP508">
        <f>VLOOKUP(N508,'Helpful Tables'!A:B,2,FALSE)</f>
        <v>38.949649000000001</v>
      </c>
      <c r="AQ508">
        <f>VLOOKUP(N508,'Helpful Tables'!A:C,3,FALSE)</f>
        <v>-77.080878999999996</v>
      </c>
      <c r="AR508">
        <f>COUNTIF(P$2:$P$938,P508)</f>
        <v>3</v>
      </c>
      <c r="AS508" cm="1">
        <f t="array" ref="AS508">_xlfn.IFS(E508&lt;6,((E508/D508)*60)*0.5,AND(E508&gt;=6,E508&lt;9),((E508/D508)*60)*0.75,AND(E508&gt;=9,E508&lt;=11),((E508/D508)*60)*0.9,AND(E508=12),((E508/D508)*60)*1,AND(E508&gt;=13,E508&lt;=15),((E508/D508)*60)*1.2,AND(E508&gt;=16,E508&lt;=19),((E508/D508)*60)*1.5,E508&gt;=20,((E508/D508)*60)*1.8)</f>
        <v>18.94736842105263</v>
      </c>
      <c r="AT508" cm="1">
        <f t="array" ref="AT508">_xlfn.IFS(F508&lt;550,((F508/D508)*60)*0.5,AND(F508&gt;=550,F508&lt;575),((F508/D508)*60)*0.75,AND(F508&gt;=575,F508&lt;600),((F508/D508)*60)*0.9,AND(F508=600),((F508/D508)*60)*1,AND(F508&gt;=601,F508&lt;=625),((F508/D508)*60)*1.2,AND(F508&gt;=626,F508&lt;=650),((F508/D508)*60)*1.5,F508&gt;=651,((F508/D508)*60)*1.8)</f>
        <v>558</v>
      </c>
      <c r="AU508">
        <f t="shared" si="142"/>
        <v>-7.1000000000000014</v>
      </c>
      <c r="AV508">
        <f t="shared" si="138"/>
        <v>229.35894736842107</v>
      </c>
      <c r="AW508">
        <f t="shared" si="143"/>
        <v>19.8</v>
      </c>
      <c r="AX508" t="str">
        <f t="shared" si="136"/>
        <v>Jul-2023</v>
      </c>
      <c r="AY508">
        <f>ROUNDUP(Table2[[#This Row],[Month]]/3,0)</f>
        <v>3</v>
      </c>
    </row>
    <row r="509" spans="1:51" x14ac:dyDescent="0.2">
      <c r="A509">
        <v>508</v>
      </c>
      <c r="B509">
        <f t="shared" si="125"/>
        <v>10</v>
      </c>
      <c r="C509" s="22">
        <v>45140</v>
      </c>
      <c r="D509">
        <f>SUM(Table2[[#This Row],[Gray Min]:[Red Min]])</f>
        <v>59</v>
      </c>
      <c r="E509">
        <v>16</v>
      </c>
      <c r="F509">
        <v>704</v>
      </c>
      <c r="G509">
        <v>132</v>
      </c>
      <c r="H509">
        <v>167</v>
      </c>
      <c r="I509">
        <v>4</v>
      </c>
      <c r="J509">
        <v>12</v>
      </c>
      <c r="K509">
        <v>27</v>
      </c>
      <c r="L509">
        <v>15</v>
      </c>
      <c r="M509">
        <v>1</v>
      </c>
      <c r="N509" t="s">
        <v>91</v>
      </c>
      <c r="O509" t="s">
        <v>57</v>
      </c>
      <c r="P509" t="s">
        <v>96</v>
      </c>
      <c r="Q509">
        <f t="shared" si="137"/>
        <v>2</v>
      </c>
      <c r="R509" t="str">
        <f t="shared" si="126"/>
        <v>8-2023</v>
      </c>
      <c r="S509" t="s">
        <v>104</v>
      </c>
      <c r="T509" t="str">
        <f t="shared" si="127"/>
        <v>Wednesday</v>
      </c>
      <c r="U509">
        <f t="shared" si="128"/>
        <v>1</v>
      </c>
      <c r="V509" s="24">
        <f>IFERROR(Table2[[#This Row],[Gray Min]]/Table2[[#This Row],[ClassLength]],"")</f>
        <v>6.7796610169491525E-2</v>
      </c>
      <c r="W509" s="24">
        <f>IFERROR(Table2[[#This Row],[Blue Min]]/Table2[[#This Row],[ClassLength]],"")</f>
        <v>0.20338983050847459</v>
      </c>
      <c r="X509" s="24">
        <f>IFERROR(Table2[[#This Row],[Green Min]]/Table2[[#This Row],[ClassLength]],"")</f>
        <v>0.4576271186440678</v>
      </c>
      <c r="Y509" s="24">
        <f>IFERROR(Table2[[#This Row],[Orange Min]]/Table2[[#This Row],[ClassLength]],"")</f>
        <v>0.25423728813559321</v>
      </c>
      <c r="Z509" s="24">
        <f>IFERROR(Table2[[#This Row],[Red Min]]/Table2[[#This Row],[ClassLength]],"")</f>
        <v>1.6949152542372881E-2</v>
      </c>
      <c r="AA509" s="25">
        <v>232.14</v>
      </c>
      <c r="AB509" s="25">
        <f t="shared" si="141"/>
        <v>23.213999999999999</v>
      </c>
      <c r="AC509" s="26">
        <f t="shared" si="129"/>
        <v>660.7</v>
      </c>
      <c r="AD509" s="26">
        <f t="shared" si="130"/>
        <v>16.399999999999999</v>
      </c>
      <c r="AE509">
        <f t="shared" si="131"/>
        <v>2023</v>
      </c>
      <c r="AG509">
        <v>12</v>
      </c>
      <c r="AH509" s="26">
        <f t="shared" si="132"/>
        <v>11.932203389830509</v>
      </c>
      <c r="AI509" t="str">
        <f t="shared" si="133"/>
        <v>PM</v>
      </c>
      <c r="AJ509" t="str">
        <f t="shared" si="134"/>
        <v>8-2023-1</v>
      </c>
      <c r="AK509">
        <f t="shared" si="135"/>
        <v>8</v>
      </c>
      <c r="AL509" s="26">
        <f>IFERROR(Table2[[#This Row],[Calories]]/Table2[[#This Row],[Splat]],"")</f>
        <v>44</v>
      </c>
      <c r="AM509">
        <f>COUNTIF(N$2:$N$938,N509)</f>
        <v>218</v>
      </c>
      <c r="AN509" t="str">
        <f>VLOOKUP(N509,'Helpful Tables'!A:D,4,FALSE)</f>
        <v>Washington, DC</v>
      </c>
      <c r="AO509" s="24">
        <f>COUNTIF(AN:AN,Table2[[#This Row],[State]])/COUNTA(AN:AN)</f>
        <v>0.54904051172707891</v>
      </c>
      <c r="AP509">
        <f>VLOOKUP(N509,'Helpful Tables'!A:B,2,FALSE)</f>
        <v>38.934710000000003</v>
      </c>
      <c r="AQ509">
        <f>VLOOKUP(N509,'Helpful Tables'!A:C,3,FALSE)</f>
        <v>-77.058222999999998</v>
      </c>
      <c r="AR509">
        <f>COUNTIF(P$2:$P$938,P509)</f>
        <v>71</v>
      </c>
      <c r="AS509" cm="1">
        <f t="array" ref="AS509">_xlfn.IFS(E509&lt;6,((E509/D509)*60)*0.5,AND(E509&gt;=6,E509&lt;9),((E509/D509)*60)*0.75,AND(E509&gt;=9,E509&lt;=11),((E509/D509)*60)*0.9,AND(E509=12),((E509/D509)*60)*1,AND(E509&gt;=13,E509&lt;=15),((E509/D509)*60)*1.2,AND(E509&gt;=16,E509&lt;=19),((E509/D509)*60)*1.5,E509&gt;=20,((E509/D509)*60)*1.8)</f>
        <v>24.406779661016948</v>
      </c>
      <c r="AT509" cm="1">
        <f t="array" ref="AT509">_xlfn.IFS(F509&lt;550,((F509/D509)*60)*0.5,AND(F509&gt;=550,F509&lt;575),((F509/D509)*60)*0.75,AND(F509&gt;=575,F509&lt;600),((F509/D509)*60)*0.9,AND(F509=600),((F509/D509)*60)*1,AND(F509&gt;=601,F509&lt;=625),((F509/D509)*60)*1.2,AND(F509&gt;=626,F509&lt;=650),((F509/D509)*60)*1.5,F509&gt;=651,((F509/D509)*60)*1.8)</f>
        <v>1288.6779661016949</v>
      </c>
      <c r="AU509">
        <f t="shared" si="142"/>
        <v>35.4</v>
      </c>
      <c r="AV509">
        <f t="shared" si="138"/>
        <v>532.31389830508488</v>
      </c>
      <c r="AW509">
        <f t="shared" si="143"/>
        <v>94.3</v>
      </c>
      <c r="AX509" t="str">
        <f t="shared" si="136"/>
        <v>Aug-2023</v>
      </c>
      <c r="AY509">
        <f>ROUNDUP(Table2[[#This Row],[Month]]/3,0)</f>
        <v>3</v>
      </c>
    </row>
    <row r="510" spans="1:51" x14ac:dyDescent="0.2">
      <c r="A510">
        <v>509</v>
      </c>
      <c r="B510">
        <f t="shared" si="125"/>
        <v>10</v>
      </c>
      <c r="C510" s="22">
        <v>45144</v>
      </c>
      <c r="D510">
        <f>SUM(Table2[[#This Row],[Gray Min]:[Red Min]])</f>
        <v>56</v>
      </c>
      <c r="E510">
        <v>13</v>
      </c>
      <c r="F510">
        <v>603</v>
      </c>
      <c r="G510">
        <v>125</v>
      </c>
      <c r="H510">
        <v>164</v>
      </c>
      <c r="I510">
        <v>18</v>
      </c>
      <c r="J510">
        <v>9</v>
      </c>
      <c r="K510">
        <v>16</v>
      </c>
      <c r="L510">
        <v>12</v>
      </c>
      <c r="M510">
        <v>1</v>
      </c>
      <c r="N510" t="s">
        <v>101</v>
      </c>
      <c r="O510" t="s">
        <v>93</v>
      </c>
      <c r="P510" t="s">
        <v>186</v>
      </c>
      <c r="Q510">
        <f t="shared" si="137"/>
        <v>4</v>
      </c>
      <c r="R510" t="str">
        <f t="shared" si="126"/>
        <v>8-2023</v>
      </c>
      <c r="S510" t="s">
        <v>117</v>
      </c>
      <c r="T510" t="str">
        <f t="shared" si="127"/>
        <v>Sunday</v>
      </c>
      <c r="U510">
        <f t="shared" si="128"/>
        <v>1</v>
      </c>
      <c r="V510" s="24">
        <f>IFERROR(Table2[[#This Row],[Gray Min]]/Table2[[#This Row],[ClassLength]],"")</f>
        <v>0.32142857142857145</v>
      </c>
      <c r="W510" s="24">
        <f>IFERROR(Table2[[#This Row],[Blue Min]]/Table2[[#This Row],[ClassLength]],"")</f>
        <v>0.16071428571428573</v>
      </c>
      <c r="X510" s="24">
        <f>IFERROR(Table2[[#This Row],[Green Min]]/Table2[[#This Row],[ClassLength]],"")</f>
        <v>0.2857142857142857</v>
      </c>
      <c r="Y510" s="24">
        <f>IFERROR(Table2[[#This Row],[Orange Min]]/Table2[[#This Row],[ClassLength]],"")</f>
        <v>0.21428571428571427</v>
      </c>
      <c r="Z510" s="24">
        <f>IFERROR(Table2[[#This Row],[Red Min]]/Table2[[#This Row],[ClassLength]],"")</f>
        <v>1.7857142857142856E-2</v>
      </c>
      <c r="AA510" s="25">
        <v>232.14</v>
      </c>
      <c r="AB510" s="25">
        <f t="shared" si="141"/>
        <v>23.213999999999999</v>
      </c>
      <c r="AC510" s="26">
        <f t="shared" si="129"/>
        <v>660.7</v>
      </c>
      <c r="AD510" s="26">
        <f t="shared" si="130"/>
        <v>16.399999999999999</v>
      </c>
      <c r="AE510">
        <f t="shared" si="131"/>
        <v>2023</v>
      </c>
      <c r="AG510">
        <v>12</v>
      </c>
      <c r="AH510" s="26">
        <f t="shared" si="132"/>
        <v>10.767857142857142</v>
      </c>
      <c r="AI510" t="str">
        <f t="shared" si="133"/>
        <v>AM</v>
      </c>
      <c r="AJ510" t="str">
        <f t="shared" si="134"/>
        <v>8-2023-2</v>
      </c>
      <c r="AK510">
        <f t="shared" si="135"/>
        <v>8</v>
      </c>
      <c r="AL510" s="26">
        <f>IFERROR(Table2[[#This Row],[Calories]]/Table2[[#This Row],[Splat]],"")</f>
        <v>46.384615384615387</v>
      </c>
      <c r="AM510">
        <f>COUNTIF(N$2:$N$938,N510)</f>
        <v>191</v>
      </c>
      <c r="AN510" t="str">
        <f>VLOOKUP(N510,'Helpful Tables'!A:D,4,FALSE)</f>
        <v>Washington, DC</v>
      </c>
      <c r="AO510" s="24">
        <f>COUNTIF(AN:AN,Table2[[#This Row],[State]])/COUNTA(AN:AN)</f>
        <v>0.54904051172707891</v>
      </c>
      <c r="AP510">
        <f>VLOOKUP(N510,'Helpful Tables'!A:B,2,FALSE)</f>
        <v>38.949649000000001</v>
      </c>
      <c r="AQ510">
        <f>VLOOKUP(N510,'Helpful Tables'!A:C,3,FALSE)</f>
        <v>-77.080878999999996</v>
      </c>
      <c r="AR510">
        <f>COUNTIF(P$2:$P$938,P510)</f>
        <v>2</v>
      </c>
      <c r="AS510" cm="1">
        <f t="array" ref="AS510">_xlfn.IFS(E510&lt;6,((E510/D510)*60)*0.5,AND(E510&gt;=6,E510&lt;9),((E510/D510)*60)*0.75,AND(E510&gt;=9,E510&lt;=11),((E510/D510)*60)*0.9,AND(E510=12),((E510/D510)*60)*1,AND(E510&gt;=13,E510&lt;=15),((E510/D510)*60)*1.2,AND(E510&gt;=16,E510&lt;=19),((E510/D510)*60)*1.5,E510&gt;=20,((E510/D510)*60)*1.8)</f>
        <v>16.714285714285715</v>
      </c>
      <c r="AT510" cm="1">
        <f t="array" ref="AT510">_xlfn.IFS(F510&lt;550,((F510/D510)*60)*0.5,AND(F510&gt;=550,F510&lt;575),((F510/D510)*60)*0.75,AND(F510&gt;=575,F510&lt;600),((F510/D510)*60)*0.9,AND(F510=600),((F510/D510)*60)*1,AND(F510&gt;=601,F510&lt;=625),((F510/D510)*60)*1.2,AND(F510&gt;=626,F510&lt;=650),((F510/D510)*60)*1.5,F510&gt;=651,((F510/D510)*60)*1.8)</f>
        <v>775.28571428571422</v>
      </c>
      <c r="AU510">
        <f t="shared" si="142"/>
        <v>4.8000000000000007</v>
      </c>
      <c r="AV510">
        <f t="shared" si="138"/>
        <v>317.76</v>
      </c>
      <c r="AW510">
        <f t="shared" si="143"/>
        <v>35.699999999999996</v>
      </c>
      <c r="AX510" t="str">
        <f t="shared" si="136"/>
        <v>Aug-2023</v>
      </c>
      <c r="AY510">
        <f>ROUNDUP(Table2[[#This Row],[Month]]/3,0)</f>
        <v>3</v>
      </c>
    </row>
    <row r="511" spans="1:51" x14ac:dyDescent="0.2">
      <c r="A511">
        <v>510</v>
      </c>
      <c r="B511">
        <f t="shared" si="125"/>
        <v>10</v>
      </c>
      <c r="C511" s="22">
        <v>45145</v>
      </c>
      <c r="D511">
        <f>SUM(Table2[[#This Row],[Gray Min]:[Red Min]])</f>
        <v>56</v>
      </c>
      <c r="E511">
        <v>21</v>
      </c>
      <c r="F511">
        <v>641</v>
      </c>
      <c r="G511">
        <v>129</v>
      </c>
      <c r="H511">
        <v>168</v>
      </c>
      <c r="I511">
        <v>14</v>
      </c>
      <c r="J511">
        <v>12</v>
      </c>
      <c r="K511">
        <v>9</v>
      </c>
      <c r="L511">
        <v>18</v>
      </c>
      <c r="M511">
        <v>3</v>
      </c>
      <c r="N511" t="s">
        <v>91</v>
      </c>
      <c r="O511" t="s">
        <v>57</v>
      </c>
      <c r="P511" t="s">
        <v>185</v>
      </c>
      <c r="Q511">
        <f t="shared" si="137"/>
        <v>1</v>
      </c>
      <c r="R511" t="str">
        <f t="shared" si="126"/>
        <v>8-2023</v>
      </c>
      <c r="S511" t="s">
        <v>104</v>
      </c>
      <c r="T511" t="str">
        <f t="shared" si="127"/>
        <v>Monday</v>
      </c>
      <c r="U511">
        <f t="shared" si="128"/>
        <v>1</v>
      </c>
      <c r="V511" s="24">
        <f>IFERROR(Table2[[#This Row],[Gray Min]]/Table2[[#This Row],[ClassLength]],"")</f>
        <v>0.25</v>
      </c>
      <c r="W511" s="24">
        <f>IFERROR(Table2[[#This Row],[Blue Min]]/Table2[[#This Row],[ClassLength]],"")</f>
        <v>0.21428571428571427</v>
      </c>
      <c r="X511" s="24">
        <f>IFERROR(Table2[[#This Row],[Green Min]]/Table2[[#This Row],[ClassLength]],"")</f>
        <v>0.16071428571428573</v>
      </c>
      <c r="Y511" s="24">
        <f>IFERROR(Table2[[#This Row],[Orange Min]]/Table2[[#This Row],[ClassLength]],"")</f>
        <v>0.32142857142857145</v>
      </c>
      <c r="Z511" s="24">
        <f>IFERROR(Table2[[#This Row],[Red Min]]/Table2[[#This Row],[ClassLength]],"")</f>
        <v>5.3571428571428568E-2</v>
      </c>
      <c r="AA511" s="25">
        <v>232.14</v>
      </c>
      <c r="AB511" s="25">
        <f t="shared" si="141"/>
        <v>23.213999999999999</v>
      </c>
      <c r="AC511" s="26">
        <f t="shared" si="129"/>
        <v>660.7</v>
      </c>
      <c r="AD511" s="26">
        <f t="shared" si="130"/>
        <v>16.399999999999999</v>
      </c>
      <c r="AE511">
        <f t="shared" si="131"/>
        <v>2023</v>
      </c>
      <c r="AG511">
        <v>12</v>
      </c>
      <c r="AH511" s="26">
        <f t="shared" si="132"/>
        <v>11.446428571428571</v>
      </c>
      <c r="AI511" t="str">
        <f t="shared" si="133"/>
        <v>PM</v>
      </c>
      <c r="AJ511" t="str">
        <f t="shared" si="134"/>
        <v>8-2023-2</v>
      </c>
      <c r="AK511">
        <f t="shared" si="135"/>
        <v>8</v>
      </c>
      <c r="AL511" s="26">
        <f>IFERROR(Table2[[#This Row],[Calories]]/Table2[[#This Row],[Splat]],"")</f>
        <v>30.523809523809526</v>
      </c>
      <c r="AM511">
        <f>COUNTIF(N$2:$N$938,N511)</f>
        <v>218</v>
      </c>
      <c r="AN511" t="str">
        <f>VLOOKUP(N511,'Helpful Tables'!A:D,4,FALSE)</f>
        <v>Washington, DC</v>
      </c>
      <c r="AO511" s="24">
        <f>COUNTIF(AN:AN,Table2[[#This Row],[State]])/COUNTA(AN:AN)</f>
        <v>0.54904051172707891</v>
      </c>
      <c r="AP511">
        <f>VLOOKUP(N511,'Helpful Tables'!A:B,2,FALSE)</f>
        <v>38.934710000000003</v>
      </c>
      <c r="AQ511">
        <f>VLOOKUP(N511,'Helpful Tables'!A:C,3,FALSE)</f>
        <v>-77.058222999999998</v>
      </c>
      <c r="AR511">
        <f>COUNTIF(P$2:$P$938,P511)</f>
        <v>3</v>
      </c>
      <c r="AS511" cm="1">
        <f t="array" ref="AS511">_xlfn.IFS(E511&lt;6,((E511/D511)*60)*0.5,AND(E511&gt;=6,E511&lt;9),((E511/D511)*60)*0.75,AND(E511&gt;=9,E511&lt;=11),((E511/D511)*60)*0.9,AND(E511=12),((E511/D511)*60)*1,AND(E511&gt;=13,E511&lt;=15),((E511/D511)*60)*1.2,AND(E511&gt;=16,E511&lt;=19),((E511/D511)*60)*1.5,E511&gt;=20,((E511/D511)*60)*1.8)</f>
        <v>40.5</v>
      </c>
      <c r="AT511" cm="1">
        <f t="array" ref="AT511">_xlfn.IFS(F511&lt;550,((F511/D511)*60)*0.5,AND(F511&gt;=550,F511&lt;575),((F511/D511)*60)*0.75,AND(F511&gt;=575,F511&lt;600),((F511/D511)*60)*0.9,AND(F511=600),((F511/D511)*60)*1,AND(F511&gt;=601,F511&lt;=625),((F511/D511)*60)*1.2,AND(F511&gt;=626,F511&lt;=650),((F511/D511)*60)*1.5,F511&gt;=651,((F511/D511)*60)*1.8)</f>
        <v>1030.1785714285713</v>
      </c>
      <c r="AU511">
        <f t="shared" si="142"/>
        <v>8.6999999999999993</v>
      </c>
      <c r="AV511">
        <f t="shared" si="138"/>
        <v>430.01142857142855</v>
      </c>
      <c r="AW511">
        <f t="shared" si="143"/>
        <v>64.8</v>
      </c>
      <c r="AX511" t="str">
        <f t="shared" si="136"/>
        <v>Aug-2023</v>
      </c>
      <c r="AY511">
        <f>ROUNDUP(Table2[[#This Row],[Month]]/3,0)</f>
        <v>3</v>
      </c>
    </row>
    <row r="512" spans="1:51" x14ac:dyDescent="0.2">
      <c r="A512">
        <v>511</v>
      </c>
      <c r="B512">
        <f t="shared" si="125"/>
        <v>10</v>
      </c>
      <c r="C512" s="22">
        <v>45147</v>
      </c>
      <c r="D512">
        <f>SUM(Table2[[#This Row],[Gray Min]:[Red Min]])</f>
        <v>59</v>
      </c>
      <c r="E512">
        <v>15</v>
      </c>
      <c r="F512">
        <v>657</v>
      </c>
      <c r="G512">
        <v>127</v>
      </c>
      <c r="H512">
        <v>168</v>
      </c>
      <c r="I512">
        <v>8</v>
      </c>
      <c r="J512">
        <v>21</v>
      </c>
      <c r="K512">
        <v>15</v>
      </c>
      <c r="L512">
        <v>11</v>
      </c>
      <c r="M512">
        <v>4</v>
      </c>
      <c r="N512" t="s">
        <v>91</v>
      </c>
      <c r="O512" t="s">
        <v>174</v>
      </c>
      <c r="P512" t="s">
        <v>100</v>
      </c>
      <c r="Q512">
        <f t="shared" si="137"/>
        <v>2</v>
      </c>
      <c r="R512" t="str">
        <f t="shared" si="126"/>
        <v>8-2023</v>
      </c>
      <c r="S512" t="s">
        <v>104</v>
      </c>
      <c r="T512" t="str">
        <f t="shared" si="127"/>
        <v>Wednesday</v>
      </c>
      <c r="U512">
        <f t="shared" si="128"/>
        <v>1</v>
      </c>
      <c r="V512" s="24">
        <f>IFERROR(Table2[[#This Row],[Gray Min]]/Table2[[#This Row],[ClassLength]],"")</f>
        <v>0.13559322033898305</v>
      </c>
      <c r="W512" s="24">
        <f>IFERROR(Table2[[#This Row],[Blue Min]]/Table2[[#This Row],[ClassLength]],"")</f>
        <v>0.3559322033898305</v>
      </c>
      <c r="X512" s="24">
        <f>IFERROR(Table2[[#This Row],[Green Min]]/Table2[[#This Row],[ClassLength]],"")</f>
        <v>0.25423728813559321</v>
      </c>
      <c r="Y512" s="24">
        <f>IFERROR(Table2[[#This Row],[Orange Min]]/Table2[[#This Row],[ClassLength]],"")</f>
        <v>0.1864406779661017</v>
      </c>
      <c r="Z512" s="24">
        <f>IFERROR(Table2[[#This Row],[Red Min]]/Table2[[#This Row],[ClassLength]],"")</f>
        <v>6.7796610169491525E-2</v>
      </c>
      <c r="AA512" s="25">
        <v>232.14</v>
      </c>
      <c r="AB512" s="25">
        <f t="shared" si="141"/>
        <v>23.213999999999999</v>
      </c>
      <c r="AC512" s="26">
        <f t="shared" si="129"/>
        <v>660.7</v>
      </c>
      <c r="AD512" s="26">
        <f t="shared" si="130"/>
        <v>16.399999999999999</v>
      </c>
      <c r="AE512">
        <f t="shared" si="131"/>
        <v>2023</v>
      </c>
      <c r="AG512">
        <v>12</v>
      </c>
      <c r="AH512" s="26">
        <f t="shared" si="132"/>
        <v>11.135593220338983</v>
      </c>
      <c r="AI512" t="str">
        <f t="shared" si="133"/>
        <v>AM</v>
      </c>
      <c r="AJ512" t="str">
        <f t="shared" si="134"/>
        <v>8-2023-2</v>
      </c>
      <c r="AK512">
        <f t="shared" si="135"/>
        <v>8</v>
      </c>
      <c r="AL512" s="26">
        <f>IFERROR(Table2[[#This Row],[Calories]]/Table2[[#This Row],[Splat]],"")</f>
        <v>43.8</v>
      </c>
      <c r="AM512">
        <f>COUNTIF(N$2:$N$938,N512)</f>
        <v>218</v>
      </c>
      <c r="AN512" t="str">
        <f>VLOOKUP(N512,'Helpful Tables'!A:D,4,FALSE)</f>
        <v>Washington, DC</v>
      </c>
      <c r="AO512" s="24">
        <f>COUNTIF(AN:AN,Table2[[#This Row],[State]])/COUNTA(AN:AN)</f>
        <v>0.54904051172707891</v>
      </c>
      <c r="AP512">
        <f>VLOOKUP(N512,'Helpful Tables'!A:B,2,FALSE)</f>
        <v>38.934710000000003</v>
      </c>
      <c r="AQ512">
        <f>VLOOKUP(N512,'Helpful Tables'!A:C,3,FALSE)</f>
        <v>-77.058222999999998</v>
      </c>
      <c r="AR512">
        <f>COUNTIF(P$2:$P$938,P512)</f>
        <v>35</v>
      </c>
      <c r="AS512" cm="1">
        <f t="array" ref="AS512">_xlfn.IFS(E512&lt;6,((E512/D512)*60)*0.5,AND(E512&gt;=6,E512&lt;9),((E512/D512)*60)*0.75,AND(E512&gt;=9,E512&lt;=11),((E512/D512)*60)*0.9,AND(E512=12),((E512/D512)*60)*1,AND(E512&gt;=13,E512&lt;=15),((E512/D512)*60)*1.2,AND(E512&gt;=16,E512&lt;=19),((E512/D512)*60)*1.5,E512&gt;=20,((E512/D512)*60)*1.8)</f>
        <v>18.305084745762709</v>
      </c>
      <c r="AT512" cm="1">
        <f t="array" ref="AT512">_xlfn.IFS(F512&lt;550,((F512/D512)*60)*0.5,AND(F512&gt;=550,F512&lt;575),((F512/D512)*60)*0.75,AND(F512&gt;=575,F512&lt;600),((F512/D512)*60)*0.9,AND(F512=600),((F512/D512)*60)*1,AND(F512&gt;=601,F512&lt;=625),((F512/D512)*60)*1.2,AND(F512&gt;=626,F512&lt;=650),((F512/D512)*60)*1.5,F512&gt;=651,((F512/D512)*60)*1.8)</f>
        <v>1202.6440677966102</v>
      </c>
      <c r="AU512">
        <f t="shared" si="142"/>
        <v>5.5999999999999979</v>
      </c>
      <c r="AV512">
        <f t="shared" si="138"/>
        <v>489.49966101694923</v>
      </c>
      <c r="AW512">
        <f t="shared" si="143"/>
        <v>73.5</v>
      </c>
      <c r="AX512" t="str">
        <f t="shared" si="136"/>
        <v>Aug-2023</v>
      </c>
      <c r="AY512">
        <f>ROUNDUP(Table2[[#This Row],[Month]]/3,0)</f>
        <v>3</v>
      </c>
    </row>
    <row r="513" spans="1:51" x14ac:dyDescent="0.2">
      <c r="A513">
        <v>512</v>
      </c>
      <c r="B513">
        <f t="shared" si="125"/>
        <v>10</v>
      </c>
      <c r="C513" s="22">
        <v>45148</v>
      </c>
      <c r="D513">
        <f>SUM(Table2[[#This Row],[Gray Min]:[Red Min]])</f>
        <v>58</v>
      </c>
      <c r="E513">
        <v>14</v>
      </c>
      <c r="F513">
        <v>631</v>
      </c>
      <c r="G513">
        <v>125</v>
      </c>
      <c r="H513">
        <v>165</v>
      </c>
      <c r="I513">
        <v>13</v>
      </c>
      <c r="J513">
        <v>17</v>
      </c>
      <c r="K513">
        <v>14</v>
      </c>
      <c r="L513">
        <v>12</v>
      </c>
      <c r="M513">
        <v>2</v>
      </c>
      <c r="N513" t="s">
        <v>101</v>
      </c>
      <c r="O513" t="s">
        <v>107</v>
      </c>
      <c r="P513" t="s">
        <v>148</v>
      </c>
      <c r="Q513">
        <f t="shared" si="137"/>
        <v>1</v>
      </c>
      <c r="R513" t="str">
        <f t="shared" si="126"/>
        <v>8-2023</v>
      </c>
      <c r="S513" t="s">
        <v>104</v>
      </c>
      <c r="T513" t="str">
        <f t="shared" si="127"/>
        <v>Thursday</v>
      </c>
      <c r="U513">
        <f t="shared" si="128"/>
        <v>1</v>
      </c>
      <c r="V513" s="24">
        <f>IFERROR(Table2[[#This Row],[Gray Min]]/Table2[[#This Row],[ClassLength]],"")</f>
        <v>0.22413793103448276</v>
      </c>
      <c r="W513" s="24">
        <f>IFERROR(Table2[[#This Row],[Blue Min]]/Table2[[#This Row],[ClassLength]],"")</f>
        <v>0.29310344827586204</v>
      </c>
      <c r="X513" s="24">
        <f>IFERROR(Table2[[#This Row],[Green Min]]/Table2[[#This Row],[ClassLength]],"")</f>
        <v>0.2413793103448276</v>
      </c>
      <c r="Y513" s="24">
        <f>IFERROR(Table2[[#This Row],[Orange Min]]/Table2[[#This Row],[ClassLength]],"")</f>
        <v>0.20689655172413793</v>
      </c>
      <c r="Z513" s="24">
        <f>IFERROR(Table2[[#This Row],[Red Min]]/Table2[[#This Row],[ClassLength]],"")</f>
        <v>3.4482758620689655E-2</v>
      </c>
      <c r="AA513" s="25">
        <v>232.14</v>
      </c>
      <c r="AB513" s="25">
        <f t="shared" si="141"/>
        <v>23.213999999999999</v>
      </c>
      <c r="AC513" s="26">
        <f t="shared" si="129"/>
        <v>660.7</v>
      </c>
      <c r="AD513" s="26">
        <f t="shared" si="130"/>
        <v>16.399999999999999</v>
      </c>
      <c r="AE513">
        <f t="shared" si="131"/>
        <v>2023</v>
      </c>
      <c r="AG513">
        <v>12</v>
      </c>
      <c r="AH513" s="26">
        <f t="shared" si="132"/>
        <v>10.879310344827585</v>
      </c>
      <c r="AI513" t="str">
        <f t="shared" si="133"/>
        <v>AM</v>
      </c>
      <c r="AJ513" t="str">
        <f t="shared" si="134"/>
        <v>8-2023-2</v>
      </c>
      <c r="AK513">
        <f t="shared" si="135"/>
        <v>8</v>
      </c>
      <c r="AL513" s="26">
        <f>IFERROR(Table2[[#This Row],[Calories]]/Table2[[#This Row],[Splat]],"")</f>
        <v>45.071428571428569</v>
      </c>
      <c r="AM513">
        <f>COUNTIF(N$2:$N$938,N513)</f>
        <v>191</v>
      </c>
      <c r="AN513" t="str">
        <f>VLOOKUP(N513,'Helpful Tables'!A:D,4,FALSE)</f>
        <v>Washington, DC</v>
      </c>
      <c r="AO513" s="24">
        <f>COUNTIF(AN:AN,Table2[[#This Row],[State]])/COUNTA(AN:AN)</f>
        <v>0.54904051172707891</v>
      </c>
      <c r="AP513">
        <f>VLOOKUP(N513,'Helpful Tables'!A:B,2,FALSE)</f>
        <v>38.949649000000001</v>
      </c>
      <c r="AQ513">
        <f>VLOOKUP(N513,'Helpful Tables'!A:C,3,FALSE)</f>
        <v>-77.080878999999996</v>
      </c>
      <c r="AR513">
        <f>COUNTIF(P$2:$P$938,P513)</f>
        <v>14</v>
      </c>
      <c r="AS513" cm="1">
        <f t="array" ref="AS513">_xlfn.IFS(E513&lt;6,((E513/D513)*60)*0.5,AND(E513&gt;=6,E513&lt;9),((E513/D513)*60)*0.75,AND(E513&gt;=9,E513&lt;=11),((E513/D513)*60)*0.9,AND(E513=12),((E513/D513)*60)*1,AND(E513&gt;=13,E513&lt;=15),((E513/D513)*60)*1.2,AND(E513&gt;=16,E513&lt;=19),((E513/D513)*60)*1.5,E513&gt;=20,((E513/D513)*60)*1.8)</f>
        <v>17.379310344827587</v>
      </c>
      <c r="AT513" cm="1">
        <f t="array" ref="AT513">_xlfn.IFS(F513&lt;550,((F513/D513)*60)*0.5,AND(F513&gt;=550,F513&lt;575),((F513/D513)*60)*0.75,AND(F513&gt;=575,F513&lt;600),((F513/D513)*60)*0.9,AND(F513=600),((F513/D513)*60)*1,AND(F513&gt;=601,F513&lt;=625),((F513/D513)*60)*1.2,AND(F513&gt;=626,F513&lt;=650),((F513/D513)*60)*1.5,F513&gt;=651,((F513/D513)*60)*1.8)</f>
        <v>979.13793103448268</v>
      </c>
      <c r="AU513">
        <f t="shared" si="142"/>
        <v>1.0999999999999979</v>
      </c>
      <c r="AV513">
        <f t="shared" si="138"/>
        <v>398.82689655172413</v>
      </c>
      <c r="AW513">
        <f t="shared" si="143"/>
        <v>52.400000000000006</v>
      </c>
      <c r="AX513" t="str">
        <f t="shared" si="136"/>
        <v>Aug-2023</v>
      </c>
      <c r="AY513">
        <f>ROUNDUP(Table2[[#This Row],[Month]]/3,0)</f>
        <v>3</v>
      </c>
    </row>
    <row r="514" spans="1:51" x14ac:dyDescent="0.2">
      <c r="A514">
        <v>513</v>
      </c>
      <c r="B514">
        <f t="shared" ref="B514:B577" si="144">COUNTIF(R:R,R514)</f>
        <v>10</v>
      </c>
      <c r="C514" s="22">
        <v>45159</v>
      </c>
      <c r="D514">
        <f>SUM(Table2[[#This Row],[Gray Min]:[Red Min]])</f>
        <v>59</v>
      </c>
      <c r="E514">
        <v>19</v>
      </c>
      <c r="F514">
        <v>680</v>
      </c>
      <c r="G514">
        <v>129</v>
      </c>
      <c r="H514">
        <v>173</v>
      </c>
      <c r="I514">
        <v>14</v>
      </c>
      <c r="J514">
        <v>14</v>
      </c>
      <c r="K514">
        <v>12</v>
      </c>
      <c r="L514">
        <v>13</v>
      </c>
      <c r="M514">
        <v>6</v>
      </c>
      <c r="N514" t="s">
        <v>91</v>
      </c>
      <c r="O514" t="s">
        <v>57</v>
      </c>
      <c r="P514" t="s">
        <v>187</v>
      </c>
      <c r="Q514">
        <f t="shared" si="137"/>
        <v>11</v>
      </c>
      <c r="R514" t="str">
        <f t="shared" ref="R514:R577" si="145">MONTH(C514)&amp;"-"&amp;YEAR(C514)</f>
        <v>8-2023</v>
      </c>
      <c r="S514" t="s">
        <v>104</v>
      </c>
      <c r="T514" t="str">
        <f t="shared" ref="T514:T577" si="146">IF(WEEKDAY(C514)=1,"Sunday",IF(WEEKDAY(C514)=2,"Monday",IF(WEEKDAY(C514)=3,"Tuesday",IF(WEEKDAY(C514)=4,"Wednesday",IF(WEEKDAY(C514)=5,"Thursday",IF(WEEKDAY(C514)=6,"Friday","Saturday"))))))</f>
        <v>Monday</v>
      </c>
      <c r="U514">
        <f t="shared" ref="U514:U577" si="147">IF(E514&gt;=12,1,0)</f>
        <v>1</v>
      </c>
      <c r="V514" s="24">
        <f>IFERROR(Table2[[#This Row],[Gray Min]]/Table2[[#This Row],[ClassLength]],"")</f>
        <v>0.23728813559322035</v>
      </c>
      <c r="W514" s="24">
        <f>IFERROR(Table2[[#This Row],[Blue Min]]/Table2[[#This Row],[ClassLength]],"")</f>
        <v>0.23728813559322035</v>
      </c>
      <c r="X514" s="24">
        <f>IFERROR(Table2[[#This Row],[Green Min]]/Table2[[#This Row],[ClassLength]],"")</f>
        <v>0.20338983050847459</v>
      </c>
      <c r="Y514" s="24">
        <f>IFERROR(Table2[[#This Row],[Orange Min]]/Table2[[#This Row],[ClassLength]],"")</f>
        <v>0.22033898305084745</v>
      </c>
      <c r="Z514" s="24">
        <f>IFERROR(Table2[[#This Row],[Red Min]]/Table2[[#This Row],[ClassLength]],"")</f>
        <v>0.10169491525423729</v>
      </c>
      <c r="AA514" s="25">
        <v>232.14</v>
      </c>
      <c r="AB514" s="25">
        <f t="shared" si="141"/>
        <v>23.213999999999999</v>
      </c>
      <c r="AC514" s="26">
        <f t="shared" ref="AC514:AC577" si="148">AVERAGEIF(R:R,R514,F:F)</f>
        <v>660.7</v>
      </c>
      <c r="AD514" s="26">
        <f t="shared" ref="AD514:AD577" si="149">AVERAGEIF(R:R,R514,E:E)</f>
        <v>16.399999999999999</v>
      </c>
      <c r="AE514">
        <f t="shared" ref="AE514:AE577" si="150">YEAR(C514)</f>
        <v>2023</v>
      </c>
      <c r="AG514">
        <v>12</v>
      </c>
      <c r="AH514" s="26">
        <f t="shared" ref="AH514:AH577" si="151">F514/D514</f>
        <v>11.525423728813559</v>
      </c>
      <c r="AI514" t="str">
        <f t="shared" ref="AI514:AI577" si="152">RIGHT(O514,2)</f>
        <v>PM</v>
      </c>
      <c r="AJ514" t="str">
        <f t="shared" ref="AJ514:AJ577" si="153">R514&amp;"-"&amp;WEEKNUM(C514,1)-WEEKNUM(DATE(YEAR(C514),MONTH(C514),1),1)+1</f>
        <v>8-2023-4</v>
      </c>
      <c r="AK514">
        <f t="shared" ref="AK514:AK577" si="154">MONTH(C514)</f>
        <v>8</v>
      </c>
      <c r="AL514" s="26">
        <f>IFERROR(Table2[[#This Row],[Calories]]/Table2[[#This Row],[Splat]],"")</f>
        <v>35.789473684210527</v>
      </c>
      <c r="AM514">
        <f>COUNTIF(N$2:$N$938,N514)</f>
        <v>218</v>
      </c>
      <c r="AN514" t="str">
        <f>VLOOKUP(N514,'Helpful Tables'!A:D,4,FALSE)</f>
        <v>Washington, DC</v>
      </c>
      <c r="AO514" s="24">
        <f>COUNTIF(AN:AN,Table2[[#This Row],[State]])/COUNTA(AN:AN)</f>
        <v>0.54904051172707891</v>
      </c>
      <c r="AP514">
        <f>VLOOKUP(N514,'Helpful Tables'!A:B,2,FALSE)</f>
        <v>38.934710000000003</v>
      </c>
      <c r="AQ514">
        <f>VLOOKUP(N514,'Helpful Tables'!A:C,3,FALSE)</f>
        <v>-77.058222999999998</v>
      </c>
      <c r="AR514">
        <f>COUNTIF(P$2:$P$938,P514)</f>
        <v>7</v>
      </c>
      <c r="AS514" cm="1">
        <f t="array" ref="AS514">_xlfn.IFS(E514&lt;6,((E514/D514)*60)*0.5,AND(E514&gt;=6,E514&lt;9),((E514/D514)*60)*0.75,AND(E514&gt;=9,E514&lt;=11),((E514/D514)*60)*0.9,AND(E514=12),((E514/D514)*60)*1,AND(E514&gt;=13,E514&lt;=15),((E514/D514)*60)*1.2,AND(E514&gt;=16,E514&lt;=19),((E514/D514)*60)*1.5,E514&gt;=20,((E514/D514)*60)*1.8)</f>
        <v>28.983050847457626</v>
      </c>
      <c r="AT514" cm="1">
        <f t="array" ref="AT514">_xlfn.IFS(F514&lt;550,((F514/D514)*60)*0.5,AND(F514&gt;=550,F514&lt;575),((F514/D514)*60)*0.75,AND(F514&gt;=575,F514&lt;600),((F514/D514)*60)*0.9,AND(F514=600),((F514/D514)*60)*1,AND(F514&gt;=601,F514&lt;=625),((F514/D514)*60)*1.2,AND(F514&gt;=626,F514&lt;=650),((F514/D514)*60)*1.5,F514&gt;=651,((F514/D514)*60)*1.8)</f>
        <v>1244.7457627118642</v>
      </c>
      <c r="AU514">
        <f t="shared" si="142"/>
        <v>8.0999999999999979</v>
      </c>
      <c r="AV514">
        <f t="shared" si="138"/>
        <v>511.11152542372878</v>
      </c>
      <c r="AW514">
        <f t="shared" si="143"/>
        <v>86.3</v>
      </c>
      <c r="AX514" t="str">
        <f t="shared" ref="AX514:AX577" si="155">_xlfn.CONCAT(TEXT(C514,"mmm"),"-",AE514)</f>
        <v>Aug-2023</v>
      </c>
      <c r="AY514">
        <f>ROUNDUP(Table2[[#This Row],[Month]]/3,0)</f>
        <v>3</v>
      </c>
    </row>
    <row r="515" spans="1:51" x14ac:dyDescent="0.2">
      <c r="A515">
        <v>514</v>
      </c>
      <c r="B515">
        <f t="shared" si="144"/>
        <v>10</v>
      </c>
      <c r="C515" s="22">
        <v>45161</v>
      </c>
      <c r="D515">
        <f>SUM(Table2[[#This Row],[Gray Min]:[Red Min]])</f>
        <v>57</v>
      </c>
      <c r="E515">
        <v>19</v>
      </c>
      <c r="F515">
        <v>682</v>
      </c>
      <c r="G515">
        <v>132</v>
      </c>
      <c r="H515">
        <v>170</v>
      </c>
      <c r="I515">
        <v>6</v>
      </c>
      <c r="J515">
        <v>18</v>
      </c>
      <c r="K515">
        <v>14</v>
      </c>
      <c r="L515">
        <v>15</v>
      </c>
      <c r="M515">
        <v>4</v>
      </c>
      <c r="N515" t="s">
        <v>91</v>
      </c>
      <c r="O515" t="s">
        <v>174</v>
      </c>
      <c r="P515" t="s">
        <v>100</v>
      </c>
      <c r="Q515">
        <f t="shared" ref="Q515:Q578" si="156">C515-C514</f>
        <v>2</v>
      </c>
      <c r="R515" t="str">
        <f t="shared" si="145"/>
        <v>8-2023</v>
      </c>
      <c r="S515" t="s">
        <v>104</v>
      </c>
      <c r="T515" t="str">
        <f t="shared" si="146"/>
        <v>Wednesday</v>
      </c>
      <c r="U515">
        <f t="shared" si="147"/>
        <v>1</v>
      </c>
      <c r="V515" s="24">
        <f>IFERROR(Table2[[#This Row],[Gray Min]]/Table2[[#This Row],[ClassLength]],"")</f>
        <v>0.10526315789473684</v>
      </c>
      <c r="W515" s="24">
        <f>IFERROR(Table2[[#This Row],[Blue Min]]/Table2[[#This Row],[ClassLength]],"")</f>
        <v>0.31578947368421051</v>
      </c>
      <c r="X515" s="24">
        <f>IFERROR(Table2[[#This Row],[Green Min]]/Table2[[#This Row],[ClassLength]],"")</f>
        <v>0.24561403508771928</v>
      </c>
      <c r="Y515" s="24">
        <f>IFERROR(Table2[[#This Row],[Orange Min]]/Table2[[#This Row],[ClassLength]],"")</f>
        <v>0.26315789473684209</v>
      </c>
      <c r="Z515" s="24">
        <f>IFERROR(Table2[[#This Row],[Red Min]]/Table2[[#This Row],[ClassLength]],"")</f>
        <v>7.0175438596491224E-2</v>
      </c>
      <c r="AA515" s="25">
        <v>232.14</v>
      </c>
      <c r="AB515" s="25">
        <f t="shared" si="141"/>
        <v>23.213999999999999</v>
      </c>
      <c r="AC515" s="26">
        <f t="shared" si="148"/>
        <v>660.7</v>
      </c>
      <c r="AD515" s="26">
        <f t="shared" si="149"/>
        <v>16.399999999999999</v>
      </c>
      <c r="AE515">
        <f t="shared" si="150"/>
        <v>2023</v>
      </c>
      <c r="AG515">
        <v>12</v>
      </c>
      <c r="AH515" s="26">
        <f t="shared" si="151"/>
        <v>11.964912280701755</v>
      </c>
      <c r="AI515" t="str">
        <f t="shared" si="152"/>
        <v>AM</v>
      </c>
      <c r="AJ515" t="str">
        <f t="shared" si="153"/>
        <v>8-2023-4</v>
      </c>
      <c r="AK515">
        <f t="shared" si="154"/>
        <v>8</v>
      </c>
      <c r="AL515" s="26">
        <f>IFERROR(Table2[[#This Row],[Calories]]/Table2[[#This Row],[Splat]],"")</f>
        <v>35.89473684210526</v>
      </c>
      <c r="AM515">
        <f>COUNTIF(N$2:$N$938,N515)</f>
        <v>218</v>
      </c>
      <c r="AN515" t="str">
        <f>VLOOKUP(N515,'Helpful Tables'!A:D,4,FALSE)</f>
        <v>Washington, DC</v>
      </c>
      <c r="AO515" s="24">
        <f>COUNTIF(AN:AN,Table2[[#This Row],[State]])/COUNTA(AN:AN)</f>
        <v>0.54904051172707891</v>
      </c>
      <c r="AP515">
        <f>VLOOKUP(N515,'Helpful Tables'!A:B,2,FALSE)</f>
        <v>38.934710000000003</v>
      </c>
      <c r="AQ515">
        <f>VLOOKUP(N515,'Helpful Tables'!A:C,3,FALSE)</f>
        <v>-77.058222999999998</v>
      </c>
      <c r="AR515">
        <f>COUNTIF(P$2:$P$938,P515)</f>
        <v>35</v>
      </c>
      <c r="AS515" cm="1">
        <f t="array" ref="AS515">_xlfn.IFS(E515&lt;6,((E515/D515)*60)*0.5,AND(E515&gt;=6,E515&lt;9),((E515/D515)*60)*0.75,AND(E515&gt;=9,E515&lt;=11),((E515/D515)*60)*0.9,AND(E515=12),((E515/D515)*60)*1,AND(E515&gt;=13,E515&lt;=15),((E515/D515)*60)*1.2,AND(E515&gt;=16,E515&lt;=19),((E515/D515)*60)*1.5,E515&gt;=20,((E515/D515)*60)*1.8)</f>
        <v>30</v>
      </c>
      <c r="AT515" cm="1">
        <f t="array" ref="AT515">_xlfn.IFS(F515&lt;550,((F515/D515)*60)*0.5,AND(F515&gt;=550,F515&lt;575),((F515/D515)*60)*0.75,AND(F515&gt;=575,F515&lt;600),((F515/D515)*60)*0.9,AND(F515=600),((F515/D515)*60)*1,AND(F515&gt;=601,F515&lt;=625),((F515/D515)*60)*1.2,AND(F515&gt;=626,F515&lt;=650),((F515/D515)*60)*1.5,F515&gt;=651,((F515/D515)*60)*1.8)</f>
        <v>1292.2105263157896</v>
      </c>
      <c r="AU515">
        <f t="shared" si="142"/>
        <v>15.3</v>
      </c>
      <c r="AV515">
        <f t="shared" ref="AV515:AV578" si="157">(AS515*0.4)+(AT515*0.4)+(AU515*0.2)</f>
        <v>531.94421052631583</v>
      </c>
      <c r="AW515">
        <f t="shared" si="143"/>
        <v>94.1</v>
      </c>
      <c r="AX515" t="str">
        <f t="shared" si="155"/>
        <v>Aug-2023</v>
      </c>
      <c r="AY515">
        <f>ROUNDUP(Table2[[#This Row],[Month]]/3,0)</f>
        <v>3</v>
      </c>
    </row>
    <row r="516" spans="1:51" x14ac:dyDescent="0.2">
      <c r="A516">
        <v>515</v>
      </c>
      <c r="B516">
        <f t="shared" si="144"/>
        <v>10</v>
      </c>
      <c r="C516" s="22">
        <v>45163</v>
      </c>
      <c r="D516">
        <f>SUM(Table2[[#This Row],[Gray Min]:[Red Min]])</f>
        <v>58</v>
      </c>
      <c r="E516">
        <v>15</v>
      </c>
      <c r="F516">
        <v>675</v>
      </c>
      <c r="G516">
        <v>129</v>
      </c>
      <c r="H516">
        <v>166</v>
      </c>
      <c r="I516">
        <v>5</v>
      </c>
      <c r="J516">
        <v>24</v>
      </c>
      <c r="K516">
        <v>14</v>
      </c>
      <c r="L516">
        <v>13</v>
      </c>
      <c r="M516">
        <v>2</v>
      </c>
      <c r="N516" t="s">
        <v>101</v>
      </c>
      <c r="O516" t="s">
        <v>53</v>
      </c>
      <c r="P516" t="s">
        <v>147</v>
      </c>
      <c r="Q516">
        <f t="shared" si="156"/>
        <v>2</v>
      </c>
      <c r="R516" t="str">
        <f t="shared" si="145"/>
        <v>8-2023</v>
      </c>
      <c r="S516" t="s">
        <v>104</v>
      </c>
      <c r="T516" t="str">
        <f t="shared" si="146"/>
        <v>Friday</v>
      </c>
      <c r="U516">
        <f t="shared" si="147"/>
        <v>1</v>
      </c>
      <c r="V516" s="24">
        <f>IFERROR(Table2[[#This Row],[Gray Min]]/Table2[[#This Row],[ClassLength]],"")</f>
        <v>8.6206896551724144E-2</v>
      </c>
      <c r="W516" s="24">
        <f>IFERROR(Table2[[#This Row],[Blue Min]]/Table2[[#This Row],[ClassLength]],"")</f>
        <v>0.41379310344827586</v>
      </c>
      <c r="X516" s="24">
        <f>IFERROR(Table2[[#This Row],[Green Min]]/Table2[[#This Row],[ClassLength]],"")</f>
        <v>0.2413793103448276</v>
      </c>
      <c r="Y516" s="24">
        <f>IFERROR(Table2[[#This Row],[Orange Min]]/Table2[[#This Row],[ClassLength]],"")</f>
        <v>0.22413793103448276</v>
      </c>
      <c r="Z516" s="24">
        <f>IFERROR(Table2[[#This Row],[Red Min]]/Table2[[#This Row],[ClassLength]],"")</f>
        <v>3.4482758620689655E-2</v>
      </c>
      <c r="AA516" s="25">
        <v>232.14</v>
      </c>
      <c r="AB516" s="25">
        <f t="shared" si="141"/>
        <v>23.213999999999999</v>
      </c>
      <c r="AC516" s="26">
        <f t="shared" si="148"/>
        <v>660.7</v>
      </c>
      <c r="AD516" s="26">
        <f t="shared" si="149"/>
        <v>16.399999999999999</v>
      </c>
      <c r="AE516">
        <f t="shared" si="150"/>
        <v>2023</v>
      </c>
      <c r="AG516">
        <v>12</v>
      </c>
      <c r="AH516" s="26">
        <f t="shared" si="151"/>
        <v>11.637931034482758</v>
      </c>
      <c r="AI516" t="str">
        <f t="shared" si="152"/>
        <v>PM</v>
      </c>
      <c r="AJ516" t="str">
        <f t="shared" si="153"/>
        <v>8-2023-4</v>
      </c>
      <c r="AK516">
        <f t="shared" si="154"/>
        <v>8</v>
      </c>
      <c r="AL516" s="26">
        <f>IFERROR(Table2[[#This Row],[Calories]]/Table2[[#This Row],[Splat]],"")</f>
        <v>45</v>
      </c>
      <c r="AM516">
        <f>COUNTIF(N$2:$N$938,N516)</f>
        <v>191</v>
      </c>
      <c r="AN516" t="str">
        <f>VLOOKUP(N516,'Helpful Tables'!A:D,4,FALSE)</f>
        <v>Washington, DC</v>
      </c>
      <c r="AO516" s="24">
        <f>COUNTIF(AN:AN,Table2[[#This Row],[State]])/COUNTA(AN:AN)</f>
        <v>0.54904051172707891</v>
      </c>
      <c r="AP516">
        <f>VLOOKUP(N516,'Helpful Tables'!A:B,2,FALSE)</f>
        <v>38.949649000000001</v>
      </c>
      <c r="AQ516">
        <f>VLOOKUP(N516,'Helpful Tables'!A:C,3,FALSE)</f>
        <v>-77.080878999999996</v>
      </c>
      <c r="AR516">
        <f>COUNTIF(P$2:$P$938,P516)</f>
        <v>17</v>
      </c>
      <c r="AS516" cm="1">
        <f t="array" ref="AS516">_xlfn.IFS(E516&lt;6,((E516/D516)*60)*0.5,AND(E516&gt;=6,E516&lt;9),((E516/D516)*60)*0.75,AND(E516&gt;=9,E516&lt;=11),((E516/D516)*60)*0.9,AND(E516=12),((E516/D516)*60)*1,AND(E516&gt;=13,E516&lt;=15),((E516/D516)*60)*1.2,AND(E516&gt;=16,E516&lt;=19),((E516/D516)*60)*1.5,E516&gt;=20,((E516/D516)*60)*1.8)</f>
        <v>18.620689655172413</v>
      </c>
      <c r="AT516" cm="1">
        <f t="array" ref="AT516">_xlfn.IFS(F516&lt;550,((F516/D516)*60)*0.5,AND(F516&gt;=550,F516&lt;575),((F516/D516)*60)*0.75,AND(F516&gt;=575,F516&lt;600),((F516/D516)*60)*0.9,AND(F516=600),((F516/D516)*60)*1,AND(F516&gt;=601,F516&lt;=625),((F516/D516)*60)*1.2,AND(F516&gt;=626,F516&lt;=650),((F516/D516)*60)*1.5,F516&gt;=651,((F516/D516)*60)*1.8)</f>
        <v>1256.8965517241379</v>
      </c>
      <c r="AU516">
        <f t="shared" si="142"/>
        <v>4.2999999999999972</v>
      </c>
      <c r="AV516">
        <f t="shared" si="157"/>
        <v>511.06689655172414</v>
      </c>
      <c r="AW516">
        <f t="shared" si="143"/>
        <v>86.2</v>
      </c>
      <c r="AX516" t="str">
        <f t="shared" si="155"/>
        <v>Aug-2023</v>
      </c>
      <c r="AY516">
        <f>ROUNDUP(Table2[[#This Row],[Month]]/3,0)</f>
        <v>3</v>
      </c>
    </row>
    <row r="517" spans="1:51" x14ac:dyDescent="0.2">
      <c r="A517">
        <v>516</v>
      </c>
      <c r="B517">
        <f t="shared" si="144"/>
        <v>10</v>
      </c>
      <c r="C517" s="22">
        <v>45165</v>
      </c>
      <c r="D517">
        <f>SUM(Table2[[#This Row],[Gray Min]:[Red Min]])</f>
        <v>59</v>
      </c>
      <c r="E517">
        <v>14</v>
      </c>
      <c r="F517">
        <v>635</v>
      </c>
      <c r="G517">
        <v>124</v>
      </c>
      <c r="H517">
        <v>164</v>
      </c>
      <c r="I517">
        <v>14</v>
      </c>
      <c r="J517">
        <v>18</v>
      </c>
      <c r="K517">
        <v>13</v>
      </c>
      <c r="L517">
        <v>13</v>
      </c>
      <c r="M517">
        <v>1</v>
      </c>
      <c r="N517" t="s">
        <v>91</v>
      </c>
      <c r="O517" t="s">
        <v>79</v>
      </c>
      <c r="P517" t="s">
        <v>188</v>
      </c>
      <c r="Q517">
        <f t="shared" si="156"/>
        <v>2</v>
      </c>
      <c r="R517" t="str">
        <f t="shared" si="145"/>
        <v>8-2023</v>
      </c>
      <c r="S517" t="s">
        <v>104</v>
      </c>
      <c r="T517" t="str">
        <f t="shared" si="146"/>
        <v>Sunday</v>
      </c>
      <c r="U517">
        <f t="shared" si="147"/>
        <v>1</v>
      </c>
      <c r="V517" s="24">
        <f>IFERROR(Table2[[#This Row],[Gray Min]]/Table2[[#This Row],[ClassLength]],"")</f>
        <v>0.23728813559322035</v>
      </c>
      <c r="W517" s="24">
        <f>IFERROR(Table2[[#This Row],[Blue Min]]/Table2[[#This Row],[ClassLength]],"")</f>
        <v>0.30508474576271188</v>
      </c>
      <c r="X517" s="24">
        <f>IFERROR(Table2[[#This Row],[Green Min]]/Table2[[#This Row],[ClassLength]],"")</f>
        <v>0.22033898305084745</v>
      </c>
      <c r="Y517" s="24">
        <f>IFERROR(Table2[[#This Row],[Orange Min]]/Table2[[#This Row],[ClassLength]],"")</f>
        <v>0.22033898305084745</v>
      </c>
      <c r="Z517" s="24">
        <f>IFERROR(Table2[[#This Row],[Red Min]]/Table2[[#This Row],[ClassLength]],"")</f>
        <v>1.6949152542372881E-2</v>
      </c>
      <c r="AA517" s="25">
        <v>232.14</v>
      </c>
      <c r="AB517" s="25">
        <f t="shared" si="141"/>
        <v>23.213999999999999</v>
      </c>
      <c r="AC517" s="26">
        <f t="shared" si="148"/>
        <v>660.7</v>
      </c>
      <c r="AD517" s="26">
        <f t="shared" si="149"/>
        <v>16.399999999999999</v>
      </c>
      <c r="AE517">
        <f t="shared" si="150"/>
        <v>2023</v>
      </c>
      <c r="AG517">
        <v>12</v>
      </c>
      <c r="AH517" s="26">
        <f t="shared" si="151"/>
        <v>10.76271186440678</v>
      </c>
      <c r="AI517" t="str">
        <f t="shared" si="152"/>
        <v>AM</v>
      </c>
      <c r="AJ517" t="str">
        <f t="shared" si="153"/>
        <v>8-2023-5</v>
      </c>
      <c r="AK517">
        <f t="shared" si="154"/>
        <v>8</v>
      </c>
      <c r="AL517" s="26">
        <f>IFERROR(Table2[[#This Row],[Calories]]/Table2[[#This Row],[Splat]],"")</f>
        <v>45.357142857142854</v>
      </c>
      <c r="AM517">
        <f>COUNTIF(N$2:$N$938,N517)</f>
        <v>218</v>
      </c>
      <c r="AN517" t="str">
        <f>VLOOKUP(N517,'Helpful Tables'!A:D,4,FALSE)</f>
        <v>Washington, DC</v>
      </c>
      <c r="AO517" s="24">
        <f>COUNTIF(AN:AN,Table2[[#This Row],[State]])/COUNTA(AN:AN)</f>
        <v>0.54904051172707891</v>
      </c>
      <c r="AP517">
        <f>VLOOKUP(N517,'Helpful Tables'!A:B,2,FALSE)</f>
        <v>38.934710000000003</v>
      </c>
      <c r="AQ517">
        <f>VLOOKUP(N517,'Helpful Tables'!A:C,3,FALSE)</f>
        <v>-77.058222999999998</v>
      </c>
      <c r="AR517">
        <f>COUNTIF(P$2:$P$938,P517)</f>
        <v>10</v>
      </c>
      <c r="AS517" cm="1">
        <f t="array" ref="AS517">_xlfn.IFS(E517&lt;6,((E517/D517)*60)*0.5,AND(E517&gt;=6,E517&lt;9),((E517/D517)*60)*0.75,AND(E517&gt;=9,E517&lt;=11),((E517/D517)*60)*0.9,AND(E517=12),((E517/D517)*60)*1,AND(E517&gt;=13,E517&lt;=15),((E517/D517)*60)*1.2,AND(E517&gt;=16,E517&lt;=19),((E517/D517)*60)*1.5,E517&gt;=20,((E517/D517)*60)*1.8)</f>
        <v>17.084745762711865</v>
      </c>
      <c r="AT517" cm="1">
        <f t="array" ref="AT517">_xlfn.IFS(F517&lt;550,((F517/D517)*60)*0.5,AND(F517&gt;=550,F517&lt;575),((F517/D517)*60)*0.75,AND(F517&gt;=575,F517&lt;600),((F517/D517)*60)*0.9,AND(F517=600),((F517/D517)*60)*1,AND(F517&gt;=601,F517&lt;=625),((F517/D517)*60)*1.2,AND(F517&gt;=626,F517&lt;=650),((F517/D517)*60)*1.5,F517&gt;=651,((F517/D517)*60)*1.8)</f>
        <v>968.64406779661022</v>
      </c>
      <c r="AU517">
        <f t="shared" si="142"/>
        <v>-2.5999999999999979</v>
      </c>
      <c r="AV517">
        <f t="shared" si="157"/>
        <v>393.77152542372886</v>
      </c>
      <c r="AW517">
        <f t="shared" si="143"/>
        <v>49.5</v>
      </c>
      <c r="AX517" t="str">
        <f t="shared" si="155"/>
        <v>Aug-2023</v>
      </c>
      <c r="AY517">
        <f>ROUNDUP(Table2[[#This Row],[Month]]/3,0)</f>
        <v>3</v>
      </c>
    </row>
    <row r="518" spans="1:51" x14ac:dyDescent="0.2">
      <c r="A518">
        <v>517</v>
      </c>
      <c r="B518">
        <f t="shared" si="144"/>
        <v>10</v>
      </c>
      <c r="C518" s="22">
        <v>45166</v>
      </c>
      <c r="D518">
        <f>SUM(Table2[[#This Row],[Gray Min]:[Red Min]])</f>
        <v>61</v>
      </c>
      <c r="E518">
        <v>18</v>
      </c>
      <c r="F518">
        <v>699</v>
      </c>
      <c r="G518">
        <v>131</v>
      </c>
      <c r="H518">
        <v>166</v>
      </c>
      <c r="I518">
        <v>6</v>
      </c>
      <c r="J518">
        <v>20</v>
      </c>
      <c r="K518">
        <v>17</v>
      </c>
      <c r="L518">
        <v>17</v>
      </c>
      <c r="M518">
        <v>1</v>
      </c>
      <c r="N518" t="s">
        <v>101</v>
      </c>
      <c r="O518" t="s">
        <v>107</v>
      </c>
      <c r="P518" t="s">
        <v>189</v>
      </c>
      <c r="Q518">
        <f t="shared" si="156"/>
        <v>1</v>
      </c>
      <c r="R518" t="str">
        <f t="shared" si="145"/>
        <v>8-2023</v>
      </c>
      <c r="S518" t="s">
        <v>104</v>
      </c>
      <c r="T518" t="str">
        <f t="shared" si="146"/>
        <v>Monday</v>
      </c>
      <c r="U518">
        <f t="shared" si="147"/>
        <v>1</v>
      </c>
      <c r="V518" s="24">
        <f>IFERROR(Table2[[#This Row],[Gray Min]]/Table2[[#This Row],[ClassLength]],"")</f>
        <v>9.8360655737704916E-2</v>
      </c>
      <c r="W518" s="24">
        <f>IFERROR(Table2[[#This Row],[Blue Min]]/Table2[[#This Row],[ClassLength]],"")</f>
        <v>0.32786885245901637</v>
      </c>
      <c r="X518" s="24">
        <f>IFERROR(Table2[[#This Row],[Green Min]]/Table2[[#This Row],[ClassLength]],"")</f>
        <v>0.27868852459016391</v>
      </c>
      <c r="Y518" s="24">
        <f>IFERROR(Table2[[#This Row],[Orange Min]]/Table2[[#This Row],[ClassLength]],"")</f>
        <v>0.27868852459016391</v>
      </c>
      <c r="Z518" s="24">
        <f>IFERROR(Table2[[#This Row],[Red Min]]/Table2[[#This Row],[ClassLength]],"")</f>
        <v>1.6393442622950821E-2</v>
      </c>
      <c r="AA518" s="25">
        <v>232.14</v>
      </c>
      <c r="AB518" s="25">
        <f t="shared" si="141"/>
        <v>23.213999999999999</v>
      </c>
      <c r="AC518" s="26">
        <f t="shared" si="148"/>
        <v>660.7</v>
      </c>
      <c r="AD518" s="26">
        <f t="shared" si="149"/>
        <v>16.399999999999999</v>
      </c>
      <c r="AE518">
        <f t="shared" si="150"/>
        <v>2023</v>
      </c>
      <c r="AG518">
        <v>12</v>
      </c>
      <c r="AH518" s="26">
        <f t="shared" si="151"/>
        <v>11.459016393442623</v>
      </c>
      <c r="AI518" t="str">
        <f t="shared" si="152"/>
        <v>AM</v>
      </c>
      <c r="AJ518" t="str">
        <f t="shared" si="153"/>
        <v>8-2023-5</v>
      </c>
      <c r="AK518">
        <f t="shared" si="154"/>
        <v>8</v>
      </c>
      <c r="AL518" s="26">
        <f>IFERROR(Table2[[#This Row],[Calories]]/Table2[[#This Row],[Splat]],"")</f>
        <v>38.833333333333336</v>
      </c>
      <c r="AM518">
        <f>COUNTIF(N$2:$N$938,N518)</f>
        <v>191</v>
      </c>
      <c r="AN518" t="str">
        <f>VLOOKUP(N518,'Helpful Tables'!A:D,4,FALSE)</f>
        <v>Washington, DC</v>
      </c>
      <c r="AO518" s="24">
        <f>COUNTIF(AN:AN,Table2[[#This Row],[State]])/COUNTA(AN:AN)</f>
        <v>0.54904051172707891</v>
      </c>
      <c r="AP518">
        <f>VLOOKUP(N518,'Helpful Tables'!A:B,2,FALSE)</f>
        <v>38.949649000000001</v>
      </c>
      <c r="AQ518">
        <f>VLOOKUP(N518,'Helpful Tables'!A:C,3,FALSE)</f>
        <v>-77.080878999999996</v>
      </c>
      <c r="AR518">
        <f>COUNTIF(P$2:$P$938,P518)</f>
        <v>8</v>
      </c>
      <c r="AS518" cm="1">
        <f t="array" ref="AS518">_xlfn.IFS(E518&lt;6,((E518/D518)*60)*0.5,AND(E518&gt;=6,E518&lt;9),((E518/D518)*60)*0.75,AND(E518&gt;=9,E518&lt;=11),((E518/D518)*60)*0.9,AND(E518=12),((E518/D518)*60)*1,AND(E518&gt;=13,E518&lt;=15),((E518/D518)*60)*1.2,AND(E518&gt;=16,E518&lt;=19),((E518/D518)*60)*1.5,E518&gt;=20,((E518/D518)*60)*1.8)</f>
        <v>26.557377049180328</v>
      </c>
      <c r="AT518" cm="1">
        <f t="array" ref="AT518">_xlfn.IFS(F518&lt;550,((F518/D518)*60)*0.5,AND(F518&gt;=550,F518&lt;575),((F518/D518)*60)*0.75,AND(F518&gt;=575,F518&lt;600),((F518/D518)*60)*0.9,AND(F518=600),((F518/D518)*60)*1,AND(F518&gt;=601,F518&lt;=625),((F518/D518)*60)*1.2,AND(F518&gt;=626,F518&lt;=650),((F518/D518)*60)*1.5,F518&gt;=651,((F518/D518)*60)*1.8)</f>
        <v>1237.5737704918033</v>
      </c>
      <c r="AU518">
        <f t="shared" si="142"/>
        <v>14.8</v>
      </c>
      <c r="AV518">
        <f t="shared" si="157"/>
        <v>508.61245901639347</v>
      </c>
      <c r="AW518">
        <f t="shared" si="143"/>
        <v>84.5</v>
      </c>
      <c r="AX518" t="str">
        <f t="shared" si="155"/>
        <v>Aug-2023</v>
      </c>
      <c r="AY518">
        <f>ROUNDUP(Table2[[#This Row],[Month]]/3,0)</f>
        <v>3</v>
      </c>
    </row>
    <row r="519" spans="1:51" x14ac:dyDescent="0.2">
      <c r="A519">
        <v>518</v>
      </c>
      <c r="B519">
        <f t="shared" si="144"/>
        <v>13</v>
      </c>
      <c r="C519" s="22">
        <v>45170</v>
      </c>
      <c r="D519">
        <f>SUM(Table2[[#This Row],[Gray Min]:[Red Min]])</f>
        <v>57</v>
      </c>
      <c r="E519">
        <v>8</v>
      </c>
      <c r="F519">
        <v>596</v>
      </c>
      <c r="G519">
        <v>123</v>
      </c>
      <c r="H519">
        <v>162</v>
      </c>
      <c r="I519">
        <v>14</v>
      </c>
      <c r="J519">
        <v>17</v>
      </c>
      <c r="K519">
        <v>18</v>
      </c>
      <c r="L519">
        <v>8</v>
      </c>
      <c r="M519">
        <v>0</v>
      </c>
      <c r="N519" t="s">
        <v>101</v>
      </c>
      <c r="O519" t="s">
        <v>190</v>
      </c>
      <c r="P519" t="s">
        <v>148</v>
      </c>
      <c r="Q519">
        <f t="shared" si="156"/>
        <v>4</v>
      </c>
      <c r="R519" t="str">
        <f t="shared" si="145"/>
        <v>9-2023</v>
      </c>
      <c r="S519" t="s">
        <v>104</v>
      </c>
      <c r="T519" t="str">
        <f t="shared" si="146"/>
        <v>Friday</v>
      </c>
      <c r="U519">
        <f t="shared" si="147"/>
        <v>0</v>
      </c>
      <c r="V519" s="24">
        <f>IFERROR(Table2[[#This Row],[Gray Min]]/Table2[[#This Row],[ClassLength]],"")</f>
        <v>0.24561403508771928</v>
      </c>
      <c r="W519" s="24">
        <f>IFERROR(Table2[[#This Row],[Blue Min]]/Table2[[#This Row],[ClassLength]],"")</f>
        <v>0.2982456140350877</v>
      </c>
      <c r="X519" s="24">
        <f>IFERROR(Table2[[#This Row],[Green Min]]/Table2[[#This Row],[ClassLength]],"")</f>
        <v>0.31578947368421051</v>
      </c>
      <c r="Y519" s="24">
        <f>IFERROR(Table2[[#This Row],[Orange Min]]/Table2[[#This Row],[ClassLength]],"")</f>
        <v>0.14035087719298245</v>
      </c>
      <c r="Z519" s="24">
        <f>IFERROR(Table2[[#This Row],[Red Min]]/Table2[[#This Row],[ClassLength]],"")</f>
        <v>0</v>
      </c>
      <c r="AA519" s="25">
        <v>232.14</v>
      </c>
      <c r="AB519" s="25">
        <f t="shared" si="141"/>
        <v>17.856923076923074</v>
      </c>
      <c r="AC519" s="26">
        <f t="shared" si="148"/>
        <v>639.15384615384619</v>
      </c>
      <c r="AD519" s="26">
        <f t="shared" si="149"/>
        <v>13.307692307692308</v>
      </c>
      <c r="AE519">
        <f t="shared" si="150"/>
        <v>2023</v>
      </c>
      <c r="AG519">
        <v>12</v>
      </c>
      <c r="AH519" s="26">
        <f t="shared" si="151"/>
        <v>10.456140350877194</v>
      </c>
      <c r="AI519" t="str">
        <f t="shared" si="152"/>
        <v>AM</v>
      </c>
      <c r="AJ519" t="str">
        <f t="shared" si="153"/>
        <v>9-2023-1</v>
      </c>
      <c r="AK519">
        <f t="shared" si="154"/>
        <v>9</v>
      </c>
      <c r="AL519" s="26">
        <f>IFERROR(Table2[[#This Row],[Calories]]/Table2[[#This Row],[Splat]],"")</f>
        <v>74.5</v>
      </c>
      <c r="AM519">
        <f>COUNTIF(N$2:$N$938,N519)</f>
        <v>191</v>
      </c>
      <c r="AN519" t="str">
        <f>VLOOKUP(N519,'Helpful Tables'!A:D,4,FALSE)</f>
        <v>Washington, DC</v>
      </c>
      <c r="AO519" s="24">
        <f>COUNTIF(AN:AN,Table2[[#This Row],[State]])/COUNTA(AN:AN)</f>
        <v>0.54904051172707891</v>
      </c>
      <c r="AP519">
        <f>VLOOKUP(N519,'Helpful Tables'!A:B,2,FALSE)</f>
        <v>38.949649000000001</v>
      </c>
      <c r="AQ519">
        <f>VLOOKUP(N519,'Helpful Tables'!A:C,3,FALSE)</f>
        <v>-77.080878999999996</v>
      </c>
      <c r="AR519">
        <f>COUNTIF(P$2:$P$938,P519)</f>
        <v>14</v>
      </c>
      <c r="AS519" cm="1">
        <f t="array" ref="AS519">_xlfn.IFS(E519&lt;6,((E519/D519)*60)*0.5,AND(E519&gt;=6,E519&lt;9),((E519/D519)*60)*0.75,AND(E519&gt;=9,E519&lt;=11),((E519/D519)*60)*0.9,AND(E519=12),((E519/D519)*60)*1,AND(E519&gt;=13,E519&lt;=15),((E519/D519)*60)*1.2,AND(E519&gt;=16,E519&lt;=19),((E519/D519)*60)*1.5,E519&gt;=20,((E519/D519)*60)*1.8)</f>
        <v>6.3157894736842106</v>
      </c>
      <c r="AT519" cm="1">
        <f t="array" ref="AT519">_xlfn.IFS(F519&lt;550,((F519/D519)*60)*0.5,AND(F519&gt;=550,F519&lt;575),((F519/D519)*60)*0.75,AND(F519&gt;=575,F519&lt;600),((F519/D519)*60)*0.9,AND(F519=600),((F519/D519)*60)*1,AND(F519&gt;=601,F519&lt;=625),((F519/D519)*60)*1.2,AND(F519&gt;=626,F519&lt;=650),((F519/D519)*60)*1.5,F519&gt;=651,((F519/D519)*60)*1.8)</f>
        <v>564.63157894736844</v>
      </c>
      <c r="AU519">
        <f t="shared" si="142"/>
        <v>-3.5000000000000018</v>
      </c>
      <c r="AV519">
        <f t="shared" si="157"/>
        <v>227.67894736842106</v>
      </c>
      <c r="AW519">
        <f t="shared" si="143"/>
        <v>19.3</v>
      </c>
      <c r="AX519" t="str">
        <f t="shared" si="155"/>
        <v>Sep-2023</v>
      </c>
      <c r="AY519">
        <f>ROUNDUP(Table2[[#This Row],[Month]]/3,0)</f>
        <v>3</v>
      </c>
    </row>
    <row r="520" spans="1:51" x14ac:dyDescent="0.2">
      <c r="A520">
        <v>519</v>
      </c>
      <c r="B520">
        <f t="shared" si="144"/>
        <v>13</v>
      </c>
      <c r="C520" s="22">
        <v>45172</v>
      </c>
      <c r="D520">
        <f>SUM(Table2[[#This Row],[Gray Min]:[Red Min]])</f>
        <v>58</v>
      </c>
      <c r="E520">
        <v>16</v>
      </c>
      <c r="F520">
        <v>652</v>
      </c>
      <c r="G520">
        <v>129</v>
      </c>
      <c r="H520">
        <v>168</v>
      </c>
      <c r="I520">
        <v>12</v>
      </c>
      <c r="J520">
        <v>15</v>
      </c>
      <c r="K520">
        <v>15</v>
      </c>
      <c r="L520">
        <v>15</v>
      </c>
      <c r="M520">
        <v>1</v>
      </c>
      <c r="N520" t="s">
        <v>162</v>
      </c>
      <c r="O520" t="s">
        <v>45</v>
      </c>
      <c r="P520" t="s">
        <v>191</v>
      </c>
      <c r="Q520">
        <f t="shared" si="156"/>
        <v>2</v>
      </c>
      <c r="R520" t="str">
        <f t="shared" si="145"/>
        <v>9-2023</v>
      </c>
      <c r="S520" t="s">
        <v>104</v>
      </c>
      <c r="T520" t="str">
        <f t="shared" si="146"/>
        <v>Sunday</v>
      </c>
      <c r="U520">
        <f t="shared" si="147"/>
        <v>1</v>
      </c>
      <c r="V520" s="24">
        <f>IFERROR(Table2[[#This Row],[Gray Min]]/Table2[[#This Row],[ClassLength]],"")</f>
        <v>0.20689655172413793</v>
      </c>
      <c r="W520" s="24">
        <f>IFERROR(Table2[[#This Row],[Blue Min]]/Table2[[#This Row],[ClassLength]],"")</f>
        <v>0.25862068965517243</v>
      </c>
      <c r="X520" s="24">
        <f>IFERROR(Table2[[#This Row],[Green Min]]/Table2[[#This Row],[ClassLength]],"")</f>
        <v>0.25862068965517243</v>
      </c>
      <c r="Y520" s="24">
        <f>IFERROR(Table2[[#This Row],[Orange Min]]/Table2[[#This Row],[ClassLength]],"")</f>
        <v>0.25862068965517243</v>
      </c>
      <c r="Z520" s="24">
        <f>IFERROR(Table2[[#This Row],[Red Min]]/Table2[[#This Row],[ClassLength]],"")</f>
        <v>1.7241379310344827E-2</v>
      </c>
      <c r="AA520" s="25">
        <v>232.14</v>
      </c>
      <c r="AB520" s="25">
        <f t="shared" si="141"/>
        <v>17.856923076923074</v>
      </c>
      <c r="AC520" s="26">
        <f t="shared" si="148"/>
        <v>639.15384615384619</v>
      </c>
      <c r="AD520" s="26">
        <f t="shared" si="149"/>
        <v>13.307692307692308</v>
      </c>
      <c r="AE520">
        <f t="shared" si="150"/>
        <v>2023</v>
      </c>
      <c r="AG520">
        <v>12</v>
      </c>
      <c r="AH520" s="26">
        <f t="shared" si="151"/>
        <v>11.241379310344827</v>
      </c>
      <c r="AI520" t="str">
        <f t="shared" si="152"/>
        <v>AM</v>
      </c>
      <c r="AJ520" t="str">
        <f t="shared" si="153"/>
        <v>9-2023-2</v>
      </c>
      <c r="AK520">
        <f t="shared" si="154"/>
        <v>9</v>
      </c>
      <c r="AL520" s="26">
        <f>IFERROR(Table2[[#This Row],[Calories]]/Table2[[#This Row],[Splat]],"")</f>
        <v>40.75</v>
      </c>
      <c r="AM520">
        <f>COUNTIF(N$2:$N$938,N520)</f>
        <v>5</v>
      </c>
      <c r="AN520" t="str">
        <f>VLOOKUP(N520,'Helpful Tables'!A:D,4,FALSE)</f>
        <v>Maryland</v>
      </c>
      <c r="AO520" s="24">
        <f>COUNTIF(AN:AN,Table2[[#This Row],[State]])/COUNTA(AN:AN)</f>
        <v>5.3304904051172707E-3</v>
      </c>
      <c r="AP520">
        <f>VLOOKUP(N520,'Helpful Tables'!A:B,2,FALSE)</f>
        <v>38.989806999999999</v>
      </c>
      <c r="AQ520">
        <f>VLOOKUP(N520,'Helpful Tables'!A:C,3,FALSE)</f>
        <v>-77.096371000000005</v>
      </c>
      <c r="AR520">
        <f>COUNTIF(P$2:$P$938,P520)</f>
        <v>1</v>
      </c>
      <c r="AS520" cm="1">
        <f t="array" ref="AS520">_xlfn.IFS(E520&lt;6,((E520/D520)*60)*0.5,AND(E520&gt;=6,E520&lt;9),((E520/D520)*60)*0.75,AND(E520&gt;=9,E520&lt;=11),((E520/D520)*60)*0.9,AND(E520=12),((E520/D520)*60)*1,AND(E520&gt;=13,E520&lt;=15),((E520/D520)*60)*1.2,AND(E520&gt;=16,E520&lt;=19),((E520/D520)*60)*1.5,E520&gt;=20,((E520/D520)*60)*1.8)</f>
        <v>24.827586206896555</v>
      </c>
      <c r="AT520" cm="1">
        <f t="array" ref="AT520">_xlfn.IFS(F520&lt;550,((F520/D520)*60)*0.5,AND(F520&gt;=550,F520&lt;575),((F520/D520)*60)*0.75,AND(F520&gt;=575,F520&lt;600),((F520/D520)*60)*0.9,AND(F520=600),((F520/D520)*60)*1,AND(F520&gt;=601,F520&lt;=625),((F520/D520)*60)*1.2,AND(F520&gt;=626,F520&lt;=650),((F520/D520)*60)*1.5,F520&gt;=651,((F520/D520)*60)*1.8)</f>
        <v>1214.0689655172414</v>
      </c>
      <c r="AU520">
        <f t="shared" si="142"/>
        <v>8.1000000000000014</v>
      </c>
      <c r="AV520">
        <f t="shared" si="157"/>
        <v>497.17862068965519</v>
      </c>
      <c r="AW520">
        <f t="shared" si="143"/>
        <v>77.3</v>
      </c>
      <c r="AX520" t="str">
        <f t="shared" si="155"/>
        <v>Sep-2023</v>
      </c>
      <c r="AY520">
        <f>ROUNDUP(Table2[[#This Row],[Month]]/3,0)</f>
        <v>3</v>
      </c>
    </row>
    <row r="521" spans="1:51" x14ac:dyDescent="0.2">
      <c r="A521">
        <v>520</v>
      </c>
      <c r="B521">
        <f t="shared" si="144"/>
        <v>13</v>
      </c>
      <c r="C521" s="22">
        <v>45175</v>
      </c>
      <c r="D521">
        <f>SUM(Table2[[#This Row],[Gray Min]:[Red Min]])</f>
        <v>58</v>
      </c>
      <c r="E521">
        <v>20</v>
      </c>
      <c r="F521">
        <v>735</v>
      </c>
      <c r="G521">
        <v>135</v>
      </c>
      <c r="H521">
        <v>170</v>
      </c>
      <c r="I521">
        <v>4</v>
      </c>
      <c r="J521">
        <v>19</v>
      </c>
      <c r="K521">
        <v>15</v>
      </c>
      <c r="L521">
        <v>15</v>
      </c>
      <c r="M521">
        <v>5</v>
      </c>
      <c r="N521" t="s">
        <v>91</v>
      </c>
      <c r="O521" t="s">
        <v>57</v>
      </c>
      <c r="P521" t="s">
        <v>96</v>
      </c>
      <c r="Q521">
        <f t="shared" si="156"/>
        <v>3</v>
      </c>
      <c r="R521" t="str">
        <f t="shared" si="145"/>
        <v>9-2023</v>
      </c>
      <c r="S521" t="s">
        <v>104</v>
      </c>
      <c r="T521" t="str">
        <f t="shared" si="146"/>
        <v>Wednesday</v>
      </c>
      <c r="U521">
        <f t="shared" si="147"/>
        <v>1</v>
      </c>
      <c r="V521" s="24">
        <f>IFERROR(Table2[[#This Row],[Gray Min]]/Table2[[#This Row],[ClassLength]],"")</f>
        <v>6.8965517241379309E-2</v>
      </c>
      <c r="W521" s="24">
        <f>IFERROR(Table2[[#This Row],[Blue Min]]/Table2[[#This Row],[ClassLength]],"")</f>
        <v>0.32758620689655171</v>
      </c>
      <c r="X521" s="24">
        <f>IFERROR(Table2[[#This Row],[Green Min]]/Table2[[#This Row],[ClassLength]],"")</f>
        <v>0.25862068965517243</v>
      </c>
      <c r="Y521" s="24">
        <f>IFERROR(Table2[[#This Row],[Orange Min]]/Table2[[#This Row],[ClassLength]],"")</f>
        <v>0.25862068965517243</v>
      </c>
      <c r="Z521" s="24">
        <f>IFERROR(Table2[[#This Row],[Red Min]]/Table2[[#This Row],[ClassLength]],"")</f>
        <v>8.6206896551724144E-2</v>
      </c>
      <c r="AA521" s="25">
        <v>232.14</v>
      </c>
      <c r="AB521" s="25">
        <f t="shared" si="141"/>
        <v>17.856923076923074</v>
      </c>
      <c r="AC521" s="26">
        <f t="shared" si="148"/>
        <v>639.15384615384619</v>
      </c>
      <c r="AD521" s="26">
        <f t="shared" si="149"/>
        <v>13.307692307692308</v>
      </c>
      <c r="AE521">
        <f t="shared" si="150"/>
        <v>2023</v>
      </c>
      <c r="AG521">
        <v>12</v>
      </c>
      <c r="AH521" s="26">
        <f t="shared" si="151"/>
        <v>12.672413793103448</v>
      </c>
      <c r="AI521" t="str">
        <f t="shared" si="152"/>
        <v>PM</v>
      </c>
      <c r="AJ521" t="str">
        <f t="shared" si="153"/>
        <v>9-2023-2</v>
      </c>
      <c r="AK521">
        <f t="shared" si="154"/>
        <v>9</v>
      </c>
      <c r="AL521" s="26">
        <f>IFERROR(Table2[[#This Row],[Calories]]/Table2[[#This Row],[Splat]],"")</f>
        <v>36.75</v>
      </c>
      <c r="AM521">
        <f>COUNTIF(N$2:$N$938,N521)</f>
        <v>218</v>
      </c>
      <c r="AN521" t="str">
        <f>VLOOKUP(N521,'Helpful Tables'!A:D,4,FALSE)</f>
        <v>Washington, DC</v>
      </c>
      <c r="AO521" s="24">
        <f>COUNTIF(AN:AN,Table2[[#This Row],[State]])/COUNTA(AN:AN)</f>
        <v>0.54904051172707891</v>
      </c>
      <c r="AP521">
        <f>VLOOKUP(N521,'Helpful Tables'!A:B,2,FALSE)</f>
        <v>38.934710000000003</v>
      </c>
      <c r="AQ521">
        <f>VLOOKUP(N521,'Helpful Tables'!A:C,3,FALSE)</f>
        <v>-77.058222999999998</v>
      </c>
      <c r="AR521">
        <f>COUNTIF(P$2:$P$938,P521)</f>
        <v>71</v>
      </c>
      <c r="AS521" cm="1">
        <f t="array" ref="AS521">_xlfn.IFS(E521&lt;6,((E521/D521)*60)*0.5,AND(E521&gt;=6,E521&lt;9),((E521/D521)*60)*0.75,AND(E521&gt;=9,E521&lt;=11),((E521/D521)*60)*0.9,AND(E521=12),((E521/D521)*60)*1,AND(E521&gt;=13,E521&lt;=15),((E521/D521)*60)*1.2,AND(E521&gt;=16,E521&lt;=19),((E521/D521)*60)*1.5,E521&gt;=20,((E521/D521)*60)*1.8)</f>
        <v>37.241379310344833</v>
      </c>
      <c r="AT521" cm="1">
        <f t="array" ref="AT521">_xlfn.IFS(F521&lt;550,((F521/D521)*60)*0.5,AND(F521&gt;=550,F521&lt;575),((F521/D521)*60)*0.75,AND(F521&gt;=575,F521&lt;600),((F521/D521)*60)*0.9,AND(F521=600),((F521/D521)*60)*1,AND(F521&gt;=601,F521&lt;=625),((F521/D521)*60)*1.2,AND(F521&gt;=626,F521&lt;=650),((F521/D521)*60)*1.5,F521&gt;=651,((F521/D521)*60)*1.8)</f>
        <v>1368.6206896551723</v>
      </c>
      <c r="AU521">
        <f t="shared" si="142"/>
        <v>19.299999999999997</v>
      </c>
      <c r="AV521">
        <f t="shared" si="157"/>
        <v>566.20482758620687</v>
      </c>
      <c r="AW521">
        <f t="shared" si="143"/>
        <v>99.4</v>
      </c>
      <c r="AX521" t="str">
        <f t="shared" si="155"/>
        <v>Sep-2023</v>
      </c>
      <c r="AY521">
        <f>ROUNDUP(Table2[[#This Row],[Month]]/3,0)</f>
        <v>3</v>
      </c>
    </row>
    <row r="522" spans="1:51" x14ac:dyDescent="0.2">
      <c r="A522">
        <v>521</v>
      </c>
      <c r="B522">
        <f t="shared" si="144"/>
        <v>13</v>
      </c>
      <c r="C522" s="22">
        <v>45176</v>
      </c>
      <c r="D522">
        <f>SUM(Table2[[#This Row],[Gray Min]:[Red Min]])</f>
        <v>63</v>
      </c>
      <c r="E522">
        <v>14</v>
      </c>
      <c r="F522">
        <v>660</v>
      </c>
      <c r="G522">
        <v>122</v>
      </c>
      <c r="H522">
        <v>165</v>
      </c>
      <c r="I522">
        <v>22</v>
      </c>
      <c r="J522">
        <v>11</v>
      </c>
      <c r="K522">
        <v>16</v>
      </c>
      <c r="L522">
        <v>13</v>
      </c>
      <c r="M522">
        <v>1</v>
      </c>
      <c r="N522" t="s">
        <v>101</v>
      </c>
      <c r="O522" t="s">
        <v>173</v>
      </c>
      <c r="P522" t="s">
        <v>118</v>
      </c>
      <c r="Q522">
        <f t="shared" si="156"/>
        <v>1</v>
      </c>
      <c r="R522" t="str">
        <f t="shared" si="145"/>
        <v>9-2023</v>
      </c>
      <c r="S522" t="s">
        <v>104</v>
      </c>
      <c r="T522" t="str">
        <f t="shared" si="146"/>
        <v>Thursday</v>
      </c>
      <c r="U522">
        <f t="shared" si="147"/>
        <v>1</v>
      </c>
      <c r="V522" s="24">
        <f>IFERROR(Table2[[#This Row],[Gray Min]]/Table2[[#This Row],[ClassLength]],"")</f>
        <v>0.34920634920634919</v>
      </c>
      <c r="W522" s="24">
        <f>IFERROR(Table2[[#This Row],[Blue Min]]/Table2[[#This Row],[ClassLength]],"")</f>
        <v>0.17460317460317459</v>
      </c>
      <c r="X522" s="24">
        <f>IFERROR(Table2[[#This Row],[Green Min]]/Table2[[#This Row],[ClassLength]],"")</f>
        <v>0.25396825396825395</v>
      </c>
      <c r="Y522" s="24">
        <f>IFERROR(Table2[[#This Row],[Orange Min]]/Table2[[#This Row],[ClassLength]],"")</f>
        <v>0.20634920634920634</v>
      </c>
      <c r="Z522" s="24">
        <f>IFERROR(Table2[[#This Row],[Red Min]]/Table2[[#This Row],[ClassLength]],"")</f>
        <v>1.5873015873015872E-2</v>
      </c>
      <c r="AA522" s="25">
        <v>232.14</v>
      </c>
      <c r="AB522" s="25">
        <f t="shared" si="141"/>
        <v>17.856923076923074</v>
      </c>
      <c r="AC522" s="26">
        <f t="shared" si="148"/>
        <v>639.15384615384619</v>
      </c>
      <c r="AD522" s="26">
        <f t="shared" si="149"/>
        <v>13.307692307692308</v>
      </c>
      <c r="AE522">
        <f t="shared" si="150"/>
        <v>2023</v>
      </c>
      <c r="AG522">
        <v>12</v>
      </c>
      <c r="AH522" s="26">
        <f t="shared" si="151"/>
        <v>10.476190476190476</v>
      </c>
      <c r="AI522" t="str">
        <f t="shared" si="152"/>
        <v>PM</v>
      </c>
      <c r="AJ522" t="str">
        <f t="shared" si="153"/>
        <v>9-2023-2</v>
      </c>
      <c r="AK522">
        <f t="shared" si="154"/>
        <v>9</v>
      </c>
      <c r="AL522" s="26">
        <f>IFERROR(Table2[[#This Row],[Calories]]/Table2[[#This Row],[Splat]],"")</f>
        <v>47.142857142857146</v>
      </c>
      <c r="AM522">
        <f>COUNTIF(N$2:$N$938,N522)</f>
        <v>191</v>
      </c>
      <c r="AN522" t="str">
        <f>VLOOKUP(N522,'Helpful Tables'!A:D,4,FALSE)</f>
        <v>Washington, DC</v>
      </c>
      <c r="AO522" s="24">
        <f>COUNTIF(AN:AN,Table2[[#This Row],[State]])/COUNTA(AN:AN)</f>
        <v>0.54904051172707891</v>
      </c>
      <c r="AP522">
        <f>VLOOKUP(N522,'Helpful Tables'!A:B,2,FALSE)</f>
        <v>38.949649000000001</v>
      </c>
      <c r="AQ522">
        <f>VLOOKUP(N522,'Helpful Tables'!A:C,3,FALSE)</f>
        <v>-77.080878999999996</v>
      </c>
      <c r="AR522">
        <f>COUNTIF(P$2:$P$938,P522)</f>
        <v>16</v>
      </c>
      <c r="AS522" cm="1">
        <f t="array" ref="AS522">_xlfn.IFS(E522&lt;6,((E522/D522)*60)*0.5,AND(E522&gt;=6,E522&lt;9),((E522/D522)*60)*0.75,AND(E522&gt;=9,E522&lt;=11),((E522/D522)*60)*0.9,AND(E522=12),((E522/D522)*60)*1,AND(E522&gt;=13,E522&lt;=15),((E522/D522)*60)*1.2,AND(E522&gt;=16,E522&lt;=19),((E522/D522)*60)*1.5,E522&gt;=20,((E522/D522)*60)*1.8)</f>
        <v>15.999999999999998</v>
      </c>
      <c r="AT522" cm="1">
        <f t="array" ref="AT522">_xlfn.IFS(F522&lt;550,((F522/D522)*60)*0.5,AND(F522&gt;=550,F522&lt;575),((F522/D522)*60)*0.75,AND(F522&gt;=575,F522&lt;600),((F522/D522)*60)*0.9,AND(F522=600),((F522/D522)*60)*1,AND(F522&gt;=601,F522&lt;=625),((F522/D522)*60)*1.2,AND(F522&gt;=626,F522&lt;=650),((F522/D522)*60)*1.5,F522&gt;=651,((F522/D522)*60)*1.8)</f>
        <v>1131.4285714285713</v>
      </c>
      <c r="AU522">
        <f t="shared" si="142"/>
        <v>-0.89999999999999858</v>
      </c>
      <c r="AV522">
        <f t="shared" si="157"/>
        <v>458.79142857142853</v>
      </c>
      <c r="AW522">
        <f t="shared" si="143"/>
        <v>66</v>
      </c>
      <c r="AX522" t="str">
        <f t="shared" si="155"/>
        <v>Sep-2023</v>
      </c>
      <c r="AY522">
        <f>ROUNDUP(Table2[[#This Row],[Month]]/3,0)</f>
        <v>3</v>
      </c>
    </row>
    <row r="523" spans="1:51" x14ac:dyDescent="0.2">
      <c r="A523">
        <v>522</v>
      </c>
      <c r="B523">
        <f t="shared" si="144"/>
        <v>13</v>
      </c>
      <c r="C523" s="22">
        <v>45179</v>
      </c>
      <c r="D523">
        <f>SUM(Table2[[#This Row],[Gray Min]:[Red Min]])</f>
        <v>62</v>
      </c>
      <c r="E523">
        <v>13</v>
      </c>
      <c r="F523">
        <v>649</v>
      </c>
      <c r="G523">
        <v>123</v>
      </c>
      <c r="H523">
        <v>166</v>
      </c>
      <c r="I523">
        <v>16</v>
      </c>
      <c r="J523">
        <v>20</v>
      </c>
      <c r="K523">
        <v>13</v>
      </c>
      <c r="L523">
        <v>12</v>
      </c>
      <c r="M523">
        <v>1</v>
      </c>
      <c r="N523" t="s">
        <v>101</v>
      </c>
      <c r="O523" t="s">
        <v>93</v>
      </c>
      <c r="P523" t="s">
        <v>189</v>
      </c>
      <c r="Q523">
        <f t="shared" si="156"/>
        <v>3</v>
      </c>
      <c r="R523" t="str">
        <f t="shared" si="145"/>
        <v>9-2023</v>
      </c>
      <c r="S523" t="s">
        <v>104</v>
      </c>
      <c r="T523" t="str">
        <f t="shared" si="146"/>
        <v>Sunday</v>
      </c>
      <c r="U523">
        <f t="shared" si="147"/>
        <v>1</v>
      </c>
      <c r="V523" s="24">
        <f>IFERROR(Table2[[#This Row],[Gray Min]]/Table2[[#This Row],[ClassLength]],"")</f>
        <v>0.25806451612903225</v>
      </c>
      <c r="W523" s="24">
        <f>IFERROR(Table2[[#This Row],[Blue Min]]/Table2[[#This Row],[ClassLength]],"")</f>
        <v>0.32258064516129031</v>
      </c>
      <c r="X523" s="24">
        <f>IFERROR(Table2[[#This Row],[Green Min]]/Table2[[#This Row],[ClassLength]],"")</f>
        <v>0.20967741935483872</v>
      </c>
      <c r="Y523" s="24">
        <f>IFERROR(Table2[[#This Row],[Orange Min]]/Table2[[#This Row],[ClassLength]],"")</f>
        <v>0.19354838709677419</v>
      </c>
      <c r="Z523" s="24">
        <f>IFERROR(Table2[[#This Row],[Red Min]]/Table2[[#This Row],[ClassLength]],"")</f>
        <v>1.6129032258064516E-2</v>
      </c>
      <c r="AA523" s="25">
        <v>232.14</v>
      </c>
      <c r="AB523" s="25">
        <f t="shared" si="141"/>
        <v>17.856923076923074</v>
      </c>
      <c r="AC523" s="26">
        <f t="shared" si="148"/>
        <v>639.15384615384619</v>
      </c>
      <c r="AD523" s="26">
        <f t="shared" si="149"/>
        <v>13.307692307692308</v>
      </c>
      <c r="AE523">
        <f t="shared" si="150"/>
        <v>2023</v>
      </c>
      <c r="AG523">
        <v>12</v>
      </c>
      <c r="AH523" s="26">
        <f t="shared" si="151"/>
        <v>10.46774193548387</v>
      </c>
      <c r="AI523" t="str">
        <f t="shared" si="152"/>
        <v>AM</v>
      </c>
      <c r="AJ523" t="str">
        <f t="shared" si="153"/>
        <v>9-2023-3</v>
      </c>
      <c r="AK523">
        <f t="shared" si="154"/>
        <v>9</v>
      </c>
      <c r="AL523" s="26">
        <f>IFERROR(Table2[[#This Row],[Calories]]/Table2[[#This Row],[Splat]],"")</f>
        <v>49.92307692307692</v>
      </c>
      <c r="AM523">
        <f>COUNTIF(N$2:$N$938,N523)</f>
        <v>191</v>
      </c>
      <c r="AN523" t="str">
        <f>VLOOKUP(N523,'Helpful Tables'!A:D,4,FALSE)</f>
        <v>Washington, DC</v>
      </c>
      <c r="AO523" s="24">
        <f>COUNTIF(AN:AN,Table2[[#This Row],[State]])/COUNTA(AN:AN)</f>
        <v>0.54904051172707891</v>
      </c>
      <c r="AP523">
        <f>VLOOKUP(N523,'Helpful Tables'!A:B,2,FALSE)</f>
        <v>38.949649000000001</v>
      </c>
      <c r="AQ523">
        <f>VLOOKUP(N523,'Helpful Tables'!A:C,3,FALSE)</f>
        <v>-77.080878999999996</v>
      </c>
      <c r="AR523">
        <f>COUNTIF(P$2:$P$938,P523)</f>
        <v>8</v>
      </c>
      <c r="AS523" cm="1">
        <f t="array" ref="AS523">_xlfn.IFS(E523&lt;6,((E523/D523)*60)*0.5,AND(E523&gt;=6,E523&lt;9),((E523/D523)*60)*0.75,AND(E523&gt;=9,E523&lt;=11),((E523/D523)*60)*0.9,AND(E523=12),((E523/D523)*60)*1,AND(E523&gt;=13,E523&lt;=15),((E523/D523)*60)*1.2,AND(E523&gt;=16,E523&lt;=19),((E523/D523)*60)*1.5,E523&gt;=20,((E523/D523)*60)*1.8)</f>
        <v>15.096774193548388</v>
      </c>
      <c r="AT523" cm="1">
        <f t="array" ref="AT523">_xlfn.IFS(F523&lt;550,((F523/D523)*60)*0.5,AND(F523&gt;=550,F523&lt;575),((F523/D523)*60)*0.75,AND(F523&gt;=575,F523&lt;600),((F523/D523)*60)*0.9,AND(F523=600),((F523/D523)*60)*1,AND(F523&gt;=601,F523&lt;=625),((F523/D523)*60)*1.2,AND(F523&gt;=626,F523&lt;=650),((F523/D523)*60)*1.5,F523&gt;=651,((F523/D523)*60)*1.8)</f>
        <v>942.0967741935483</v>
      </c>
      <c r="AU523">
        <f t="shared" si="142"/>
        <v>-8.5</v>
      </c>
      <c r="AV523">
        <f t="shared" si="157"/>
        <v>381.17741935483872</v>
      </c>
      <c r="AW523">
        <f t="shared" si="143"/>
        <v>45.7</v>
      </c>
      <c r="AX523" t="str">
        <f t="shared" si="155"/>
        <v>Sep-2023</v>
      </c>
      <c r="AY523">
        <f>ROUNDUP(Table2[[#This Row],[Month]]/3,0)</f>
        <v>3</v>
      </c>
    </row>
    <row r="524" spans="1:51" x14ac:dyDescent="0.2">
      <c r="A524">
        <v>523</v>
      </c>
      <c r="B524">
        <f t="shared" si="144"/>
        <v>13</v>
      </c>
      <c r="C524" s="22">
        <v>45181</v>
      </c>
      <c r="D524">
        <f>SUM(Table2[[#This Row],[Gray Min]:[Red Min]])</f>
        <v>58</v>
      </c>
      <c r="E524">
        <v>8</v>
      </c>
      <c r="F524">
        <v>564</v>
      </c>
      <c r="G524">
        <v>118</v>
      </c>
      <c r="H524">
        <v>166</v>
      </c>
      <c r="I524">
        <v>19</v>
      </c>
      <c r="J524">
        <v>18</v>
      </c>
      <c r="K524">
        <v>13</v>
      </c>
      <c r="L524">
        <v>7</v>
      </c>
      <c r="M524">
        <v>1</v>
      </c>
      <c r="N524" t="s">
        <v>91</v>
      </c>
      <c r="O524" t="s">
        <v>57</v>
      </c>
      <c r="P524" t="s">
        <v>188</v>
      </c>
      <c r="Q524">
        <f t="shared" si="156"/>
        <v>2</v>
      </c>
      <c r="R524" t="str">
        <f t="shared" si="145"/>
        <v>9-2023</v>
      </c>
      <c r="S524" t="s">
        <v>104</v>
      </c>
      <c r="T524" t="str">
        <f t="shared" si="146"/>
        <v>Tuesday</v>
      </c>
      <c r="U524">
        <f t="shared" si="147"/>
        <v>0</v>
      </c>
      <c r="V524" s="24">
        <f>IFERROR(Table2[[#This Row],[Gray Min]]/Table2[[#This Row],[ClassLength]],"")</f>
        <v>0.32758620689655171</v>
      </c>
      <c r="W524" s="24">
        <f>IFERROR(Table2[[#This Row],[Blue Min]]/Table2[[#This Row],[ClassLength]],"")</f>
        <v>0.31034482758620691</v>
      </c>
      <c r="X524" s="24">
        <f>IFERROR(Table2[[#This Row],[Green Min]]/Table2[[#This Row],[ClassLength]],"")</f>
        <v>0.22413793103448276</v>
      </c>
      <c r="Y524" s="24">
        <f>IFERROR(Table2[[#This Row],[Orange Min]]/Table2[[#This Row],[ClassLength]],"")</f>
        <v>0.1206896551724138</v>
      </c>
      <c r="Z524" s="24">
        <f>IFERROR(Table2[[#This Row],[Red Min]]/Table2[[#This Row],[ClassLength]],"")</f>
        <v>1.7241379310344827E-2</v>
      </c>
      <c r="AA524" s="25">
        <v>232.14</v>
      </c>
      <c r="AB524" s="25">
        <f t="shared" si="141"/>
        <v>17.856923076923074</v>
      </c>
      <c r="AC524" s="26">
        <f t="shared" si="148"/>
        <v>639.15384615384619</v>
      </c>
      <c r="AD524" s="26">
        <f t="shared" si="149"/>
        <v>13.307692307692308</v>
      </c>
      <c r="AE524">
        <f t="shared" si="150"/>
        <v>2023</v>
      </c>
      <c r="AG524">
        <v>12</v>
      </c>
      <c r="AH524" s="26">
        <f t="shared" si="151"/>
        <v>9.7241379310344822</v>
      </c>
      <c r="AI524" t="str">
        <f t="shared" si="152"/>
        <v>PM</v>
      </c>
      <c r="AJ524" t="str">
        <f t="shared" si="153"/>
        <v>9-2023-3</v>
      </c>
      <c r="AK524">
        <f t="shared" si="154"/>
        <v>9</v>
      </c>
      <c r="AL524" s="26">
        <f>IFERROR(Table2[[#This Row],[Calories]]/Table2[[#This Row],[Splat]],"")</f>
        <v>70.5</v>
      </c>
      <c r="AM524">
        <f>COUNTIF(N$2:$N$938,N524)</f>
        <v>218</v>
      </c>
      <c r="AN524" t="str">
        <f>VLOOKUP(N524,'Helpful Tables'!A:D,4,FALSE)</f>
        <v>Washington, DC</v>
      </c>
      <c r="AO524" s="24">
        <f>COUNTIF(AN:AN,Table2[[#This Row],[State]])/COUNTA(AN:AN)</f>
        <v>0.54904051172707891</v>
      </c>
      <c r="AP524">
        <f>VLOOKUP(N524,'Helpful Tables'!A:B,2,FALSE)</f>
        <v>38.934710000000003</v>
      </c>
      <c r="AQ524">
        <f>VLOOKUP(N524,'Helpful Tables'!A:C,3,FALSE)</f>
        <v>-77.058222999999998</v>
      </c>
      <c r="AR524">
        <f>COUNTIF(P$2:$P$938,P524)</f>
        <v>10</v>
      </c>
      <c r="AS524" cm="1">
        <f t="array" ref="AS524">_xlfn.IFS(E524&lt;6,((E524/D524)*60)*0.5,AND(E524&gt;=6,E524&lt;9),((E524/D524)*60)*0.75,AND(E524&gt;=9,E524&lt;=11),((E524/D524)*60)*0.9,AND(E524=12),((E524/D524)*60)*1,AND(E524&gt;=13,E524&lt;=15),((E524/D524)*60)*1.2,AND(E524&gt;=16,E524&lt;=19),((E524/D524)*60)*1.5,E524&gt;=20,((E524/D524)*60)*1.8)</f>
        <v>6.2068965517241388</v>
      </c>
      <c r="AT524" cm="1">
        <f t="array" ref="AT524">_xlfn.IFS(F524&lt;550,((F524/D524)*60)*0.5,AND(F524&gt;=550,F524&lt;575),((F524/D524)*60)*0.75,AND(F524&gt;=575,F524&lt;600),((F524/D524)*60)*0.9,AND(F524=600),((F524/D524)*60)*1,AND(F524&gt;=601,F524&lt;=625),((F524/D524)*60)*1.2,AND(F524&gt;=626,F524&lt;=650),((F524/D524)*60)*1.5,F524&gt;=651,((F524/D524)*60)*1.8)</f>
        <v>437.58620689655174</v>
      </c>
      <c r="AU524">
        <f t="shared" si="142"/>
        <v>-16.399999999999999</v>
      </c>
      <c r="AV524">
        <f t="shared" si="157"/>
        <v>174.23724137931035</v>
      </c>
      <c r="AW524">
        <f t="shared" si="143"/>
        <v>9</v>
      </c>
      <c r="AX524" t="str">
        <f t="shared" si="155"/>
        <v>Sep-2023</v>
      </c>
      <c r="AY524">
        <f>ROUNDUP(Table2[[#This Row],[Month]]/3,0)</f>
        <v>3</v>
      </c>
    </row>
    <row r="525" spans="1:51" x14ac:dyDescent="0.2">
      <c r="A525">
        <v>524</v>
      </c>
      <c r="B525">
        <f t="shared" si="144"/>
        <v>13</v>
      </c>
      <c r="C525" s="22">
        <v>45182</v>
      </c>
      <c r="D525">
        <f>SUM(Table2[[#This Row],[Gray Min]:[Red Min]])</f>
        <v>57</v>
      </c>
      <c r="E525">
        <v>8</v>
      </c>
      <c r="F525">
        <v>643</v>
      </c>
      <c r="G525">
        <v>128</v>
      </c>
      <c r="H525">
        <v>164</v>
      </c>
      <c r="I525">
        <v>7</v>
      </c>
      <c r="J525">
        <v>18</v>
      </c>
      <c r="K525">
        <v>24</v>
      </c>
      <c r="L525">
        <v>7</v>
      </c>
      <c r="M525">
        <v>1</v>
      </c>
      <c r="N525" t="s">
        <v>91</v>
      </c>
      <c r="O525" t="s">
        <v>57</v>
      </c>
      <c r="P525" t="s">
        <v>187</v>
      </c>
      <c r="Q525">
        <f t="shared" si="156"/>
        <v>1</v>
      </c>
      <c r="R525" t="str">
        <f t="shared" si="145"/>
        <v>9-2023</v>
      </c>
      <c r="S525" t="s">
        <v>117</v>
      </c>
      <c r="T525" t="str">
        <f t="shared" si="146"/>
        <v>Wednesday</v>
      </c>
      <c r="U525">
        <f t="shared" si="147"/>
        <v>0</v>
      </c>
      <c r="V525" s="24">
        <f>IFERROR(Table2[[#This Row],[Gray Min]]/Table2[[#This Row],[ClassLength]],"")</f>
        <v>0.12280701754385964</v>
      </c>
      <c r="W525" s="24">
        <f>IFERROR(Table2[[#This Row],[Blue Min]]/Table2[[#This Row],[ClassLength]],"")</f>
        <v>0.31578947368421051</v>
      </c>
      <c r="X525" s="24">
        <f>IFERROR(Table2[[#This Row],[Green Min]]/Table2[[#This Row],[ClassLength]],"")</f>
        <v>0.42105263157894735</v>
      </c>
      <c r="Y525" s="24">
        <f>IFERROR(Table2[[#This Row],[Orange Min]]/Table2[[#This Row],[ClassLength]],"")</f>
        <v>0.12280701754385964</v>
      </c>
      <c r="Z525" s="24">
        <f>IFERROR(Table2[[#This Row],[Red Min]]/Table2[[#This Row],[ClassLength]],"")</f>
        <v>1.7543859649122806E-2</v>
      </c>
      <c r="AA525" s="25">
        <v>232.14</v>
      </c>
      <c r="AB525" s="25">
        <f t="shared" si="141"/>
        <v>17.856923076923074</v>
      </c>
      <c r="AC525" s="26">
        <f t="shared" si="148"/>
        <v>639.15384615384619</v>
      </c>
      <c r="AD525" s="26">
        <f t="shared" si="149"/>
        <v>13.307692307692308</v>
      </c>
      <c r="AE525">
        <f t="shared" si="150"/>
        <v>2023</v>
      </c>
      <c r="AG525">
        <v>12</v>
      </c>
      <c r="AH525" s="26">
        <f t="shared" si="151"/>
        <v>11.280701754385966</v>
      </c>
      <c r="AI525" t="str">
        <f t="shared" si="152"/>
        <v>PM</v>
      </c>
      <c r="AJ525" t="str">
        <f t="shared" si="153"/>
        <v>9-2023-3</v>
      </c>
      <c r="AK525">
        <f t="shared" si="154"/>
        <v>9</v>
      </c>
      <c r="AL525" s="26">
        <f>IFERROR(Table2[[#This Row],[Calories]]/Table2[[#This Row],[Splat]],"")</f>
        <v>80.375</v>
      </c>
      <c r="AM525">
        <f>COUNTIF(N$2:$N$938,N525)</f>
        <v>218</v>
      </c>
      <c r="AN525" t="str">
        <f>VLOOKUP(N525,'Helpful Tables'!A:D,4,FALSE)</f>
        <v>Washington, DC</v>
      </c>
      <c r="AO525" s="24">
        <f>COUNTIF(AN:AN,Table2[[#This Row],[State]])/COUNTA(AN:AN)</f>
        <v>0.54904051172707891</v>
      </c>
      <c r="AP525">
        <f>VLOOKUP(N525,'Helpful Tables'!A:B,2,FALSE)</f>
        <v>38.934710000000003</v>
      </c>
      <c r="AQ525">
        <f>VLOOKUP(N525,'Helpful Tables'!A:C,3,FALSE)</f>
        <v>-77.058222999999998</v>
      </c>
      <c r="AR525">
        <f>COUNTIF(P$2:$P$938,P525)</f>
        <v>7</v>
      </c>
      <c r="AS525" cm="1">
        <f t="array" ref="AS525">_xlfn.IFS(E525&lt;6,((E525/D525)*60)*0.5,AND(E525&gt;=6,E525&lt;9),((E525/D525)*60)*0.75,AND(E525&gt;=9,E525&lt;=11),((E525/D525)*60)*0.9,AND(E525=12),((E525/D525)*60)*1,AND(E525&gt;=13,E525&lt;=15),((E525/D525)*60)*1.2,AND(E525&gt;=16,E525&lt;=19),((E525/D525)*60)*1.5,E525&gt;=20,((E525/D525)*60)*1.8)</f>
        <v>6.3157894736842106</v>
      </c>
      <c r="AT525" cm="1">
        <f t="array" ref="AT525">_xlfn.IFS(F525&lt;550,((F525/D525)*60)*0.5,AND(F525&gt;=550,F525&lt;575),((F525/D525)*60)*0.75,AND(F525&gt;=575,F525&lt;600),((F525/D525)*60)*0.9,AND(F525=600),((F525/D525)*60)*1,AND(F525&gt;=601,F525&lt;=625),((F525/D525)*60)*1.2,AND(F525&gt;=626,F525&lt;=650),((F525/D525)*60)*1.5,F525&gt;=651,((F525/D525)*60)*1.8)</f>
        <v>1015.2631578947369</v>
      </c>
      <c r="AU525">
        <f t="shared" si="142"/>
        <v>11.199999999999994</v>
      </c>
      <c r="AV525">
        <f t="shared" si="157"/>
        <v>410.8715789473685</v>
      </c>
      <c r="AW525">
        <f t="shared" si="143"/>
        <v>58.699999999999996</v>
      </c>
      <c r="AX525" t="str">
        <f t="shared" si="155"/>
        <v>Sep-2023</v>
      </c>
      <c r="AY525">
        <f>ROUNDUP(Table2[[#This Row],[Month]]/3,0)</f>
        <v>3</v>
      </c>
    </row>
    <row r="526" spans="1:51" x14ac:dyDescent="0.2">
      <c r="A526">
        <v>525</v>
      </c>
      <c r="B526">
        <f t="shared" si="144"/>
        <v>13</v>
      </c>
      <c r="C526" s="22">
        <v>45184</v>
      </c>
      <c r="D526">
        <f>SUM(Table2[[#This Row],[Gray Min]:[Red Min]])</f>
        <v>58</v>
      </c>
      <c r="E526">
        <v>21</v>
      </c>
      <c r="F526">
        <v>709</v>
      </c>
      <c r="G526">
        <v>134</v>
      </c>
      <c r="H526">
        <v>166</v>
      </c>
      <c r="I526">
        <v>4</v>
      </c>
      <c r="J526">
        <v>17</v>
      </c>
      <c r="K526">
        <v>16</v>
      </c>
      <c r="L526">
        <v>18</v>
      </c>
      <c r="M526">
        <v>3</v>
      </c>
      <c r="N526" t="s">
        <v>101</v>
      </c>
      <c r="O526" t="s">
        <v>107</v>
      </c>
      <c r="P526" t="s">
        <v>109</v>
      </c>
      <c r="Q526">
        <f t="shared" si="156"/>
        <v>2</v>
      </c>
      <c r="R526" t="str">
        <f t="shared" si="145"/>
        <v>9-2023</v>
      </c>
      <c r="S526" t="s">
        <v>104</v>
      </c>
      <c r="T526" t="str">
        <f t="shared" si="146"/>
        <v>Friday</v>
      </c>
      <c r="U526">
        <f t="shared" si="147"/>
        <v>1</v>
      </c>
      <c r="V526" s="24">
        <f>IFERROR(Table2[[#This Row],[Gray Min]]/Table2[[#This Row],[ClassLength]],"")</f>
        <v>6.8965517241379309E-2</v>
      </c>
      <c r="W526" s="24">
        <f>IFERROR(Table2[[#This Row],[Blue Min]]/Table2[[#This Row],[ClassLength]],"")</f>
        <v>0.29310344827586204</v>
      </c>
      <c r="X526" s="24">
        <f>IFERROR(Table2[[#This Row],[Green Min]]/Table2[[#This Row],[ClassLength]],"")</f>
        <v>0.27586206896551724</v>
      </c>
      <c r="Y526" s="24">
        <f>IFERROR(Table2[[#This Row],[Orange Min]]/Table2[[#This Row],[ClassLength]],"")</f>
        <v>0.31034482758620691</v>
      </c>
      <c r="Z526" s="24">
        <f>IFERROR(Table2[[#This Row],[Red Min]]/Table2[[#This Row],[ClassLength]],"")</f>
        <v>5.1724137931034482E-2</v>
      </c>
      <c r="AA526" s="25">
        <v>232.14</v>
      </c>
      <c r="AB526" s="25">
        <f t="shared" si="141"/>
        <v>17.856923076923074</v>
      </c>
      <c r="AC526" s="26">
        <f t="shared" si="148"/>
        <v>639.15384615384619</v>
      </c>
      <c r="AD526" s="26">
        <f t="shared" si="149"/>
        <v>13.307692307692308</v>
      </c>
      <c r="AE526">
        <f t="shared" si="150"/>
        <v>2023</v>
      </c>
      <c r="AG526">
        <v>12</v>
      </c>
      <c r="AH526" s="26">
        <f t="shared" si="151"/>
        <v>12.224137931034482</v>
      </c>
      <c r="AI526" t="str">
        <f t="shared" si="152"/>
        <v>AM</v>
      </c>
      <c r="AJ526" t="str">
        <f t="shared" si="153"/>
        <v>9-2023-3</v>
      </c>
      <c r="AK526">
        <f t="shared" si="154"/>
        <v>9</v>
      </c>
      <c r="AL526" s="26">
        <f>IFERROR(Table2[[#This Row],[Calories]]/Table2[[#This Row],[Splat]],"")</f>
        <v>33.761904761904759</v>
      </c>
      <c r="AM526">
        <f>COUNTIF(N$2:$N$938,N526)</f>
        <v>191</v>
      </c>
      <c r="AN526" t="str">
        <f>VLOOKUP(N526,'Helpful Tables'!A:D,4,FALSE)</f>
        <v>Washington, DC</v>
      </c>
      <c r="AO526" s="24">
        <f>COUNTIF(AN:AN,Table2[[#This Row],[State]])/COUNTA(AN:AN)</f>
        <v>0.54904051172707891</v>
      </c>
      <c r="AP526">
        <f>VLOOKUP(N526,'Helpful Tables'!A:B,2,FALSE)</f>
        <v>38.949649000000001</v>
      </c>
      <c r="AQ526">
        <f>VLOOKUP(N526,'Helpful Tables'!A:C,3,FALSE)</f>
        <v>-77.080878999999996</v>
      </c>
      <c r="AR526">
        <f>COUNTIF(P$2:$P$938,P526)</f>
        <v>66</v>
      </c>
      <c r="AS526" cm="1">
        <f t="array" ref="AS526">_xlfn.IFS(E526&lt;6,((E526/D526)*60)*0.5,AND(E526&gt;=6,E526&lt;9),((E526/D526)*60)*0.75,AND(E526&gt;=9,E526&lt;=11),((E526/D526)*60)*0.9,AND(E526=12),((E526/D526)*60)*1,AND(E526&gt;=13,E526&lt;=15),((E526/D526)*60)*1.2,AND(E526&gt;=16,E526&lt;=19),((E526/D526)*60)*1.5,E526&gt;=20,((E526/D526)*60)*1.8)</f>
        <v>39.103448275862071</v>
      </c>
      <c r="AT526" cm="1">
        <f t="array" ref="AT526">_xlfn.IFS(F526&lt;550,((F526/D526)*60)*0.5,AND(F526&gt;=550,F526&lt;575),((F526/D526)*60)*0.75,AND(F526&gt;=575,F526&lt;600),((F526/D526)*60)*0.9,AND(F526=600),((F526/D526)*60)*1,AND(F526&gt;=601,F526&lt;=625),((F526/D526)*60)*1.2,AND(F526&gt;=626,F526&lt;=650),((F526/D526)*60)*1.5,F526&gt;=651,((F526/D526)*60)*1.8)</f>
        <v>1320.2068965517242</v>
      </c>
      <c r="AU526">
        <f t="shared" si="142"/>
        <v>23.599999999999998</v>
      </c>
      <c r="AV526">
        <f t="shared" si="157"/>
        <v>548.44413793103456</v>
      </c>
      <c r="AW526">
        <f t="shared" si="143"/>
        <v>97.899999999999991</v>
      </c>
      <c r="AX526" t="str">
        <f t="shared" si="155"/>
        <v>Sep-2023</v>
      </c>
      <c r="AY526">
        <f>ROUNDUP(Table2[[#This Row],[Month]]/3,0)</f>
        <v>3</v>
      </c>
    </row>
    <row r="527" spans="1:51" x14ac:dyDescent="0.2">
      <c r="A527">
        <v>526</v>
      </c>
      <c r="B527">
        <f t="shared" si="144"/>
        <v>13</v>
      </c>
      <c r="C527" s="22">
        <v>45186</v>
      </c>
      <c r="D527">
        <f>SUM(Table2[[#This Row],[Gray Min]:[Red Min]])</f>
        <v>61</v>
      </c>
      <c r="E527">
        <v>16</v>
      </c>
      <c r="F527">
        <v>632</v>
      </c>
      <c r="G527">
        <v>123</v>
      </c>
      <c r="H527">
        <v>168</v>
      </c>
      <c r="I527">
        <v>22</v>
      </c>
      <c r="J527">
        <v>12</v>
      </c>
      <c r="K527">
        <v>11</v>
      </c>
      <c r="L527">
        <v>13</v>
      </c>
      <c r="M527">
        <v>3</v>
      </c>
      <c r="N527" t="s">
        <v>101</v>
      </c>
      <c r="O527" t="s">
        <v>192</v>
      </c>
      <c r="P527" t="s">
        <v>147</v>
      </c>
      <c r="Q527">
        <f t="shared" si="156"/>
        <v>2</v>
      </c>
      <c r="R527" t="str">
        <f t="shared" si="145"/>
        <v>9-2023</v>
      </c>
      <c r="S527" t="s">
        <v>104</v>
      </c>
      <c r="T527" t="str">
        <f t="shared" si="146"/>
        <v>Sunday</v>
      </c>
      <c r="U527">
        <f t="shared" si="147"/>
        <v>1</v>
      </c>
      <c r="V527" s="24">
        <f>IFERROR(Table2[[#This Row],[Gray Min]]/Table2[[#This Row],[ClassLength]],"")</f>
        <v>0.36065573770491804</v>
      </c>
      <c r="W527" s="24">
        <f>IFERROR(Table2[[#This Row],[Blue Min]]/Table2[[#This Row],[ClassLength]],"")</f>
        <v>0.19672131147540983</v>
      </c>
      <c r="X527" s="24">
        <f>IFERROR(Table2[[#This Row],[Green Min]]/Table2[[#This Row],[ClassLength]],"")</f>
        <v>0.18032786885245902</v>
      </c>
      <c r="Y527" s="24">
        <f>IFERROR(Table2[[#This Row],[Orange Min]]/Table2[[#This Row],[ClassLength]],"")</f>
        <v>0.21311475409836064</v>
      </c>
      <c r="Z527" s="24">
        <f>IFERROR(Table2[[#This Row],[Red Min]]/Table2[[#This Row],[ClassLength]],"")</f>
        <v>4.9180327868852458E-2</v>
      </c>
      <c r="AA527" s="25">
        <v>232.14</v>
      </c>
      <c r="AB527" s="25">
        <f t="shared" si="141"/>
        <v>17.856923076923074</v>
      </c>
      <c r="AC527" s="26">
        <f t="shared" si="148"/>
        <v>639.15384615384619</v>
      </c>
      <c r="AD527" s="26">
        <f t="shared" si="149"/>
        <v>13.307692307692308</v>
      </c>
      <c r="AE527">
        <f t="shared" si="150"/>
        <v>2023</v>
      </c>
      <c r="AG527">
        <v>12</v>
      </c>
      <c r="AH527" s="26">
        <f t="shared" si="151"/>
        <v>10.360655737704919</v>
      </c>
      <c r="AI527" t="str">
        <f t="shared" si="152"/>
        <v>PM</v>
      </c>
      <c r="AJ527" t="str">
        <f t="shared" si="153"/>
        <v>9-2023-4</v>
      </c>
      <c r="AK527">
        <f t="shared" si="154"/>
        <v>9</v>
      </c>
      <c r="AL527" s="26">
        <f>IFERROR(Table2[[#This Row],[Calories]]/Table2[[#This Row],[Splat]],"")</f>
        <v>39.5</v>
      </c>
      <c r="AM527">
        <f>COUNTIF(N$2:$N$938,N527)</f>
        <v>191</v>
      </c>
      <c r="AN527" t="str">
        <f>VLOOKUP(N527,'Helpful Tables'!A:D,4,FALSE)</f>
        <v>Washington, DC</v>
      </c>
      <c r="AO527" s="24">
        <f>COUNTIF(AN:AN,Table2[[#This Row],[State]])/COUNTA(AN:AN)</f>
        <v>0.54904051172707891</v>
      </c>
      <c r="AP527">
        <f>VLOOKUP(N527,'Helpful Tables'!A:B,2,FALSE)</f>
        <v>38.949649000000001</v>
      </c>
      <c r="AQ527">
        <f>VLOOKUP(N527,'Helpful Tables'!A:C,3,FALSE)</f>
        <v>-77.080878999999996</v>
      </c>
      <c r="AR527">
        <f>COUNTIF(P$2:$P$938,P527)</f>
        <v>17</v>
      </c>
      <c r="AS527" cm="1">
        <f t="array" ref="AS527">_xlfn.IFS(E527&lt;6,((E527/D527)*60)*0.5,AND(E527&gt;=6,E527&lt;9),((E527/D527)*60)*0.75,AND(E527&gt;=9,E527&lt;=11),((E527/D527)*60)*0.9,AND(E527=12),((E527/D527)*60)*1,AND(E527&gt;=13,E527&lt;=15),((E527/D527)*60)*1.2,AND(E527&gt;=16,E527&lt;=19),((E527/D527)*60)*1.5,E527&gt;=20,((E527/D527)*60)*1.8)</f>
        <v>23.606557377049182</v>
      </c>
      <c r="AT527" cm="1">
        <f t="array" ref="AT527">_xlfn.IFS(F527&lt;550,((F527/D527)*60)*0.5,AND(F527&gt;=550,F527&lt;575),((F527/D527)*60)*0.75,AND(F527&gt;=575,F527&lt;600),((F527/D527)*60)*0.9,AND(F527=600),((F527/D527)*60)*1,AND(F527&gt;=601,F527&lt;=625),((F527/D527)*60)*1.2,AND(F527&gt;=626,F527&lt;=650),((F527/D527)*60)*1.5,F527&gt;=651,((F527/D527)*60)*1.8)</f>
        <v>932.45901639344265</v>
      </c>
      <c r="AU527">
        <f t="shared" si="142"/>
        <v>-5</v>
      </c>
      <c r="AV527">
        <f t="shared" si="157"/>
        <v>381.42622950819674</v>
      </c>
      <c r="AW527">
        <f t="shared" si="143"/>
        <v>45.9</v>
      </c>
      <c r="AX527" t="str">
        <f t="shared" si="155"/>
        <v>Sep-2023</v>
      </c>
      <c r="AY527">
        <f>ROUNDUP(Table2[[#This Row],[Month]]/3,0)</f>
        <v>3</v>
      </c>
    </row>
    <row r="528" spans="1:51" x14ac:dyDescent="0.2">
      <c r="A528">
        <v>527</v>
      </c>
      <c r="B528">
        <f t="shared" si="144"/>
        <v>13</v>
      </c>
      <c r="C528" s="22">
        <v>45187</v>
      </c>
      <c r="D528">
        <f>SUM(Table2[[#This Row],[Gray Min]:[Red Min]])</f>
        <v>64</v>
      </c>
      <c r="E528">
        <v>7</v>
      </c>
      <c r="F528">
        <v>499</v>
      </c>
      <c r="G528">
        <v>104</v>
      </c>
      <c r="H528">
        <v>162</v>
      </c>
      <c r="I528">
        <v>40</v>
      </c>
      <c r="J528">
        <v>7</v>
      </c>
      <c r="K528">
        <v>10</v>
      </c>
      <c r="L528">
        <v>7</v>
      </c>
      <c r="M528">
        <v>0</v>
      </c>
      <c r="N528" t="s">
        <v>91</v>
      </c>
      <c r="O528" t="s">
        <v>57</v>
      </c>
      <c r="P528" t="s">
        <v>187</v>
      </c>
      <c r="Q528">
        <f t="shared" si="156"/>
        <v>1</v>
      </c>
      <c r="R528" t="str">
        <f t="shared" si="145"/>
        <v>9-2023</v>
      </c>
      <c r="S528" t="s">
        <v>117</v>
      </c>
      <c r="T528" t="str">
        <f t="shared" si="146"/>
        <v>Monday</v>
      </c>
      <c r="U528">
        <f t="shared" si="147"/>
        <v>0</v>
      </c>
      <c r="V528" s="24">
        <f>IFERROR(Table2[[#This Row],[Gray Min]]/Table2[[#This Row],[ClassLength]],"")</f>
        <v>0.625</v>
      </c>
      <c r="W528" s="24">
        <f>IFERROR(Table2[[#This Row],[Blue Min]]/Table2[[#This Row],[ClassLength]],"")</f>
        <v>0.109375</v>
      </c>
      <c r="X528" s="24">
        <f>IFERROR(Table2[[#This Row],[Green Min]]/Table2[[#This Row],[ClassLength]],"")</f>
        <v>0.15625</v>
      </c>
      <c r="Y528" s="24">
        <f>IFERROR(Table2[[#This Row],[Orange Min]]/Table2[[#This Row],[ClassLength]],"")</f>
        <v>0.109375</v>
      </c>
      <c r="Z528" s="24">
        <f>IFERROR(Table2[[#This Row],[Red Min]]/Table2[[#This Row],[ClassLength]],"")</f>
        <v>0</v>
      </c>
      <c r="AA528" s="25">
        <v>232.14</v>
      </c>
      <c r="AB528" s="25">
        <f t="shared" ref="AB528:AB591" si="158">AA528/B528</f>
        <v>17.856923076923074</v>
      </c>
      <c r="AC528" s="26">
        <f t="shared" si="148"/>
        <v>639.15384615384619</v>
      </c>
      <c r="AD528" s="26">
        <f t="shared" si="149"/>
        <v>13.307692307692308</v>
      </c>
      <c r="AE528">
        <f t="shared" si="150"/>
        <v>2023</v>
      </c>
      <c r="AG528">
        <v>12</v>
      </c>
      <c r="AH528" s="26">
        <f t="shared" si="151"/>
        <v>7.796875</v>
      </c>
      <c r="AI528" t="str">
        <f t="shared" si="152"/>
        <v>PM</v>
      </c>
      <c r="AJ528" t="str">
        <f t="shared" si="153"/>
        <v>9-2023-4</v>
      </c>
      <c r="AK528">
        <f t="shared" si="154"/>
        <v>9</v>
      </c>
      <c r="AL528" s="26">
        <f>IFERROR(Table2[[#This Row],[Calories]]/Table2[[#This Row],[Splat]],"")</f>
        <v>71.285714285714292</v>
      </c>
      <c r="AM528">
        <f>COUNTIF(N$2:$N$938,N528)</f>
        <v>218</v>
      </c>
      <c r="AN528" t="str">
        <f>VLOOKUP(N528,'Helpful Tables'!A:D,4,FALSE)</f>
        <v>Washington, DC</v>
      </c>
      <c r="AO528" s="24">
        <f>COUNTIF(AN:AN,Table2[[#This Row],[State]])/COUNTA(AN:AN)</f>
        <v>0.54904051172707891</v>
      </c>
      <c r="AP528">
        <f>VLOOKUP(N528,'Helpful Tables'!A:B,2,FALSE)</f>
        <v>38.934710000000003</v>
      </c>
      <c r="AQ528">
        <f>VLOOKUP(N528,'Helpful Tables'!A:C,3,FALSE)</f>
        <v>-77.058222999999998</v>
      </c>
      <c r="AR528">
        <f>COUNTIF(P$2:$P$938,P528)</f>
        <v>7</v>
      </c>
      <c r="AS528" cm="1">
        <f t="array" ref="AS528">_xlfn.IFS(E528&lt;6,((E528/D528)*60)*0.5,AND(E528&gt;=6,E528&lt;9),((E528/D528)*60)*0.75,AND(E528&gt;=9,E528&lt;=11),((E528/D528)*60)*0.9,AND(E528=12),((E528/D528)*60)*1,AND(E528&gt;=13,E528&lt;=15),((E528/D528)*60)*1.2,AND(E528&gt;=16,E528&lt;=19),((E528/D528)*60)*1.5,E528&gt;=20,((E528/D528)*60)*1.8)</f>
        <v>4.921875</v>
      </c>
      <c r="AT528" cm="1">
        <f t="array" ref="AT528">_xlfn.IFS(F528&lt;550,((F528/D528)*60)*0.5,AND(F528&gt;=550,F528&lt;575),((F528/D528)*60)*0.75,AND(F528&gt;=575,F528&lt;600),((F528/D528)*60)*0.9,AND(F528=600),((F528/D528)*60)*1,AND(F528&gt;=601,F528&lt;=625),((F528/D528)*60)*1.2,AND(F528&gt;=626,F528&lt;=650),((F528/D528)*60)*1.5,F528&gt;=651,((F528/D528)*60)*1.8)</f>
        <v>233.90625</v>
      </c>
      <c r="AU528">
        <f t="shared" si="142"/>
        <v>-34.6</v>
      </c>
      <c r="AV528">
        <f t="shared" si="157"/>
        <v>88.611249999999998</v>
      </c>
      <c r="AW528">
        <f t="shared" si="143"/>
        <v>0.2</v>
      </c>
      <c r="AX528" t="str">
        <f t="shared" si="155"/>
        <v>Sep-2023</v>
      </c>
      <c r="AY528">
        <f>ROUNDUP(Table2[[#This Row],[Month]]/3,0)</f>
        <v>3</v>
      </c>
    </row>
    <row r="529" spans="1:51" x14ac:dyDescent="0.2">
      <c r="A529">
        <v>528</v>
      </c>
      <c r="B529">
        <f t="shared" si="144"/>
        <v>13</v>
      </c>
      <c r="C529" s="22">
        <v>45189</v>
      </c>
      <c r="D529">
        <f>SUM(Table2[[#This Row],[Gray Min]:[Red Min]])</f>
        <v>57</v>
      </c>
      <c r="E529">
        <v>14</v>
      </c>
      <c r="F529">
        <v>659</v>
      </c>
      <c r="G529">
        <v>128</v>
      </c>
      <c r="H529">
        <v>163</v>
      </c>
      <c r="I529">
        <v>12</v>
      </c>
      <c r="J529">
        <v>12</v>
      </c>
      <c r="K529">
        <v>19</v>
      </c>
      <c r="L529">
        <v>14</v>
      </c>
      <c r="M529">
        <v>0</v>
      </c>
      <c r="N529" t="s">
        <v>91</v>
      </c>
      <c r="O529" t="s">
        <v>57</v>
      </c>
      <c r="P529" t="s">
        <v>96</v>
      </c>
      <c r="Q529">
        <f t="shared" si="156"/>
        <v>2</v>
      </c>
      <c r="R529" t="str">
        <f t="shared" si="145"/>
        <v>9-2023</v>
      </c>
      <c r="S529" t="s">
        <v>117</v>
      </c>
      <c r="T529" t="str">
        <f t="shared" si="146"/>
        <v>Wednesday</v>
      </c>
      <c r="U529">
        <f t="shared" si="147"/>
        <v>1</v>
      </c>
      <c r="V529" s="24">
        <f>IFERROR(Table2[[#This Row],[Gray Min]]/Table2[[#This Row],[ClassLength]],"")</f>
        <v>0.21052631578947367</v>
      </c>
      <c r="W529" s="24">
        <f>IFERROR(Table2[[#This Row],[Blue Min]]/Table2[[#This Row],[ClassLength]],"")</f>
        <v>0.21052631578947367</v>
      </c>
      <c r="X529" s="24">
        <f>IFERROR(Table2[[#This Row],[Green Min]]/Table2[[#This Row],[ClassLength]],"")</f>
        <v>0.33333333333333331</v>
      </c>
      <c r="Y529" s="24">
        <f>IFERROR(Table2[[#This Row],[Orange Min]]/Table2[[#This Row],[ClassLength]],"")</f>
        <v>0.24561403508771928</v>
      </c>
      <c r="Z529" s="24">
        <f>IFERROR(Table2[[#This Row],[Red Min]]/Table2[[#This Row],[ClassLength]],"")</f>
        <v>0</v>
      </c>
      <c r="AA529" s="25">
        <v>232.14</v>
      </c>
      <c r="AB529" s="25">
        <f t="shared" si="158"/>
        <v>17.856923076923074</v>
      </c>
      <c r="AC529" s="26">
        <f t="shared" si="148"/>
        <v>639.15384615384619</v>
      </c>
      <c r="AD529" s="26">
        <f t="shared" si="149"/>
        <v>13.307692307692308</v>
      </c>
      <c r="AE529">
        <f t="shared" si="150"/>
        <v>2023</v>
      </c>
      <c r="AG529">
        <v>12</v>
      </c>
      <c r="AH529" s="26">
        <f t="shared" si="151"/>
        <v>11.56140350877193</v>
      </c>
      <c r="AI529" t="str">
        <f t="shared" si="152"/>
        <v>PM</v>
      </c>
      <c r="AJ529" t="str">
        <f t="shared" si="153"/>
        <v>9-2023-4</v>
      </c>
      <c r="AK529">
        <f t="shared" si="154"/>
        <v>9</v>
      </c>
      <c r="AL529" s="26">
        <f>IFERROR(Table2[[#This Row],[Calories]]/Table2[[#This Row],[Splat]],"")</f>
        <v>47.071428571428569</v>
      </c>
      <c r="AM529">
        <f>COUNTIF(N$2:$N$938,N529)</f>
        <v>218</v>
      </c>
      <c r="AN529" t="str">
        <f>VLOOKUP(N529,'Helpful Tables'!A:D,4,FALSE)</f>
        <v>Washington, DC</v>
      </c>
      <c r="AO529" s="24">
        <f>COUNTIF(AN:AN,Table2[[#This Row],[State]])/COUNTA(AN:AN)</f>
        <v>0.54904051172707891</v>
      </c>
      <c r="AP529">
        <f>VLOOKUP(N529,'Helpful Tables'!A:B,2,FALSE)</f>
        <v>38.934710000000003</v>
      </c>
      <c r="AQ529">
        <f>VLOOKUP(N529,'Helpful Tables'!A:C,3,FALSE)</f>
        <v>-77.058222999999998</v>
      </c>
      <c r="AR529">
        <f>COUNTIF(P$2:$P$938,P529)</f>
        <v>71</v>
      </c>
      <c r="AS529" cm="1">
        <f t="array" ref="AS529">_xlfn.IFS(E529&lt;6,((E529/D529)*60)*0.5,AND(E529&gt;=6,E529&lt;9),((E529/D529)*60)*0.75,AND(E529&gt;=9,E529&lt;=11),((E529/D529)*60)*0.9,AND(E529=12),((E529/D529)*60)*1,AND(E529&gt;=13,E529&lt;=15),((E529/D529)*60)*1.2,AND(E529&gt;=16,E529&lt;=19),((E529/D529)*60)*1.5,E529&gt;=20,((E529/D529)*60)*1.8)</f>
        <v>17.684210526315788</v>
      </c>
      <c r="AT529" cm="1">
        <f t="array" ref="AT529">_xlfn.IFS(F529&lt;550,((F529/D529)*60)*0.5,AND(F529&gt;=550,F529&lt;575),((F529/D529)*60)*0.75,AND(F529&gt;=575,F529&lt;600),((F529/D529)*60)*0.9,AND(F529=600),((F529/D529)*60)*1,AND(F529&gt;=601,F529&lt;=625),((F529/D529)*60)*1.2,AND(F529&gt;=626,F529&lt;=650),((F529/D529)*60)*1.5,F529&gt;=651,((F529/D529)*60)*1.8)</f>
        <v>1248.6315789473686</v>
      </c>
      <c r="AU529">
        <f t="shared" si="142"/>
        <v>13.399999999999999</v>
      </c>
      <c r="AV529">
        <f t="shared" si="157"/>
        <v>509.20631578947376</v>
      </c>
      <c r="AW529">
        <f t="shared" si="143"/>
        <v>84.7</v>
      </c>
      <c r="AX529" t="str">
        <f t="shared" si="155"/>
        <v>Sep-2023</v>
      </c>
      <c r="AY529">
        <f>ROUNDUP(Table2[[#This Row],[Month]]/3,0)</f>
        <v>3</v>
      </c>
    </row>
    <row r="530" spans="1:51" x14ac:dyDescent="0.2">
      <c r="A530">
        <v>529</v>
      </c>
      <c r="B530">
        <f t="shared" si="144"/>
        <v>13</v>
      </c>
      <c r="C530" s="22">
        <v>45190</v>
      </c>
      <c r="D530">
        <f>SUM(Table2[[#This Row],[Gray Min]:[Red Min]])</f>
        <v>60</v>
      </c>
      <c r="E530">
        <v>15</v>
      </c>
      <c r="F530">
        <v>650</v>
      </c>
      <c r="G530">
        <v>124</v>
      </c>
      <c r="H530">
        <v>165</v>
      </c>
      <c r="I530">
        <v>16</v>
      </c>
      <c r="J530">
        <v>17</v>
      </c>
      <c r="K530">
        <v>12</v>
      </c>
      <c r="L530">
        <v>14</v>
      </c>
      <c r="M530">
        <v>1</v>
      </c>
      <c r="N530" t="s">
        <v>91</v>
      </c>
      <c r="O530" t="s">
        <v>57</v>
      </c>
      <c r="P530" t="s">
        <v>188</v>
      </c>
      <c r="Q530">
        <f t="shared" si="156"/>
        <v>1</v>
      </c>
      <c r="R530" t="str">
        <f t="shared" si="145"/>
        <v>9-2023</v>
      </c>
      <c r="S530" t="s">
        <v>104</v>
      </c>
      <c r="T530" t="str">
        <f t="shared" si="146"/>
        <v>Thursday</v>
      </c>
      <c r="U530">
        <f t="shared" si="147"/>
        <v>1</v>
      </c>
      <c r="V530" s="24">
        <f>IFERROR(Table2[[#This Row],[Gray Min]]/Table2[[#This Row],[ClassLength]],"")</f>
        <v>0.26666666666666666</v>
      </c>
      <c r="W530" s="24">
        <f>IFERROR(Table2[[#This Row],[Blue Min]]/Table2[[#This Row],[ClassLength]],"")</f>
        <v>0.28333333333333333</v>
      </c>
      <c r="X530" s="24">
        <f>IFERROR(Table2[[#This Row],[Green Min]]/Table2[[#This Row],[ClassLength]],"")</f>
        <v>0.2</v>
      </c>
      <c r="Y530" s="24">
        <f>IFERROR(Table2[[#This Row],[Orange Min]]/Table2[[#This Row],[ClassLength]],"")</f>
        <v>0.23333333333333334</v>
      </c>
      <c r="Z530" s="24">
        <f>IFERROR(Table2[[#This Row],[Red Min]]/Table2[[#This Row],[ClassLength]],"")</f>
        <v>1.6666666666666666E-2</v>
      </c>
      <c r="AA530" s="25">
        <v>232.14</v>
      </c>
      <c r="AB530" s="25">
        <f t="shared" si="158"/>
        <v>17.856923076923074</v>
      </c>
      <c r="AC530" s="26">
        <f t="shared" si="148"/>
        <v>639.15384615384619</v>
      </c>
      <c r="AD530" s="26">
        <f t="shared" si="149"/>
        <v>13.307692307692308</v>
      </c>
      <c r="AE530">
        <f t="shared" si="150"/>
        <v>2023</v>
      </c>
      <c r="AG530">
        <v>12</v>
      </c>
      <c r="AH530" s="26">
        <f t="shared" si="151"/>
        <v>10.833333333333334</v>
      </c>
      <c r="AI530" t="str">
        <f t="shared" si="152"/>
        <v>PM</v>
      </c>
      <c r="AJ530" t="str">
        <f t="shared" si="153"/>
        <v>9-2023-4</v>
      </c>
      <c r="AK530">
        <f t="shared" si="154"/>
        <v>9</v>
      </c>
      <c r="AL530" s="26">
        <f>IFERROR(Table2[[#This Row],[Calories]]/Table2[[#This Row],[Splat]],"")</f>
        <v>43.333333333333336</v>
      </c>
      <c r="AM530">
        <f>COUNTIF(N$2:$N$938,N530)</f>
        <v>218</v>
      </c>
      <c r="AN530" t="str">
        <f>VLOOKUP(N530,'Helpful Tables'!A:D,4,FALSE)</f>
        <v>Washington, DC</v>
      </c>
      <c r="AO530" s="24">
        <f>COUNTIF(AN:AN,Table2[[#This Row],[State]])/COUNTA(AN:AN)</f>
        <v>0.54904051172707891</v>
      </c>
      <c r="AP530">
        <f>VLOOKUP(N530,'Helpful Tables'!A:B,2,FALSE)</f>
        <v>38.934710000000003</v>
      </c>
      <c r="AQ530">
        <f>VLOOKUP(N530,'Helpful Tables'!A:C,3,FALSE)</f>
        <v>-77.058222999999998</v>
      </c>
      <c r="AR530">
        <f>COUNTIF(P$2:$P$938,P530)</f>
        <v>10</v>
      </c>
      <c r="AS530" cm="1">
        <f t="array" ref="AS530">_xlfn.IFS(E530&lt;6,((E530/D530)*60)*0.5,AND(E530&gt;=6,E530&lt;9),((E530/D530)*60)*0.75,AND(E530&gt;=9,E530&lt;=11),((E530/D530)*60)*0.9,AND(E530=12),((E530/D530)*60)*1,AND(E530&gt;=13,E530&lt;=15),((E530/D530)*60)*1.2,AND(E530&gt;=16,E530&lt;=19),((E530/D530)*60)*1.5,E530&gt;=20,((E530/D530)*60)*1.8)</f>
        <v>18</v>
      </c>
      <c r="AT530" cm="1">
        <f t="array" ref="AT530">_xlfn.IFS(F530&lt;550,((F530/D530)*60)*0.5,AND(F530&gt;=550,F530&lt;575),((F530/D530)*60)*0.75,AND(F530&gt;=575,F530&lt;600),((F530/D530)*60)*0.9,AND(F530=600),((F530/D530)*60)*1,AND(F530&gt;=601,F530&lt;=625),((F530/D530)*60)*1.2,AND(F530&gt;=626,F530&lt;=650),((F530/D530)*60)*1.5,F530&gt;=651,((F530/D530)*60)*1.8)</f>
        <v>975</v>
      </c>
      <c r="AU530">
        <f t="shared" si="142"/>
        <v>-3.8000000000000078</v>
      </c>
      <c r="AV530">
        <f t="shared" si="157"/>
        <v>396.44</v>
      </c>
      <c r="AW530">
        <f t="shared" si="143"/>
        <v>51.300000000000004</v>
      </c>
      <c r="AX530" t="str">
        <f t="shared" si="155"/>
        <v>Sep-2023</v>
      </c>
      <c r="AY530">
        <f>ROUNDUP(Table2[[#This Row],[Month]]/3,0)</f>
        <v>3</v>
      </c>
    </row>
    <row r="531" spans="1:51" x14ac:dyDescent="0.2">
      <c r="A531">
        <v>530</v>
      </c>
      <c r="B531">
        <f t="shared" si="144"/>
        <v>13</v>
      </c>
      <c r="C531" s="22">
        <v>45199</v>
      </c>
      <c r="D531">
        <f>SUM(Table2[[#This Row],[Gray Min]:[Red Min]])</f>
        <v>59</v>
      </c>
      <c r="E531">
        <v>13</v>
      </c>
      <c r="F531">
        <v>661</v>
      </c>
      <c r="G531">
        <v>127</v>
      </c>
      <c r="H531">
        <v>173</v>
      </c>
      <c r="I531">
        <v>9</v>
      </c>
      <c r="J531">
        <v>23</v>
      </c>
      <c r="K531">
        <v>14</v>
      </c>
      <c r="L531">
        <v>7</v>
      </c>
      <c r="M531">
        <v>6</v>
      </c>
      <c r="N531" t="s">
        <v>138</v>
      </c>
      <c r="O531" t="s">
        <v>76</v>
      </c>
      <c r="P531" t="s">
        <v>140</v>
      </c>
      <c r="Q531">
        <f t="shared" si="156"/>
        <v>9</v>
      </c>
      <c r="R531" t="str">
        <f t="shared" si="145"/>
        <v>9-2023</v>
      </c>
      <c r="S531" t="s">
        <v>117</v>
      </c>
      <c r="T531" t="str">
        <f t="shared" si="146"/>
        <v>Saturday</v>
      </c>
      <c r="U531">
        <f t="shared" si="147"/>
        <v>1</v>
      </c>
      <c r="V531" s="24">
        <f>IFERROR(Table2[[#This Row],[Gray Min]]/Table2[[#This Row],[ClassLength]],"")</f>
        <v>0.15254237288135594</v>
      </c>
      <c r="W531" s="24">
        <f>IFERROR(Table2[[#This Row],[Blue Min]]/Table2[[#This Row],[ClassLength]],"")</f>
        <v>0.38983050847457629</v>
      </c>
      <c r="X531" s="24">
        <f>IFERROR(Table2[[#This Row],[Green Min]]/Table2[[#This Row],[ClassLength]],"")</f>
        <v>0.23728813559322035</v>
      </c>
      <c r="Y531" s="24">
        <f>IFERROR(Table2[[#This Row],[Orange Min]]/Table2[[#This Row],[ClassLength]],"")</f>
        <v>0.11864406779661017</v>
      </c>
      <c r="Z531" s="24">
        <f>IFERROR(Table2[[#This Row],[Red Min]]/Table2[[#This Row],[ClassLength]],"")</f>
        <v>0.10169491525423729</v>
      </c>
      <c r="AA531" s="25">
        <v>232.14</v>
      </c>
      <c r="AB531" s="25">
        <f t="shared" si="158"/>
        <v>17.856923076923074</v>
      </c>
      <c r="AC531" s="26">
        <f t="shared" si="148"/>
        <v>639.15384615384619</v>
      </c>
      <c r="AD531" s="26">
        <f t="shared" si="149"/>
        <v>13.307692307692308</v>
      </c>
      <c r="AE531">
        <f t="shared" si="150"/>
        <v>2023</v>
      </c>
      <c r="AG531">
        <v>12</v>
      </c>
      <c r="AH531" s="26">
        <f t="shared" si="151"/>
        <v>11.203389830508474</v>
      </c>
      <c r="AI531" t="str">
        <f t="shared" si="152"/>
        <v>AM</v>
      </c>
      <c r="AJ531" t="str">
        <f t="shared" si="153"/>
        <v>9-2023-5</v>
      </c>
      <c r="AK531">
        <f t="shared" si="154"/>
        <v>9</v>
      </c>
      <c r="AL531" s="26">
        <f>IFERROR(Table2[[#This Row],[Calories]]/Table2[[#This Row],[Splat]],"")</f>
        <v>50.846153846153847</v>
      </c>
      <c r="AM531">
        <f>COUNTIF(N$2:$N$938,N531)</f>
        <v>11</v>
      </c>
      <c r="AN531" t="str">
        <f>VLOOKUP(N531,'Helpful Tables'!A:D,4,FALSE)</f>
        <v>Massachusetts</v>
      </c>
      <c r="AO531" s="24">
        <f>COUNTIF(AN:AN,Table2[[#This Row],[State]])/COUNTA(AN:AN)</f>
        <v>1.7057569296375266E-2</v>
      </c>
      <c r="AP531">
        <f>VLOOKUP(N531,'Helpful Tables'!A:B,2,FALSE)</f>
        <v>42.350487000000001</v>
      </c>
      <c r="AQ531">
        <f>VLOOKUP(N531,'Helpful Tables'!A:C,3,FALSE)</f>
        <v>-71.152720000000002</v>
      </c>
      <c r="AR531">
        <f>COUNTIF(P$2:$P$938,P531)</f>
        <v>4</v>
      </c>
      <c r="AS531" cm="1">
        <f t="array" ref="AS531">_xlfn.IFS(E531&lt;6,((E531/D531)*60)*0.5,AND(E531&gt;=6,E531&lt;9),((E531/D531)*60)*0.75,AND(E531&gt;=9,E531&lt;=11),((E531/D531)*60)*0.9,AND(E531=12),((E531/D531)*60)*1,AND(E531&gt;=13,E531&lt;=15),((E531/D531)*60)*1.2,AND(E531&gt;=16,E531&lt;=19),((E531/D531)*60)*1.5,E531&gt;=20,((E531/D531)*60)*1.8)</f>
        <v>15.864406779661017</v>
      </c>
      <c r="AT531" cm="1">
        <f t="array" ref="AT531">_xlfn.IFS(F531&lt;550,((F531/D531)*60)*0.5,AND(F531&gt;=550,F531&lt;575),((F531/D531)*60)*0.75,AND(F531&gt;=575,F531&lt;600),((F531/D531)*60)*0.9,AND(F531=600),((F531/D531)*60)*1,AND(F531&gt;=601,F531&lt;=625),((F531/D531)*60)*1.2,AND(F531&gt;=626,F531&lt;=650),((F531/D531)*60)*1.5,F531&gt;=651,((F531/D531)*60)*1.8)</f>
        <v>1209.9661016949151</v>
      </c>
      <c r="AU531">
        <f t="shared" si="142"/>
        <v>-1.2000000000000011</v>
      </c>
      <c r="AV531">
        <f t="shared" si="157"/>
        <v>490.09220338983044</v>
      </c>
      <c r="AW531">
        <f t="shared" si="143"/>
        <v>74.2</v>
      </c>
      <c r="AX531" t="str">
        <f t="shared" si="155"/>
        <v>Sep-2023</v>
      </c>
      <c r="AY531">
        <f>ROUNDUP(Table2[[#This Row],[Month]]/3,0)</f>
        <v>3</v>
      </c>
    </row>
    <row r="532" spans="1:51" x14ac:dyDescent="0.2">
      <c r="A532">
        <v>531</v>
      </c>
      <c r="B532">
        <f t="shared" si="144"/>
        <v>15</v>
      </c>
      <c r="C532" s="22">
        <v>45202</v>
      </c>
      <c r="D532">
        <f>SUM(Table2[[#This Row],[Gray Min]:[Red Min]])</f>
        <v>58</v>
      </c>
      <c r="E532">
        <v>17</v>
      </c>
      <c r="F532">
        <v>688</v>
      </c>
      <c r="G532">
        <v>132</v>
      </c>
      <c r="H532">
        <v>167</v>
      </c>
      <c r="I532">
        <v>6</v>
      </c>
      <c r="J532">
        <v>16</v>
      </c>
      <c r="K532">
        <v>19</v>
      </c>
      <c r="L532">
        <v>15</v>
      </c>
      <c r="M532">
        <v>2</v>
      </c>
      <c r="N532" t="s">
        <v>91</v>
      </c>
      <c r="O532" t="s">
        <v>57</v>
      </c>
      <c r="P532" t="s">
        <v>188</v>
      </c>
      <c r="Q532">
        <f t="shared" si="156"/>
        <v>3</v>
      </c>
      <c r="R532" t="str">
        <f t="shared" si="145"/>
        <v>10-2023</v>
      </c>
      <c r="S532" t="s">
        <v>104</v>
      </c>
      <c r="T532" t="str">
        <f t="shared" si="146"/>
        <v>Tuesday</v>
      </c>
      <c r="U532">
        <f t="shared" si="147"/>
        <v>1</v>
      </c>
      <c r="V532" s="24">
        <f>IFERROR(Table2[[#This Row],[Gray Min]]/Table2[[#This Row],[ClassLength]],"")</f>
        <v>0.10344827586206896</v>
      </c>
      <c r="W532" s="24">
        <f>IFERROR(Table2[[#This Row],[Blue Min]]/Table2[[#This Row],[ClassLength]],"")</f>
        <v>0.27586206896551724</v>
      </c>
      <c r="X532" s="24">
        <f>IFERROR(Table2[[#This Row],[Green Min]]/Table2[[#This Row],[ClassLength]],"")</f>
        <v>0.32758620689655171</v>
      </c>
      <c r="Y532" s="24">
        <f>IFERROR(Table2[[#This Row],[Orange Min]]/Table2[[#This Row],[ClassLength]],"")</f>
        <v>0.25862068965517243</v>
      </c>
      <c r="Z532" s="24">
        <f>IFERROR(Table2[[#This Row],[Red Min]]/Table2[[#This Row],[ClassLength]],"")</f>
        <v>3.4482758620689655E-2</v>
      </c>
      <c r="AA532" s="25">
        <v>232.14</v>
      </c>
      <c r="AB532" s="25">
        <f t="shared" si="158"/>
        <v>15.475999999999999</v>
      </c>
      <c r="AC532" s="26">
        <f t="shared" si="148"/>
        <v>635.73333333333335</v>
      </c>
      <c r="AD532" s="26">
        <f t="shared" si="149"/>
        <v>14.133333333333333</v>
      </c>
      <c r="AE532">
        <f t="shared" si="150"/>
        <v>2023</v>
      </c>
      <c r="AG532">
        <v>12</v>
      </c>
      <c r="AH532" s="26">
        <f t="shared" si="151"/>
        <v>11.862068965517242</v>
      </c>
      <c r="AI532" t="str">
        <f t="shared" si="152"/>
        <v>PM</v>
      </c>
      <c r="AJ532" t="str">
        <f t="shared" si="153"/>
        <v>10-2023-1</v>
      </c>
      <c r="AK532">
        <f t="shared" si="154"/>
        <v>10</v>
      </c>
      <c r="AL532" s="26">
        <f>IFERROR(Table2[[#This Row],[Calories]]/Table2[[#This Row],[Splat]],"")</f>
        <v>40.470588235294116</v>
      </c>
      <c r="AM532">
        <f>COUNTIF(N$2:$N$938,N532)</f>
        <v>218</v>
      </c>
      <c r="AN532" t="str">
        <f>VLOOKUP(N532,'Helpful Tables'!A:D,4,FALSE)</f>
        <v>Washington, DC</v>
      </c>
      <c r="AO532" s="24">
        <f>COUNTIF(AN:AN,Table2[[#This Row],[State]])/COUNTA(AN:AN)</f>
        <v>0.54904051172707891</v>
      </c>
      <c r="AP532">
        <f>VLOOKUP(N532,'Helpful Tables'!A:B,2,FALSE)</f>
        <v>38.934710000000003</v>
      </c>
      <c r="AQ532">
        <f>VLOOKUP(N532,'Helpful Tables'!A:C,3,FALSE)</f>
        <v>-77.058222999999998</v>
      </c>
      <c r="AR532">
        <f>COUNTIF(P$2:$P$938,P532)</f>
        <v>10</v>
      </c>
      <c r="AS532" cm="1">
        <f t="array" ref="AS532">_xlfn.IFS(E532&lt;6,((E532/D532)*60)*0.5,AND(E532&gt;=6,E532&lt;9),((E532/D532)*60)*0.75,AND(E532&gt;=9,E532&lt;=11),((E532/D532)*60)*0.9,AND(E532=12),((E532/D532)*60)*1,AND(E532&gt;=13,E532&lt;=15),((E532/D532)*60)*1.2,AND(E532&gt;=16,E532&lt;=19),((E532/D532)*60)*1.5,E532&gt;=20,((E532/D532)*60)*1.8)</f>
        <v>26.379310344827584</v>
      </c>
      <c r="AT532" cm="1">
        <f t="array" ref="AT532">_xlfn.IFS(F532&lt;550,((F532/D532)*60)*0.5,AND(F532&gt;=550,F532&lt;575),((F532/D532)*60)*0.75,AND(F532&gt;=575,F532&lt;600),((F532/D532)*60)*0.9,AND(F532=600),((F532/D532)*60)*1,AND(F532&gt;=601,F532&lt;=625),((F532/D532)*60)*1.2,AND(F532&gt;=626,F532&lt;=650),((F532/D532)*60)*1.5,F532&gt;=651,((F532/D532)*60)*1.8)</f>
        <v>1281.1034482758621</v>
      </c>
      <c r="AU532">
        <f t="shared" si="142"/>
        <v>20.5</v>
      </c>
      <c r="AV532">
        <f t="shared" si="157"/>
        <v>527.09310344827588</v>
      </c>
      <c r="AW532">
        <f t="shared" si="143"/>
        <v>93</v>
      </c>
      <c r="AX532" t="str">
        <f t="shared" si="155"/>
        <v>Oct-2023</v>
      </c>
      <c r="AY532">
        <f>ROUNDUP(Table2[[#This Row],[Month]]/3,0)</f>
        <v>4</v>
      </c>
    </row>
    <row r="533" spans="1:51" x14ac:dyDescent="0.2">
      <c r="A533">
        <v>532</v>
      </c>
      <c r="B533">
        <f t="shared" si="144"/>
        <v>15</v>
      </c>
      <c r="C533" s="22">
        <v>45204</v>
      </c>
      <c r="D533">
        <f>SUM(Table2[[#This Row],[Gray Min]:[Red Min]])</f>
        <v>58</v>
      </c>
      <c r="E533">
        <v>18</v>
      </c>
      <c r="F533">
        <v>651</v>
      </c>
      <c r="G533">
        <v>127</v>
      </c>
      <c r="H533">
        <v>168</v>
      </c>
      <c r="I533">
        <v>16</v>
      </c>
      <c r="J533">
        <v>15</v>
      </c>
      <c r="K533">
        <v>9</v>
      </c>
      <c r="L533">
        <v>16</v>
      </c>
      <c r="M533">
        <v>2</v>
      </c>
      <c r="N533" t="s">
        <v>101</v>
      </c>
      <c r="O533" t="s">
        <v>173</v>
      </c>
      <c r="P533" t="s">
        <v>118</v>
      </c>
      <c r="Q533">
        <f t="shared" si="156"/>
        <v>2</v>
      </c>
      <c r="R533" t="str">
        <f t="shared" si="145"/>
        <v>10-2023</v>
      </c>
      <c r="S533" t="s">
        <v>104</v>
      </c>
      <c r="T533" t="str">
        <f t="shared" si="146"/>
        <v>Thursday</v>
      </c>
      <c r="U533">
        <f t="shared" si="147"/>
        <v>1</v>
      </c>
      <c r="V533" s="24">
        <f>IFERROR(Table2[[#This Row],[Gray Min]]/Table2[[#This Row],[ClassLength]],"")</f>
        <v>0.27586206896551724</v>
      </c>
      <c r="W533" s="24">
        <f>IFERROR(Table2[[#This Row],[Blue Min]]/Table2[[#This Row],[ClassLength]],"")</f>
        <v>0.25862068965517243</v>
      </c>
      <c r="X533" s="24">
        <f>IFERROR(Table2[[#This Row],[Green Min]]/Table2[[#This Row],[ClassLength]],"")</f>
        <v>0.15517241379310345</v>
      </c>
      <c r="Y533" s="24">
        <f>IFERROR(Table2[[#This Row],[Orange Min]]/Table2[[#This Row],[ClassLength]],"")</f>
        <v>0.27586206896551724</v>
      </c>
      <c r="Z533" s="24">
        <f>IFERROR(Table2[[#This Row],[Red Min]]/Table2[[#This Row],[ClassLength]],"")</f>
        <v>3.4482758620689655E-2</v>
      </c>
      <c r="AA533" s="25">
        <v>232.14</v>
      </c>
      <c r="AB533" s="25">
        <f t="shared" si="158"/>
        <v>15.475999999999999</v>
      </c>
      <c r="AC533" s="26">
        <f t="shared" si="148"/>
        <v>635.73333333333335</v>
      </c>
      <c r="AD533" s="26">
        <f t="shared" si="149"/>
        <v>14.133333333333333</v>
      </c>
      <c r="AE533">
        <f t="shared" si="150"/>
        <v>2023</v>
      </c>
      <c r="AG533">
        <v>12</v>
      </c>
      <c r="AH533" s="26">
        <f t="shared" si="151"/>
        <v>11.224137931034482</v>
      </c>
      <c r="AI533" t="str">
        <f t="shared" si="152"/>
        <v>PM</v>
      </c>
      <c r="AJ533" t="str">
        <f t="shared" si="153"/>
        <v>10-2023-1</v>
      </c>
      <c r="AK533">
        <f t="shared" si="154"/>
        <v>10</v>
      </c>
      <c r="AL533" s="26">
        <f>IFERROR(Table2[[#This Row],[Calories]]/Table2[[#This Row],[Splat]],"")</f>
        <v>36.166666666666664</v>
      </c>
      <c r="AM533">
        <f>COUNTIF(N$2:$N$938,N533)</f>
        <v>191</v>
      </c>
      <c r="AN533" t="str">
        <f>VLOOKUP(N533,'Helpful Tables'!A:D,4,FALSE)</f>
        <v>Washington, DC</v>
      </c>
      <c r="AO533" s="24">
        <f>COUNTIF(AN:AN,Table2[[#This Row],[State]])/COUNTA(AN:AN)</f>
        <v>0.54904051172707891</v>
      </c>
      <c r="AP533">
        <f>VLOOKUP(N533,'Helpful Tables'!A:B,2,FALSE)</f>
        <v>38.949649000000001</v>
      </c>
      <c r="AQ533">
        <f>VLOOKUP(N533,'Helpful Tables'!A:C,3,FALSE)</f>
        <v>-77.080878999999996</v>
      </c>
      <c r="AR533">
        <f>COUNTIF(P$2:$P$938,P533)</f>
        <v>16</v>
      </c>
      <c r="AS533" cm="1">
        <f t="array" ref="AS533">_xlfn.IFS(E533&lt;6,((E533/D533)*60)*0.5,AND(E533&gt;=6,E533&lt;9),((E533/D533)*60)*0.75,AND(E533&gt;=9,E533&lt;=11),((E533/D533)*60)*0.9,AND(E533=12),((E533/D533)*60)*1,AND(E533&gt;=13,E533&lt;=15),((E533/D533)*60)*1.2,AND(E533&gt;=16,E533&lt;=19),((E533/D533)*60)*1.5,E533&gt;=20,((E533/D533)*60)*1.8)</f>
        <v>27.931034482758619</v>
      </c>
      <c r="AT533" cm="1">
        <f t="array" ref="AT533">_xlfn.IFS(F533&lt;550,((F533/D533)*60)*0.5,AND(F533&gt;=550,F533&lt;575),((F533/D533)*60)*0.75,AND(F533&gt;=575,F533&lt;600),((F533/D533)*60)*0.9,AND(F533=600),((F533/D533)*60)*1,AND(F533&gt;=601,F533&lt;=625),((F533/D533)*60)*1.2,AND(F533&gt;=626,F533&lt;=650),((F533/D533)*60)*1.5,F533&gt;=651,((F533/D533)*60)*1.8)</f>
        <v>1212.2068965517242</v>
      </c>
      <c r="AU533">
        <f t="shared" si="142"/>
        <v>-1.100000000000005</v>
      </c>
      <c r="AV533">
        <f t="shared" si="157"/>
        <v>495.83517241379309</v>
      </c>
      <c r="AW533">
        <f t="shared" si="143"/>
        <v>76.5</v>
      </c>
      <c r="AX533" t="str">
        <f t="shared" si="155"/>
        <v>Oct-2023</v>
      </c>
      <c r="AY533">
        <f>ROUNDUP(Table2[[#This Row],[Month]]/3,0)</f>
        <v>4</v>
      </c>
    </row>
    <row r="534" spans="1:51" x14ac:dyDescent="0.2">
      <c r="A534">
        <v>533</v>
      </c>
      <c r="B534">
        <f t="shared" si="144"/>
        <v>15</v>
      </c>
      <c r="C534" s="22">
        <v>45205</v>
      </c>
      <c r="D534">
        <f>SUM(Table2[[#This Row],[Gray Min]:[Red Min]])</f>
        <v>58</v>
      </c>
      <c r="E534">
        <v>12</v>
      </c>
      <c r="F534">
        <v>597</v>
      </c>
      <c r="G534">
        <v>122</v>
      </c>
      <c r="H534">
        <v>165</v>
      </c>
      <c r="I534">
        <v>13</v>
      </c>
      <c r="J534">
        <v>24</v>
      </c>
      <c r="K534">
        <v>9</v>
      </c>
      <c r="L534">
        <v>9</v>
      </c>
      <c r="M534">
        <v>3</v>
      </c>
      <c r="N534" t="s">
        <v>91</v>
      </c>
      <c r="O534" t="s">
        <v>57</v>
      </c>
      <c r="P534" t="s">
        <v>96</v>
      </c>
      <c r="Q534">
        <f t="shared" si="156"/>
        <v>1</v>
      </c>
      <c r="R534" t="str">
        <f t="shared" si="145"/>
        <v>10-2023</v>
      </c>
      <c r="S534" t="s">
        <v>104</v>
      </c>
      <c r="T534" t="str">
        <f t="shared" si="146"/>
        <v>Friday</v>
      </c>
      <c r="U534">
        <f t="shared" si="147"/>
        <v>1</v>
      </c>
      <c r="V534" s="24">
        <f>IFERROR(Table2[[#This Row],[Gray Min]]/Table2[[#This Row],[ClassLength]],"")</f>
        <v>0.22413793103448276</v>
      </c>
      <c r="W534" s="24">
        <f>IFERROR(Table2[[#This Row],[Blue Min]]/Table2[[#This Row],[ClassLength]],"")</f>
        <v>0.41379310344827586</v>
      </c>
      <c r="X534" s="24">
        <f>IFERROR(Table2[[#This Row],[Green Min]]/Table2[[#This Row],[ClassLength]],"")</f>
        <v>0.15517241379310345</v>
      </c>
      <c r="Y534" s="24">
        <f>IFERROR(Table2[[#This Row],[Orange Min]]/Table2[[#This Row],[ClassLength]],"")</f>
        <v>0.15517241379310345</v>
      </c>
      <c r="Z534" s="24">
        <f>IFERROR(Table2[[#This Row],[Red Min]]/Table2[[#This Row],[ClassLength]],"")</f>
        <v>5.1724137931034482E-2</v>
      </c>
      <c r="AA534" s="25">
        <v>232.14</v>
      </c>
      <c r="AB534" s="25">
        <f t="shared" si="158"/>
        <v>15.475999999999999</v>
      </c>
      <c r="AC534" s="26">
        <f t="shared" si="148"/>
        <v>635.73333333333335</v>
      </c>
      <c r="AD534" s="26">
        <f t="shared" si="149"/>
        <v>14.133333333333333</v>
      </c>
      <c r="AE534">
        <f t="shared" si="150"/>
        <v>2023</v>
      </c>
      <c r="AG534">
        <v>12</v>
      </c>
      <c r="AH534" s="26">
        <f t="shared" si="151"/>
        <v>10.293103448275861</v>
      </c>
      <c r="AI534" t="str">
        <f t="shared" si="152"/>
        <v>PM</v>
      </c>
      <c r="AJ534" t="str">
        <f t="shared" si="153"/>
        <v>10-2023-1</v>
      </c>
      <c r="AK534">
        <f t="shared" si="154"/>
        <v>10</v>
      </c>
      <c r="AL534" s="26">
        <f>IFERROR(Table2[[#This Row],[Calories]]/Table2[[#This Row],[Splat]],"")</f>
        <v>49.75</v>
      </c>
      <c r="AM534">
        <f>COUNTIF(N$2:$N$938,N534)</f>
        <v>218</v>
      </c>
      <c r="AN534" t="str">
        <f>VLOOKUP(N534,'Helpful Tables'!A:D,4,FALSE)</f>
        <v>Washington, DC</v>
      </c>
      <c r="AO534" s="24">
        <f>COUNTIF(AN:AN,Table2[[#This Row],[State]])/COUNTA(AN:AN)</f>
        <v>0.54904051172707891</v>
      </c>
      <c r="AP534">
        <f>VLOOKUP(N534,'Helpful Tables'!A:B,2,FALSE)</f>
        <v>38.934710000000003</v>
      </c>
      <c r="AQ534">
        <f>VLOOKUP(N534,'Helpful Tables'!A:C,3,FALSE)</f>
        <v>-77.058222999999998</v>
      </c>
      <c r="AR534">
        <f>COUNTIF(P$2:$P$938,P534)</f>
        <v>71</v>
      </c>
      <c r="AS534" cm="1">
        <f t="array" ref="AS534">_xlfn.IFS(E534&lt;6,((E534/D534)*60)*0.5,AND(E534&gt;=6,E534&lt;9),((E534/D534)*60)*0.75,AND(E534&gt;=9,E534&lt;=11),((E534/D534)*60)*0.9,AND(E534=12),((E534/D534)*60)*1,AND(E534&gt;=13,E534&lt;=15),((E534/D534)*60)*1.2,AND(E534&gt;=16,E534&lt;=19),((E534/D534)*60)*1.5,E534&gt;=20,((E534/D534)*60)*1.8)</f>
        <v>12.413793103448276</v>
      </c>
      <c r="AT534" cm="1">
        <f t="array" ref="AT534">_xlfn.IFS(F534&lt;550,((F534/D534)*60)*0.5,AND(F534&gt;=550,F534&lt;575),((F534/D534)*60)*0.75,AND(F534&gt;=575,F534&lt;600),((F534/D534)*60)*0.9,AND(F534=600),((F534/D534)*60)*1,AND(F534&gt;=601,F534&lt;=625),((F534/D534)*60)*1.2,AND(F534&gt;=626,F534&lt;=650),((F534/D534)*60)*1.5,F534&gt;=651,((F534/D534)*60)*1.8)</f>
        <v>555.82758620689651</v>
      </c>
      <c r="AU534">
        <f t="shared" si="142"/>
        <v>-15</v>
      </c>
      <c r="AV534">
        <f t="shared" si="157"/>
        <v>224.29655172413791</v>
      </c>
      <c r="AW534">
        <f t="shared" si="143"/>
        <v>18</v>
      </c>
      <c r="AX534" t="str">
        <f t="shared" si="155"/>
        <v>Oct-2023</v>
      </c>
      <c r="AY534">
        <f>ROUNDUP(Table2[[#This Row],[Month]]/3,0)</f>
        <v>4</v>
      </c>
    </row>
    <row r="535" spans="1:51" x14ac:dyDescent="0.2">
      <c r="A535">
        <v>534</v>
      </c>
      <c r="B535">
        <f t="shared" si="144"/>
        <v>15</v>
      </c>
      <c r="C535" s="22">
        <v>45207</v>
      </c>
      <c r="D535">
        <f>SUM(Table2[[#This Row],[Gray Min]:[Red Min]])</f>
        <v>61</v>
      </c>
      <c r="E535">
        <v>16</v>
      </c>
      <c r="F535">
        <v>655</v>
      </c>
      <c r="G535">
        <v>126</v>
      </c>
      <c r="H535">
        <v>167</v>
      </c>
      <c r="I535">
        <v>13</v>
      </c>
      <c r="J535">
        <v>19</v>
      </c>
      <c r="K535">
        <v>13</v>
      </c>
      <c r="L535">
        <v>14</v>
      </c>
      <c r="M535">
        <v>2</v>
      </c>
      <c r="N535" t="s">
        <v>91</v>
      </c>
      <c r="O535" t="s">
        <v>79</v>
      </c>
      <c r="P535" t="s">
        <v>100</v>
      </c>
      <c r="Q535">
        <f t="shared" si="156"/>
        <v>2</v>
      </c>
      <c r="R535" t="str">
        <f t="shared" si="145"/>
        <v>10-2023</v>
      </c>
      <c r="S535" t="s">
        <v>104</v>
      </c>
      <c r="T535" t="str">
        <f t="shared" si="146"/>
        <v>Sunday</v>
      </c>
      <c r="U535">
        <f t="shared" si="147"/>
        <v>1</v>
      </c>
      <c r="V535" s="24">
        <f>IFERROR(Table2[[#This Row],[Gray Min]]/Table2[[#This Row],[ClassLength]],"")</f>
        <v>0.21311475409836064</v>
      </c>
      <c r="W535" s="24">
        <f>IFERROR(Table2[[#This Row],[Blue Min]]/Table2[[#This Row],[ClassLength]],"")</f>
        <v>0.31147540983606559</v>
      </c>
      <c r="X535" s="24">
        <f>IFERROR(Table2[[#This Row],[Green Min]]/Table2[[#This Row],[ClassLength]],"")</f>
        <v>0.21311475409836064</v>
      </c>
      <c r="Y535" s="24">
        <f>IFERROR(Table2[[#This Row],[Orange Min]]/Table2[[#This Row],[ClassLength]],"")</f>
        <v>0.22950819672131148</v>
      </c>
      <c r="Z535" s="24">
        <f>IFERROR(Table2[[#This Row],[Red Min]]/Table2[[#This Row],[ClassLength]],"")</f>
        <v>3.2786885245901641E-2</v>
      </c>
      <c r="AA535" s="25">
        <v>232.14</v>
      </c>
      <c r="AB535" s="25">
        <f t="shared" si="158"/>
        <v>15.475999999999999</v>
      </c>
      <c r="AC535" s="26">
        <f t="shared" si="148"/>
        <v>635.73333333333335</v>
      </c>
      <c r="AD535" s="26">
        <f t="shared" si="149"/>
        <v>14.133333333333333</v>
      </c>
      <c r="AE535">
        <f t="shared" si="150"/>
        <v>2023</v>
      </c>
      <c r="AG535">
        <v>12</v>
      </c>
      <c r="AH535" s="26">
        <f t="shared" si="151"/>
        <v>10.737704918032787</v>
      </c>
      <c r="AI535" t="str">
        <f t="shared" si="152"/>
        <v>AM</v>
      </c>
      <c r="AJ535" t="str">
        <f t="shared" si="153"/>
        <v>10-2023-2</v>
      </c>
      <c r="AK535">
        <f t="shared" si="154"/>
        <v>10</v>
      </c>
      <c r="AL535" s="26">
        <f>IFERROR(Table2[[#This Row],[Calories]]/Table2[[#This Row],[Splat]],"")</f>
        <v>40.9375</v>
      </c>
      <c r="AM535">
        <f>COUNTIF(N$2:$N$938,N535)</f>
        <v>218</v>
      </c>
      <c r="AN535" t="str">
        <f>VLOOKUP(N535,'Helpful Tables'!A:D,4,FALSE)</f>
        <v>Washington, DC</v>
      </c>
      <c r="AO535" s="24">
        <f>COUNTIF(AN:AN,Table2[[#This Row],[State]])/COUNTA(AN:AN)</f>
        <v>0.54904051172707891</v>
      </c>
      <c r="AP535">
        <f>VLOOKUP(N535,'Helpful Tables'!A:B,2,FALSE)</f>
        <v>38.934710000000003</v>
      </c>
      <c r="AQ535">
        <f>VLOOKUP(N535,'Helpful Tables'!A:C,3,FALSE)</f>
        <v>-77.058222999999998</v>
      </c>
      <c r="AR535">
        <f>COUNTIF(P$2:$P$938,P535)</f>
        <v>35</v>
      </c>
      <c r="AS535" cm="1">
        <f t="array" ref="AS535">_xlfn.IFS(E535&lt;6,((E535/D535)*60)*0.5,AND(E535&gt;=6,E535&lt;9),((E535/D535)*60)*0.75,AND(E535&gt;=9,E535&lt;=11),((E535/D535)*60)*0.9,AND(E535=12),((E535/D535)*60)*1,AND(E535&gt;=13,E535&lt;=15),((E535/D535)*60)*1.2,AND(E535&gt;=16,E535&lt;=19),((E535/D535)*60)*1.5,E535&gt;=20,((E535/D535)*60)*1.8)</f>
        <v>23.606557377049182</v>
      </c>
      <c r="AT535" cm="1">
        <f t="array" ref="AT535">_xlfn.IFS(F535&lt;550,((F535/D535)*60)*0.5,AND(F535&gt;=550,F535&lt;575),((F535/D535)*60)*0.75,AND(F535&gt;=575,F535&lt;600),((F535/D535)*60)*0.9,AND(F535=600),((F535/D535)*60)*1,AND(F535&gt;=601,F535&lt;=625),((F535/D535)*60)*1.2,AND(F535&gt;=626,F535&lt;=650),((F535/D535)*60)*1.5,F535&gt;=651,((F535/D535)*60)*1.8)</f>
        <v>1159.672131147541</v>
      </c>
      <c r="AU535">
        <f t="shared" si="142"/>
        <v>0.30000000000000071</v>
      </c>
      <c r="AV535">
        <f t="shared" si="157"/>
        <v>473.37147540983608</v>
      </c>
      <c r="AW535">
        <f t="shared" si="143"/>
        <v>68.300000000000011</v>
      </c>
      <c r="AX535" t="str">
        <f t="shared" si="155"/>
        <v>Oct-2023</v>
      </c>
      <c r="AY535">
        <f>ROUNDUP(Table2[[#This Row],[Month]]/3,0)</f>
        <v>4</v>
      </c>
    </row>
    <row r="536" spans="1:51" x14ac:dyDescent="0.2">
      <c r="A536">
        <v>535</v>
      </c>
      <c r="B536">
        <f t="shared" si="144"/>
        <v>15</v>
      </c>
      <c r="C536" s="22">
        <v>45209</v>
      </c>
      <c r="D536">
        <f>SUM(Table2[[#This Row],[Gray Min]:[Red Min]])</f>
        <v>53</v>
      </c>
      <c r="E536">
        <v>12</v>
      </c>
      <c r="F536">
        <v>617</v>
      </c>
      <c r="G536">
        <v>131</v>
      </c>
      <c r="H536">
        <v>167</v>
      </c>
      <c r="I536">
        <v>6</v>
      </c>
      <c r="J536">
        <v>15</v>
      </c>
      <c r="K536">
        <v>20</v>
      </c>
      <c r="L536">
        <v>10</v>
      </c>
      <c r="M536">
        <v>2</v>
      </c>
      <c r="N536" t="s">
        <v>101</v>
      </c>
      <c r="O536" t="s">
        <v>173</v>
      </c>
      <c r="P536" t="s">
        <v>186</v>
      </c>
      <c r="Q536">
        <f t="shared" si="156"/>
        <v>2</v>
      </c>
      <c r="R536" t="str">
        <f t="shared" si="145"/>
        <v>10-2023</v>
      </c>
      <c r="S536" t="s">
        <v>145</v>
      </c>
      <c r="T536" t="str">
        <f t="shared" si="146"/>
        <v>Tuesday</v>
      </c>
      <c r="U536">
        <f t="shared" si="147"/>
        <v>1</v>
      </c>
      <c r="V536" s="24">
        <f>IFERROR(Table2[[#This Row],[Gray Min]]/Table2[[#This Row],[ClassLength]],"")</f>
        <v>0.11320754716981132</v>
      </c>
      <c r="W536" s="24">
        <f>IFERROR(Table2[[#This Row],[Blue Min]]/Table2[[#This Row],[ClassLength]],"")</f>
        <v>0.28301886792452829</v>
      </c>
      <c r="X536" s="24">
        <f>IFERROR(Table2[[#This Row],[Green Min]]/Table2[[#This Row],[ClassLength]],"")</f>
        <v>0.37735849056603776</v>
      </c>
      <c r="Y536" s="24">
        <f>IFERROR(Table2[[#This Row],[Orange Min]]/Table2[[#This Row],[ClassLength]],"")</f>
        <v>0.18867924528301888</v>
      </c>
      <c r="Z536" s="24">
        <f>IFERROR(Table2[[#This Row],[Red Min]]/Table2[[#This Row],[ClassLength]],"")</f>
        <v>3.7735849056603772E-2</v>
      </c>
      <c r="AA536" s="25">
        <v>232.14</v>
      </c>
      <c r="AB536" s="25">
        <f t="shared" si="158"/>
        <v>15.475999999999999</v>
      </c>
      <c r="AC536" s="26">
        <f t="shared" si="148"/>
        <v>635.73333333333335</v>
      </c>
      <c r="AD536" s="26">
        <f t="shared" si="149"/>
        <v>14.133333333333333</v>
      </c>
      <c r="AE536">
        <f t="shared" si="150"/>
        <v>2023</v>
      </c>
      <c r="AG536">
        <v>12</v>
      </c>
      <c r="AH536" s="26">
        <f t="shared" si="151"/>
        <v>11.641509433962264</v>
      </c>
      <c r="AI536" t="str">
        <f t="shared" si="152"/>
        <v>PM</v>
      </c>
      <c r="AJ536" t="str">
        <f t="shared" si="153"/>
        <v>10-2023-2</v>
      </c>
      <c r="AK536">
        <f t="shared" si="154"/>
        <v>10</v>
      </c>
      <c r="AL536" s="26">
        <f>IFERROR(Table2[[#This Row],[Calories]]/Table2[[#This Row],[Splat]],"")</f>
        <v>51.416666666666664</v>
      </c>
      <c r="AM536">
        <f>COUNTIF(N$2:$N$938,N536)</f>
        <v>191</v>
      </c>
      <c r="AN536" t="str">
        <f>VLOOKUP(N536,'Helpful Tables'!A:D,4,FALSE)</f>
        <v>Washington, DC</v>
      </c>
      <c r="AO536" s="24">
        <f>COUNTIF(AN:AN,Table2[[#This Row],[State]])/COUNTA(AN:AN)</f>
        <v>0.54904051172707891</v>
      </c>
      <c r="AP536">
        <f>VLOOKUP(N536,'Helpful Tables'!A:B,2,FALSE)</f>
        <v>38.949649000000001</v>
      </c>
      <c r="AQ536">
        <f>VLOOKUP(N536,'Helpful Tables'!A:C,3,FALSE)</f>
        <v>-77.080878999999996</v>
      </c>
      <c r="AR536">
        <f>COUNTIF(P$2:$P$938,P536)</f>
        <v>2</v>
      </c>
      <c r="AS536" cm="1">
        <f t="array" ref="AS536">_xlfn.IFS(E536&lt;6,((E536/D536)*60)*0.5,AND(E536&gt;=6,E536&lt;9),((E536/D536)*60)*0.75,AND(E536&gt;=9,E536&lt;=11),((E536/D536)*60)*0.9,AND(E536=12),((E536/D536)*60)*1,AND(E536&gt;=13,E536&lt;=15),((E536/D536)*60)*1.2,AND(E536&gt;=16,E536&lt;=19),((E536/D536)*60)*1.5,E536&gt;=20,((E536/D536)*60)*1.8)</f>
        <v>13.584905660377359</v>
      </c>
      <c r="AT536" cm="1">
        <f t="array" ref="AT536">_xlfn.IFS(F536&lt;550,((F536/D536)*60)*0.5,AND(F536&gt;=550,F536&lt;575),((F536/D536)*60)*0.75,AND(F536&gt;=575,F536&lt;600),((F536/D536)*60)*0.9,AND(F536=600),((F536/D536)*60)*1,AND(F536&gt;=601,F536&lt;=625),((F536/D536)*60)*1.2,AND(F536&gt;=626,F536&lt;=650),((F536/D536)*60)*1.5,F536&gt;=651,((F536/D536)*60)*1.8)</f>
        <v>838.18867924528308</v>
      </c>
      <c r="AU536">
        <f t="shared" si="142"/>
        <v>16.3</v>
      </c>
      <c r="AV536">
        <f t="shared" si="157"/>
        <v>343.96943396226419</v>
      </c>
      <c r="AW536">
        <f t="shared" si="143"/>
        <v>42.4</v>
      </c>
      <c r="AX536" t="str">
        <f t="shared" si="155"/>
        <v>Oct-2023</v>
      </c>
      <c r="AY536">
        <f>ROUNDUP(Table2[[#This Row],[Month]]/3,0)</f>
        <v>4</v>
      </c>
    </row>
    <row r="537" spans="1:51" x14ac:dyDescent="0.2">
      <c r="A537">
        <v>536</v>
      </c>
      <c r="B537">
        <f t="shared" si="144"/>
        <v>15</v>
      </c>
      <c r="C537" s="22">
        <v>45210</v>
      </c>
      <c r="D537">
        <f>SUM(Table2[[#This Row],[Gray Min]:[Red Min]])</f>
        <v>59</v>
      </c>
      <c r="E537">
        <v>11</v>
      </c>
      <c r="F537">
        <v>613</v>
      </c>
      <c r="G537">
        <v>122</v>
      </c>
      <c r="H537">
        <v>165</v>
      </c>
      <c r="I537">
        <v>17</v>
      </c>
      <c r="J537">
        <v>16</v>
      </c>
      <c r="K537">
        <v>15</v>
      </c>
      <c r="L537">
        <v>10</v>
      </c>
      <c r="M537">
        <v>1</v>
      </c>
      <c r="N537" t="s">
        <v>91</v>
      </c>
      <c r="O537" t="s">
        <v>57</v>
      </c>
      <c r="P537" t="s">
        <v>96</v>
      </c>
      <c r="Q537">
        <f t="shared" si="156"/>
        <v>1</v>
      </c>
      <c r="R537" t="str">
        <f t="shared" si="145"/>
        <v>10-2023</v>
      </c>
      <c r="S537" t="s">
        <v>104</v>
      </c>
      <c r="T537" t="str">
        <f t="shared" si="146"/>
        <v>Wednesday</v>
      </c>
      <c r="U537">
        <f t="shared" si="147"/>
        <v>0</v>
      </c>
      <c r="V537" s="24">
        <f>IFERROR(Table2[[#This Row],[Gray Min]]/Table2[[#This Row],[ClassLength]],"")</f>
        <v>0.28813559322033899</v>
      </c>
      <c r="W537" s="24">
        <f>IFERROR(Table2[[#This Row],[Blue Min]]/Table2[[#This Row],[ClassLength]],"")</f>
        <v>0.2711864406779661</v>
      </c>
      <c r="X537" s="24">
        <f>IFERROR(Table2[[#This Row],[Green Min]]/Table2[[#This Row],[ClassLength]],"")</f>
        <v>0.25423728813559321</v>
      </c>
      <c r="Y537" s="24">
        <f>IFERROR(Table2[[#This Row],[Orange Min]]/Table2[[#This Row],[ClassLength]],"")</f>
        <v>0.16949152542372881</v>
      </c>
      <c r="Z537" s="24">
        <f>IFERROR(Table2[[#This Row],[Red Min]]/Table2[[#This Row],[ClassLength]],"")</f>
        <v>1.6949152542372881E-2</v>
      </c>
      <c r="AA537" s="25">
        <v>232.14</v>
      </c>
      <c r="AB537" s="25">
        <f t="shared" si="158"/>
        <v>15.475999999999999</v>
      </c>
      <c r="AC537" s="26">
        <f t="shared" si="148"/>
        <v>635.73333333333335</v>
      </c>
      <c r="AD537" s="26">
        <f t="shared" si="149"/>
        <v>14.133333333333333</v>
      </c>
      <c r="AE537">
        <f t="shared" si="150"/>
        <v>2023</v>
      </c>
      <c r="AG537">
        <v>12</v>
      </c>
      <c r="AH537" s="26">
        <f t="shared" si="151"/>
        <v>10.389830508474576</v>
      </c>
      <c r="AI537" t="str">
        <f t="shared" si="152"/>
        <v>PM</v>
      </c>
      <c r="AJ537" t="str">
        <f t="shared" si="153"/>
        <v>10-2023-2</v>
      </c>
      <c r="AK537">
        <f t="shared" si="154"/>
        <v>10</v>
      </c>
      <c r="AL537" s="26">
        <f>IFERROR(Table2[[#This Row],[Calories]]/Table2[[#This Row],[Splat]],"")</f>
        <v>55.727272727272727</v>
      </c>
      <c r="AM537">
        <f>COUNTIF(N$2:$N$938,N537)</f>
        <v>218</v>
      </c>
      <c r="AN537" t="str">
        <f>VLOOKUP(N537,'Helpful Tables'!A:D,4,FALSE)</f>
        <v>Washington, DC</v>
      </c>
      <c r="AO537" s="24">
        <f>COUNTIF(AN:AN,Table2[[#This Row],[State]])/COUNTA(AN:AN)</f>
        <v>0.54904051172707891</v>
      </c>
      <c r="AP537">
        <f>VLOOKUP(N537,'Helpful Tables'!A:B,2,FALSE)</f>
        <v>38.934710000000003</v>
      </c>
      <c r="AQ537">
        <f>VLOOKUP(N537,'Helpful Tables'!A:C,3,FALSE)</f>
        <v>-77.058222999999998</v>
      </c>
      <c r="AR537">
        <f>COUNTIF(P$2:$P$938,P537)</f>
        <v>71</v>
      </c>
      <c r="AS537" cm="1">
        <f t="array" ref="AS537">_xlfn.IFS(E537&lt;6,((E537/D537)*60)*0.5,AND(E537&gt;=6,E537&lt;9),((E537/D537)*60)*0.75,AND(E537&gt;=9,E537&lt;=11),((E537/D537)*60)*0.9,AND(E537=12),((E537/D537)*60)*1,AND(E537&gt;=13,E537&lt;=15),((E537/D537)*60)*1.2,AND(E537&gt;=16,E537&lt;=19),((E537/D537)*60)*1.5,E537&gt;=20,((E537/D537)*60)*1.8)</f>
        <v>10.067796610169491</v>
      </c>
      <c r="AT537" cm="1">
        <f t="array" ref="AT537">_xlfn.IFS(F537&lt;550,((F537/D537)*60)*0.5,AND(F537&gt;=550,F537&lt;575),((F537/D537)*60)*0.75,AND(F537&gt;=575,F537&lt;600),((F537/D537)*60)*0.9,AND(F537=600),((F537/D537)*60)*1,AND(F537&gt;=601,F537&lt;=625),((F537/D537)*60)*1.2,AND(F537&gt;=626,F537&lt;=650),((F537/D537)*60)*1.5,F537&gt;=651,((F537/D537)*60)*1.8)</f>
        <v>748.06779661016947</v>
      </c>
      <c r="AU537">
        <f t="shared" si="142"/>
        <v>-5.5</v>
      </c>
      <c r="AV537">
        <f t="shared" si="157"/>
        <v>302.15423728813556</v>
      </c>
      <c r="AW537">
        <f t="shared" si="143"/>
        <v>27.6</v>
      </c>
      <c r="AX537" t="str">
        <f t="shared" si="155"/>
        <v>Oct-2023</v>
      </c>
      <c r="AY537">
        <f>ROUNDUP(Table2[[#This Row],[Month]]/3,0)</f>
        <v>4</v>
      </c>
    </row>
    <row r="538" spans="1:51" x14ac:dyDescent="0.2">
      <c r="A538">
        <v>537</v>
      </c>
      <c r="B538">
        <f t="shared" si="144"/>
        <v>15</v>
      </c>
      <c r="C538" s="22">
        <v>45212</v>
      </c>
      <c r="D538">
        <f>SUM(Table2[[#This Row],[Gray Min]:[Red Min]])</f>
        <v>56</v>
      </c>
      <c r="E538">
        <v>12</v>
      </c>
      <c r="F538">
        <v>630</v>
      </c>
      <c r="G538">
        <v>127</v>
      </c>
      <c r="H538">
        <v>162</v>
      </c>
      <c r="I538">
        <v>8</v>
      </c>
      <c r="J538">
        <v>22</v>
      </c>
      <c r="K538">
        <v>14</v>
      </c>
      <c r="L538">
        <v>12</v>
      </c>
      <c r="M538">
        <v>0</v>
      </c>
      <c r="N538" t="s">
        <v>101</v>
      </c>
      <c r="O538" t="s">
        <v>184</v>
      </c>
      <c r="P538" t="s">
        <v>109</v>
      </c>
      <c r="Q538">
        <f t="shared" si="156"/>
        <v>2</v>
      </c>
      <c r="R538" t="str">
        <f t="shared" si="145"/>
        <v>10-2023</v>
      </c>
      <c r="S538" t="s">
        <v>104</v>
      </c>
      <c r="T538" t="str">
        <f t="shared" si="146"/>
        <v>Friday</v>
      </c>
      <c r="U538">
        <f t="shared" si="147"/>
        <v>1</v>
      </c>
      <c r="V538" s="24">
        <f>IFERROR(Table2[[#This Row],[Gray Min]]/Table2[[#This Row],[ClassLength]],"")</f>
        <v>0.14285714285714285</v>
      </c>
      <c r="W538" s="24">
        <f>IFERROR(Table2[[#This Row],[Blue Min]]/Table2[[#This Row],[ClassLength]],"")</f>
        <v>0.39285714285714285</v>
      </c>
      <c r="X538" s="24">
        <f>IFERROR(Table2[[#This Row],[Green Min]]/Table2[[#This Row],[ClassLength]],"")</f>
        <v>0.25</v>
      </c>
      <c r="Y538" s="24">
        <f>IFERROR(Table2[[#This Row],[Orange Min]]/Table2[[#This Row],[ClassLength]],"")</f>
        <v>0.21428571428571427</v>
      </c>
      <c r="Z538" s="24">
        <f>IFERROR(Table2[[#This Row],[Red Min]]/Table2[[#This Row],[ClassLength]],"")</f>
        <v>0</v>
      </c>
      <c r="AA538" s="25">
        <v>232.14</v>
      </c>
      <c r="AB538" s="25">
        <f t="shared" si="158"/>
        <v>15.475999999999999</v>
      </c>
      <c r="AC538" s="26">
        <f t="shared" si="148"/>
        <v>635.73333333333335</v>
      </c>
      <c r="AD538" s="26">
        <f t="shared" si="149"/>
        <v>14.133333333333333</v>
      </c>
      <c r="AE538">
        <f t="shared" si="150"/>
        <v>2023</v>
      </c>
      <c r="AG538">
        <v>12</v>
      </c>
      <c r="AH538" s="26">
        <f t="shared" si="151"/>
        <v>11.25</v>
      </c>
      <c r="AI538" t="str">
        <f t="shared" si="152"/>
        <v>AM</v>
      </c>
      <c r="AJ538" t="str">
        <f t="shared" si="153"/>
        <v>10-2023-2</v>
      </c>
      <c r="AK538">
        <f t="shared" si="154"/>
        <v>10</v>
      </c>
      <c r="AL538" s="26">
        <f>IFERROR(Table2[[#This Row],[Calories]]/Table2[[#This Row],[Splat]],"")</f>
        <v>52.5</v>
      </c>
      <c r="AM538">
        <f>COUNTIF(N$2:$N$938,N538)</f>
        <v>191</v>
      </c>
      <c r="AN538" t="str">
        <f>VLOOKUP(N538,'Helpful Tables'!A:D,4,FALSE)</f>
        <v>Washington, DC</v>
      </c>
      <c r="AO538" s="24">
        <f>COUNTIF(AN:AN,Table2[[#This Row],[State]])/COUNTA(AN:AN)</f>
        <v>0.54904051172707891</v>
      </c>
      <c r="AP538">
        <f>VLOOKUP(N538,'Helpful Tables'!A:B,2,FALSE)</f>
        <v>38.949649000000001</v>
      </c>
      <c r="AQ538">
        <f>VLOOKUP(N538,'Helpful Tables'!A:C,3,FALSE)</f>
        <v>-77.080878999999996</v>
      </c>
      <c r="AR538">
        <f>COUNTIF(P$2:$P$938,P538)</f>
        <v>66</v>
      </c>
      <c r="AS538" cm="1">
        <f t="array" ref="AS538">_xlfn.IFS(E538&lt;6,((E538/D538)*60)*0.5,AND(E538&gt;=6,E538&lt;9),((E538/D538)*60)*0.75,AND(E538&gt;=9,E538&lt;=11),((E538/D538)*60)*0.9,AND(E538=12),((E538/D538)*60)*1,AND(E538&gt;=13,E538&lt;=15),((E538/D538)*60)*1.2,AND(E538&gt;=16,E538&lt;=19),((E538/D538)*60)*1.5,E538&gt;=20,((E538/D538)*60)*1.8)</f>
        <v>12.857142857142856</v>
      </c>
      <c r="AT538" cm="1">
        <f t="array" ref="AT538">_xlfn.IFS(F538&lt;550,((F538/D538)*60)*0.5,AND(F538&gt;=550,F538&lt;575),((F538/D538)*60)*0.75,AND(F538&gt;=575,F538&lt;600),((F538/D538)*60)*0.9,AND(F538=600),((F538/D538)*60)*1,AND(F538&gt;=601,F538&lt;=625),((F538/D538)*60)*1.2,AND(F538&gt;=626,F538&lt;=650),((F538/D538)*60)*1.5,F538&gt;=651,((F538/D538)*60)*1.8)</f>
        <v>1012.5</v>
      </c>
      <c r="AU538">
        <f t="shared" si="142"/>
        <v>-1.4000000000000021</v>
      </c>
      <c r="AV538">
        <f t="shared" si="157"/>
        <v>409.86285714285719</v>
      </c>
      <c r="AW538">
        <f t="shared" si="143"/>
        <v>58.099999999999994</v>
      </c>
      <c r="AX538" t="str">
        <f t="shared" si="155"/>
        <v>Oct-2023</v>
      </c>
      <c r="AY538">
        <f>ROUNDUP(Table2[[#This Row],[Month]]/3,0)</f>
        <v>4</v>
      </c>
    </row>
    <row r="539" spans="1:51" x14ac:dyDescent="0.2">
      <c r="A539">
        <v>538</v>
      </c>
      <c r="B539">
        <f t="shared" si="144"/>
        <v>15</v>
      </c>
      <c r="C539" s="22">
        <v>45214</v>
      </c>
      <c r="D539">
        <f>SUM(Table2[[#This Row],[Gray Min]:[Red Min]])</f>
        <v>60</v>
      </c>
      <c r="E539">
        <v>14</v>
      </c>
      <c r="F539">
        <v>657</v>
      </c>
      <c r="G539">
        <v>127</v>
      </c>
      <c r="H539">
        <v>167</v>
      </c>
      <c r="I539">
        <v>12</v>
      </c>
      <c r="J539">
        <v>17</v>
      </c>
      <c r="K539">
        <v>17</v>
      </c>
      <c r="L539">
        <v>11</v>
      </c>
      <c r="M539">
        <v>3</v>
      </c>
      <c r="N539" t="s">
        <v>91</v>
      </c>
      <c r="O539" t="s">
        <v>79</v>
      </c>
      <c r="P539" t="s">
        <v>100</v>
      </c>
      <c r="Q539">
        <f t="shared" si="156"/>
        <v>2</v>
      </c>
      <c r="R539" t="str">
        <f t="shared" si="145"/>
        <v>10-2023</v>
      </c>
      <c r="S539" t="s">
        <v>104</v>
      </c>
      <c r="T539" t="str">
        <f t="shared" si="146"/>
        <v>Sunday</v>
      </c>
      <c r="U539">
        <f t="shared" si="147"/>
        <v>1</v>
      </c>
      <c r="V539" s="24">
        <f>IFERROR(Table2[[#This Row],[Gray Min]]/Table2[[#This Row],[ClassLength]],"")</f>
        <v>0.2</v>
      </c>
      <c r="W539" s="24">
        <f>IFERROR(Table2[[#This Row],[Blue Min]]/Table2[[#This Row],[ClassLength]],"")</f>
        <v>0.28333333333333333</v>
      </c>
      <c r="X539" s="24">
        <f>IFERROR(Table2[[#This Row],[Green Min]]/Table2[[#This Row],[ClassLength]],"")</f>
        <v>0.28333333333333333</v>
      </c>
      <c r="Y539" s="24">
        <f>IFERROR(Table2[[#This Row],[Orange Min]]/Table2[[#This Row],[ClassLength]],"")</f>
        <v>0.18333333333333332</v>
      </c>
      <c r="Z539" s="24">
        <f>IFERROR(Table2[[#This Row],[Red Min]]/Table2[[#This Row],[ClassLength]],"")</f>
        <v>0.05</v>
      </c>
      <c r="AA539" s="25">
        <v>232.14</v>
      </c>
      <c r="AB539" s="25">
        <f t="shared" si="158"/>
        <v>15.475999999999999</v>
      </c>
      <c r="AC539" s="26">
        <f t="shared" si="148"/>
        <v>635.73333333333335</v>
      </c>
      <c r="AD539" s="26">
        <f t="shared" si="149"/>
        <v>14.133333333333333</v>
      </c>
      <c r="AE539">
        <f t="shared" si="150"/>
        <v>2023</v>
      </c>
      <c r="AG539">
        <v>12</v>
      </c>
      <c r="AH539" s="26">
        <f t="shared" si="151"/>
        <v>10.95</v>
      </c>
      <c r="AI539" t="str">
        <f t="shared" si="152"/>
        <v>AM</v>
      </c>
      <c r="AJ539" t="str">
        <f t="shared" si="153"/>
        <v>10-2023-3</v>
      </c>
      <c r="AK539">
        <f t="shared" si="154"/>
        <v>10</v>
      </c>
      <c r="AL539" s="26">
        <f>IFERROR(Table2[[#This Row],[Calories]]/Table2[[#This Row],[Splat]],"")</f>
        <v>46.928571428571431</v>
      </c>
      <c r="AM539">
        <f>COUNTIF(N$2:$N$938,N539)</f>
        <v>218</v>
      </c>
      <c r="AN539" t="str">
        <f>VLOOKUP(N539,'Helpful Tables'!A:D,4,FALSE)</f>
        <v>Washington, DC</v>
      </c>
      <c r="AO539" s="24">
        <f>COUNTIF(AN:AN,Table2[[#This Row],[State]])/COUNTA(AN:AN)</f>
        <v>0.54904051172707891</v>
      </c>
      <c r="AP539">
        <f>VLOOKUP(N539,'Helpful Tables'!A:B,2,FALSE)</f>
        <v>38.934710000000003</v>
      </c>
      <c r="AQ539">
        <f>VLOOKUP(N539,'Helpful Tables'!A:C,3,FALSE)</f>
        <v>-77.058222999999998</v>
      </c>
      <c r="AR539">
        <f>COUNTIF(P$2:$P$938,P539)</f>
        <v>35</v>
      </c>
      <c r="AS539" cm="1">
        <f t="array" ref="AS539">_xlfn.IFS(E539&lt;6,((E539/D539)*60)*0.5,AND(E539&gt;=6,E539&lt;9),((E539/D539)*60)*0.75,AND(E539&gt;=9,E539&lt;=11),((E539/D539)*60)*0.9,AND(E539=12),((E539/D539)*60)*1,AND(E539&gt;=13,E539&lt;=15),((E539/D539)*60)*1.2,AND(E539&gt;=16,E539&lt;=19),((E539/D539)*60)*1.5,E539&gt;=20,((E539/D539)*60)*1.8)</f>
        <v>16.8</v>
      </c>
      <c r="AT539" cm="1">
        <f t="array" ref="AT539">_xlfn.IFS(F539&lt;550,((F539/D539)*60)*0.5,AND(F539&gt;=550,F539&lt;575),((F539/D539)*60)*0.75,AND(F539&gt;=575,F539&lt;600),((F539/D539)*60)*0.9,AND(F539=600),((F539/D539)*60)*1,AND(F539&gt;=601,F539&lt;=625),((F539/D539)*60)*1.2,AND(F539&gt;=626,F539&lt;=650),((F539/D539)*60)*1.5,F539&gt;=651,((F539/D539)*60)*1.8)</f>
        <v>1182.6000000000001</v>
      </c>
      <c r="AU539">
        <f t="shared" si="142"/>
        <v>6.0999999999999979</v>
      </c>
      <c r="AV539">
        <f t="shared" si="157"/>
        <v>480.98000000000013</v>
      </c>
      <c r="AW539">
        <f t="shared" si="143"/>
        <v>70</v>
      </c>
      <c r="AX539" t="str">
        <f t="shared" si="155"/>
        <v>Oct-2023</v>
      </c>
      <c r="AY539">
        <f>ROUNDUP(Table2[[#This Row],[Month]]/3,0)</f>
        <v>4</v>
      </c>
    </row>
    <row r="540" spans="1:51" x14ac:dyDescent="0.2">
      <c r="A540">
        <v>539</v>
      </c>
      <c r="B540">
        <f t="shared" si="144"/>
        <v>15</v>
      </c>
      <c r="C540" s="22">
        <v>45216</v>
      </c>
      <c r="D540">
        <f>SUM(Table2[[#This Row],[Gray Min]:[Red Min]])</f>
        <v>57</v>
      </c>
      <c r="E540">
        <v>10</v>
      </c>
      <c r="F540">
        <v>604</v>
      </c>
      <c r="G540">
        <v>124</v>
      </c>
      <c r="H540">
        <v>164</v>
      </c>
      <c r="I540">
        <v>15</v>
      </c>
      <c r="J540">
        <v>15</v>
      </c>
      <c r="K540">
        <v>17</v>
      </c>
      <c r="L540">
        <v>9</v>
      </c>
      <c r="M540">
        <v>1</v>
      </c>
      <c r="N540" t="s">
        <v>91</v>
      </c>
      <c r="O540" t="s">
        <v>57</v>
      </c>
      <c r="P540" t="s">
        <v>187</v>
      </c>
      <c r="Q540">
        <f t="shared" si="156"/>
        <v>2</v>
      </c>
      <c r="R540" t="str">
        <f t="shared" si="145"/>
        <v>10-2023</v>
      </c>
      <c r="S540" t="s">
        <v>104</v>
      </c>
      <c r="T540" t="str">
        <f t="shared" si="146"/>
        <v>Tuesday</v>
      </c>
      <c r="U540">
        <f t="shared" si="147"/>
        <v>0</v>
      </c>
      <c r="V540" s="24">
        <f>IFERROR(Table2[[#This Row],[Gray Min]]/Table2[[#This Row],[ClassLength]],"")</f>
        <v>0.26315789473684209</v>
      </c>
      <c r="W540" s="24">
        <f>IFERROR(Table2[[#This Row],[Blue Min]]/Table2[[#This Row],[ClassLength]],"")</f>
        <v>0.26315789473684209</v>
      </c>
      <c r="X540" s="24">
        <f>IFERROR(Table2[[#This Row],[Green Min]]/Table2[[#This Row],[ClassLength]],"")</f>
        <v>0.2982456140350877</v>
      </c>
      <c r="Y540" s="24">
        <f>IFERROR(Table2[[#This Row],[Orange Min]]/Table2[[#This Row],[ClassLength]],"")</f>
        <v>0.15789473684210525</v>
      </c>
      <c r="Z540" s="24">
        <f>IFERROR(Table2[[#This Row],[Red Min]]/Table2[[#This Row],[ClassLength]],"")</f>
        <v>1.7543859649122806E-2</v>
      </c>
      <c r="AA540" s="25">
        <v>232.14</v>
      </c>
      <c r="AB540" s="25">
        <f t="shared" si="158"/>
        <v>15.475999999999999</v>
      </c>
      <c r="AC540" s="26">
        <f t="shared" si="148"/>
        <v>635.73333333333335</v>
      </c>
      <c r="AD540" s="26">
        <f t="shared" si="149"/>
        <v>14.133333333333333</v>
      </c>
      <c r="AE540">
        <f t="shared" si="150"/>
        <v>2023</v>
      </c>
      <c r="AG540">
        <v>12</v>
      </c>
      <c r="AH540" s="26">
        <f t="shared" si="151"/>
        <v>10.596491228070175</v>
      </c>
      <c r="AI540" t="str">
        <f t="shared" si="152"/>
        <v>PM</v>
      </c>
      <c r="AJ540" t="str">
        <f t="shared" si="153"/>
        <v>10-2023-3</v>
      </c>
      <c r="AK540">
        <f t="shared" si="154"/>
        <v>10</v>
      </c>
      <c r="AL540" s="26">
        <f>IFERROR(Table2[[#This Row],[Calories]]/Table2[[#This Row],[Splat]],"")</f>
        <v>60.4</v>
      </c>
      <c r="AM540">
        <f>COUNTIF(N$2:$N$938,N540)</f>
        <v>218</v>
      </c>
      <c r="AN540" t="str">
        <f>VLOOKUP(N540,'Helpful Tables'!A:D,4,FALSE)</f>
        <v>Washington, DC</v>
      </c>
      <c r="AO540" s="24">
        <f>COUNTIF(AN:AN,Table2[[#This Row],[State]])/COUNTA(AN:AN)</f>
        <v>0.54904051172707891</v>
      </c>
      <c r="AP540">
        <f>VLOOKUP(N540,'Helpful Tables'!A:B,2,FALSE)</f>
        <v>38.934710000000003</v>
      </c>
      <c r="AQ540">
        <f>VLOOKUP(N540,'Helpful Tables'!A:C,3,FALSE)</f>
        <v>-77.058222999999998</v>
      </c>
      <c r="AR540">
        <f>COUNTIF(P$2:$P$938,P540)</f>
        <v>7</v>
      </c>
      <c r="AS540" cm="1">
        <f t="array" ref="AS540">_xlfn.IFS(E540&lt;6,((E540/D540)*60)*0.5,AND(E540&gt;=6,E540&lt;9),((E540/D540)*60)*0.75,AND(E540&gt;=9,E540&lt;=11),((E540/D540)*60)*0.9,AND(E540=12),((E540/D540)*60)*1,AND(E540&gt;=13,E540&lt;=15),((E540/D540)*60)*1.2,AND(E540&gt;=16,E540&lt;=19),((E540/D540)*60)*1.5,E540&gt;=20,((E540/D540)*60)*1.8)</f>
        <v>9.473684210526315</v>
      </c>
      <c r="AT540" cm="1">
        <f t="array" ref="AT540">_xlfn.IFS(F540&lt;550,((F540/D540)*60)*0.5,AND(F540&gt;=550,F540&lt;575),((F540/D540)*60)*0.75,AND(F540&gt;=575,F540&lt;600),((F540/D540)*60)*0.9,AND(F540=600),((F540/D540)*60)*1,AND(F540&gt;=601,F540&lt;=625),((F540/D540)*60)*1.2,AND(F540&gt;=626,F540&lt;=650),((F540/D540)*60)*1.5,F540&gt;=651,((F540/D540)*60)*1.8)</f>
        <v>762.9473684210526</v>
      </c>
      <c r="AU540">
        <f t="shared" si="142"/>
        <v>-0.90000000000000036</v>
      </c>
      <c r="AV540">
        <f t="shared" si="157"/>
        <v>308.78842105263158</v>
      </c>
      <c r="AW540">
        <f t="shared" si="143"/>
        <v>31</v>
      </c>
      <c r="AX540" t="str">
        <f t="shared" si="155"/>
        <v>Oct-2023</v>
      </c>
      <c r="AY540">
        <f>ROUNDUP(Table2[[#This Row],[Month]]/3,0)</f>
        <v>4</v>
      </c>
    </row>
    <row r="541" spans="1:51" x14ac:dyDescent="0.2">
      <c r="A541">
        <v>540</v>
      </c>
      <c r="B541">
        <f t="shared" si="144"/>
        <v>15</v>
      </c>
      <c r="C541" s="22">
        <v>45217</v>
      </c>
      <c r="D541">
        <f>SUM(Table2[[#This Row],[Gray Min]:[Red Min]])</f>
        <v>60</v>
      </c>
      <c r="E541">
        <v>18</v>
      </c>
      <c r="F541">
        <v>668</v>
      </c>
      <c r="G541">
        <v>127</v>
      </c>
      <c r="H541">
        <v>165</v>
      </c>
      <c r="I541">
        <v>12</v>
      </c>
      <c r="J541">
        <v>19</v>
      </c>
      <c r="K541">
        <v>11</v>
      </c>
      <c r="L541">
        <v>17</v>
      </c>
      <c r="M541">
        <v>1</v>
      </c>
      <c r="N541" t="s">
        <v>101</v>
      </c>
      <c r="O541" t="s">
        <v>173</v>
      </c>
      <c r="P541" t="s">
        <v>189</v>
      </c>
      <c r="Q541">
        <f t="shared" si="156"/>
        <v>1</v>
      </c>
      <c r="R541" t="str">
        <f t="shared" si="145"/>
        <v>10-2023</v>
      </c>
      <c r="S541" t="s">
        <v>104</v>
      </c>
      <c r="T541" t="str">
        <f t="shared" si="146"/>
        <v>Wednesday</v>
      </c>
      <c r="U541">
        <f t="shared" si="147"/>
        <v>1</v>
      </c>
      <c r="V541" s="24">
        <f>IFERROR(Table2[[#This Row],[Gray Min]]/Table2[[#This Row],[ClassLength]],"")</f>
        <v>0.2</v>
      </c>
      <c r="W541" s="24">
        <f>IFERROR(Table2[[#This Row],[Blue Min]]/Table2[[#This Row],[ClassLength]],"")</f>
        <v>0.31666666666666665</v>
      </c>
      <c r="X541" s="24">
        <f>IFERROR(Table2[[#This Row],[Green Min]]/Table2[[#This Row],[ClassLength]],"")</f>
        <v>0.18333333333333332</v>
      </c>
      <c r="Y541" s="24">
        <f>IFERROR(Table2[[#This Row],[Orange Min]]/Table2[[#This Row],[ClassLength]],"")</f>
        <v>0.28333333333333333</v>
      </c>
      <c r="Z541" s="24">
        <f>IFERROR(Table2[[#This Row],[Red Min]]/Table2[[#This Row],[ClassLength]],"")</f>
        <v>1.6666666666666666E-2</v>
      </c>
      <c r="AA541" s="25">
        <v>232.14</v>
      </c>
      <c r="AB541" s="25">
        <f t="shared" si="158"/>
        <v>15.475999999999999</v>
      </c>
      <c r="AC541" s="26">
        <f t="shared" si="148"/>
        <v>635.73333333333335</v>
      </c>
      <c r="AD541" s="26">
        <f t="shared" si="149"/>
        <v>14.133333333333333</v>
      </c>
      <c r="AE541">
        <f t="shared" si="150"/>
        <v>2023</v>
      </c>
      <c r="AG541">
        <v>12</v>
      </c>
      <c r="AH541" s="26">
        <f t="shared" si="151"/>
        <v>11.133333333333333</v>
      </c>
      <c r="AI541" t="str">
        <f t="shared" si="152"/>
        <v>PM</v>
      </c>
      <c r="AJ541" t="str">
        <f t="shared" si="153"/>
        <v>10-2023-3</v>
      </c>
      <c r="AK541">
        <f t="shared" si="154"/>
        <v>10</v>
      </c>
      <c r="AL541" s="26">
        <f>IFERROR(Table2[[#This Row],[Calories]]/Table2[[#This Row],[Splat]],"")</f>
        <v>37.111111111111114</v>
      </c>
      <c r="AM541">
        <f>COUNTIF(N$2:$N$938,N541)</f>
        <v>191</v>
      </c>
      <c r="AN541" t="str">
        <f>VLOOKUP(N541,'Helpful Tables'!A:D,4,FALSE)</f>
        <v>Washington, DC</v>
      </c>
      <c r="AO541" s="24">
        <f>COUNTIF(AN:AN,Table2[[#This Row],[State]])/COUNTA(AN:AN)</f>
        <v>0.54904051172707891</v>
      </c>
      <c r="AP541">
        <f>VLOOKUP(N541,'Helpful Tables'!A:B,2,FALSE)</f>
        <v>38.949649000000001</v>
      </c>
      <c r="AQ541">
        <f>VLOOKUP(N541,'Helpful Tables'!A:C,3,FALSE)</f>
        <v>-77.080878999999996</v>
      </c>
      <c r="AR541">
        <f>COUNTIF(P$2:$P$938,P541)</f>
        <v>8</v>
      </c>
      <c r="AS541" cm="1">
        <f t="array" ref="AS541">_xlfn.IFS(E541&lt;6,((E541/D541)*60)*0.5,AND(E541&gt;=6,E541&lt;9),((E541/D541)*60)*0.75,AND(E541&gt;=9,E541&lt;=11),((E541/D541)*60)*0.9,AND(E541=12),((E541/D541)*60)*1,AND(E541&gt;=13,E541&lt;=15),((E541/D541)*60)*1.2,AND(E541&gt;=16,E541&lt;=19),((E541/D541)*60)*1.5,E541&gt;=20,((E541/D541)*60)*1.8)</f>
        <v>27</v>
      </c>
      <c r="AT541" cm="1">
        <f t="array" ref="AT541">_xlfn.IFS(F541&lt;550,((F541/D541)*60)*0.5,AND(F541&gt;=550,F541&lt;575),((F541/D541)*60)*0.75,AND(F541&gt;=575,F541&lt;600),((F541/D541)*60)*0.9,AND(F541=600),((F541/D541)*60)*1,AND(F541&gt;=601,F541&lt;=625),((F541/D541)*60)*1.2,AND(F541&gt;=626,F541&lt;=650),((F541/D541)*60)*1.5,F541&gt;=651,((F541/D541)*60)*1.8)</f>
        <v>1202.4000000000001</v>
      </c>
      <c r="AU541">
        <f t="shared" si="142"/>
        <v>1.5000000000000036</v>
      </c>
      <c r="AV541">
        <f t="shared" si="157"/>
        <v>492.06000000000006</v>
      </c>
      <c r="AW541">
        <f t="shared" si="143"/>
        <v>74.8</v>
      </c>
      <c r="AX541" t="str">
        <f t="shared" si="155"/>
        <v>Oct-2023</v>
      </c>
      <c r="AY541">
        <f>ROUNDUP(Table2[[#This Row],[Month]]/3,0)</f>
        <v>4</v>
      </c>
    </row>
    <row r="542" spans="1:51" x14ac:dyDescent="0.2">
      <c r="A542">
        <v>541</v>
      </c>
      <c r="B542">
        <f t="shared" si="144"/>
        <v>15</v>
      </c>
      <c r="C542" s="22">
        <v>45220</v>
      </c>
      <c r="D542">
        <f>SUM(Table2[[#This Row],[Gray Min]:[Red Min]])</f>
        <v>61</v>
      </c>
      <c r="E542">
        <v>20</v>
      </c>
      <c r="F542">
        <v>693</v>
      </c>
      <c r="G542">
        <v>130</v>
      </c>
      <c r="H542">
        <v>170</v>
      </c>
      <c r="I542">
        <v>12</v>
      </c>
      <c r="J542">
        <v>15</v>
      </c>
      <c r="K542">
        <v>14</v>
      </c>
      <c r="L542">
        <v>17</v>
      </c>
      <c r="M542">
        <v>3</v>
      </c>
      <c r="N542" t="s">
        <v>91</v>
      </c>
      <c r="O542" t="s">
        <v>79</v>
      </c>
      <c r="P542" t="s">
        <v>187</v>
      </c>
      <c r="Q542">
        <f t="shared" si="156"/>
        <v>3</v>
      </c>
      <c r="R542" t="str">
        <f t="shared" si="145"/>
        <v>10-2023</v>
      </c>
      <c r="S542" t="s">
        <v>104</v>
      </c>
      <c r="T542" t="str">
        <f t="shared" si="146"/>
        <v>Saturday</v>
      </c>
      <c r="U542">
        <f t="shared" si="147"/>
        <v>1</v>
      </c>
      <c r="V542" s="24">
        <f>IFERROR(Table2[[#This Row],[Gray Min]]/Table2[[#This Row],[ClassLength]],"")</f>
        <v>0.19672131147540983</v>
      </c>
      <c r="W542" s="24">
        <f>IFERROR(Table2[[#This Row],[Blue Min]]/Table2[[#This Row],[ClassLength]],"")</f>
        <v>0.24590163934426229</v>
      </c>
      <c r="X542" s="24">
        <f>IFERROR(Table2[[#This Row],[Green Min]]/Table2[[#This Row],[ClassLength]],"")</f>
        <v>0.22950819672131148</v>
      </c>
      <c r="Y542" s="24">
        <f>IFERROR(Table2[[#This Row],[Orange Min]]/Table2[[#This Row],[ClassLength]],"")</f>
        <v>0.27868852459016391</v>
      </c>
      <c r="Z542" s="24">
        <f>IFERROR(Table2[[#This Row],[Red Min]]/Table2[[#This Row],[ClassLength]],"")</f>
        <v>4.9180327868852458E-2</v>
      </c>
      <c r="AA542" s="25">
        <v>232.14</v>
      </c>
      <c r="AB542" s="25">
        <f t="shared" si="158"/>
        <v>15.475999999999999</v>
      </c>
      <c r="AC542" s="26">
        <f t="shared" si="148"/>
        <v>635.73333333333335</v>
      </c>
      <c r="AD542" s="26">
        <f t="shared" si="149"/>
        <v>14.133333333333333</v>
      </c>
      <c r="AE542">
        <f t="shared" si="150"/>
        <v>2023</v>
      </c>
      <c r="AG542">
        <v>12</v>
      </c>
      <c r="AH542" s="26">
        <f t="shared" si="151"/>
        <v>11.360655737704919</v>
      </c>
      <c r="AI542" t="str">
        <f t="shared" si="152"/>
        <v>AM</v>
      </c>
      <c r="AJ542" t="str">
        <f t="shared" si="153"/>
        <v>10-2023-3</v>
      </c>
      <c r="AK542">
        <f t="shared" si="154"/>
        <v>10</v>
      </c>
      <c r="AL542" s="26">
        <f>IFERROR(Table2[[#This Row],[Calories]]/Table2[[#This Row],[Splat]],"")</f>
        <v>34.65</v>
      </c>
      <c r="AM542">
        <f>COUNTIF(N$2:$N$938,N542)</f>
        <v>218</v>
      </c>
      <c r="AN542" t="str">
        <f>VLOOKUP(N542,'Helpful Tables'!A:D,4,FALSE)</f>
        <v>Washington, DC</v>
      </c>
      <c r="AO542" s="24">
        <f>COUNTIF(AN:AN,Table2[[#This Row],[State]])/COUNTA(AN:AN)</f>
        <v>0.54904051172707891</v>
      </c>
      <c r="AP542">
        <f>VLOOKUP(N542,'Helpful Tables'!A:B,2,FALSE)</f>
        <v>38.934710000000003</v>
      </c>
      <c r="AQ542">
        <f>VLOOKUP(N542,'Helpful Tables'!A:C,3,FALSE)</f>
        <v>-77.058222999999998</v>
      </c>
      <c r="AR542">
        <f>COUNTIF(P$2:$P$938,P542)</f>
        <v>7</v>
      </c>
      <c r="AS542" cm="1">
        <f t="array" ref="AS542">_xlfn.IFS(E542&lt;6,((E542/D542)*60)*0.5,AND(E542&gt;=6,E542&lt;9),((E542/D542)*60)*0.75,AND(E542&gt;=9,E542&lt;=11),((E542/D542)*60)*0.9,AND(E542=12),((E542/D542)*60)*1,AND(E542&gt;=13,E542&lt;=15),((E542/D542)*60)*1.2,AND(E542&gt;=16,E542&lt;=19),((E542/D542)*60)*1.5,E542&gt;=20,((E542/D542)*60)*1.8)</f>
        <v>35.409836065573764</v>
      </c>
      <c r="AT542" cm="1">
        <f t="array" ref="AT542">_xlfn.IFS(F542&lt;550,((F542/D542)*60)*0.5,AND(F542&gt;=550,F542&lt;575),((F542/D542)*60)*0.75,AND(F542&gt;=575,F542&lt;600),((F542/D542)*60)*0.9,AND(F542=600),((F542/D542)*60)*1,AND(F542&gt;=601,F542&lt;=625),((F542/D542)*60)*1.2,AND(F542&gt;=626,F542&lt;=650),((F542/D542)*60)*1.5,F542&gt;=651,((F542/D542)*60)*1.8)</f>
        <v>1226.9508196721313</v>
      </c>
      <c r="AU542">
        <f t="shared" ref="AU542:AU605" si="159">(I542*-1.2)+(J542*-1.1)+(K542*1.2)+(L542*1.3)+(M542*1.5)</f>
        <v>12.500000000000004</v>
      </c>
      <c r="AV542">
        <f t="shared" si="157"/>
        <v>507.44426229508201</v>
      </c>
      <c r="AW542">
        <f t="shared" ref="AW542:AW605" si="160">PERCENTRANK(AV:AV,AV542)*100</f>
        <v>84.2</v>
      </c>
      <c r="AX542" t="str">
        <f t="shared" si="155"/>
        <v>Oct-2023</v>
      </c>
      <c r="AY542">
        <f>ROUNDUP(Table2[[#This Row],[Month]]/3,0)</f>
        <v>4</v>
      </c>
    </row>
    <row r="543" spans="1:51" x14ac:dyDescent="0.2">
      <c r="A543">
        <v>542</v>
      </c>
      <c r="B543">
        <f t="shared" si="144"/>
        <v>15</v>
      </c>
      <c r="C543" s="22">
        <v>45223</v>
      </c>
      <c r="D543">
        <f>SUM(Table2[[#This Row],[Gray Min]:[Red Min]])</f>
        <v>58</v>
      </c>
      <c r="E543">
        <v>8</v>
      </c>
      <c r="F543">
        <v>534</v>
      </c>
      <c r="G543">
        <v>115</v>
      </c>
      <c r="H543">
        <v>169</v>
      </c>
      <c r="I543">
        <v>24</v>
      </c>
      <c r="J543">
        <v>14</v>
      </c>
      <c r="K543">
        <v>12</v>
      </c>
      <c r="L543">
        <v>6</v>
      </c>
      <c r="M543">
        <v>2</v>
      </c>
      <c r="N543" t="s">
        <v>101</v>
      </c>
      <c r="O543" t="s">
        <v>173</v>
      </c>
      <c r="P543" t="s">
        <v>109</v>
      </c>
      <c r="Q543">
        <f t="shared" si="156"/>
        <v>3</v>
      </c>
      <c r="R543" t="str">
        <f t="shared" si="145"/>
        <v>10-2023</v>
      </c>
      <c r="S543" t="s">
        <v>104</v>
      </c>
      <c r="T543" t="str">
        <f t="shared" si="146"/>
        <v>Tuesday</v>
      </c>
      <c r="U543">
        <f t="shared" si="147"/>
        <v>0</v>
      </c>
      <c r="V543" s="24">
        <f>IFERROR(Table2[[#This Row],[Gray Min]]/Table2[[#This Row],[ClassLength]],"")</f>
        <v>0.41379310344827586</v>
      </c>
      <c r="W543" s="24">
        <f>IFERROR(Table2[[#This Row],[Blue Min]]/Table2[[#This Row],[ClassLength]],"")</f>
        <v>0.2413793103448276</v>
      </c>
      <c r="X543" s="24">
        <f>IFERROR(Table2[[#This Row],[Green Min]]/Table2[[#This Row],[ClassLength]],"")</f>
        <v>0.20689655172413793</v>
      </c>
      <c r="Y543" s="24">
        <f>IFERROR(Table2[[#This Row],[Orange Min]]/Table2[[#This Row],[ClassLength]],"")</f>
        <v>0.10344827586206896</v>
      </c>
      <c r="Z543" s="24">
        <f>IFERROR(Table2[[#This Row],[Red Min]]/Table2[[#This Row],[ClassLength]],"")</f>
        <v>3.4482758620689655E-2</v>
      </c>
      <c r="AA543" s="25">
        <v>232.14</v>
      </c>
      <c r="AB543" s="25">
        <f t="shared" si="158"/>
        <v>15.475999999999999</v>
      </c>
      <c r="AC543" s="26">
        <f t="shared" si="148"/>
        <v>635.73333333333335</v>
      </c>
      <c r="AD543" s="26">
        <f t="shared" si="149"/>
        <v>14.133333333333333</v>
      </c>
      <c r="AE543">
        <f t="shared" si="150"/>
        <v>2023</v>
      </c>
      <c r="AG543">
        <v>12</v>
      </c>
      <c r="AH543" s="26">
        <f t="shared" si="151"/>
        <v>9.2068965517241388</v>
      </c>
      <c r="AI543" t="str">
        <f t="shared" si="152"/>
        <v>PM</v>
      </c>
      <c r="AJ543" t="str">
        <f t="shared" si="153"/>
        <v>10-2023-4</v>
      </c>
      <c r="AK543">
        <f t="shared" si="154"/>
        <v>10</v>
      </c>
      <c r="AL543" s="26">
        <f>IFERROR(Table2[[#This Row],[Calories]]/Table2[[#This Row],[Splat]],"")</f>
        <v>66.75</v>
      </c>
      <c r="AM543">
        <f>COUNTIF(N$2:$N$938,N543)</f>
        <v>191</v>
      </c>
      <c r="AN543" t="str">
        <f>VLOOKUP(N543,'Helpful Tables'!A:D,4,FALSE)</f>
        <v>Washington, DC</v>
      </c>
      <c r="AO543" s="24">
        <f>COUNTIF(AN:AN,Table2[[#This Row],[State]])/COUNTA(AN:AN)</f>
        <v>0.54904051172707891</v>
      </c>
      <c r="AP543">
        <f>VLOOKUP(N543,'Helpful Tables'!A:B,2,FALSE)</f>
        <v>38.949649000000001</v>
      </c>
      <c r="AQ543">
        <f>VLOOKUP(N543,'Helpful Tables'!A:C,3,FALSE)</f>
        <v>-77.080878999999996</v>
      </c>
      <c r="AR543">
        <f>COUNTIF(P$2:$P$938,P543)</f>
        <v>66</v>
      </c>
      <c r="AS543" cm="1">
        <f t="array" ref="AS543">_xlfn.IFS(E543&lt;6,((E543/D543)*60)*0.5,AND(E543&gt;=6,E543&lt;9),((E543/D543)*60)*0.75,AND(E543&gt;=9,E543&lt;=11),((E543/D543)*60)*0.9,AND(E543=12),((E543/D543)*60)*1,AND(E543&gt;=13,E543&lt;=15),((E543/D543)*60)*1.2,AND(E543&gt;=16,E543&lt;=19),((E543/D543)*60)*1.5,E543&gt;=20,((E543/D543)*60)*1.8)</f>
        <v>6.2068965517241388</v>
      </c>
      <c r="AT543" cm="1">
        <f t="array" ref="AT543">_xlfn.IFS(F543&lt;550,((F543/D543)*60)*0.5,AND(F543&gt;=550,F543&lt;575),((F543/D543)*60)*0.75,AND(F543&gt;=575,F543&lt;600),((F543/D543)*60)*0.9,AND(F543=600),((F543/D543)*60)*1,AND(F543&gt;=601,F543&lt;=625),((F543/D543)*60)*1.2,AND(F543&gt;=626,F543&lt;=650),((F543/D543)*60)*1.5,F543&gt;=651,((F543/D543)*60)*1.8)</f>
        <v>276.20689655172418</v>
      </c>
      <c r="AU543">
        <f t="shared" si="159"/>
        <v>-19.000000000000004</v>
      </c>
      <c r="AV543">
        <f t="shared" si="157"/>
        <v>109.16551724137933</v>
      </c>
      <c r="AW543">
        <f t="shared" si="160"/>
        <v>3.5999999999999996</v>
      </c>
      <c r="AX543" t="str">
        <f t="shared" si="155"/>
        <v>Oct-2023</v>
      </c>
      <c r="AY543">
        <f>ROUNDUP(Table2[[#This Row],[Month]]/3,0)</f>
        <v>4</v>
      </c>
    </row>
    <row r="544" spans="1:51" x14ac:dyDescent="0.2">
      <c r="A544">
        <v>543</v>
      </c>
      <c r="B544">
        <f t="shared" si="144"/>
        <v>15</v>
      </c>
      <c r="C544" s="22">
        <v>45224</v>
      </c>
      <c r="D544">
        <f>SUM(Table2[[#This Row],[Gray Min]:[Red Min]])</f>
        <v>59</v>
      </c>
      <c r="E544">
        <v>15</v>
      </c>
      <c r="F544">
        <v>612</v>
      </c>
      <c r="G544">
        <v>122</v>
      </c>
      <c r="H544">
        <v>165</v>
      </c>
      <c r="I544">
        <v>24</v>
      </c>
      <c r="J544">
        <v>10</v>
      </c>
      <c r="K544">
        <v>10</v>
      </c>
      <c r="L544">
        <v>13</v>
      </c>
      <c r="M544">
        <v>2</v>
      </c>
      <c r="N544" t="s">
        <v>91</v>
      </c>
      <c r="O544" t="s">
        <v>57</v>
      </c>
      <c r="P544" t="s">
        <v>96</v>
      </c>
      <c r="Q544">
        <f t="shared" si="156"/>
        <v>1</v>
      </c>
      <c r="R544" t="str">
        <f t="shared" si="145"/>
        <v>10-2023</v>
      </c>
      <c r="S544" t="s">
        <v>104</v>
      </c>
      <c r="T544" t="str">
        <f t="shared" si="146"/>
        <v>Wednesday</v>
      </c>
      <c r="U544">
        <f t="shared" si="147"/>
        <v>1</v>
      </c>
      <c r="V544" s="24">
        <f>IFERROR(Table2[[#This Row],[Gray Min]]/Table2[[#This Row],[ClassLength]],"")</f>
        <v>0.40677966101694918</v>
      </c>
      <c r="W544" s="24">
        <f>IFERROR(Table2[[#This Row],[Blue Min]]/Table2[[#This Row],[ClassLength]],"")</f>
        <v>0.16949152542372881</v>
      </c>
      <c r="X544" s="24">
        <f>IFERROR(Table2[[#This Row],[Green Min]]/Table2[[#This Row],[ClassLength]],"")</f>
        <v>0.16949152542372881</v>
      </c>
      <c r="Y544" s="24">
        <f>IFERROR(Table2[[#This Row],[Orange Min]]/Table2[[#This Row],[ClassLength]],"")</f>
        <v>0.22033898305084745</v>
      </c>
      <c r="Z544" s="24">
        <f>IFERROR(Table2[[#This Row],[Red Min]]/Table2[[#This Row],[ClassLength]],"")</f>
        <v>3.3898305084745763E-2</v>
      </c>
      <c r="AA544" s="25">
        <v>232.14</v>
      </c>
      <c r="AB544" s="25">
        <f t="shared" si="158"/>
        <v>15.475999999999999</v>
      </c>
      <c r="AC544" s="26">
        <f t="shared" si="148"/>
        <v>635.73333333333335</v>
      </c>
      <c r="AD544" s="26">
        <f t="shared" si="149"/>
        <v>14.133333333333333</v>
      </c>
      <c r="AE544">
        <f t="shared" si="150"/>
        <v>2023</v>
      </c>
      <c r="AG544">
        <v>12</v>
      </c>
      <c r="AH544" s="26">
        <f t="shared" si="151"/>
        <v>10.372881355932204</v>
      </c>
      <c r="AI544" t="str">
        <f t="shared" si="152"/>
        <v>PM</v>
      </c>
      <c r="AJ544" t="str">
        <f t="shared" si="153"/>
        <v>10-2023-4</v>
      </c>
      <c r="AK544">
        <f t="shared" si="154"/>
        <v>10</v>
      </c>
      <c r="AL544" s="26">
        <f>IFERROR(Table2[[#This Row],[Calories]]/Table2[[#This Row],[Splat]],"")</f>
        <v>40.799999999999997</v>
      </c>
      <c r="AM544">
        <f>COUNTIF(N$2:$N$938,N544)</f>
        <v>218</v>
      </c>
      <c r="AN544" t="str">
        <f>VLOOKUP(N544,'Helpful Tables'!A:D,4,FALSE)</f>
        <v>Washington, DC</v>
      </c>
      <c r="AO544" s="24">
        <f>COUNTIF(AN:AN,Table2[[#This Row],[State]])/COUNTA(AN:AN)</f>
        <v>0.54904051172707891</v>
      </c>
      <c r="AP544">
        <f>VLOOKUP(N544,'Helpful Tables'!A:B,2,FALSE)</f>
        <v>38.934710000000003</v>
      </c>
      <c r="AQ544">
        <f>VLOOKUP(N544,'Helpful Tables'!A:C,3,FALSE)</f>
        <v>-77.058222999999998</v>
      </c>
      <c r="AR544">
        <f>COUNTIF(P$2:$P$938,P544)</f>
        <v>71</v>
      </c>
      <c r="AS544" cm="1">
        <f t="array" ref="AS544">_xlfn.IFS(E544&lt;6,((E544/D544)*60)*0.5,AND(E544&gt;=6,E544&lt;9),((E544/D544)*60)*0.75,AND(E544&gt;=9,E544&lt;=11),((E544/D544)*60)*0.9,AND(E544=12),((E544/D544)*60)*1,AND(E544&gt;=13,E544&lt;=15),((E544/D544)*60)*1.2,AND(E544&gt;=16,E544&lt;=19),((E544/D544)*60)*1.5,E544&gt;=20,((E544/D544)*60)*1.8)</f>
        <v>18.305084745762709</v>
      </c>
      <c r="AT544" cm="1">
        <f t="array" ref="AT544">_xlfn.IFS(F544&lt;550,((F544/D544)*60)*0.5,AND(F544&gt;=550,F544&lt;575),((F544/D544)*60)*0.75,AND(F544&gt;=575,F544&lt;600),((F544/D544)*60)*0.9,AND(F544=600),((F544/D544)*60)*1,AND(F544&gt;=601,F544&lt;=625),((F544/D544)*60)*1.2,AND(F544&gt;=626,F544&lt;=650),((F544/D544)*60)*1.5,F544&gt;=651,((F544/D544)*60)*1.8)</f>
        <v>746.84745762711862</v>
      </c>
      <c r="AU544">
        <f t="shared" si="159"/>
        <v>-7.899999999999995</v>
      </c>
      <c r="AV544">
        <f t="shared" si="157"/>
        <v>304.4810169491526</v>
      </c>
      <c r="AW544">
        <f t="shared" si="160"/>
        <v>28.499999999999996</v>
      </c>
      <c r="AX544" t="str">
        <f t="shared" si="155"/>
        <v>Oct-2023</v>
      </c>
      <c r="AY544">
        <f>ROUNDUP(Table2[[#This Row],[Month]]/3,0)</f>
        <v>4</v>
      </c>
    </row>
    <row r="545" spans="1:51" x14ac:dyDescent="0.2">
      <c r="A545">
        <v>544</v>
      </c>
      <c r="B545">
        <f t="shared" si="144"/>
        <v>15</v>
      </c>
      <c r="C545" s="22">
        <v>45228</v>
      </c>
      <c r="D545">
        <f>SUM(Table2[[#This Row],[Gray Min]:[Red Min]])</f>
        <v>60</v>
      </c>
      <c r="E545">
        <v>16</v>
      </c>
      <c r="F545">
        <v>658</v>
      </c>
      <c r="G545">
        <v>127</v>
      </c>
      <c r="H545">
        <v>167</v>
      </c>
      <c r="I545">
        <v>15</v>
      </c>
      <c r="J545">
        <v>18</v>
      </c>
      <c r="K545">
        <v>11</v>
      </c>
      <c r="L545">
        <v>15</v>
      </c>
      <c r="M545">
        <v>1</v>
      </c>
      <c r="N545" t="s">
        <v>91</v>
      </c>
      <c r="O545" t="s">
        <v>79</v>
      </c>
      <c r="P545" t="s">
        <v>100</v>
      </c>
      <c r="Q545">
        <f t="shared" si="156"/>
        <v>4</v>
      </c>
      <c r="R545" t="str">
        <f t="shared" si="145"/>
        <v>10-2023</v>
      </c>
      <c r="S545" t="s">
        <v>104</v>
      </c>
      <c r="T545" t="str">
        <f t="shared" si="146"/>
        <v>Sunday</v>
      </c>
      <c r="U545">
        <f t="shared" si="147"/>
        <v>1</v>
      </c>
      <c r="V545" s="24">
        <f>IFERROR(Table2[[#This Row],[Gray Min]]/Table2[[#This Row],[ClassLength]],"")</f>
        <v>0.25</v>
      </c>
      <c r="W545" s="24">
        <f>IFERROR(Table2[[#This Row],[Blue Min]]/Table2[[#This Row],[ClassLength]],"")</f>
        <v>0.3</v>
      </c>
      <c r="X545" s="24">
        <f>IFERROR(Table2[[#This Row],[Green Min]]/Table2[[#This Row],[ClassLength]],"")</f>
        <v>0.18333333333333332</v>
      </c>
      <c r="Y545" s="24">
        <f>IFERROR(Table2[[#This Row],[Orange Min]]/Table2[[#This Row],[ClassLength]],"")</f>
        <v>0.25</v>
      </c>
      <c r="Z545" s="24">
        <f>IFERROR(Table2[[#This Row],[Red Min]]/Table2[[#This Row],[ClassLength]],"")</f>
        <v>1.6666666666666666E-2</v>
      </c>
      <c r="AA545" s="25">
        <v>232.14</v>
      </c>
      <c r="AB545" s="25">
        <f t="shared" si="158"/>
        <v>15.475999999999999</v>
      </c>
      <c r="AC545" s="26">
        <f t="shared" si="148"/>
        <v>635.73333333333335</v>
      </c>
      <c r="AD545" s="26">
        <f t="shared" si="149"/>
        <v>14.133333333333333</v>
      </c>
      <c r="AE545">
        <f t="shared" si="150"/>
        <v>2023</v>
      </c>
      <c r="AG545">
        <v>12</v>
      </c>
      <c r="AH545" s="26">
        <f t="shared" si="151"/>
        <v>10.966666666666667</v>
      </c>
      <c r="AI545" t="str">
        <f t="shared" si="152"/>
        <v>AM</v>
      </c>
      <c r="AJ545" t="str">
        <f t="shared" si="153"/>
        <v>10-2023-5</v>
      </c>
      <c r="AK545">
        <f t="shared" si="154"/>
        <v>10</v>
      </c>
      <c r="AL545" s="26">
        <f>IFERROR(Table2[[#This Row],[Calories]]/Table2[[#This Row],[Splat]],"")</f>
        <v>41.125</v>
      </c>
      <c r="AM545">
        <f>COUNTIF(N$2:$N$938,N545)</f>
        <v>218</v>
      </c>
      <c r="AN545" t="str">
        <f>VLOOKUP(N545,'Helpful Tables'!A:D,4,FALSE)</f>
        <v>Washington, DC</v>
      </c>
      <c r="AO545" s="24">
        <f>COUNTIF(AN:AN,Table2[[#This Row],[State]])/COUNTA(AN:AN)</f>
        <v>0.54904051172707891</v>
      </c>
      <c r="AP545">
        <f>VLOOKUP(N545,'Helpful Tables'!A:B,2,FALSE)</f>
        <v>38.934710000000003</v>
      </c>
      <c r="AQ545">
        <f>VLOOKUP(N545,'Helpful Tables'!A:C,3,FALSE)</f>
        <v>-77.058222999999998</v>
      </c>
      <c r="AR545">
        <f>COUNTIF(P$2:$P$938,P545)</f>
        <v>35</v>
      </c>
      <c r="AS545" cm="1">
        <f t="array" ref="AS545">_xlfn.IFS(E545&lt;6,((E545/D545)*60)*0.5,AND(E545&gt;=6,E545&lt;9),((E545/D545)*60)*0.75,AND(E545&gt;=9,E545&lt;=11),((E545/D545)*60)*0.9,AND(E545=12),((E545/D545)*60)*1,AND(E545&gt;=13,E545&lt;=15),((E545/D545)*60)*1.2,AND(E545&gt;=16,E545&lt;=19),((E545/D545)*60)*1.5,E545&gt;=20,((E545/D545)*60)*1.8)</f>
        <v>24</v>
      </c>
      <c r="AT545" cm="1">
        <f t="array" ref="AT545">_xlfn.IFS(F545&lt;550,((F545/D545)*60)*0.5,AND(F545&gt;=550,F545&lt;575),((F545/D545)*60)*0.75,AND(F545&gt;=575,F545&lt;600),((F545/D545)*60)*0.9,AND(F545=600),((F545/D545)*60)*1,AND(F545&gt;=601,F545&lt;=625),((F545/D545)*60)*1.2,AND(F545&gt;=626,F545&lt;=650),((F545/D545)*60)*1.5,F545&gt;=651,((F545/D545)*60)*1.8)</f>
        <v>1184.4000000000001</v>
      </c>
      <c r="AU545">
        <f t="shared" si="159"/>
        <v>-3.5999999999999979</v>
      </c>
      <c r="AV545">
        <f t="shared" si="157"/>
        <v>482.64000000000004</v>
      </c>
      <c r="AW545">
        <f t="shared" si="160"/>
        <v>70.5</v>
      </c>
      <c r="AX545" t="str">
        <f t="shared" si="155"/>
        <v>Oct-2023</v>
      </c>
      <c r="AY545">
        <f>ROUNDUP(Table2[[#This Row],[Month]]/3,0)</f>
        <v>4</v>
      </c>
    </row>
    <row r="546" spans="1:51" x14ac:dyDescent="0.2">
      <c r="A546">
        <v>545</v>
      </c>
      <c r="B546">
        <f t="shared" si="144"/>
        <v>15</v>
      </c>
      <c r="C546" s="22">
        <v>45230</v>
      </c>
      <c r="D546">
        <f>SUM(Table2[[#This Row],[Gray Min]:[Red Min]])</f>
        <v>59</v>
      </c>
      <c r="E546">
        <v>13</v>
      </c>
      <c r="F546">
        <v>659</v>
      </c>
      <c r="G546">
        <v>126</v>
      </c>
      <c r="H546">
        <v>167</v>
      </c>
      <c r="I546">
        <v>10</v>
      </c>
      <c r="J546">
        <v>21</v>
      </c>
      <c r="K546">
        <v>15</v>
      </c>
      <c r="L546">
        <v>12</v>
      </c>
      <c r="M546">
        <v>1</v>
      </c>
      <c r="N546" t="s">
        <v>91</v>
      </c>
      <c r="O546" t="s">
        <v>89</v>
      </c>
      <c r="P546" t="s">
        <v>100</v>
      </c>
      <c r="Q546">
        <f t="shared" si="156"/>
        <v>2</v>
      </c>
      <c r="R546" t="str">
        <f t="shared" si="145"/>
        <v>10-2023</v>
      </c>
      <c r="S546" t="s">
        <v>104</v>
      </c>
      <c r="T546" t="str">
        <f t="shared" si="146"/>
        <v>Tuesday</v>
      </c>
      <c r="U546">
        <f t="shared" si="147"/>
        <v>1</v>
      </c>
      <c r="V546" s="24">
        <f>IFERROR(Table2[[#This Row],[Gray Min]]/Table2[[#This Row],[ClassLength]],"")</f>
        <v>0.16949152542372881</v>
      </c>
      <c r="W546" s="24">
        <f>IFERROR(Table2[[#This Row],[Blue Min]]/Table2[[#This Row],[ClassLength]],"")</f>
        <v>0.3559322033898305</v>
      </c>
      <c r="X546" s="24">
        <f>IFERROR(Table2[[#This Row],[Green Min]]/Table2[[#This Row],[ClassLength]],"")</f>
        <v>0.25423728813559321</v>
      </c>
      <c r="Y546" s="24">
        <f>IFERROR(Table2[[#This Row],[Orange Min]]/Table2[[#This Row],[ClassLength]],"")</f>
        <v>0.20338983050847459</v>
      </c>
      <c r="Z546" s="24">
        <f>IFERROR(Table2[[#This Row],[Red Min]]/Table2[[#This Row],[ClassLength]],"")</f>
        <v>1.6949152542372881E-2</v>
      </c>
      <c r="AA546" s="25">
        <v>232.14</v>
      </c>
      <c r="AB546" s="25">
        <f t="shared" si="158"/>
        <v>15.475999999999999</v>
      </c>
      <c r="AC546" s="26">
        <f t="shared" si="148"/>
        <v>635.73333333333335</v>
      </c>
      <c r="AD546" s="26">
        <f t="shared" si="149"/>
        <v>14.133333333333333</v>
      </c>
      <c r="AE546">
        <f t="shared" si="150"/>
        <v>2023</v>
      </c>
      <c r="AG546">
        <v>12</v>
      </c>
      <c r="AH546" s="26">
        <f t="shared" si="151"/>
        <v>11.169491525423728</v>
      </c>
      <c r="AI546" t="str">
        <f t="shared" si="152"/>
        <v>AM</v>
      </c>
      <c r="AJ546" t="str">
        <f t="shared" si="153"/>
        <v>10-2023-5</v>
      </c>
      <c r="AK546">
        <f t="shared" si="154"/>
        <v>10</v>
      </c>
      <c r="AL546" s="26">
        <f>IFERROR(Table2[[#This Row],[Calories]]/Table2[[#This Row],[Splat]],"")</f>
        <v>50.692307692307693</v>
      </c>
      <c r="AM546">
        <f>COUNTIF(N$2:$N$938,N546)</f>
        <v>218</v>
      </c>
      <c r="AN546" t="str">
        <f>VLOOKUP(N546,'Helpful Tables'!A:D,4,FALSE)</f>
        <v>Washington, DC</v>
      </c>
      <c r="AO546" s="24">
        <f>COUNTIF(AN:AN,Table2[[#This Row],[State]])/COUNTA(AN:AN)</f>
        <v>0.54904051172707891</v>
      </c>
      <c r="AP546">
        <f>VLOOKUP(N546,'Helpful Tables'!A:B,2,FALSE)</f>
        <v>38.934710000000003</v>
      </c>
      <c r="AQ546">
        <f>VLOOKUP(N546,'Helpful Tables'!A:C,3,FALSE)</f>
        <v>-77.058222999999998</v>
      </c>
      <c r="AR546">
        <f>COUNTIF(P$2:$P$938,P546)</f>
        <v>35</v>
      </c>
      <c r="AS546" cm="1">
        <f t="array" ref="AS546">_xlfn.IFS(E546&lt;6,((E546/D546)*60)*0.5,AND(E546&gt;=6,E546&lt;9),((E546/D546)*60)*0.75,AND(E546&gt;=9,E546&lt;=11),((E546/D546)*60)*0.9,AND(E546=12),((E546/D546)*60)*1,AND(E546&gt;=13,E546&lt;=15),((E546/D546)*60)*1.2,AND(E546&gt;=16,E546&lt;=19),((E546/D546)*60)*1.5,E546&gt;=20,((E546/D546)*60)*1.8)</f>
        <v>15.864406779661017</v>
      </c>
      <c r="AT546" cm="1">
        <f t="array" ref="AT546">_xlfn.IFS(F546&lt;550,((F546/D546)*60)*0.5,AND(F546&gt;=550,F546&lt;575),((F546/D546)*60)*0.75,AND(F546&gt;=575,F546&lt;600),((F546/D546)*60)*0.9,AND(F546=600),((F546/D546)*60)*1,AND(F546&gt;=601,F546&lt;=625),((F546/D546)*60)*1.2,AND(F546&gt;=626,F546&lt;=650),((F546/D546)*60)*1.5,F546&gt;=651,((F546/D546)*60)*1.8)</f>
        <v>1206.3050847457628</v>
      </c>
      <c r="AU546">
        <f t="shared" si="159"/>
        <v>0</v>
      </c>
      <c r="AV546">
        <f t="shared" si="157"/>
        <v>488.86779661016953</v>
      </c>
      <c r="AW546">
        <f t="shared" si="160"/>
        <v>73</v>
      </c>
      <c r="AX546" t="str">
        <f t="shared" si="155"/>
        <v>Oct-2023</v>
      </c>
      <c r="AY546">
        <f>ROUNDUP(Table2[[#This Row],[Month]]/3,0)</f>
        <v>4</v>
      </c>
    </row>
    <row r="547" spans="1:51" x14ac:dyDescent="0.2">
      <c r="A547">
        <v>546</v>
      </c>
      <c r="B547">
        <f t="shared" si="144"/>
        <v>15</v>
      </c>
      <c r="C547" s="22">
        <v>45232</v>
      </c>
      <c r="D547">
        <f>SUM(Table2[[#This Row],[Gray Min]:[Red Min]])</f>
        <v>60</v>
      </c>
      <c r="E547">
        <v>16</v>
      </c>
      <c r="F547">
        <v>645</v>
      </c>
      <c r="G547">
        <v>125</v>
      </c>
      <c r="H547">
        <v>170</v>
      </c>
      <c r="I547">
        <v>16</v>
      </c>
      <c r="J547">
        <v>14</v>
      </c>
      <c r="K547">
        <v>14</v>
      </c>
      <c r="L547">
        <v>15</v>
      </c>
      <c r="M547">
        <v>1</v>
      </c>
      <c r="N547" t="s">
        <v>91</v>
      </c>
      <c r="O547" t="s">
        <v>57</v>
      </c>
      <c r="P547" t="s">
        <v>188</v>
      </c>
      <c r="Q547">
        <f t="shared" si="156"/>
        <v>2</v>
      </c>
      <c r="R547" t="str">
        <f t="shared" si="145"/>
        <v>11-2023</v>
      </c>
      <c r="S547" t="s">
        <v>104</v>
      </c>
      <c r="T547" t="str">
        <f t="shared" si="146"/>
        <v>Thursday</v>
      </c>
      <c r="U547">
        <f t="shared" si="147"/>
        <v>1</v>
      </c>
      <c r="V547" s="24">
        <f>IFERROR(Table2[[#This Row],[Gray Min]]/Table2[[#This Row],[ClassLength]],"")</f>
        <v>0.26666666666666666</v>
      </c>
      <c r="W547" s="24">
        <f>IFERROR(Table2[[#This Row],[Blue Min]]/Table2[[#This Row],[ClassLength]],"")</f>
        <v>0.23333333333333334</v>
      </c>
      <c r="X547" s="24">
        <f>IFERROR(Table2[[#This Row],[Green Min]]/Table2[[#This Row],[ClassLength]],"")</f>
        <v>0.23333333333333334</v>
      </c>
      <c r="Y547" s="24">
        <f>IFERROR(Table2[[#This Row],[Orange Min]]/Table2[[#This Row],[ClassLength]],"")</f>
        <v>0.25</v>
      </c>
      <c r="Z547" s="24">
        <f>IFERROR(Table2[[#This Row],[Red Min]]/Table2[[#This Row],[ClassLength]],"")</f>
        <v>1.6666666666666666E-2</v>
      </c>
      <c r="AA547" s="25">
        <v>232.14</v>
      </c>
      <c r="AB547" s="25">
        <f t="shared" si="158"/>
        <v>15.475999999999999</v>
      </c>
      <c r="AC547" s="26">
        <f t="shared" si="148"/>
        <v>623.20000000000005</v>
      </c>
      <c r="AD547" s="26">
        <f t="shared" si="149"/>
        <v>14.066666666666666</v>
      </c>
      <c r="AE547">
        <f t="shared" si="150"/>
        <v>2023</v>
      </c>
      <c r="AG547">
        <v>12</v>
      </c>
      <c r="AH547" s="26">
        <f t="shared" si="151"/>
        <v>10.75</v>
      </c>
      <c r="AI547" t="str">
        <f t="shared" si="152"/>
        <v>PM</v>
      </c>
      <c r="AJ547" t="str">
        <f t="shared" si="153"/>
        <v>11-2023-1</v>
      </c>
      <c r="AK547">
        <f t="shared" si="154"/>
        <v>11</v>
      </c>
      <c r="AL547" s="26">
        <f>IFERROR(Table2[[#This Row],[Calories]]/Table2[[#This Row],[Splat]],"")</f>
        <v>40.3125</v>
      </c>
      <c r="AM547">
        <f>COUNTIF(N$2:$N$938,N547)</f>
        <v>218</v>
      </c>
      <c r="AN547" t="str">
        <f>VLOOKUP(N547,'Helpful Tables'!A:D,4,FALSE)</f>
        <v>Washington, DC</v>
      </c>
      <c r="AO547" s="24">
        <f>COUNTIF(AN:AN,Table2[[#This Row],[State]])/COUNTA(AN:AN)</f>
        <v>0.54904051172707891</v>
      </c>
      <c r="AP547">
        <f>VLOOKUP(N547,'Helpful Tables'!A:B,2,FALSE)</f>
        <v>38.934710000000003</v>
      </c>
      <c r="AQ547">
        <f>VLOOKUP(N547,'Helpful Tables'!A:C,3,FALSE)</f>
        <v>-77.058222999999998</v>
      </c>
      <c r="AR547">
        <f>COUNTIF(P$2:$P$938,P547)</f>
        <v>10</v>
      </c>
      <c r="AS547" cm="1">
        <f t="array" ref="AS547">_xlfn.IFS(E547&lt;6,((E547/D547)*60)*0.5,AND(E547&gt;=6,E547&lt;9),((E547/D547)*60)*0.75,AND(E547&gt;=9,E547&lt;=11),((E547/D547)*60)*0.9,AND(E547=12),((E547/D547)*60)*1,AND(E547&gt;=13,E547&lt;=15),((E547/D547)*60)*1.2,AND(E547&gt;=16,E547&lt;=19),((E547/D547)*60)*1.5,E547&gt;=20,((E547/D547)*60)*1.8)</f>
        <v>24</v>
      </c>
      <c r="AT547" cm="1">
        <f t="array" ref="AT547">_xlfn.IFS(F547&lt;550,((F547/D547)*60)*0.5,AND(F547&gt;=550,F547&lt;575),((F547/D547)*60)*0.75,AND(F547&gt;=575,F547&lt;600),((F547/D547)*60)*0.9,AND(F547=600),((F547/D547)*60)*1,AND(F547&gt;=601,F547&lt;=625),((F547/D547)*60)*1.2,AND(F547&gt;=626,F547&lt;=650),((F547/D547)*60)*1.5,F547&gt;=651,((F547/D547)*60)*1.8)</f>
        <v>967.5</v>
      </c>
      <c r="AU547">
        <f t="shared" si="159"/>
        <v>3.1999999999999993</v>
      </c>
      <c r="AV547">
        <f t="shared" si="157"/>
        <v>397.24</v>
      </c>
      <c r="AW547">
        <f t="shared" si="160"/>
        <v>51.7</v>
      </c>
      <c r="AX547" t="str">
        <f t="shared" si="155"/>
        <v>Nov-2023</v>
      </c>
      <c r="AY547">
        <f>ROUNDUP(Table2[[#This Row],[Month]]/3,0)</f>
        <v>4</v>
      </c>
    </row>
    <row r="548" spans="1:51" x14ac:dyDescent="0.2">
      <c r="A548">
        <v>547</v>
      </c>
      <c r="B548">
        <f t="shared" si="144"/>
        <v>15</v>
      </c>
      <c r="C548" s="22">
        <v>45235</v>
      </c>
      <c r="D548">
        <f>SUM(Table2[[#This Row],[Gray Min]:[Red Min]])</f>
        <v>65</v>
      </c>
      <c r="E548">
        <v>8</v>
      </c>
      <c r="F548">
        <v>559</v>
      </c>
      <c r="G548">
        <v>110</v>
      </c>
      <c r="H548">
        <v>163</v>
      </c>
      <c r="I548">
        <v>34</v>
      </c>
      <c r="J548">
        <v>9</v>
      </c>
      <c r="K548">
        <v>14</v>
      </c>
      <c r="L548">
        <v>8</v>
      </c>
      <c r="M548">
        <v>0</v>
      </c>
      <c r="N548" t="s">
        <v>101</v>
      </c>
      <c r="O548" t="s">
        <v>178</v>
      </c>
      <c r="P548" t="s">
        <v>189</v>
      </c>
      <c r="Q548">
        <f t="shared" si="156"/>
        <v>3</v>
      </c>
      <c r="R548" t="str">
        <f t="shared" si="145"/>
        <v>11-2023</v>
      </c>
      <c r="S548" t="s">
        <v>104</v>
      </c>
      <c r="T548" t="str">
        <f t="shared" si="146"/>
        <v>Sunday</v>
      </c>
      <c r="U548">
        <f t="shared" si="147"/>
        <v>0</v>
      </c>
      <c r="V548" s="24">
        <f>IFERROR(Table2[[#This Row],[Gray Min]]/Table2[[#This Row],[ClassLength]],"")</f>
        <v>0.52307692307692311</v>
      </c>
      <c r="W548" s="24">
        <f>IFERROR(Table2[[#This Row],[Blue Min]]/Table2[[#This Row],[ClassLength]],"")</f>
        <v>0.13846153846153847</v>
      </c>
      <c r="X548" s="24">
        <f>IFERROR(Table2[[#This Row],[Green Min]]/Table2[[#This Row],[ClassLength]],"")</f>
        <v>0.2153846153846154</v>
      </c>
      <c r="Y548" s="24">
        <f>IFERROR(Table2[[#This Row],[Orange Min]]/Table2[[#This Row],[ClassLength]],"")</f>
        <v>0.12307692307692308</v>
      </c>
      <c r="Z548" s="24">
        <f>IFERROR(Table2[[#This Row],[Red Min]]/Table2[[#This Row],[ClassLength]],"")</f>
        <v>0</v>
      </c>
      <c r="AA548" s="25">
        <v>232.14</v>
      </c>
      <c r="AB548" s="25">
        <f t="shared" si="158"/>
        <v>15.475999999999999</v>
      </c>
      <c r="AC548" s="26">
        <f t="shared" si="148"/>
        <v>623.20000000000005</v>
      </c>
      <c r="AD548" s="26">
        <f t="shared" si="149"/>
        <v>14.066666666666666</v>
      </c>
      <c r="AE548">
        <f t="shared" si="150"/>
        <v>2023</v>
      </c>
      <c r="AG548">
        <v>12</v>
      </c>
      <c r="AH548" s="26">
        <f t="shared" si="151"/>
        <v>8.6</v>
      </c>
      <c r="AI548" t="str">
        <f t="shared" si="152"/>
        <v>AM</v>
      </c>
      <c r="AJ548" t="str">
        <f t="shared" si="153"/>
        <v>11-2023-2</v>
      </c>
      <c r="AK548">
        <f t="shared" si="154"/>
        <v>11</v>
      </c>
      <c r="AL548" s="26">
        <f>IFERROR(Table2[[#This Row],[Calories]]/Table2[[#This Row],[Splat]],"")</f>
        <v>69.875</v>
      </c>
      <c r="AM548">
        <f>COUNTIF(N$2:$N$938,N548)</f>
        <v>191</v>
      </c>
      <c r="AN548" t="str">
        <f>VLOOKUP(N548,'Helpful Tables'!A:D,4,FALSE)</f>
        <v>Washington, DC</v>
      </c>
      <c r="AO548" s="24">
        <f>COUNTIF(AN:AN,Table2[[#This Row],[State]])/COUNTA(AN:AN)</f>
        <v>0.54904051172707891</v>
      </c>
      <c r="AP548">
        <f>VLOOKUP(N548,'Helpful Tables'!A:B,2,FALSE)</f>
        <v>38.949649000000001</v>
      </c>
      <c r="AQ548">
        <f>VLOOKUP(N548,'Helpful Tables'!A:C,3,FALSE)</f>
        <v>-77.080878999999996</v>
      </c>
      <c r="AR548">
        <f>COUNTIF(P$2:$P$938,P548)</f>
        <v>8</v>
      </c>
      <c r="AS548" cm="1">
        <f t="array" ref="AS548">_xlfn.IFS(E548&lt;6,((E548/D548)*60)*0.5,AND(E548&gt;=6,E548&lt;9),((E548/D548)*60)*0.75,AND(E548&gt;=9,E548&lt;=11),((E548/D548)*60)*0.9,AND(E548=12),((E548/D548)*60)*1,AND(E548&gt;=13,E548&lt;=15),((E548/D548)*60)*1.2,AND(E548&gt;=16,E548&lt;=19),((E548/D548)*60)*1.5,E548&gt;=20,((E548/D548)*60)*1.8)</f>
        <v>5.5384615384615383</v>
      </c>
      <c r="AT548" cm="1">
        <f t="array" ref="AT548">_xlfn.IFS(F548&lt;550,((F548/D548)*60)*0.5,AND(F548&gt;=550,F548&lt;575),((F548/D548)*60)*0.75,AND(F548&gt;=575,F548&lt;600),((F548/D548)*60)*0.9,AND(F548=600),((F548/D548)*60)*1,AND(F548&gt;=601,F548&lt;=625),((F548/D548)*60)*1.2,AND(F548&gt;=626,F548&lt;=650),((F548/D548)*60)*1.5,F548&gt;=651,((F548/D548)*60)*1.8)</f>
        <v>387</v>
      </c>
      <c r="AU548">
        <f t="shared" si="159"/>
        <v>-23.499999999999993</v>
      </c>
      <c r="AV548">
        <f t="shared" si="157"/>
        <v>152.31538461538463</v>
      </c>
      <c r="AW548">
        <f t="shared" si="160"/>
        <v>7.5</v>
      </c>
      <c r="AX548" t="str">
        <f t="shared" si="155"/>
        <v>Nov-2023</v>
      </c>
      <c r="AY548">
        <f>ROUNDUP(Table2[[#This Row],[Month]]/3,0)</f>
        <v>4</v>
      </c>
    </row>
    <row r="549" spans="1:51" x14ac:dyDescent="0.2">
      <c r="A549">
        <v>548</v>
      </c>
      <c r="B549">
        <f t="shared" si="144"/>
        <v>15</v>
      </c>
      <c r="C549" s="22">
        <v>45236</v>
      </c>
      <c r="D549">
        <f>SUM(Table2[[#This Row],[Gray Min]:[Red Min]])</f>
        <v>56</v>
      </c>
      <c r="E549">
        <v>14</v>
      </c>
      <c r="F549">
        <v>642</v>
      </c>
      <c r="G549">
        <v>129</v>
      </c>
      <c r="H549">
        <v>166</v>
      </c>
      <c r="I549">
        <v>7</v>
      </c>
      <c r="J549">
        <v>18</v>
      </c>
      <c r="K549">
        <v>17</v>
      </c>
      <c r="L549">
        <v>13</v>
      </c>
      <c r="M549">
        <v>1</v>
      </c>
      <c r="N549" t="s">
        <v>91</v>
      </c>
      <c r="O549" t="s">
        <v>57</v>
      </c>
      <c r="P549" t="s">
        <v>168</v>
      </c>
      <c r="Q549">
        <f t="shared" si="156"/>
        <v>1</v>
      </c>
      <c r="R549" t="str">
        <f t="shared" si="145"/>
        <v>11-2023</v>
      </c>
      <c r="S549" t="s">
        <v>117</v>
      </c>
      <c r="T549" t="str">
        <f t="shared" si="146"/>
        <v>Monday</v>
      </c>
      <c r="U549">
        <f t="shared" si="147"/>
        <v>1</v>
      </c>
      <c r="V549" s="24">
        <f>IFERROR(Table2[[#This Row],[Gray Min]]/Table2[[#This Row],[ClassLength]],"")</f>
        <v>0.125</v>
      </c>
      <c r="W549" s="24">
        <f>IFERROR(Table2[[#This Row],[Blue Min]]/Table2[[#This Row],[ClassLength]],"")</f>
        <v>0.32142857142857145</v>
      </c>
      <c r="X549" s="24">
        <f>IFERROR(Table2[[#This Row],[Green Min]]/Table2[[#This Row],[ClassLength]],"")</f>
        <v>0.30357142857142855</v>
      </c>
      <c r="Y549" s="24">
        <f>IFERROR(Table2[[#This Row],[Orange Min]]/Table2[[#This Row],[ClassLength]],"")</f>
        <v>0.23214285714285715</v>
      </c>
      <c r="Z549" s="24">
        <f>IFERROR(Table2[[#This Row],[Red Min]]/Table2[[#This Row],[ClassLength]],"")</f>
        <v>1.7857142857142856E-2</v>
      </c>
      <c r="AA549" s="25">
        <v>232.14</v>
      </c>
      <c r="AB549" s="25">
        <f t="shared" si="158"/>
        <v>15.475999999999999</v>
      </c>
      <c r="AC549" s="26">
        <f t="shared" si="148"/>
        <v>623.20000000000005</v>
      </c>
      <c r="AD549" s="26">
        <f t="shared" si="149"/>
        <v>14.066666666666666</v>
      </c>
      <c r="AE549">
        <f t="shared" si="150"/>
        <v>2023</v>
      </c>
      <c r="AG549">
        <v>12</v>
      </c>
      <c r="AH549" s="26">
        <f t="shared" si="151"/>
        <v>11.464285714285714</v>
      </c>
      <c r="AI549" t="str">
        <f t="shared" si="152"/>
        <v>PM</v>
      </c>
      <c r="AJ549" t="str">
        <f t="shared" si="153"/>
        <v>11-2023-2</v>
      </c>
      <c r="AK549">
        <f t="shared" si="154"/>
        <v>11</v>
      </c>
      <c r="AL549" s="26">
        <f>IFERROR(Table2[[#This Row],[Calories]]/Table2[[#This Row],[Splat]],"")</f>
        <v>45.857142857142854</v>
      </c>
      <c r="AM549">
        <f>COUNTIF(N$2:$N$938,N549)</f>
        <v>218</v>
      </c>
      <c r="AN549" t="str">
        <f>VLOOKUP(N549,'Helpful Tables'!A:D,4,FALSE)</f>
        <v>Washington, DC</v>
      </c>
      <c r="AO549" s="24">
        <f>COUNTIF(AN:AN,Table2[[#This Row],[State]])/COUNTA(AN:AN)</f>
        <v>0.54904051172707891</v>
      </c>
      <c r="AP549">
        <f>VLOOKUP(N549,'Helpful Tables'!A:B,2,FALSE)</f>
        <v>38.934710000000003</v>
      </c>
      <c r="AQ549">
        <f>VLOOKUP(N549,'Helpful Tables'!A:C,3,FALSE)</f>
        <v>-77.058222999999998</v>
      </c>
      <c r="AR549">
        <f>COUNTIF(P$2:$P$938,P549)</f>
        <v>12</v>
      </c>
      <c r="AS549" cm="1">
        <f t="array" ref="AS549">_xlfn.IFS(E549&lt;6,((E549/D549)*60)*0.5,AND(E549&gt;=6,E549&lt;9),((E549/D549)*60)*0.75,AND(E549&gt;=9,E549&lt;=11),((E549/D549)*60)*0.9,AND(E549=12),((E549/D549)*60)*1,AND(E549&gt;=13,E549&lt;=15),((E549/D549)*60)*1.2,AND(E549&gt;=16,E549&lt;=19),((E549/D549)*60)*1.5,E549&gt;=20,((E549/D549)*60)*1.8)</f>
        <v>18</v>
      </c>
      <c r="AT549" cm="1">
        <f t="array" ref="AT549">_xlfn.IFS(F549&lt;550,((F549/D549)*60)*0.5,AND(F549&gt;=550,F549&lt;575),((F549/D549)*60)*0.75,AND(F549&gt;=575,F549&lt;600),((F549/D549)*60)*0.9,AND(F549=600),((F549/D549)*60)*1,AND(F549&gt;=601,F549&lt;=625),((F549/D549)*60)*1.2,AND(F549&gt;=626,F549&lt;=650),((F549/D549)*60)*1.5,F549&gt;=651,((F549/D549)*60)*1.8)</f>
        <v>1031.7857142857142</v>
      </c>
      <c r="AU549">
        <f t="shared" si="159"/>
        <v>10.599999999999998</v>
      </c>
      <c r="AV549">
        <f t="shared" si="157"/>
        <v>422.03428571428572</v>
      </c>
      <c r="AW549">
        <f t="shared" si="160"/>
        <v>62.5</v>
      </c>
      <c r="AX549" t="str">
        <f t="shared" si="155"/>
        <v>Nov-2023</v>
      </c>
      <c r="AY549">
        <f>ROUNDUP(Table2[[#This Row],[Month]]/3,0)</f>
        <v>4</v>
      </c>
    </row>
    <row r="550" spans="1:51" x14ac:dyDescent="0.2">
      <c r="A550">
        <v>549</v>
      </c>
      <c r="B550">
        <f t="shared" si="144"/>
        <v>15</v>
      </c>
      <c r="C550" s="22">
        <v>45238</v>
      </c>
      <c r="D550">
        <f>SUM(Table2[[#This Row],[Gray Min]:[Red Min]])</f>
        <v>59</v>
      </c>
      <c r="E550">
        <v>13</v>
      </c>
      <c r="F550">
        <v>624</v>
      </c>
      <c r="G550">
        <v>123</v>
      </c>
      <c r="H550">
        <v>170</v>
      </c>
      <c r="I550">
        <v>18</v>
      </c>
      <c r="J550">
        <v>15</v>
      </c>
      <c r="K550">
        <v>13</v>
      </c>
      <c r="L550">
        <v>11</v>
      </c>
      <c r="M550">
        <v>2</v>
      </c>
      <c r="N550" t="s">
        <v>101</v>
      </c>
      <c r="O550" t="s">
        <v>173</v>
      </c>
      <c r="P550" t="s">
        <v>189</v>
      </c>
      <c r="Q550">
        <f t="shared" si="156"/>
        <v>2</v>
      </c>
      <c r="R550" t="str">
        <f t="shared" si="145"/>
        <v>11-2023</v>
      </c>
      <c r="S550" t="s">
        <v>104</v>
      </c>
      <c r="T550" t="str">
        <f t="shared" si="146"/>
        <v>Wednesday</v>
      </c>
      <c r="U550">
        <f t="shared" si="147"/>
        <v>1</v>
      </c>
      <c r="V550" s="24">
        <f>IFERROR(Table2[[#This Row],[Gray Min]]/Table2[[#This Row],[ClassLength]],"")</f>
        <v>0.30508474576271188</v>
      </c>
      <c r="W550" s="24">
        <f>IFERROR(Table2[[#This Row],[Blue Min]]/Table2[[#This Row],[ClassLength]],"")</f>
        <v>0.25423728813559321</v>
      </c>
      <c r="X550" s="24">
        <f>IFERROR(Table2[[#This Row],[Green Min]]/Table2[[#This Row],[ClassLength]],"")</f>
        <v>0.22033898305084745</v>
      </c>
      <c r="Y550" s="24">
        <f>IFERROR(Table2[[#This Row],[Orange Min]]/Table2[[#This Row],[ClassLength]],"")</f>
        <v>0.1864406779661017</v>
      </c>
      <c r="Z550" s="24">
        <f>IFERROR(Table2[[#This Row],[Red Min]]/Table2[[#This Row],[ClassLength]],"")</f>
        <v>3.3898305084745763E-2</v>
      </c>
      <c r="AA550" s="25">
        <v>232.14</v>
      </c>
      <c r="AB550" s="25">
        <f t="shared" si="158"/>
        <v>15.475999999999999</v>
      </c>
      <c r="AC550" s="26">
        <f t="shared" si="148"/>
        <v>623.20000000000005</v>
      </c>
      <c r="AD550" s="26">
        <f t="shared" si="149"/>
        <v>14.066666666666666</v>
      </c>
      <c r="AE550">
        <f t="shared" si="150"/>
        <v>2023</v>
      </c>
      <c r="AG550">
        <v>12</v>
      </c>
      <c r="AH550" s="26">
        <f t="shared" si="151"/>
        <v>10.576271186440678</v>
      </c>
      <c r="AI550" t="str">
        <f t="shared" si="152"/>
        <v>PM</v>
      </c>
      <c r="AJ550" t="str">
        <f t="shared" si="153"/>
        <v>11-2023-2</v>
      </c>
      <c r="AK550">
        <f t="shared" si="154"/>
        <v>11</v>
      </c>
      <c r="AL550" s="26">
        <f>IFERROR(Table2[[#This Row],[Calories]]/Table2[[#This Row],[Splat]],"")</f>
        <v>48</v>
      </c>
      <c r="AM550">
        <f>COUNTIF(N$2:$N$938,N550)</f>
        <v>191</v>
      </c>
      <c r="AN550" t="str">
        <f>VLOOKUP(N550,'Helpful Tables'!A:D,4,FALSE)</f>
        <v>Washington, DC</v>
      </c>
      <c r="AO550" s="24">
        <f>COUNTIF(AN:AN,Table2[[#This Row],[State]])/COUNTA(AN:AN)</f>
        <v>0.54904051172707891</v>
      </c>
      <c r="AP550">
        <f>VLOOKUP(N550,'Helpful Tables'!A:B,2,FALSE)</f>
        <v>38.949649000000001</v>
      </c>
      <c r="AQ550">
        <f>VLOOKUP(N550,'Helpful Tables'!A:C,3,FALSE)</f>
        <v>-77.080878999999996</v>
      </c>
      <c r="AR550">
        <f>COUNTIF(P$2:$P$938,P550)</f>
        <v>8</v>
      </c>
      <c r="AS550" cm="1">
        <f t="array" ref="AS550">_xlfn.IFS(E550&lt;6,((E550/D550)*60)*0.5,AND(E550&gt;=6,E550&lt;9),((E550/D550)*60)*0.75,AND(E550&gt;=9,E550&lt;=11),((E550/D550)*60)*0.9,AND(E550=12),((E550/D550)*60)*1,AND(E550&gt;=13,E550&lt;=15),((E550/D550)*60)*1.2,AND(E550&gt;=16,E550&lt;=19),((E550/D550)*60)*1.5,E550&gt;=20,((E550/D550)*60)*1.8)</f>
        <v>15.864406779661017</v>
      </c>
      <c r="AT550" cm="1">
        <f t="array" ref="AT550">_xlfn.IFS(F550&lt;550,((F550/D550)*60)*0.5,AND(F550&gt;=550,F550&lt;575),((F550/D550)*60)*0.75,AND(F550&gt;=575,F550&lt;600),((F550/D550)*60)*0.9,AND(F550=600),((F550/D550)*60)*1,AND(F550&gt;=601,F550&lt;=625),((F550/D550)*60)*1.2,AND(F550&gt;=626,F550&lt;=650),((F550/D550)*60)*1.5,F550&gt;=651,((F550/D550)*60)*1.8)</f>
        <v>761.49152542372872</v>
      </c>
      <c r="AU550">
        <f t="shared" si="159"/>
        <v>-5.1999999999999922</v>
      </c>
      <c r="AV550">
        <f t="shared" si="157"/>
        <v>309.90237288135586</v>
      </c>
      <c r="AW550">
        <f t="shared" si="160"/>
        <v>31.5</v>
      </c>
      <c r="AX550" t="str">
        <f t="shared" si="155"/>
        <v>Nov-2023</v>
      </c>
      <c r="AY550">
        <f>ROUNDUP(Table2[[#This Row],[Month]]/3,0)</f>
        <v>4</v>
      </c>
    </row>
    <row r="551" spans="1:51" x14ac:dyDescent="0.2">
      <c r="A551">
        <v>550</v>
      </c>
      <c r="B551">
        <f t="shared" si="144"/>
        <v>15</v>
      </c>
      <c r="C551" s="22">
        <v>45240</v>
      </c>
      <c r="D551">
        <f>SUM(Table2[[#This Row],[Gray Min]:[Red Min]])</f>
        <v>56</v>
      </c>
      <c r="E551">
        <v>10</v>
      </c>
      <c r="F551">
        <v>606</v>
      </c>
      <c r="G551">
        <v>124</v>
      </c>
      <c r="H551">
        <v>166</v>
      </c>
      <c r="I551">
        <v>15</v>
      </c>
      <c r="J551">
        <v>15</v>
      </c>
      <c r="K551">
        <v>16</v>
      </c>
      <c r="L551">
        <v>9</v>
      </c>
      <c r="M551">
        <v>1</v>
      </c>
      <c r="N551" t="s">
        <v>101</v>
      </c>
      <c r="O551" t="s">
        <v>173</v>
      </c>
      <c r="P551" t="s">
        <v>146</v>
      </c>
      <c r="Q551">
        <f t="shared" si="156"/>
        <v>2</v>
      </c>
      <c r="R551" t="str">
        <f t="shared" si="145"/>
        <v>11-2023</v>
      </c>
      <c r="S551" t="s">
        <v>104</v>
      </c>
      <c r="T551" t="str">
        <f t="shared" si="146"/>
        <v>Friday</v>
      </c>
      <c r="U551">
        <f t="shared" si="147"/>
        <v>0</v>
      </c>
      <c r="V551" s="24">
        <f>IFERROR(Table2[[#This Row],[Gray Min]]/Table2[[#This Row],[ClassLength]],"")</f>
        <v>0.26785714285714285</v>
      </c>
      <c r="W551" s="24">
        <f>IFERROR(Table2[[#This Row],[Blue Min]]/Table2[[#This Row],[ClassLength]],"")</f>
        <v>0.26785714285714285</v>
      </c>
      <c r="X551" s="24">
        <f>IFERROR(Table2[[#This Row],[Green Min]]/Table2[[#This Row],[ClassLength]],"")</f>
        <v>0.2857142857142857</v>
      </c>
      <c r="Y551" s="24">
        <f>IFERROR(Table2[[#This Row],[Orange Min]]/Table2[[#This Row],[ClassLength]],"")</f>
        <v>0.16071428571428573</v>
      </c>
      <c r="Z551" s="24">
        <f>IFERROR(Table2[[#This Row],[Red Min]]/Table2[[#This Row],[ClassLength]],"")</f>
        <v>1.7857142857142856E-2</v>
      </c>
      <c r="AA551" s="25">
        <v>232.14</v>
      </c>
      <c r="AB551" s="25">
        <f t="shared" si="158"/>
        <v>15.475999999999999</v>
      </c>
      <c r="AC551" s="26">
        <f t="shared" si="148"/>
        <v>623.20000000000005</v>
      </c>
      <c r="AD551" s="26">
        <f t="shared" si="149"/>
        <v>14.066666666666666</v>
      </c>
      <c r="AE551">
        <f t="shared" si="150"/>
        <v>2023</v>
      </c>
      <c r="AG551">
        <v>12</v>
      </c>
      <c r="AH551" s="26">
        <f t="shared" si="151"/>
        <v>10.821428571428571</v>
      </c>
      <c r="AI551" t="str">
        <f t="shared" si="152"/>
        <v>PM</v>
      </c>
      <c r="AJ551" t="str">
        <f t="shared" si="153"/>
        <v>11-2023-2</v>
      </c>
      <c r="AK551">
        <f t="shared" si="154"/>
        <v>11</v>
      </c>
      <c r="AL551" s="26">
        <f>IFERROR(Table2[[#This Row],[Calories]]/Table2[[#This Row],[Splat]],"")</f>
        <v>60.6</v>
      </c>
      <c r="AM551">
        <f>COUNTIF(N$2:$N$938,N551)</f>
        <v>191</v>
      </c>
      <c r="AN551" t="str">
        <f>VLOOKUP(N551,'Helpful Tables'!A:D,4,FALSE)</f>
        <v>Washington, DC</v>
      </c>
      <c r="AO551" s="24">
        <f>COUNTIF(AN:AN,Table2[[#This Row],[State]])/COUNTA(AN:AN)</f>
        <v>0.54904051172707891</v>
      </c>
      <c r="AP551">
        <f>VLOOKUP(N551,'Helpful Tables'!A:B,2,FALSE)</f>
        <v>38.949649000000001</v>
      </c>
      <c r="AQ551">
        <f>VLOOKUP(N551,'Helpful Tables'!A:C,3,FALSE)</f>
        <v>-77.080878999999996</v>
      </c>
      <c r="AR551">
        <f>COUNTIF(P$2:$P$938,P551)</f>
        <v>3</v>
      </c>
      <c r="AS551" cm="1">
        <f t="array" ref="AS551">_xlfn.IFS(E551&lt;6,((E551/D551)*60)*0.5,AND(E551&gt;=6,E551&lt;9),((E551/D551)*60)*0.75,AND(E551&gt;=9,E551&lt;=11),((E551/D551)*60)*0.9,AND(E551=12),((E551/D551)*60)*1,AND(E551&gt;=13,E551&lt;=15),((E551/D551)*60)*1.2,AND(E551&gt;=16,E551&lt;=19),((E551/D551)*60)*1.5,E551&gt;=20,((E551/D551)*60)*1.8)</f>
        <v>9.6428571428571441</v>
      </c>
      <c r="AT551" cm="1">
        <f t="array" ref="AT551">_xlfn.IFS(F551&lt;550,((F551/D551)*60)*0.5,AND(F551&gt;=550,F551&lt;575),((F551/D551)*60)*0.75,AND(F551&gt;=575,F551&lt;600),((F551/D551)*60)*0.9,AND(F551=600),((F551/D551)*60)*1,AND(F551&gt;=601,F551&lt;=625),((F551/D551)*60)*1.2,AND(F551&gt;=626,F551&lt;=650),((F551/D551)*60)*1.5,F551&gt;=651,((F551/D551)*60)*1.8)</f>
        <v>779.142857142857</v>
      </c>
      <c r="AU551">
        <f t="shared" si="159"/>
        <v>-2.0999999999999996</v>
      </c>
      <c r="AV551">
        <f t="shared" si="157"/>
        <v>315.09428571428566</v>
      </c>
      <c r="AW551">
        <f t="shared" si="160"/>
        <v>34.200000000000003</v>
      </c>
      <c r="AX551" t="str">
        <f t="shared" si="155"/>
        <v>Nov-2023</v>
      </c>
      <c r="AY551">
        <f>ROUNDUP(Table2[[#This Row],[Month]]/3,0)</f>
        <v>4</v>
      </c>
    </row>
    <row r="552" spans="1:51" x14ac:dyDescent="0.2">
      <c r="A552">
        <v>551</v>
      </c>
      <c r="B552">
        <f t="shared" si="144"/>
        <v>15</v>
      </c>
      <c r="C552" s="22">
        <v>45242</v>
      </c>
      <c r="D552">
        <f>SUM(Table2[[#This Row],[Gray Min]:[Red Min]])</f>
        <v>59</v>
      </c>
      <c r="E552">
        <v>21</v>
      </c>
      <c r="F552">
        <v>669</v>
      </c>
      <c r="G552">
        <v>128</v>
      </c>
      <c r="H552">
        <v>172</v>
      </c>
      <c r="I552">
        <v>13</v>
      </c>
      <c r="J552">
        <v>17</v>
      </c>
      <c r="K552">
        <v>8</v>
      </c>
      <c r="L552">
        <v>17</v>
      </c>
      <c r="M552">
        <v>4</v>
      </c>
      <c r="N552" t="s">
        <v>91</v>
      </c>
      <c r="O552" t="s">
        <v>79</v>
      </c>
      <c r="P552" t="s">
        <v>100</v>
      </c>
      <c r="Q552">
        <f t="shared" si="156"/>
        <v>2</v>
      </c>
      <c r="R552" t="str">
        <f t="shared" si="145"/>
        <v>11-2023</v>
      </c>
      <c r="S552" t="s">
        <v>104</v>
      </c>
      <c r="T552" t="str">
        <f t="shared" si="146"/>
        <v>Sunday</v>
      </c>
      <c r="U552">
        <f t="shared" si="147"/>
        <v>1</v>
      </c>
      <c r="V552" s="24">
        <f>IFERROR(Table2[[#This Row],[Gray Min]]/Table2[[#This Row],[ClassLength]],"")</f>
        <v>0.22033898305084745</v>
      </c>
      <c r="W552" s="24">
        <f>IFERROR(Table2[[#This Row],[Blue Min]]/Table2[[#This Row],[ClassLength]],"")</f>
        <v>0.28813559322033899</v>
      </c>
      <c r="X552" s="24">
        <f>IFERROR(Table2[[#This Row],[Green Min]]/Table2[[#This Row],[ClassLength]],"")</f>
        <v>0.13559322033898305</v>
      </c>
      <c r="Y552" s="24">
        <f>IFERROR(Table2[[#This Row],[Orange Min]]/Table2[[#This Row],[ClassLength]],"")</f>
        <v>0.28813559322033899</v>
      </c>
      <c r="Z552" s="24">
        <f>IFERROR(Table2[[#This Row],[Red Min]]/Table2[[#This Row],[ClassLength]],"")</f>
        <v>6.7796610169491525E-2</v>
      </c>
      <c r="AA552" s="25">
        <v>232.14</v>
      </c>
      <c r="AB552" s="25">
        <f t="shared" si="158"/>
        <v>15.475999999999999</v>
      </c>
      <c r="AC552" s="26">
        <f t="shared" si="148"/>
        <v>623.20000000000005</v>
      </c>
      <c r="AD552" s="26">
        <f t="shared" si="149"/>
        <v>14.066666666666666</v>
      </c>
      <c r="AE552">
        <f t="shared" si="150"/>
        <v>2023</v>
      </c>
      <c r="AG552">
        <v>12</v>
      </c>
      <c r="AH552" s="26">
        <f t="shared" si="151"/>
        <v>11.338983050847459</v>
      </c>
      <c r="AI552" t="str">
        <f t="shared" si="152"/>
        <v>AM</v>
      </c>
      <c r="AJ552" t="str">
        <f t="shared" si="153"/>
        <v>11-2023-3</v>
      </c>
      <c r="AK552">
        <f t="shared" si="154"/>
        <v>11</v>
      </c>
      <c r="AL552" s="26">
        <f>IFERROR(Table2[[#This Row],[Calories]]/Table2[[#This Row],[Splat]],"")</f>
        <v>31.857142857142858</v>
      </c>
      <c r="AM552">
        <f>COUNTIF(N$2:$N$938,N552)</f>
        <v>218</v>
      </c>
      <c r="AN552" t="str">
        <f>VLOOKUP(N552,'Helpful Tables'!A:D,4,FALSE)</f>
        <v>Washington, DC</v>
      </c>
      <c r="AO552" s="24">
        <f>COUNTIF(AN:AN,Table2[[#This Row],[State]])/COUNTA(AN:AN)</f>
        <v>0.54904051172707891</v>
      </c>
      <c r="AP552">
        <f>VLOOKUP(N552,'Helpful Tables'!A:B,2,FALSE)</f>
        <v>38.934710000000003</v>
      </c>
      <c r="AQ552">
        <f>VLOOKUP(N552,'Helpful Tables'!A:C,3,FALSE)</f>
        <v>-77.058222999999998</v>
      </c>
      <c r="AR552">
        <f>COUNTIF(P$2:$P$938,P552)</f>
        <v>35</v>
      </c>
      <c r="AS552" cm="1">
        <f t="array" ref="AS552">_xlfn.IFS(E552&lt;6,((E552/D552)*60)*0.5,AND(E552&gt;=6,E552&lt;9),((E552/D552)*60)*0.75,AND(E552&gt;=9,E552&lt;=11),((E552/D552)*60)*0.9,AND(E552=12),((E552/D552)*60)*1,AND(E552&gt;=13,E552&lt;=15),((E552/D552)*60)*1.2,AND(E552&gt;=16,E552&lt;=19),((E552/D552)*60)*1.5,E552&gt;=20,((E552/D552)*60)*1.8)</f>
        <v>38.440677966101696</v>
      </c>
      <c r="AT552" cm="1">
        <f t="array" ref="AT552">_xlfn.IFS(F552&lt;550,((F552/D552)*60)*0.5,AND(F552&gt;=550,F552&lt;575),((F552/D552)*60)*0.75,AND(F552&gt;=575,F552&lt;600),((F552/D552)*60)*0.9,AND(F552=600),((F552/D552)*60)*1,AND(F552&gt;=601,F552&lt;=625),((F552/D552)*60)*1.2,AND(F552&gt;=626,F552&lt;=650),((F552/D552)*60)*1.5,F552&gt;=651,((F552/D552)*60)*1.8)</f>
        <v>1224.6101694915255</v>
      </c>
      <c r="AU552">
        <f t="shared" si="159"/>
        <v>3.3999999999999986</v>
      </c>
      <c r="AV552">
        <f t="shared" si="157"/>
        <v>505.90033898305097</v>
      </c>
      <c r="AW552">
        <f t="shared" si="160"/>
        <v>83</v>
      </c>
      <c r="AX552" t="str">
        <f t="shared" si="155"/>
        <v>Nov-2023</v>
      </c>
      <c r="AY552">
        <f>ROUNDUP(Table2[[#This Row],[Month]]/3,0)</f>
        <v>4</v>
      </c>
    </row>
    <row r="553" spans="1:51" x14ac:dyDescent="0.2">
      <c r="A553">
        <v>552</v>
      </c>
      <c r="B553">
        <f t="shared" si="144"/>
        <v>15</v>
      </c>
      <c r="C553" s="22">
        <v>45244</v>
      </c>
      <c r="D553">
        <f>SUM(Table2[[#This Row],[Gray Min]:[Red Min]])</f>
        <v>58</v>
      </c>
      <c r="E553">
        <v>19</v>
      </c>
      <c r="F553">
        <v>659</v>
      </c>
      <c r="G553">
        <v>129</v>
      </c>
      <c r="H553">
        <v>174</v>
      </c>
      <c r="I553">
        <v>13</v>
      </c>
      <c r="J553">
        <v>15</v>
      </c>
      <c r="K553">
        <v>11</v>
      </c>
      <c r="L553">
        <v>15</v>
      </c>
      <c r="M553">
        <v>4</v>
      </c>
      <c r="N553" t="s">
        <v>101</v>
      </c>
      <c r="O553" t="s">
        <v>173</v>
      </c>
      <c r="P553" t="s">
        <v>109</v>
      </c>
      <c r="Q553">
        <f t="shared" si="156"/>
        <v>2</v>
      </c>
      <c r="R553" t="str">
        <f t="shared" si="145"/>
        <v>11-2023</v>
      </c>
      <c r="S553" t="s">
        <v>104</v>
      </c>
      <c r="T553" t="str">
        <f t="shared" si="146"/>
        <v>Tuesday</v>
      </c>
      <c r="U553">
        <f t="shared" si="147"/>
        <v>1</v>
      </c>
      <c r="V553" s="24">
        <f>IFERROR(Table2[[#This Row],[Gray Min]]/Table2[[#This Row],[ClassLength]],"")</f>
        <v>0.22413793103448276</v>
      </c>
      <c r="W553" s="24">
        <f>IFERROR(Table2[[#This Row],[Blue Min]]/Table2[[#This Row],[ClassLength]],"")</f>
        <v>0.25862068965517243</v>
      </c>
      <c r="X553" s="24">
        <f>IFERROR(Table2[[#This Row],[Green Min]]/Table2[[#This Row],[ClassLength]],"")</f>
        <v>0.18965517241379309</v>
      </c>
      <c r="Y553" s="24">
        <f>IFERROR(Table2[[#This Row],[Orange Min]]/Table2[[#This Row],[ClassLength]],"")</f>
        <v>0.25862068965517243</v>
      </c>
      <c r="Z553" s="24">
        <f>IFERROR(Table2[[#This Row],[Red Min]]/Table2[[#This Row],[ClassLength]],"")</f>
        <v>6.8965517241379309E-2</v>
      </c>
      <c r="AA553" s="25">
        <v>232.14</v>
      </c>
      <c r="AB553" s="25">
        <f t="shared" si="158"/>
        <v>15.475999999999999</v>
      </c>
      <c r="AC553" s="26">
        <f t="shared" si="148"/>
        <v>623.20000000000005</v>
      </c>
      <c r="AD553" s="26">
        <f t="shared" si="149"/>
        <v>14.066666666666666</v>
      </c>
      <c r="AE553">
        <f t="shared" si="150"/>
        <v>2023</v>
      </c>
      <c r="AG553">
        <v>12</v>
      </c>
      <c r="AH553" s="26">
        <f t="shared" si="151"/>
        <v>11.362068965517242</v>
      </c>
      <c r="AI553" t="str">
        <f t="shared" si="152"/>
        <v>PM</v>
      </c>
      <c r="AJ553" t="str">
        <f t="shared" si="153"/>
        <v>11-2023-3</v>
      </c>
      <c r="AK553">
        <f t="shared" si="154"/>
        <v>11</v>
      </c>
      <c r="AL553" s="26">
        <f>IFERROR(Table2[[#This Row],[Calories]]/Table2[[#This Row],[Splat]],"")</f>
        <v>34.684210526315788</v>
      </c>
      <c r="AM553">
        <f>COUNTIF(N$2:$N$938,N553)</f>
        <v>191</v>
      </c>
      <c r="AN553" t="str">
        <f>VLOOKUP(N553,'Helpful Tables'!A:D,4,FALSE)</f>
        <v>Washington, DC</v>
      </c>
      <c r="AO553" s="24">
        <f>COUNTIF(AN:AN,Table2[[#This Row],[State]])/COUNTA(AN:AN)</f>
        <v>0.54904051172707891</v>
      </c>
      <c r="AP553">
        <f>VLOOKUP(N553,'Helpful Tables'!A:B,2,FALSE)</f>
        <v>38.949649000000001</v>
      </c>
      <c r="AQ553">
        <f>VLOOKUP(N553,'Helpful Tables'!A:C,3,FALSE)</f>
        <v>-77.080878999999996</v>
      </c>
      <c r="AR553">
        <f>COUNTIF(P$2:$P$938,P553)</f>
        <v>66</v>
      </c>
      <c r="AS553" cm="1">
        <f t="array" ref="AS553">_xlfn.IFS(E553&lt;6,((E553/D553)*60)*0.5,AND(E553&gt;=6,E553&lt;9),((E553/D553)*60)*0.75,AND(E553&gt;=9,E553&lt;=11),((E553/D553)*60)*0.9,AND(E553=12),((E553/D553)*60)*1,AND(E553&gt;=13,E553&lt;=15),((E553/D553)*60)*1.2,AND(E553&gt;=16,E553&lt;=19),((E553/D553)*60)*1.5,E553&gt;=20,((E553/D553)*60)*1.8)</f>
        <v>29.482758620689655</v>
      </c>
      <c r="AT553" cm="1">
        <f t="array" ref="AT553">_xlfn.IFS(F553&lt;550,((F553/D553)*60)*0.5,AND(F553&gt;=550,F553&lt;575),((F553/D553)*60)*0.75,AND(F553&gt;=575,F553&lt;600),((F553/D553)*60)*0.9,AND(F553=600),((F553/D553)*60)*1,AND(F553&gt;=601,F553&lt;=625),((F553/D553)*60)*1.2,AND(F553&gt;=626,F553&lt;=650),((F553/D553)*60)*1.5,F553&gt;=651,((F553/D553)*60)*1.8)</f>
        <v>1227.1034482758621</v>
      </c>
      <c r="AU553">
        <f t="shared" si="159"/>
        <v>6.5999999999999979</v>
      </c>
      <c r="AV553">
        <f t="shared" si="157"/>
        <v>503.95448275862071</v>
      </c>
      <c r="AW553">
        <f t="shared" si="160"/>
        <v>81.599999999999994</v>
      </c>
      <c r="AX553" t="str">
        <f t="shared" si="155"/>
        <v>Nov-2023</v>
      </c>
      <c r="AY553">
        <f>ROUNDUP(Table2[[#This Row],[Month]]/3,0)</f>
        <v>4</v>
      </c>
    </row>
    <row r="554" spans="1:51" x14ac:dyDescent="0.2">
      <c r="A554">
        <v>553</v>
      </c>
      <c r="B554">
        <f t="shared" si="144"/>
        <v>15</v>
      </c>
      <c r="C554" s="22">
        <v>45245</v>
      </c>
      <c r="D554">
        <f>SUM(Table2[[#This Row],[Gray Min]:[Red Min]])</f>
        <v>58</v>
      </c>
      <c r="E554">
        <v>11</v>
      </c>
      <c r="F554">
        <v>657</v>
      </c>
      <c r="G554">
        <v>127</v>
      </c>
      <c r="H554">
        <v>168</v>
      </c>
      <c r="I554">
        <v>8</v>
      </c>
      <c r="J554">
        <v>19</v>
      </c>
      <c r="K554">
        <v>20</v>
      </c>
      <c r="L554">
        <v>9</v>
      </c>
      <c r="M554">
        <v>2</v>
      </c>
      <c r="N554" t="s">
        <v>91</v>
      </c>
      <c r="O554" t="s">
        <v>57</v>
      </c>
      <c r="P554" t="s">
        <v>188</v>
      </c>
      <c r="Q554">
        <f t="shared" si="156"/>
        <v>1</v>
      </c>
      <c r="R554" t="str">
        <f t="shared" si="145"/>
        <v>11-2023</v>
      </c>
      <c r="S554" t="s">
        <v>104</v>
      </c>
      <c r="T554" t="str">
        <f t="shared" si="146"/>
        <v>Wednesday</v>
      </c>
      <c r="U554">
        <f t="shared" si="147"/>
        <v>0</v>
      </c>
      <c r="V554" s="24">
        <f>IFERROR(Table2[[#This Row],[Gray Min]]/Table2[[#This Row],[ClassLength]],"")</f>
        <v>0.13793103448275862</v>
      </c>
      <c r="W554" s="24">
        <f>IFERROR(Table2[[#This Row],[Blue Min]]/Table2[[#This Row],[ClassLength]],"")</f>
        <v>0.32758620689655171</v>
      </c>
      <c r="X554" s="24">
        <f>IFERROR(Table2[[#This Row],[Green Min]]/Table2[[#This Row],[ClassLength]],"")</f>
        <v>0.34482758620689657</v>
      </c>
      <c r="Y554" s="24">
        <f>IFERROR(Table2[[#This Row],[Orange Min]]/Table2[[#This Row],[ClassLength]],"")</f>
        <v>0.15517241379310345</v>
      </c>
      <c r="Z554" s="24">
        <f>IFERROR(Table2[[#This Row],[Red Min]]/Table2[[#This Row],[ClassLength]],"")</f>
        <v>3.4482758620689655E-2</v>
      </c>
      <c r="AA554" s="25">
        <v>232.14</v>
      </c>
      <c r="AB554" s="25">
        <f t="shared" si="158"/>
        <v>15.475999999999999</v>
      </c>
      <c r="AC554" s="26">
        <f t="shared" si="148"/>
        <v>623.20000000000005</v>
      </c>
      <c r="AD554" s="26">
        <f t="shared" si="149"/>
        <v>14.066666666666666</v>
      </c>
      <c r="AE554">
        <f t="shared" si="150"/>
        <v>2023</v>
      </c>
      <c r="AG554">
        <v>12</v>
      </c>
      <c r="AH554" s="26">
        <f t="shared" si="151"/>
        <v>11.327586206896552</v>
      </c>
      <c r="AI554" t="str">
        <f t="shared" si="152"/>
        <v>PM</v>
      </c>
      <c r="AJ554" t="str">
        <f t="shared" si="153"/>
        <v>11-2023-3</v>
      </c>
      <c r="AK554">
        <f t="shared" si="154"/>
        <v>11</v>
      </c>
      <c r="AL554" s="26">
        <f>IFERROR(Table2[[#This Row],[Calories]]/Table2[[#This Row],[Splat]],"")</f>
        <v>59.727272727272727</v>
      </c>
      <c r="AM554">
        <f>COUNTIF(N$2:$N$938,N554)</f>
        <v>218</v>
      </c>
      <c r="AN554" t="str">
        <f>VLOOKUP(N554,'Helpful Tables'!A:D,4,FALSE)</f>
        <v>Washington, DC</v>
      </c>
      <c r="AO554" s="24">
        <f>COUNTIF(AN:AN,Table2[[#This Row],[State]])/COUNTA(AN:AN)</f>
        <v>0.54904051172707891</v>
      </c>
      <c r="AP554">
        <f>VLOOKUP(N554,'Helpful Tables'!A:B,2,FALSE)</f>
        <v>38.934710000000003</v>
      </c>
      <c r="AQ554">
        <f>VLOOKUP(N554,'Helpful Tables'!A:C,3,FALSE)</f>
        <v>-77.058222999999998</v>
      </c>
      <c r="AR554">
        <f>COUNTIF(P$2:$P$938,P554)</f>
        <v>10</v>
      </c>
      <c r="AS554" cm="1">
        <f t="array" ref="AS554">_xlfn.IFS(E554&lt;6,((E554/D554)*60)*0.5,AND(E554&gt;=6,E554&lt;9),((E554/D554)*60)*0.75,AND(E554&gt;=9,E554&lt;=11),((E554/D554)*60)*0.9,AND(E554=12),((E554/D554)*60)*1,AND(E554&gt;=13,E554&lt;=15),((E554/D554)*60)*1.2,AND(E554&gt;=16,E554&lt;=19),((E554/D554)*60)*1.5,E554&gt;=20,((E554/D554)*60)*1.8)</f>
        <v>10.241379310344827</v>
      </c>
      <c r="AT554" cm="1">
        <f t="array" ref="AT554">_xlfn.IFS(F554&lt;550,((F554/D554)*60)*0.5,AND(F554&gt;=550,F554&lt;575),((F554/D554)*60)*0.75,AND(F554&gt;=575,F554&lt;600),((F554/D554)*60)*0.9,AND(F554=600),((F554/D554)*60)*1,AND(F554&gt;=601,F554&lt;=625),((F554/D554)*60)*1.2,AND(F554&gt;=626,F554&lt;=650),((F554/D554)*60)*1.5,F554&gt;=651,((F554/D554)*60)*1.8)</f>
        <v>1223.3793103448277</v>
      </c>
      <c r="AU554">
        <f t="shared" si="159"/>
        <v>8.2000000000000011</v>
      </c>
      <c r="AV554">
        <f t="shared" si="157"/>
        <v>495.08827586206905</v>
      </c>
      <c r="AW554">
        <f t="shared" si="160"/>
        <v>75.900000000000006</v>
      </c>
      <c r="AX554" t="str">
        <f t="shared" si="155"/>
        <v>Nov-2023</v>
      </c>
      <c r="AY554">
        <f>ROUNDUP(Table2[[#This Row],[Month]]/3,0)</f>
        <v>4</v>
      </c>
    </row>
    <row r="555" spans="1:51" x14ac:dyDescent="0.2">
      <c r="A555">
        <v>554</v>
      </c>
      <c r="B555">
        <f t="shared" si="144"/>
        <v>15</v>
      </c>
      <c r="C555" s="22">
        <v>45247</v>
      </c>
      <c r="D555">
        <f>SUM(Table2[[#This Row],[Gray Min]:[Red Min]])</f>
        <v>57</v>
      </c>
      <c r="E555">
        <v>13</v>
      </c>
      <c r="F555">
        <v>607</v>
      </c>
      <c r="G555">
        <v>123</v>
      </c>
      <c r="H555">
        <v>166</v>
      </c>
      <c r="I555">
        <v>17</v>
      </c>
      <c r="J555">
        <v>12</v>
      </c>
      <c r="K555">
        <v>15</v>
      </c>
      <c r="L555">
        <v>12</v>
      </c>
      <c r="M555">
        <v>1</v>
      </c>
      <c r="N555" t="s">
        <v>91</v>
      </c>
      <c r="O555" t="s">
        <v>57</v>
      </c>
      <c r="P555" t="s">
        <v>96</v>
      </c>
      <c r="Q555">
        <f t="shared" si="156"/>
        <v>2</v>
      </c>
      <c r="R555" t="str">
        <f t="shared" si="145"/>
        <v>11-2023</v>
      </c>
      <c r="S555" t="s">
        <v>104</v>
      </c>
      <c r="T555" t="str">
        <f t="shared" si="146"/>
        <v>Friday</v>
      </c>
      <c r="U555">
        <f t="shared" si="147"/>
        <v>1</v>
      </c>
      <c r="V555" s="24">
        <f>IFERROR(Table2[[#This Row],[Gray Min]]/Table2[[#This Row],[ClassLength]],"")</f>
        <v>0.2982456140350877</v>
      </c>
      <c r="W555" s="24">
        <f>IFERROR(Table2[[#This Row],[Blue Min]]/Table2[[#This Row],[ClassLength]],"")</f>
        <v>0.21052631578947367</v>
      </c>
      <c r="X555" s="24">
        <f>IFERROR(Table2[[#This Row],[Green Min]]/Table2[[#This Row],[ClassLength]],"")</f>
        <v>0.26315789473684209</v>
      </c>
      <c r="Y555" s="24">
        <f>IFERROR(Table2[[#This Row],[Orange Min]]/Table2[[#This Row],[ClassLength]],"")</f>
        <v>0.21052631578947367</v>
      </c>
      <c r="Z555" s="24">
        <f>IFERROR(Table2[[#This Row],[Red Min]]/Table2[[#This Row],[ClassLength]],"")</f>
        <v>1.7543859649122806E-2</v>
      </c>
      <c r="AA555" s="25">
        <v>232.14</v>
      </c>
      <c r="AB555" s="25">
        <f t="shared" si="158"/>
        <v>15.475999999999999</v>
      </c>
      <c r="AC555" s="26">
        <f t="shared" si="148"/>
        <v>623.20000000000005</v>
      </c>
      <c r="AD555" s="26">
        <f t="shared" si="149"/>
        <v>14.066666666666666</v>
      </c>
      <c r="AE555">
        <f t="shared" si="150"/>
        <v>2023</v>
      </c>
      <c r="AG555">
        <v>12</v>
      </c>
      <c r="AH555" s="26">
        <f t="shared" si="151"/>
        <v>10.649122807017545</v>
      </c>
      <c r="AI555" t="str">
        <f t="shared" si="152"/>
        <v>PM</v>
      </c>
      <c r="AJ555" t="str">
        <f t="shared" si="153"/>
        <v>11-2023-3</v>
      </c>
      <c r="AK555">
        <f t="shared" si="154"/>
        <v>11</v>
      </c>
      <c r="AL555" s="26">
        <f>IFERROR(Table2[[#This Row],[Calories]]/Table2[[#This Row],[Splat]],"")</f>
        <v>46.692307692307693</v>
      </c>
      <c r="AM555">
        <f>COUNTIF(N$2:$N$938,N555)</f>
        <v>218</v>
      </c>
      <c r="AN555" t="str">
        <f>VLOOKUP(N555,'Helpful Tables'!A:D,4,FALSE)</f>
        <v>Washington, DC</v>
      </c>
      <c r="AO555" s="24">
        <f>COUNTIF(AN:AN,Table2[[#This Row],[State]])/COUNTA(AN:AN)</f>
        <v>0.54904051172707891</v>
      </c>
      <c r="AP555">
        <f>VLOOKUP(N555,'Helpful Tables'!A:B,2,FALSE)</f>
        <v>38.934710000000003</v>
      </c>
      <c r="AQ555">
        <f>VLOOKUP(N555,'Helpful Tables'!A:C,3,FALSE)</f>
        <v>-77.058222999999998</v>
      </c>
      <c r="AR555">
        <f>COUNTIF(P$2:$P$938,P555)</f>
        <v>71</v>
      </c>
      <c r="AS555" cm="1">
        <f t="array" ref="AS555">_xlfn.IFS(E555&lt;6,((E555/D555)*60)*0.5,AND(E555&gt;=6,E555&lt;9),((E555/D555)*60)*0.75,AND(E555&gt;=9,E555&lt;=11),((E555/D555)*60)*0.9,AND(E555=12),((E555/D555)*60)*1,AND(E555&gt;=13,E555&lt;=15),((E555/D555)*60)*1.2,AND(E555&gt;=16,E555&lt;=19),((E555/D555)*60)*1.5,E555&gt;=20,((E555/D555)*60)*1.8)</f>
        <v>16.421052631578945</v>
      </c>
      <c r="AT555" cm="1">
        <f t="array" ref="AT555">_xlfn.IFS(F555&lt;550,((F555/D555)*60)*0.5,AND(F555&gt;=550,F555&lt;575),((F555/D555)*60)*0.75,AND(F555&gt;=575,F555&lt;600),((F555/D555)*60)*0.9,AND(F555=600),((F555/D555)*60)*1,AND(F555&gt;=601,F555&lt;=625),((F555/D555)*60)*1.2,AND(F555&gt;=626,F555&lt;=650),((F555/D555)*60)*1.5,F555&gt;=651,((F555/D555)*60)*1.8)</f>
        <v>766.73684210526324</v>
      </c>
      <c r="AU555">
        <f t="shared" si="159"/>
        <v>1.5</v>
      </c>
      <c r="AV555">
        <f t="shared" si="157"/>
        <v>313.56315789473689</v>
      </c>
      <c r="AW555">
        <f t="shared" si="160"/>
        <v>32.9</v>
      </c>
      <c r="AX555" t="str">
        <f t="shared" si="155"/>
        <v>Nov-2023</v>
      </c>
      <c r="AY555">
        <f>ROUNDUP(Table2[[#This Row],[Month]]/3,0)</f>
        <v>4</v>
      </c>
    </row>
    <row r="556" spans="1:51" x14ac:dyDescent="0.2">
      <c r="A556">
        <v>555</v>
      </c>
      <c r="B556">
        <f t="shared" si="144"/>
        <v>15</v>
      </c>
      <c r="C556" s="22">
        <v>45249</v>
      </c>
      <c r="D556">
        <f>SUM(Table2[[#This Row],[Gray Min]:[Red Min]])</f>
        <v>56</v>
      </c>
      <c r="E556">
        <v>18</v>
      </c>
      <c r="F556">
        <v>626</v>
      </c>
      <c r="G556">
        <v>128</v>
      </c>
      <c r="H556">
        <v>167</v>
      </c>
      <c r="I556">
        <v>10</v>
      </c>
      <c r="J556">
        <v>18</v>
      </c>
      <c r="K556">
        <v>10</v>
      </c>
      <c r="L556">
        <v>17</v>
      </c>
      <c r="M556">
        <v>1</v>
      </c>
      <c r="N556" t="s">
        <v>30</v>
      </c>
      <c r="O556" t="s">
        <v>58</v>
      </c>
      <c r="P556" t="s">
        <v>193</v>
      </c>
      <c r="Q556">
        <f t="shared" si="156"/>
        <v>2</v>
      </c>
      <c r="R556" t="str">
        <f t="shared" si="145"/>
        <v>11-2023</v>
      </c>
      <c r="S556" t="s">
        <v>104</v>
      </c>
      <c r="T556" t="str">
        <f t="shared" si="146"/>
        <v>Sunday</v>
      </c>
      <c r="U556">
        <f t="shared" si="147"/>
        <v>1</v>
      </c>
      <c r="V556" s="24">
        <f>IFERROR(Table2[[#This Row],[Gray Min]]/Table2[[#This Row],[ClassLength]],"")</f>
        <v>0.17857142857142858</v>
      </c>
      <c r="W556" s="24">
        <f>IFERROR(Table2[[#This Row],[Blue Min]]/Table2[[#This Row],[ClassLength]],"")</f>
        <v>0.32142857142857145</v>
      </c>
      <c r="X556" s="24">
        <f>IFERROR(Table2[[#This Row],[Green Min]]/Table2[[#This Row],[ClassLength]],"")</f>
        <v>0.17857142857142858</v>
      </c>
      <c r="Y556" s="24">
        <f>IFERROR(Table2[[#This Row],[Orange Min]]/Table2[[#This Row],[ClassLength]],"")</f>
        <v>0.30357142857142855</v>
      </c>
      <c r="Z556" s="24">
        <f>IFERROR(Table2[[#This Row],[Red Min]]/Table2[[#This Row],[ClassLength]],"")</f>
        <v>1.7857142857142856E-2</v>
      </c>
      <c r="AA556" s="25">
        <v>232.14</v>
      </c>
      <c r="AB556" s="25">
        <f t="shared" si="158"/>
        <v>15.475999999999999</v>
      </c>
      <c r="AC556" s="26">
        <f t="shared" si="148"/>
        <v>623.20000000000005</v>
      </c>
      <c r="AD556" s="26">
        <f t="shared" si="149"/>
        <v>14.066666666666666</v>
      </c>
      <c r="AE556">
        <f t="shared" si="150"/>
        <v>2023</v>
      </c>
      <c r="AG556">
        <v>12</v>
      </c>
      <c r="AH556" s="26">
        <f t="shared" si="151"/>
        <v>11.178571428571429</v>
      </c>
      <c r="AI556" t="str">
        <f t="shared" si="152"/>
        <v>AM</v>
      </c>
      <c r="AJ556" t="str">
        <f t="shared" si="153"/>
        <v>11-2023-4</v>
      </c>
      <c r="AK556">
        <f t="shared" si="154"/>
        <v>11</v>
      </c>
      <c r="AL556" s="26">
        <f>IFERROR(Table2[[#This Row],[Calories]]/Table2[[#This Row],[Splat]],"")</f>
        <v>34.777777777777779</v>
      </c>
      <c r="AM556">
        <f>COUNTIF(N$2:$N$938,N556)</f>
        <v>9</v>
      </c>
      <c r="AN556" t="str">
        <f>VLOOKUP(N556,'Helpful Tables'!A:D,4,FALSE)</f>
        <v>Virginia</v>
      </c>
      <c r="AO556" s="24">
        <f>COUNTIF(AN:AN,Table2[[#This Row],[State]])/COUNTA(AN:AN)</f>
        <v>5.6503198294243072E-2</v>
      </c>
      <c r="AP556">
        <f>VLOOKUP(N556,'Helpful Tables'!A:B,2,FALSE)</f>
        <v>38.894024999999999</v>
      </c>
      <c r="AQ556">
        <f>VLOOKUP(N556,'Helpful Tables'!A:C,3,FALSE)</f>
        <v>-77.078213000000005</v>
      </c>
      <c r="AR556">
        <f>COUNTIF(P$2:$P$938,P556)</f>
        <v>2</v>
      </c>
      <c r="AS556" cm="1">
        <f t="array" ref="AS556">_xlfn.IFS(E556&lt;6,((E556/D556)*60)*0.5,AND(E556&gt;=6,E556&lt;9),((E556/D556)*60)*0.75,AND(E556&gt;=9,E556&lt;=11),((E556/D556)*60)*0.9,AND(E556=12),((E556/D556)*60)*1,AND(E556&gt;=13,E556&lt;=15),((E556/D556)*60)*1.2,AND(E556&gt;=16,E556&lt;=19),((E556/D556)*60)*1.5,E556&gt;=20,((E556/D556)*60)*1.8)</f>
        <v>28.928571428571431</v>
      </c>
      <c r="AT556" cm="1">
        <f t="array" ref="AT556">_xlfn.IFS(F556&lt;550,((F556/D556)*60)*0.5,AND(F556&gt;=550,F556&lt;575),((F556/D556)*60)*0.75,AND(F556&gt;=575,F556&lt;600),((F556/D556)*60)*0.9,AND(F556=600),((F556/D556)*60)*1,AND(F556&gt;=601,F556&lt;=625),((F556/D556)*60)*1.2,AND(F556&gt;=626,F556&lt;=650),((F556/D556)*60)*1.5,F556&gt;=651,((F556/D556)*60)*1.8)</f>
        <v>1006.0714285714287</v>
      </c>
      <c r="AU556">
        <f t="shared" si="159"/>
        <v>3.8000000000000007</v>
      </c>
      <c r="AV556">
        <f t="shared" si="157"/>
        <v>414.76000000000005</v>
      </c>
      <c r="AW556">
        <f t="shared" si="160"/>
        <v>60.099999999999994</v>
      </c>
      <c r="AX556" t="str">
        <f t="shared" si="155"/>
        <v>Nov-2023</v>
      </c>
      <c r="AY556">
        <f>ROUNDUP(Table2[[#This Row],[Month]]/3,0)</f>
        <v>4</v>
      </c>
    </row>
    <row r="557" spans="1:51" x14ac:dyDescent="0.2">
      <c r="A557">
        <v>556</v>
      </c>
      <c r="B557">
        <f t="shared" si="144"/>
        <v>15</v>
      </c>
      <c r="C557" s="22">
        <v>45251</v>
      </c>
      <c r="D557">
        <f>SUM(Table2[[#This Row],[Gray Min]:[Red Min]])</f>
        <v>60</v>
      </c>
      <c r="E557">
        <v>17</v>
      </c>
      <c r="F557">
        <v>670</v>
      </c>
      <c r="G557">
        <v>128</v>
      </c>
      <c r="H557">
        <v>165</v>
      </c>
      <c r="I557">
        <v>13</v>
      </c>
      <c r="J557">
        <v>16</v>
      </c>
      <c r="K557">
        <v>14</v>
      </c>
      <c r="L557">
        <v>15</v>
      </c>
      <c r="M557">
        <v>2</v>
      </c>
      <c r="N557" t="s">
        <v>194</v>
      </c>
      <c r="O557" t="s">
        <v>113</v>
      </c>
      <c r="P557" t="s">
        <v>195</v>
      </c>
      <c r="Q557">
        <f t="shared" si="156"/>
        <v>2</v>
      </c>
      <c r="R557" t="str">
        <f t="shared" si="145"/>
        <v>11-2023</v>
      </c>
      <c r="S557" t="s">
        <v>104</v>
      </c>
      <c r="T557" t="str">
        <f t="shared" si="146"/>
        <v>Tuesday</v>
      </c>
      <c r="U557">
        <f t="shared" si="147"/>
        <v>1</v>
      </c>
      <c r="V557" s="24">
        <f>IFERROR(Table2[[#This Row],[Gray Min]]/Table2[[#This Row],[ClassLength]],"")</f>
        <v>0.21666666666666667</v>
      </c>
      <c r="W557" s="24">
        <f>IFERROR(Table2[[#This Row],[Blue Min]]/Table2[[#This Row],[ClassLength]],"")</f>
        <v>0.26666666666666666</v>
      </c>
      <c r="X557" s="24">
        <f>IFERROR(Table2[[#This Row],[Green Min]]/Table2[[#This Row],[ClassLength]],"")</f>
        <v>0.23333333333333334</v>
      </c>
      <c r="Y557" s="24">
        <f>IFERROR(Table2[[#This Row],[Orange Min]]/Table2[[#This Row],[ClassLength]],"")</f>
        <v>0.25</v>
      </c>
      <c r="Z557" s="24">
        <f>IFERROR(Table2[[#This Row],[Red Min]]/Table2[[#This Row],[ClassLength]],"")</f>
        <v>3.3333333333333333E-2</v>
      </c>
      <c r="AA557" s="25">
        <v>232.14</v>
      </c>
      <c r="AB557" s="25">
        <f t="shared" si="158"/>
        <v>15.475999999999999</v>
      </c>
      <c r="AC557" s="26">
        <f t="shared" si="148"/>
        <v>623.20000000000005</v>
      </c>
      <c r="AD557" s="26">
        <f t="shared" si="149"/>
        <v>14.066666666666666</v>
      </c>
      <c r="AE557">
        <f t="shared" si="150"/>
        <v>2023</v>
      </c>
      <c r="AG557">
        <v>12</v>
      </c>
      <c r="AH557" s="26">
        <f t="shared" si="151"/>
        <v>11.166666666666666</v>
      </c>
      <c r="AI557" t="str">
        <f t="shared" si="152"/>
        <v>AM</v>
      </c>
      <c r="AJ557" t="str">
        <f t="shared" si="153"/>
        <v>11-2023-4</v>
      </c>
      <c r="AK557">
        <f t="shared" si="154"/>
        <v>11</v>
      </c>
      <c r="AL557" s="26">
        <f>IFERROR(Table2[[#This Row],[Calories]]/Table2[[#This Row],[Splat]],"")</f>
        <v>39.411764705882355</v>
      </c>
      <c r="AM557">
        <f>COUNTIF(N$2:$N$938,N557)</f>
        <v>2</v>
      </c>
      <c r="AN557" t="str">
        <f>VLOOKUP(N557,'Helpful Tables'!A:D,4,FALSE)</f>
        <v>Massachusetts</v>
      </c>
      <c r="AO557" s="24">
        <f>COUNTIF(AN:AN,Table2[[#This Row],[State]])/COUNTA(AN:AN)</f>
        <v>1.7057569296375266E-2</v>
      </c>
      <c r="AP557">
        <f>VLOOKUP(N557,'Helpful Tables'!A:B,2,FALSE)</f>
        <v>42.366121999999997</v>
      </c>
      <c r="AQ557">
        <f>VLOOKUP(N557,'Helpful Tables'!A:C,3,FALSE)</f>
        <v>-71.082223999999997</v>
      </c>
      <c r="AR557">
        <f>COUNTIF(P$2:$P$938,P557)</f>
        <v>2</v>
      </c>
      <c r="AS557" cm="1">
        <f t="array" ref="AS557">_xlfn.IFS(E557&lt;6,((E557/D557)*60)*0.5,AND(E557&gt;=6,E557&lt;9),((E557/D557)*60)*0.75,AND(E557&gt;=9,E557&lt;=11),((E557/D557)*60)*0.9,AND(E557=12),((E557/D557)*60)*1,AND(E557&gt;=13,E557&lt;=15),((E557/D557)*60)*1.2,AND(E557&gt;=16,E557&lt;=19),((E557/D557)*60)*1.5,E557&gt;=20,((E557/D557)*60)*1.8)</f>
        <v>25.5</v>
      </c>
      <c r="AT557" cm="1">
        <f t="array" ref="AT557">_xlfn.IFS(F557&lt;550,((F557/D557)*60)*0.5,AND(F557&gt;=550,F557&lt;575),((F557/D557)*60)*0.75,AND(F557&gt;=575,F557&lt;600),((F557/D557)*60)*0.9,AND(F557=600),((F557/D557)*60)*1,AND(F557&gt;=601,F557&lt;=625),((F557/D557)*60)*1.2,AND(F557&gt;=626,F557&lt;=650),((F557/D557)*60)*1.5,F557&gt;=651,((F557/D557)*60)*1.8)</f>
        <v>1206</v>
      </c>
      <c r="AU557">
        <f t="shared" si="159"/>
        <v>6.0999999999999979</v>
      </c>
      <c r="AV557">
        <f t="shared" si="157"/>
        <v>493.82000000000005</v>
      </c>
      <c r="AW557">
        <f t="shared" si="160"/>
        <v>75.400000000000006</v>
      </c>
      <c r="AX557" t="str">
        <f t="shared" si="155"/>
        <v>Nov-2023</v>
      </c>
      <c r="AY557">
        <f>ROUNDUP(Table2[[#This Row],[Month]]/3,0)</f>
        <v>4</v>
      </c>
    </row>
    <row r="558" spans="1:51" x14ac:dyDescent="0.2">
      <c r="A558">
        <v>557</v>
      </c>
      <c r="B558">
        <f t="shared" si="144"/>
        <v>15</v>
      </c>
      <c r="C558" s="22">
        <v>45253</v>
      </c>
      <c r="D558">
        <f>SUM(Table2[[#This Row],[Gray Min]:[Red Min]])</f>
        <v>58</v>
      </c>
      <c r="E558">
        <v>6</v>
      </c>
      <c r="F558">
        <v>581</v>
      </c>
      <c r="G558">
        <v>120</v>
      </c>
      <c r="H558">
        <v>160</v>
      </c>
      <c r="I558">
        <v>17</v>
      </c>
      <c r="J558">
        <v>18</v>
      </c>
      <c r="K558">
        <v>17</v>
      </c>
      <c r="L558">
        <v>6</v>
      </c>
      <c r="M558">
        <v>0</v>
      </c>
      <c r="N558" t="s">
        <v>194</v>
      </c>
      <c r="O558" t="s">
        <v>113</v>
      </c>
      <c r="P558" t="s">
        <v>196</v>
      </c>
      <c r="Q558">
        <f t="shared" si="156"/>
        <v>2</v>
      </c>
      <c r="R558" t="str">
        <f t="shared" si="145"/>
        <v>11-2023</v>
      </c>
      <c r="S558" t="s">
        <v>104</v>
      </c>
      <c r="T558" t="str">
        <f t="shared" si="146"/>
        <v>Thursday</v>
      </c>
      <c r="U558">
        <f t="shared" si="147"/>
        <v>0</v>
      </c>
      <c r="V558" s="24">
        <f>IFERROR(Table2[[#This Row],[Gray Min]]/Table2[[#This Row],[ClassLength]],"")</f>
        <v>0.29310344827586204</v>
      </c>
      <c r="W558" s="24">
        <f>IFERROR(Table2[[#This Row],[Blue Min]]/Table2[[#This Row],[ClassLength]],"")</f>
        <v>0.31034482758620691</v>
      </c>
      <c r="X558" s="24">
        <f>IFERROR(Table2[[#This Row],[Green Min]]/Table2[[#This Row],[ClassLength]],"")</f>
        <v>0.29310344827586204</v>
      </c>
      <c r="Y558" s="24">
        <f>IFERROR(Table2[[#This Row],[Orange Min]]/Table2[[#This Row],[ClassLength]],"")</f>
        <v>0.10344827586206896</v>
      </c>
      <c r="Z558" s="24">
        <f>IFERROR(Table2[[#This Row],[Red Min]]/Table2[[#This Row],[ClassLength]],"")</f>
        <v>0</v>
      </c>
      <c r="AA558" s="25">
        <v>232.14</v>
      </c>
      <c r="AB558" s="25">
        <f t="shared" si="158"/>
        <v>15.475999999999999</v>
      </c>
      <c r="AC558" s="26">
        <f t="shared" si="148"/>
        <v>623.20000000000005</v>
      </c>
      <c r="AD558" s="26">
        <f t="shared" si="149"/>
        <v>14.066666666666666</v>
      </c>
      <c r="AE558">
        <f t="shared" si="150"/>
        <v>2023</v>
      </c>
      <c r="AG558">
        <v>12</v>
      </c>
      <c r="AH558" s="26">
        <f t="shared" si="151"/>
        <v>10.017241379310345</v>
      </c>
      <c r="AI558" t="str">
        <f t="shared" si="152"/>
        <v>AM</v>
      </c>
      <c r="AJ558" t="str">
        <f t="shared" si="153"/>
        <v>11-2023-4</v>
      </c>
      <c r="AK558">
        <f t="shared" si="154"/>
        <v>11</v>
      </c>
      <c r="AL558" s="26">
        <f>IFERROR(Table2[[#This Row],[Calories]]/Table2[[#This Row],[Splat]],"")</f>
        <v>96.833333333333329</v>
      </c>
      <c r="AM558">
        <f>COUNTIF(N$2:$N$938,N558)</f>
        <v>2</v>
      </c>
      <c r="AN558" t="str">
        <f>VLOOKUP(N558,'Helpful Tables'!A:D,4,FALSE)</f>
        <v>Massachusetts</v>
      </c>
      <c r="AO558" s="24">
        <f>COUNTIF(AN:AN,Table2[[#This Row],[State]])/COUNTA(AN:AN)</f>
        <v>1.7057569296375266E-2</v>
      </c>
      <c r="AP558">
        <f>VLOOKUP(N558,'Helpful Tables'!A:B,2,FALSE)</f>
        <v>42.366121999999997</v>
      </c>
      <c r="AQ558">
        <f>VLOOKUP(N558,'Helpful Tables'!A:C,3,FALSE)</f>
        <v>-71.082223999999997</v>
      </c>
      <c r="AR558">
        <f>COUNTIF(P$2:$P$938,P558)</f>
        <v>1</v>
      </c>
      <c r="AS558" cm="1">
        <f t="array" ref="AS558">_xlfn.IFS(E558&lt;6,((E558/D558)*60)*0.5,AND(E558&gt;=6,E558&lt;9),((E558/D558)*60)*0.75,AND(E558&gt;=9,E558&lt;=11),((E558/D558)*60)*0.9,AND(E558=12),((E558/D558)*60)*1,AND(E558&gt;=13,E558&lt;=15),((E558/D558)*60)*1.2,AND(E558&gt;=16,E558&lt;=19),((E558/D558)*60)*1.5,E558&gt;=20,((E558/D558)*60)*1.8)</f>
        <v>4.6551724137931032</v>
      </c>
      <c r="AT558" cm="1">
        <f t="array" ref="AT558">_xlfn.IFS(F558&lt;550,((F558/D558)*60)*0.5,AND(F558&gt;=550,F558&lt;575),((F558/D558)*60)*0.75,AND(F558&gt;=575,F558&lt;600),((F558/D558)*60)*0.9,AND(F558=600),((F558/D558)*60)*1,AND(F558&gt;=601,F558&lt;=625),((F558/D558)*60)*1.2,AND(F558&gt;=626,F558&lt;=650),((F558/D558)*60)*1.5,F558&gt;=651,((F558/D558)*60)*1.8)</f>
        <v>540.93103448275861</v>
      </c>
      <c r="AU558">
        <f t="shared" si="159"/>
        <v>-12.000000000000004</v>
      </c>
      <c r="AV558">
        <f t="shared" si="157"/>
        <v>215.83448275862068</v>
      </c>
      <c r="AW558">
        <f t="shared" si="160"/>
        <v>15.5</v>
      </c>
      <c r="AX558" t="str">
        <f t="shared" si="155"/>
        <v>Nov-2023</v>
      </c>
      <c r="AY558">
        <f>ROUNDUP(Table2[[#This Row],[Month]]/3,0)</f>
        <v>4</v>
      </c>
    </row>
    <row r="559" spans="1:51" x14ac:dyDescent="0.2">
      <c r="A559">
        <v>558</v>
      </c>
      <c r="B559">
        <f t="shared" si="144"/>
        <v>15</v>
      </c>
      <c r="C559" s="22">
        <v>45256</v>
      </c>
      <c r="D559">
        <f>SUM(Table2[[#This Row],[Gray Min]:[Red Min]])</f>
        <v>55</v>
      </c>
      <c r="E559">
        <v>7</v>
      </c>
      <c r="F559">
        <v>507</v>
      </c>
      <c r="G559">
        <v>116</v>
      </c>
      <c r="H559">
        <v>161</v>
      </c>
      <c r="I559">
        <v>20</v>
      </c>
      <c r="J559">
        <v>20</v>
      </c>
      <c r="K559">
        <v>8</v>
      </c>
      <c r="L559">
        <v>7</v>
      </c>
      <c r="M559">
        <v>0</v>
      </c>
      <c r="N559" t="s">
        <v>91</v>
      </c>
      <c r="O559" t="s">
        <v>79</v>
      </c>
      <c r="P559" t="s">
        <v>100</v>
      </c>
      <c r="Q559">
        <f t="shared" si="156"/>
        <v>3</v>
      </c>
      <c r="R559" t="str">
        <f t="shared" si="145"/>
        <v>11-2023</v>
      </c>
      <c r="S559" t="s">
        <v>145</v>
      </c>
      <c r="T559" t="str">
        <f t="shared" si="146"/>
        <v>Sunday</v>
      </c>
      <c r="U559">
        <f t="shared" si="147"/>
        <v>0</v>
      </c>
      <c r="V559" s="24">
        <f>IFERROR(Table2[[#This Row],[Gray Min]]/Table2[[#This Row],[ClassLength]],"")</f>
        <v>0.36363636363636365</v>
      </c>
      <c r="W559" s="24">
        <f>IFERROR(Table2[[#This Row],[Blue Min]]/Table2[[#This Row],[ClassLength]],"")</f>
        <v>0.36363636363636365</v>
      </c>
      <c r="X559" s="24">
        <f>IFERROR(Table2[[#This Row],[Green Min]]/Table2[[#This Row],[ClassLength]],"")</f>
        <v>0.14545454545454545</v>
      </c>
      <c r="Y559" s="24">
        <f>IFERROR(Table2[[#This Row],[Orange Min]]/Table2[[#This Row],[ClassLength]],"")</f>
        <v>0.12727272727272726</v>
      </c>
      <c r="Z559" s="24">
        <f>IFERROR(Table2[[#This Row],[Red Min]]/Table2[[#This Row],[ClassLength]],"")</f>
        <v>0</v>
      </c>
      <c r="AA559" s="25">
        <v>232.14</v>
      </c>
      <c r="AB559" s="25">
        <f t="shared" si="158"/>
        <v>15.475999999999999</v>
      </c>
      <c r="AC559" s="26">
        <f t="shared" si="148"/>
        <v>623.20000000000005</v>
      </c>
      <c r="AD559" s="26">
        <f t="shared" si="149"/>
        <v>14.066666666666666</v>
      </c>
      <c r="AE559">
        <f t="shared" si="150"/>
        <v>2023</v>
      </c>
      <c r="AG559">
        <v>12</v>
      </c>
      <c r="AH559" s="26">
        <f t="shared" si="151"/>
        <v>9.2181818181818187</v>
      </c>
      <c r="AI559" t="str">
        <f t="shared" si="152"/>
        <v>AM</v>
      </c>
      <c r="AJ559" t="str">
        <f t="shared" si="153"/>
        <v>11-2023-5</v>
      </c>
      <c r="AK559">
        <f t="shared" si="154"/>
        <v>11</v>
      </c>
      <c r="AL559" s="26">
        <f>IFERROR(Table2[[#This Row],[Calories]]/Table2[[#This Row],[Splat]],"")</f>
        <v>72.428571428571431</v>
      </c>
      <c r="AM559">
        <f>COUNTIF(N$2:$N$938,N559)</f>
        <v>218</v>
      </c>
      <c r="AN559" t="str">
        <f>VLOOKUP(N559,'Helpful Tables'!A:D,4,FALSE)</f>
        <v>Washington, DC</v>
      </c>
      <c r="AO559" s="24">
        <f>COUNTIF(AN:AN,Table2[[#This Row],[State]])/COUNTA(AN:AN)</f>
        <v>0.54904051172707891</v>
      </c>
      <c r="AP559">
        <f>VLOOKUP(N559,'Helpful Tables'!A:B,2,FALSE)</f>
        <v>38.934710000000003</v>
      </c>
      <c r="AQ559">
        <f>VLOOKUP(N559,'Helpful Tables'!A:C,3,FALSE)</f>
        <v>-77.058222999999998</v>
      </c>
      <c r="AR559">
        <f>COUNTIF(P$2:$P$938,P559)</f>
        <v>35</v>
      </c>
      <c r="AS559" cm="1">
        <f t="array" ref="AS559">_xlfn.IFS(E559&lt;6,((E559/D559)*60)*0.5,AND(E559&gt;=6,E559&lt;9),((E559/D559)*60)*0.75,AND(E559&gt;=9,E559&lt;=11),((E559/D559)*60)*0.9,AND(E559=12),((E559/D559)*60)*1,AND(E559&gt;=13,E559&lt;=15),((E559/D559)*60)*1.2,AND(E559&gt;=16,E559&lt;=19),((E559/D559)*60)*1.5,E559&gt;=20,((E559/D559)*60)*1.8)</f>
        <v>5.7272727272727266</v>
      </c>
      <c r="AT559" cm="1">
        <f t="array" ref="AT559">_xlfn.IFS(F559&lt;550,((F559/D559)*60)*0.5,AND(F559&gt;=550,F559&lt;575),((F559/D559)*60)*0.75,AND(F559&gt;=575,F559&lt;600),((F559/D559)*60)*0.9,AND(F559=600),((F559/D559)*60)*1,AND(F559&gt;=601,F559&lt;=625),((F559/D559)*60)*1.2,AND(F559&gt;=626,F559&lt;=650),((F559/D559)*60)*1.5,F559&gt;=651,((F559/D559)*60)*1.8)</f>
        <v>276.54545454545456</v>
      </c>
      <c r="AU559">
        <f t="shared" si="159"/>
        <v>-27.299999999999997</v>
      </c>
      <c r="AV559">
        <f t="shared" si="157"/>
        <v>107.44909090909093</v>
      </c>
      <c r="AW559">
        <f t="shared" si="160"/>
        <v>3</v>
      </c>
      <c r="AX559" t="str">
        <f t="shared" si="155"/>
        <v>Nov-2023</v>
      </c>
      <c r="AY559">
        <f>ROUNDUP(Table2[[#This Row],[Month]]/3,0)</f>
        <v>4</v>
      </c>
    </row>
    <row r="560" spans="1:51" x14ac:dyDescent="0.2">
      <c r="A560">
        <v>559</v>
      </c>
      <c r="B560">
        <f t="shared" si="144"/>
        <v>15</v>
      </c>
      <c r="C560" s="22">
        <v>45258</v>
      </c>
      <c r="D560">
        <f>SUM(Table2[[#This Row],[Gray Min]:[Red Min]])</f>
        <v>57</v>
      </c>
      <c r="E560">
        <v>17</v>
      </c>
      <c r="F560">
        <v>616</v>
      </c>
      <c r="G560">
        <v>125</v>
      </c>
      <c r="H560">
        <v>167</v>
      </c>
      <c r="I560">
        <v>20</v>
      </c>
      <c r="J560">
        <v>3</v>
      </c>
      <c r="K560">
        <v>17</v>
      </c>
      <c r="L560">
        <v>15</v>
      </c>
      <c r="M560">
        <v>2</v>
      </c>
      <c r="N560" t="s">
        <v>101</v>
      </c>
      <c r="O560" t="s">
        <v>173</v>
      </c>
      <c r="P560" t="s">
        <v>109</v>
      </c>
      <c r="Q560">
        <f t="shared" si="156"/>
        <v>2</v>
      </c>
      <c r="R560" t="str">
        <f t="shared" si="145"/>
        <v>11-2023</v>
      </c>
      <c r="S560" t="s">
        <v>104</v>
      </c>
      <c r="T560" t="str">
        <f t="shared" si="146"/>
        <v>Tuesday</v>
      </c>
      <c r="U560">
        <f t="shared" si="147"/>
        <v>1</v>
      </c>
      <c r="V560" s="24">
        <f>IFERROR(Table2[[#This Row],[Gray Min]]/Table2[[#This Row],[ClassLength]],"")</f>
        <v>0.35087719298245612</v>
      </c>
      <c r="W560" s="24">
        <f>IFERROR(Table2[[#This Row],[Blue Min]]/Table2[[#This Row],[ClassLength]],"")</f>
        <v>5.2631578947368418E-2</v>
      </c>
      <c r="X560" s="24">
        <f>IFERROR(Table2[[#This Row],[Green Min]]/Table2[[#This Row],[ClassLength]],"")</f>
        <v>0.2982456140350877</v>
      </c>
      <c r="Y560" s="24">
        <f>IFERROR(Table2[[#This Row],[Orange Min]]/Table2[[#This Row],[ClassLength]],"")</f>
        <v>0.26315789473684209</v>
      </c>
      <c r="Z560" s="24">
        <f>IFERROR(Table2[[#This Row],[Red Min]]/Table2[[#This Row],[ClassLength]],"")</f>
        <v>3.5087719298245612E-2</v>
      </c>
      <c r="AA560" s="25">
        <v>232.14</v>
      </c>
      <c r="AB560" s="25">
        <f t="shared" si="158"/>
        <v>15.475999999999999</v>
      </c>
      <c r="AC560" s="26">
        <f t="shared" si="148"/>
        <v>623.20000000000005</v>
      </c>
      <c r="AD560" s="26">
        <f t="shared" si="149"/>
        <v>14.066666666666666</v>
      </c>
      <c r="AE560">
        <f t="shared" si="150"/>
        <v>2023</v>
      </c>
      <c r="AG560">
        <v>12</v>
      </c>
      <c r="AH560" s="26">
        <f t="shared" si="151"/>
        <v>10.807017543859649</v>
      </c>
      <c r="AI560" t="str">
        <f t="shared" si="152"/>
        <v>PM</v>
      </c>
      <c r="AJ560" t="str">
        <f t="shared" si="153"/>
        <v>11-2023-5</v>
      </c>
      <c r="AK560">
        <f t="shared" si="154"/>
        <v>11</v>
      </c>
      <c r="AL560" s="26">
        <f>IFERROR(Table2[[#This Row],[Calories]]/Table2[[#This Row],[Splat]],"")</f>
        <v>36.235294117647058</v>
      </c>
      <c r="AM560">
        <f>COUNTIF(N$2:$N$938,N560)</f>
        <v>191</v>
      </c>
      <c r="AN560" t="str">
        <f>VLOOKUP(N560,'Helpful Tables'!A:D,4,FALSE)</f>
        <v>Washington, DC</v>
      </c>
      <c r="AO560" s="24">
        <f>COUNTIF(AN:AN,Table2[[#This Row],[State]])/COUNTA(AN:AN)</f>
        <v>0.54904051172707891</v>
      </c>
      <c r="AP560">
        <f>VLOOKUP(N560,'Helpful Tables'!A:B,2,FALSE)</f>
        <v>38.949649000000001</v>
      </c>
      <c r="AQ560">
        <f>VLOOKUP(N560,'Helpful Tables'!A:C,3,FALSE)</f>
        <v>-77.080878999999996</v>
      </c>
      <c r="AR560">
        <f>COUNTIF(P$2:$P$938,P560)</f>
        <v>66</v>
      </c>
      <c r="AS560" cm="1">
        <f t="array" ref="AS560">_xlfn.IFS(E560&lt;6,((E560/D560)*60)*0.5,AND(E560&gt;=6,E560&lt;9),((E560/D560)*60)*0.75,AND(E560&gt;=9,E560&lt;=11),((E560/D560)*60)*0.9,AND(E560=12),((E560/D560)*60)*1,AND(E560&gt;=13,E560&lt;=15),((E560/D560)*60)*1.2,AND(E560&gt;=16,E560&lt;=19),((E560/D560)*60)*1.5,E560&gt;=20,((E560/D560)*60)*1.8)</f>
        <v>26.842105263157897</v>
      </c>
      <c r="AT560" cm="1">
        <f t="array" ref="AT560">_xlfn.IFS(F560&lt;550,((F560/D560)*60)*0.5,AND(F560&gt;=550,F560&lt;575),((F560/D560)*60)*0.75,AND(F560&gt;=575,F560&lt;600),((F560/D560)*60)*0.9,AND(F560=600),((F560/D560)*60)*1,AND(F560&gt;=601,F560&lt;=625),((F560/D560)*60)*1.2,AND(F560&gt;=626,F560&lt;=650),((F560/D560)*60)*1.5,F560&gt;=651,((F560/D560)*60)*1.8)</f>
        <v>778.10526315789468</v>
      </c>
      <c r="AU560">
        <f t="shared" si="159"/>
        <v>15.599999999999998</v>
      </c>
      <c r="AV560">
        <f t="shared" si="157"/>
        <v>325.09894736842108</v>
      </c>
      <c r="AW560">
        <f t="shared" si="160"/>
        <v>38.800000000000004</v>
      </c>
      <c r="AX560" t="str">
        <f t="shared" si="155"/>
        <v>Nov-2023</v>
      </c>
      <c r="AY560">
        <f>ROUNDUP(Table2[[#This Row],[Month]]/3,0)</f>
        <v>4</v>
      </c>
    </row>
    <row r="561" spans="1:51" x14ac:dyDescent="0.2">
      <c r="A561">
        <v>560</v>
      </c>
      <c r="B561">
        <f t="shared" si="144"/>
        <v>15</v>
      </c>
      <c r="C561" s="22">
        <v>45259</v>
      </c>
      <c r="D561">
        <f>SUM(Table2[[#This Row],[Gray Min]:[Red Min]])</f>
        <v>58</v>
      </c>
      <c r="E561">
        <v>21</v>
      </c>
      <c r="F561">
        <v>680</v>
      </c>
      <c r="G561">
        <v>131</v>
      </c>
      <c r="H561">
        <v>170</v>
      </c>
      <c r="I561">
        <v>11</v>
      </c>
      <c r="J561">
        <v>15</v>
      </c>
      <c r="K561">
        <v>11</v>
      </c>
      <c r="L561">
        <v>18</v>
      </c>
      <c r="M561">
        <v>3</v>
      </c>
      <c r="N561" t="s">
        <v>91</v>
      </c>
      <c r="O561" t="s">
        <v>57</v>
      </c>
      <c r="P561" t="s">
        <v>96</v>
      </c>
      <c r="Q561">
        <f t="shared" si="156"/>
        <v>1</v>
      </c>
      <c r="R561" t="str">
        <f t="shared" si="145"/>
        <v>11-2023</v>
      </c>
      <c r="S561" t="s">
        <v>104</v>
      </c>
      <c r="T561" t="str">
        <f t="shared" si="146"/>
        <v>Wednesday</v>
      </c>
      <c r="U561">
        <f t="shared" si="147"/>
        <v>1</v>
      </c>
      <c r="V561" s="24">
        <f>IFERROR(Table2[[#This Row],[Gray Min]]/Table2[[#This Row],[ClassLength]],"")</f>
        <v>0.18965517241379309</v>
      </c>
      <c r="W561" s="24">
        <f>IFERROR(Table2[[#This Row],[Blue Min]]/Table2[[#This Row],[ClassLength]],"")</f>
        <v>0.25862068965517243</v>
      </c>
      <c r="X561" s="24">
        <f>IFERROR(Table2[[#This Row],[Green Min]]/Table2[[#This Row],[ClassLength]],"")</f>
        <v>0.18965517241379309</v>
      </c>
      <c r="Y561" s="24">
        <f>IFERROR(Table2[[#This Row],[Orange Min]]/Table2[[#This Row],[ClassLength]],"")</f>
        <v>0.31034482758620691</v>
      </c>
      <c r="Z561" s="24">
        <f>IFERROR(Table2[[#This Row],[Red Min]]/Table2[[#This Row],[ClassLength]],"")</f>
        <v>5.1724137931034482E-2</v>
      </c>
      <c r="AA561" s="25">
        <v>232.14</v>
      </c>
      <c r="AB561" s="25">
        <f t="shared" si="158"/>
        <v>15.475999999999999</v>
      </c>
      <c r="AC561" s="26">
        <f t="shared" si="148"/>
        <v>623.20000000000005</v>
      </c>
      <c r="AD561" s="26">
        <f t="shared" si="149"/>
        <v>14.066666666666666</v>
      </c>
      <c r="AE561">
        <f t="shared" si="150"/>
        <v>2023</v>
      </c>
      <c r="AG561">
        <v>12</v>
      </c>
      <c r="AH561" s="26">
        <f t="shared" si="151"/>
        <v>11.724137931034482</v>
      </c>
      <c r="AI561" t="str">
        <f t="shared" si="152"/>
        <v>PM</v>
      </c>
      <c r="AJ561" t="str">
        <f t="shared" si="153"/>
        <v>11-2023-5</v>
      </c>
      <c r="AK561">
        <f t="shared" si="154"/>
        <v>11</v>
      </c>
      <c r="AL561" s="26">
        <f>IFERROR(Table2[[#This Row],[Calories]]/Table2[[#This Row],[Splat]],"")</f>
        <v>32.38095238095238</v>
      </c>
      <c r="AM561">
        <f>COUNTIF(N$2:$N$938,N561)</f>
        <v>218</v>
      </c>
      <c r="AN561" t="str">
        <f>VLOOKUP(N561,'Helpful Tables'!A:D,4,FALSE)</f>
        <v>Washington, DC</v>
      </c>
      <c r="AO561" s="24">
        <f>COUNTIF(AN:AN,Table2[[#This Row],[State]])/COUNTA(AN:AN)</f>
        <v>0.54904051172707891</v>
      </c>
      <c r="AP561">
        <f>VLOOKUP(N561,'Helpful Tables'!A:B,2,FALSE)</f>
        <v>38.934710000000003</v>
      </c>
      <c r="AQ561">
        <f>VLOOKUP(N561,'Helpful Tables'!A:C,3,FALSE)</f>
        <v>-77.058222999999998</v>
      </c>
      <c r="AR561">
        <f>COUNTIF(P$2:$P$938,P561)</f>
        <v>71</v>
      </c>
      <c r="AS561" cm="1">
        <f t="array" ref="AS561">_xlfn.IFS(E561&lt;6,((E561/D561)*60)*0.5,AND(E561&gt;=6,E561&lt;9),((E561/D561)*60)*0.75,AND(E561&gt;=9,E561&lt;=11),((E561/D561)*60)*0.9,AND(E561=12),((E561/D561)*60)*1,AND(E561&gt;=13,E561&lt;=15),((E561/D561)*60)*1.2,AND(E561&gt;=16,E561&lt;=19),((E561/D561)*60)*1.5,E561&gt;=20,((E561/D561)*60)*1.8)</f>
        <v>39.103448275862071</v>
      </c>
      <c r="AT561" cm="1">
        <f t="array" ref="AT561">_xlfn.IFS(F561&lt;550,((F561/D561)*60)*0.5,AND(F561&gt;=550,F561&lt;575),((F561/D561)*60)*0.75,AND(F561&gt;=575,F561&lt;600),((F561/D561)*60)*0.9,AND(F561=600),((F561/D561)*60)*1,AND(F561&gt;=601,F561&lt;=625),((F561/D561)*60)*1.2,AND(F561&gt;=626,F561&lt;=650),((F561/D561)*60)*1.5,F561&gt;=651,((F561/D561)*60)*1.8)</f>
        <v>1266.2068965517242</v>
      </c>
      <c r="AU561">
        <f t="shared" si="159"/>
        <v>11.400000000000002</v>
      </c>
      <c r="AV561">
        <f t="shared" si="157"/>
        <v>524.40413793103448</v>
      </c>
      <c r="AW561">
        <f t="shared" si="160"/>
        <v>92.300000000000011</v>
      </c>
      <c r="AX561" t="str">
        <f t="shared" si="155"/>
        <v>Nov-2023</v>
      </c>
      <c r="AY561">
        <f>ROUNDUP(Table2[[#This Row],[Month]]/3,0)</f>
        <v>4</v>
      </c>
    </row>
    <row r="562" spans="1:51" x14ac:dyDescent="0.2">
      <c r="A562">
        <v>561</v>
      </c>
      <c r="B562">
        <f t="shared" si="144"/>
        <v>12</v>
      </c>
      <c r="C562" s="22">
        <v>45262</v>
      </c>
      <c r="D562">
        <f>SUM(Table2[[#This Row],[Gray Min]:[Red Min]])</f>
        <v>58</v>
      </c>
      <c r="E562">
        <v>24</v>
      </c>
      <c r="F562">
        <v>748</v>
      </c>
      <c r="G562">
        <v>139</v>
      </c>
      <c r="H562">
        <v>171</v>
      </c>
      <c r="I562">
        <v>3</v>
      </c>
      <c r="J562">
        <v>12</v>
      </c>
      <c r="K562">
        <v>19</v>
      </c>
      <c r="L562">
        <v>17</v>
      </c>
      <c r="M562">
        <v>7</v>
      </c>
      <c r="N562" t="s">
        <v>101</v>
      </c>
      <c r="O562" t="s">
        <v>192</v>
      </c>
      <c r="P562" t="s">
        <v>148</v>
      </c>
      <c r="Q562">
        <f t="shared" si="156"/>
        <v>3</v>
      </c>
      <c r="R562" t="str">
        <f t="shared" si="145"/>
        <v>12-2023</v>
      </c>
      <c r="S562" t="s">
        <v>104</v>
      </c>
      <c r="T562" t="str">
        <f t="shared" si="146"/>
        <v>Saturday</v>
      </c>
      <c r="U562">
        <f t="shared" si="147"/>
        <v>1</v>
      </c>
      <c r="V562" s="24">
        <f>IFERROR(Table2[[#This Row],[Gray Min]]/Table2[[#This Row],[ClassLength]],"")</f>
        <v>5.1724137931034482E-2</v>
      </c>
      <c r="W562" s="24">
        <f>IFERROR(Table2[[#This Row],[Blue Min]]/Table2[[#This Row],[ClassLength]],"")</f>
        <v>0.20689655172413793</v>
      </c>
      <c r="X562" s="24">
        <f>IFERROR(Table2[[#This Row],[Green Min]]/Table2[[#This Row],[ClassLength]],"")</f>
        <v>0.32758620689655171</v>
      </c>
      <c r="Y562" s="24">
        <f>IFERROR(Table2[[#This Row],[Orange Min]]/Table2[[#This Row],[ClassLength]],"")</f>
        <v>0.29310344827586204</v>
      </c>
      <c r="Z562" s="24">
        <f>IFERROR(Table2[[#This Row],[Red Min]]/Table2[[#This Row],[ClassLength]],"")</f>
        <v>0.1206896551724138</v>
      </c>
      <c r="AA562" s="25">
        <v>232.14</v>
      </c>
      <c r="AB562" s="25">
        <f t="shared" si="158"/>
        <v>19.344999999999999</v>
      </c>
      <c r="AC562" s="26">
        <f t="shared" si="148"/>
        <v>649.58333333333337</v>
      </c>
      <c r="AD562" s="26">
        <f t="shared" si="149"/>
        <v>15.25</v>
      </c>
      <c r="AE562">
        <f t="shared" si="150"/>
        <v>2023</v>
      </c>
      <c r="AG562">
        <v>12</v>
      </c>
      <c r="AH562" s="26">
        <f t="shared" si="151"/>
        <v>12.896551724137931</v>
      </c>
      <c r="AI562" t="str">
        <f t="shared" si="152"/>
        <v>PM</v>
      </c>
      <c r="AJ562" t="str">
        <f t="shared" si="153"/>
        <v>12-2023-1</v>
      </c>
      <c r="AK562">
        <f t="shared" si="154"/>
        <v>12</v>
      </c>
      <c r="AL562" s="26">
        <f>IFERROR(Table2[[#This Row],[Calories]]/Table2[[#This Row],[Splat]],"")</f>
        <v>31.166666666666668</v>
      </c>
      <c r="AM562">
        <f>COUNTIF(N$2:$N$938,N562)</f>
        <v>191</v>
      </c>
      <c r="AN562" t="str">
        <f>VLOOKUP(N562,'Helpful Tables'!A:D,4,FALSE)</f>
        <v>Washington, DC</v>
      </c>
      <c r="AO562" s="24">
        <f>COUNTIF(AN:AN,Table2[[#This Row],[State]])/COUNTA(AN:AN)</f>
        <v>0.54904051172707891</v>
      </c>
      <c r="AP562">
        <f>VLOOKUP(N562,'Helpful Tables'!A:B,2,FALSE)</f>
        <v>38.949649000000001</v>
      </c>
      <c r="AQ562">
        <f>VLOOKUP(N562,'Helpful Tables'!A:C,3,FALSE)</f>
        <v>-77.080878999999996</v>
      </c>
      <c r="AR562">
        <f>COUNTIF(P$2:$P$938,P562)</f>
        <v>14</v>
      </c>
      <c r="AS562" cm="1">
        <f t="array" ref="AS562">_xlfn.IFS(E562&lt;6,((E562/D562)*60)*0.5,AND(E562&gt;=6,E562&lt;9),((E562/D562)*60)*0.75,AND(E562&gt;=9,E562&lt;=11),((E562/D562)*60)*0.9,AND(E562=12),((E562/D562)*60)*1,AND(E562&gt;=13,E562&lt;=15),((E562/D562)*60)*1.2,AND(E562&gt;=16,E562&lt;=19),((E562/D562)*60)*1.5,E562&gt;=20,((E562/D562)*60)*1.8)</f>
        <v>44.689655172413794</v>
      </c>
      <c r="AT562" cm="1">
        <f t="array" ref="AT562">_xlfn.IFS(F562&lt;550,((F562/D562)*60)*0.5,AND(F562&gt;=550,F562&lt;575),((F562/D562)*60)*0.75,AND(F562&gt;=575,F562&lt;600),((F562/D562)*60)*0.9,AND(F562=600),((F562/D562)*60)*1,AND(F562&gt;=601,F562&lt;=625),((F562/D562)*60)*1.2,AND(F562&gt;=626,F562&lt;=650),((F562/D562)*60)*1.5,F562&gt;=651,((F562/D562)*60)*1.8)</f>
        <v>1392.8275862068965</v>
      </c>
      <c r="AU562">
        <f t="shared" si="159"/>
        <v>38.6</v>
      </c>
      <c r="AV562">
        <f t="shared" si="157"/>
        <v>582.72689655172417</v>
      </c>
      <c r="AW562">
        <f t="shared" si="160"/>
        <v>100</v>
      </c>
      <c r="AX562" t="str">
        <f t="shared" si="155"/>
        <v>Dec-2023</v>
      </c>
      <c r="AY562">
        <f>ROUNDUP(Table2[[#This Row],[Month]]/3,0)</f>
        <v>4</v>
      </c>
    </row>
    <row r="563" spans="1:51" x14ac:dyDescent="0.2">
      <c r="A563">
        <v>562</v>
      </c>
      <c r="B563">
        <f t="shared" si="144"/>
        <v>12</v>
      </c>
      <c r="C563" s="22">
        <v>45263</v>
      </c>
      <c r="D563">
        <f>SUM(Table2[[#This Row],[Gray Min]:[Red Min]])</f>
        <v>58</v>
      </c>
      <c r="E563">
        <v>16</v>
      </c>
      <c r="F563">
        <v>629</v>
      </c>
      <c r="G563">
        <v>121</v>
      </c>
      <c r="H563">
        <v>167</v>
      </c>
      <c r="I563">
        <v>16</v>
      </c>
      <c r="J563">
        <v>16</v>
      </c>
      <c r="K563">
        <v>10</v>
      </c>
      <c r="L563">
        <v>15</v>
      </c>
      <c r="M563">
        <v>1</v>
      </c>
      <c r="N563" t="s">
        <v>91</v>
      </c>
      <c r="O563" t="s">
        <v>79</v>
      </c>
      <c r="P563" t="s">
        <v>100</v>
      </c>
      <c r="Q563">
        <f t="shared" si="156"/>
        <v>1</v>
      </c>
      <c r="R563" t="str">
        <f t="shared" si="145"/>
        <v>12-2023</v>
      </c>
      <c r="S563" t="s">
        <v>104</v>
      </c>
      <c r="T563" t="str">
        <f t="shared" si="146"/>
        <v>Sunday</v>
      </c>
      <c r="U563">
        <f t="shared" si="147"/>
        <v>1</v>
      </c>
      <c r="V563" s="24">
        <f>IFERROR(Table2[[#This Row],[Gray Min]]/Table2[[#This Row],[ClassLength]],"")</f>
        <v>0.27586206896551724</v>
      </c>
      <c r="W563" s="24">
        <f>IFERROR(Table2[[#This Row],[Blue Min]]/Table2[[#This Row],[ClassLength]],"")</f>
        <v>0.27586206896551724</v>
      </c>
      <c r="X563" s="24">
        <f>IFERROR(Table2[[#This Row],[Green Min]]/Table2[[#This Row],[ClassLength]],"")</f>
        <v>0.17241379310344829</v>
      </c>
      <c r="Y563" s="24">
        <f>IFERROR(Table2[[#This Row],[Orange Min]]/Table2[[#This Row],[ClassLength]],"")</f>
        <v>0.25862068965517243</v>
      </c>
      <c r="Z563" s="24">
        <f>IFERROR(Table2[[#This Row],[Red Min]]/Table2[[#This Row],[ClassLength]],"")</f>
        <v>1.7241379310344827E-2</v>
      </c>
      <c r="AA563" s="25">
        <v>232.14</v>
      </c>
      <c r="AB563" s="25">
        <f t="shared" si="158"/>
        <v>19.344999999999999</v>
      </c>
      <c r="AC563" s="26">
        <f t="shared" si="148"/>
        <v>649.58333333333337</v>
      </c>
      <c r="AD563" s="26">
        <f t="shared" si="149"/>
        <v>15.25</v>
      </c>
      <c r="AE563">
        <f t="shared" si="150"/>
        <v>2023</v>
      </c>
      <c r="AG563">
        <v>12</v>
      </c>
      <c r="AH563" s="26">
        <f t="shared" si="151"/>
        <v>10.844827586206897</v>
      </c>
      <c r="AI563" t="str">
        <f t="shared" si="152"/>
        <v>AM</v>
      </c>
      <c r="AJ563" t="str">
        <f t="shared" si="153"/>
        <v>12-2023-2</v>
      </c>
      <c r="AK563">
        <f t="shared" si="154"/>
        <v>12</v>
      </c>
      <c r="AL563" s="26">
        <f>IFERROR(Table2[[#This Row],[Calories]]/Table2[[#This Row],[Splat]],"")</f>
        <v>39.3125</v>
      </c>
      <c r="AM563">
        <f>COUNTIF(N$2:$N$938,N563)</f>
        <v>218</v>
      </c>
      <c r="AN563" t="str">
        <f>VLOOKUP(N563,'Helpful Tables'!A:D,4,FALSE)</f>
        <v>Washington, DC</v>
      </c>
      <c r="AO563" s="24">
        <f>COUNTIF(AN:AN,Table2[[#This Row],[State]])/COUNTA(AN:AN)</f>
        <v>0.54904051172707891</v>
      </c>
      <c r="AP563">
        <f>VLOOKUP(N563,'Helpful Tables'!A:B,2,FALSE)</f>
        <v>38.934710000000003</v>
      </c>
      <c r="AQ563">
        <f>VLOOKUP(N563,'Helpful Tables'!A:C,3,FALSE)</f>
        <v>-77.058222999999998</v>
      </c>
      <c r="AR563">
        <f>COUNTIF(P$2:$P$938,P563)</f>
        <v>35</v>
      </c>
      <c r="AS563" cm="1">
        <f t="array" ref="AS563">_xlfn.IFS(E563&lt;6,((E563/D563)*60)*0.5,AND(E563&gt;=6,E563&lt;9),((E563/D563)*60)*0.75,AND(E563&gt;=9,E563&lt;=11),((E563/D563)*60)*0.9,AND(E563=12),((E563/D563)*60)*1,AND(E563&gt;=13,E563&lt;=15),((E563/D563)*60)*1.2,AND(E563&gt;=16,E563&lt;=19),((E563/D563)*60)*1.5,E563&gt;=20,((E563/D563)*60)*1.8)</f>
        <v>24.827586206896555</v>
      </c>
      <c r="AT563" cm="1">
        <f t="array" ref="AT563">_xlfn.IFS(F563&lt;550,((F563/D563)*60)*0.5,AND(F563&gt;=550,F563&lt;575),((F563/D563)*60)*0.75,AND(F563&gt;=575,F563&lt;600),((F563/D563)*60)*0.9,AND(F563=600),((F563/D563)*60)*1,AND(F563&gt;=601,F563&lt;=625),((F563/D563)*60)*1.2,AND(F563&gt;=626,F563&lt;=650),((F563/D563)*60)*1.5,F563&gt;=651,((F563/D563)*60)*1.8)</f>
        <v>976.0344827586207</v>
      </c>
      <c r="AU563">
        <f t="shared" si="159"/>
        <v>-3.7999999999999972</v>
      </c>
      <c r="AV563">
        <f t="shared" si="157"/>
        <v>399.58482758620693</v>
      </c>
      <c r="AW563">
        <f t="shared" si="160"/>
        <v>53</v>
      </c>
      <c r="AX563" t="str">
        <f t="shared" si="155"/>
        <v>Dec-2023</v>
      </c>
      <c r="AY563">
        <f>ROUNDUP(Table2[[#This Row],[Month]]/3,0)</f>
        <v>4</v>
      </c>
    </row>
    <row r="564" spans="1:51" x14ac:dyDescent="0.2">
      <c r="A564">
        <v>563</v>
      </c>
      <c r="B564">
        <f t="shared" si="144"/>
        <v>12</v>
      </c>
      <c r="C564" s="22">
        <v>45265</v>
      </c>
      <c r="D564">
        <f>SUM(Table2[[#This Row],[Gray Min]:[Red Min]])</f>
        <v>58</v>
      </c>
      <c r="E564">
        <v>19</v>
      </c>
      <c r="F564">
        <v>705</v>
      </c>
      <c r="G564">
        <v>134</v>
      </c>
      <c r="H564">
        <v>163</v>
      </c>
      <c r="I564">
        <v>5</v>
      </c>
      <c r="J564">
        <v>12</v>
      </c>
      <c r="K564">
        <v>22</v>
      </c>
      <c r="L564">
        <v>18</v>
      </c>
      <c r="M564">
        <v>1</v>
      </c>
      <c r="N564" t="s">
        <v>101</v>
      </c>
      <c r="O564" t="s">
        <v>173</v>
      </c>
      <c r="P564" t="s">
        <v>109</v>
      </c>
      <c r="Q564">
        <f t="shared" si="156"/>
        <v>2</v>
      </c>
      <c r="R564" t="str">
        <f t="shared" si="145"/>
        <v>12-2023</v>
      </c>
      <c r="S564" t="s">
        <v>104</v>
      </c>
      <c r="T564" t="str">
        <f t="shared" si="146"/>
        <v>Tuesday</v>
      </c>
      <c r="U564">
        <f t="shared" si="147"/>
        <v>1</v>
      </c>
      <c r="V564" s="24">
        <f>IFERROR(Table2[[#This Row],[Gray Min]]/Table2[[#This Row],[ClassLength]],"")</f>
        <v>8.6206896551724144E-2</v>
      </c>
      <c r="W564" s="24">
        <f>IFERROR(Table2[[#This Row],[Blue Min]]/Table2[[#This Row],[ClassLength]],"")</f>
        <v>0.20689655172413793</v>
      </c>
      <c r="X564" s="24">
        <f>IFERROR(Table2[[#This Row],[Green Min]]/Table2[[#This Row],[ClassLength]],"")</f>
        <v>0.37931034482758619</v>
      </c>
      <c r="Y564" s="24">
        <f>IFERROR(Table2[[#This Row],[Orange Min]]/Table2[[#This Row],[ClassLength]],"")</f>
        <v>0.31034482758620691</v>
      </c>
      <c r="Z564" s="24">
        <f>IFERROR(Table2[[#This Row],[Red Min]]/Table2[[#This Row],[ClassLength]],"")</f>
        <v>1.7241379310344827E-2</v>
      </c>
      <c r="AA564" s="25">
        <v>232.14</v>
      </c>
      <c r="AB564" s="25">
        <f t="shared" si="158"/>
        <v>19.344999999999999</v>
      </c>
      <c r="AC564" s="26">
        <f t="shared" si="148"/>
        <v>649.58333333333337</v>
      </c>
      <c r="AD564" s="26">
        <f t="shared" si="149"/>
        <v>15.25</v>
      </c>
      <c r="AE564">
        <f t="shared" si="150"/>
        <v>2023</v>
      </c>
      <c r="AG564">
        <v>12</v>
      </c>
      <c r="AH564" s="26">
        <f t="shared" si="151"/>
        <v>12.155172413793103</v>
      </c>
      <c r="AI564" t="str">
        <f t="shared" si="152"/>
        <v>PM</v>
      </c>
      <c r="AJ564" t="str">
        <f t="shared" si="153"/>
        <v>12-2023-2</v>
      </c>
      <c r="AK564">
        <f t="shared" si="154"/>
        <v>12</v>
      </c>
      <c r="AL564" s="26">
        <f>IFERROR(Table2[[#This Row],[Calories]]/Table2[[#This Row],[Splat]],"")</f>
        <v>37.10526315789474</v>
      </c>
      <c r="AM564">
        <f>COUNTIF(N$2:$N$938,N564)</f>
        <v>191</v>
      </c>
      <c r="AN564" t="str">
        <f>VLOOKUP(N564,'Helpful Tables'!A:D,4,FALSE)</f>
        <v>Washington, DC</v>
      </c>
      <c r="AO564" s="24">
        <f>COUNTIF(AN:AN,Table2[[#This Row],[State]])/COUNTA(AN:AN)</f>
        <v>0.54904051172707891</v>
      </c>
      <c r="AP564">
        <f>VLOOKUP(N564,'Helpful Tables'!A:B,2,FALSE)</f>
        <v>38.949649000000001</v>
      </c>
      <c r="AQ564">
        <f>VLOOKUP(N564,'Helpful Tables'!A:C,3,FALSE)</f>
        <v>-77.080878999999996</v>
      </c>
      <c r="AR564">
        <f>COUNTIF(P$2:$P$938,P564)</f>
        <v>66</v>
      </c>
      <c r="AS564" cm="1">
        <f t="array" ref="AS564">_xlfn.IFS(E564&lt;6,((E564/D564)*60)*0.5,AND(E564&gt;=6,E564&lt;9),((E564/D564)*60)*0.75,AND(E564&gt;=9,E564&lt;=11),((E564/D564)*60)*0.9,AND(E564=12),((E564/D564)*60)*1,AND(E564&gt;=13,E564&lt;=15),((E564/D564)*60)*1.2,AND(E564&gt;=16,E564&lt;=19),((E564/D564)*60)*1.5,E564&gt;=20,((E564/D564)*60)*1.8)</f>
        <v>29.482758620689655</v>
      </c>
      <c r="AT564" cm="1">
        <f t="array" ref="AT564">_xlfn.IFS(F564&lt;550,((F564/D564)*60)*0.5,AND(F564&gt;=550,F564&lt;575),((F564/D564)*60)*0.75,AND(F564&gt;=575,F564&lt;600),((F564/D564)*60)*0.9,AND(F564=600),((F564/D564)*60)*1,AND(F564&gt;=601,F564&lt;=625),((F564/D564)*60)*1.2,AND(F564&gt;=626,F564&lt;=650),((F564/D564)*60)*1.5,F564&gt;=651,((F564/D564)*60)*1.8)</f>
        <v>1312.7586206896551</v>
      </c>
      <c r="AU564">
        <f t="shared" si="159"/>
        <v>32.099999999999994</v>
      </c>
      <c r="AV564">
        <f t="shared" si="157"/>
        <v>543.31655172413787</v>
      </c>
      <c r="AW564">
        <f t="shared" si="160"/>
        <v>97</v>
      </c>
      <c r="AX564" t="str">
        <f t="shared" si="155"/>
        <v>Dec-2023</v>
      </c>
      <c r="AY564">
        <f>ROUNDUP(Table2[[#This Row],[Month]]/3,0)</f>
        <v>4</v>
      </c>
    </row>
    <row r="565" spans="1:51" x14ac:dyDescent="0.2">
      <c r="A565">
        <v>564</v>
      </c>
      <c r="B565">
        <f t="shared" si="144"/>
        <v>12</v>
      </c>
      <c r="C565" s="22">
        <v>45266</v>
      </c>
      <c r="D565">
        <f>SUM(Table2[[#This Row],[Gray Min]:[Red Min]])</f>
        <v>60</v>
      </c>
      <c r="E565">
        <v>17</v>
      </c>
      <c r="F565">
        <v>661</v>
      </c>
      <c r="G565">
        <v>127</v>
      </c>
      <c r="H565">
        <v>165</v>
      </c>
      <c r="I565">
        <v>13</v>
      </c>
      <c r="J565">
        <v>17</v>
      </c>
      <c r="K565">
        <v>13</v>
      </c>
      <c r="L565">
        <v>16</v>
      </c>
      <c r="M565">
        <v>1</v>
      </c>
      <c r="N565" t="s">
        <v>101</v>
      </c>
      <c r="O565" t="s">
        <v>173</v>
      </c>
      <c r="P565" t="s">
        <v>189</v>
      </c>
      <c r="Q565">
        <f t="shared" si="156"/>
        <v>1</v>
      </c>
      <c r="R565" t="str">
        <f t="shared" si="145"/>
        <v>12-2023</v>
      </c>
      <c r="S565" t="s">
        <v>104</v>
      </c>
      <c r="T565" t="str">
        <f t="shared" si="146"/>
        <v>Wednesday</v>
      </c>
      <c r="U565">
        <f t="shared" si="147"/>
        <v>1</v>
      </c>
      <c r="V565" s="24">
        <f>IFERROR(Table2[[#This Row],[Gray Min]]/Table2[[#This Row],[ClassLength]],"")</f>
        <v>0.21666666666666667</v>
      </c>
      <c r="W565" s="24">
        <f>IFERROR(Table2[[#This Row],[Blue Min]]/Table2[[#This Row],[ClassLength]],"")</f>
        <v>0.28333333333333333</v>
      </c>
      <c r="X565" s="24">
        <f>IFERROR(Table2[[#This Row],[Green Min]]/Table2[[#This Row],[ClassLength]],"")</f>
        <v>0.21666666666666667</v>
      </c>
      <c r="Y565" s="24">
        <f>IFERROR(Table2[[#This Row],[Orange Min]]/Table2[[#This Row],[ClassLength]],"")</f>
        <v>0.26666666666666666</v>
      </c>
      <c r="Z565" s="24">
        <f>IFERROR(Table2[[#This Row],[Red Min]]/Table2[[#This Row],[ClassLength]],"")</f>
        <v>1.6666666666666666E-2</v>
      </c>
      <c r="AA565" s="25">
        <v>232.14</v>
      </c>
      <c r="AB565" s="25">
        <f t="shared" si="158"/>
        <v>19.344999999999999</v>
      </c>
      <c r="AC565" s="26">
        <f t="shared" si="148"/>
        <v>649.58333333333337</v>
      </c>
      <c r="AD565" s="26">
        <f t="shared" si="149"/>
        <v>15.25</v>
      </c>
      <c r="AE565">
        <f t="shared" si="150"/>
        <v>2023</v>
      </c>
      <c r="AG565">
        <v>12</v>
      </c>
      <c r="AH565" s="26">
        <f t="shared" si="151"/>
        <v>11.016666666666667</v>
      </c>
      <c r="AI565" t="str">
        <f t="shared" si="152"/>
        <v>PM</v>
      </c>
      <c r="AJ565" t="str">
        <f t="shared" si="153"/>
        <v>12-2023-2</v>
      </c>
      <c r="AK565">
        <f t="shared" si="154"/>
        <v>12</v>
      </c>
      <c r="AL565" s="26">
        <f>IFERROR(Table2[[#This Row],[Calories]]/Table2[[#This Row],[Splat]],"")</f>
        <v>38.882352941176471</v>
      </c>
      <c r="AM565">
        <f>COUNTIF(N$2:$N$938,N565)</f>
        <v>191</v>
      </c>
      <c r="AN565" t="str">
        <f>VLOOKUP(N565,'Helpful Tables'!A:D,4,FALSE)</f>
        <v>Washington, DC</v>
      </c>
      <c r="AO565" s="24">
        <f>COUNTIF(AN:AN,Table2[[#This Row],[State]])/COUNTA(AN:AN)</f>
        <v>0.54904051172707891</v>
      </c>
      <c r="AP565">
        <f>VLOOKUP(N565,'Helpful Tables'!A:B,2,FALSE)</f>
        <v>38.949649000000001</v>
      </c>
      <c r="AQ565">
        <f>VLOOKUP(N565,'Helpful Tables'!A:C,3,FALSE)</f>
        <v>-77.080878999999996</v>
      </c>
      <c r="AR565">
        <f>COUNTIF(P$2:$P$938,P565)</f>
        <v>8</v>
      </c>
      <c r="AS565" cm="1">
        <f t="array" ref="AS565">_xlfn.IFS(E565&lt;6,((E565/D565)*60)*0.5,AND(E565&gt;=6,E565&lt;9),((E565/D565)*60)*0.75,AND(E565&gt;=9,E565&lt;=11),((E565/D565)*60)*0.9,AND(E565=12),((E565/D565)*60)*1,AND(E565&gt;=13,E565&lt;=15),((E565/D565)*60)*1.2,AND(E565&gt;=16,E565&lt;=19),((E565/D565)*60)*1.5,E565&gt;=20,((E565/D565)*60)*1.8)</f>
        <v>25.5</v>
      </c>
      <c r="AT565" cm="1">
        <f t="array" ref="AT565">_xlfn.IFS(F565&lt;550,((F565/D565)*60)*0.5,AND(F565&gt;=550,F565&lt;575),((F565/D565)*60)*0.75,AND(F565&gt;=575,F565&lt;600),((F565/D565)*60)*0.9,AND(F565=600),((F565/D565)*60)*1,AND(F565&gt;=601,F565&lt;=625),((F565/D565)*60)*1.2,AND(F565&gt;=626,F565&lt;=650),((F565/D565)*60)*1.5,F565&gt;=651,((F565/D565)*60)*1.8)</f>
        <v>1189.8</v>
      </c>
      <c r="AU565">
        <f t="shared" si="159"/>
        <v>3.5999999999999979</v>
      </c>
      <c r="AV565">
        <f t="shared" si="157"/>
        <v>486.84000000000003</v>
      </c>
      <c r="AW565">
        <f t="shared" si="160"/>
        <v>72.099999999999994</v>
      </c>
      <c r="AX565" t="str">
        <f t="shared" si="155"/>
        <v>Dec-2023</v>
      </c>
      <c r="AY565">
        <f>ROUNDUP(Table2[[#This Row],[Month]]/3,0)</f>
        <v>4</v>
      </c>
    </row>
    <row r="566" spans="1:51" x14ac:dyDescent="0.2">
      <c r="A566">
        <v>565</v>
      </c>
      <c r="B566">
        <f t="shared" si="144"/>
        <v>12</v>
      </c>
      <c r="C566" s="22">
        <v>45269</v>
      </c>
      <c r="D566">
        <f>SUM(Table2[[#This Row],[Gray Min]:[Red Min]])</f>
        <v>57</v>
      </c>
      <c r="E566">
        <v>2</v>
      </c>
      <c r="F566">
        <v>555</v>
      </c>
      <c r="G566">
        <v>117</v>
      </c>
      <c r="H566">
        <v>156</v>
      </c>
      <c r="I566">
        <v>18</v>
      </c>
      <c r="J566">
        <v>17</v>
      </c>
      <c r="K566">
        <v>20</v>
      </c>
      <c r="L566">
        <v>2</v>
      </c>
      <c r="M566">
        <v>0</v>
      </c>
      <c r="N566" t="s">
        <v>91</v>
      </c>
      <c r="O566" t="s">
        <v>159</v>
      </c>
      <c r="P566" t="s">
        <v>168</v>
      </c>
      <c r="Q566">
        <f t="shared" si="156"/>
        <v>3</v>
      </c>
      <c r="R566" t="str">
        <f t="shared" si="145"/>
        <v>12-2023</v>
      </c>
      <c r="S566" t="s">
        <v>104</v>
      </c>
      <c r="T566" t="str">
        <f t="shared" si="146"/>
        <v>Saturday</v>
      </c>
      <c r="U566">
        <f t="shared" si="147"/>
        <v>0</v>
      </c>
      <c r="V566" s="24">
        <f>IFERROR(Table2[[#This Row],[Gray Min]]/Table2[[#This Row],[ClassLength]],"")</f>
        <v>0.31578947368421051</v>
      </c>
      <c r="W566" s="24">
        <f>IFERROR(Table2[[#This Row],[Blue Min]]/Table2[[#This Row],[ClassLength]],"")</f>
        <v>0.2982456140350877</v>
      </c>
      <c r="X566" s="24">
        <f>IFERROR(Table2[[#This Row],[Green Min]]/Table2[[#This Row],[ClassLength]],"")</f>
        <v>0.35087719298245612</v>
      </c>
      <c r="Y566" s="24">
        <f>IFERROR(Table2[[#This Row],[Orange Min]]/Table2[[#This Row],[ClassLength]],"")</f>
        <v>3.5087719298245612E-2</v>
      </c>
      <c r="Z566" s="24">
        <f>IFERROR(Table2[[#This Row],[Red Min]]/Table2[[#This Row],[ClassLength]],"")</f>
        <v>0</v>
      </c>
      <c r="AA566" s="25">
        <v>232.14</v>
      </c>
      <c r="AB566" s="25">
        <f t="shared" si="158"/>
        <v>19.344999999999999</v>
      </c>
      <c r="AC566" s="26">
        <f t="shared" si="148"/>
        <v>649.58333333333337</v>
      </c>
      <c r="AD566" s="26">
        <f t="shared" si="149"/>
        <v>15.25</v>
      </c>
      <c r="AE566">
        <f t="shared" si="150"/>
        <v>2023</v>
      </c>
      <c r="AG566">
        <v>12</v>
      </c>
      <c r="AH566" s="26">
        <f t="shared" si="151"/>
        <v>9.7368421052631575</v>
      </c>
      <c r="AI566" t="str">
        <f t="shared" si="152"/>
        <v>AM</v>
      </c>
      <c r="AJ566" t="str">
        <f t="shared" si="153"/>
        <v>12-2023-2</v>
      </c>
      <c r="AK566">
        <f t="shared" si="154"/>
        <v>12</v>
      </c>
      <c r="AL566" s="26">
        <f>IFERROR(Table2[[#This Row],[Calories]]/Table2[[#This Row],[Splat]],"")</f>
        <v>277.5</v>
      </c>
      <c r="AM566">
        <f>COUNTIF(N$2:$N$938,N566)</f>
        <v>218</v>
      </c>
      <c r="AN566" t="str">
        <f>VLOOKUP(N566,'Helpful Tables'!A:D,4,FALSE)</f>
        <v>Washington, DC</v>
      </c>
      <c r="AO566" s="24">
        <f>COUNTIF(AN:AN,Table2[[#This Row],[State]])/COUNTA(AN:AN)</f>
        <v>0.54904051172707891</v>
      </c>
      <c r="AP566">
        <f>VLOOKUP(N566,'Helpful Tables'!A:B,2,FALSE)</f>
        <v>38.934710000000003</v>
      </c>
      <c r="AQ566">
        <f>VLOOKUP(N566,'Helpful Tables'!A:C,3,FALSE)</f>
        <v>-77.058222999999998</v>
      </c>
      <c r="AR566">
        <f>COUNTIF(P$2:$P$938,P566)</f>
        <v>12</v>
      </c>
      <c r="AS566" cm="1">
        <f t="array" ref="AS566">_xlfn.IFS(E566&lt;6,((E566/D566)*60)*0.5,AND(E566&gt;=6,E566&lt;9),((E566/D566)*60)*0.75,AND(E566&gt;=9,E566&lt;=11),((E566/D566)*60)*0.9,AND(E566=12),((E566/D566)*60)*1,AND(E566&gt;=13,E566&lt;=15),((E566/D566)*60)*1.2,AND(E566&gt;=16,E566&lt;=19),((E566/D566)*60)*1.5,E566&gt;=20,((E566/D566)*60)*1.8)</f>
        <v>1.0526315789473684</v>
      </c>
      <c r="AT566" cm="1">
        <f t="array" ref="AT566">_xlfn.IFS(F566&lt;550,((F566/D566)*60)*0.5,AND(F566&gt;=550,F566&lt;575),((F566/D566)*60)*0.75,AND(F566&gt;=575,F566&lt;600),((F566/D566)*60)*0.9,AND(F566=600),((F566/D566)*60)*1,AND(F566&gt;=601,F566&lt;=625),((F566/D566)*60)*1.2,AND(F566&gt;=626,F566&lt;=650),((F566/D566)*60)*1.5,F566&gt;=651,((F566/D566)*60)*1.8)</f>
        <v>438.15789473684208</v>
      </c>
      <c r="AU566">
        <f t="shared" si="159"/>
        <v>-13.699999999999998</v>
      </c>
      <c r="AV566">
        <f t="shared" si="157"/>
        <v>172.9442105263158</v>
      </c>
      <c r="AW566">
        <f t="shared" si="160"/>
        <v>8.6999999999999993</v>
      </c>
      <c r="AX566" t="str">
        <f t="shared" si="155"/>
        <v>Dec-2023</v>
      </c>
      <c r="AY566">
        <f>ROUNDUP(Table2[[#This Row],[Month]]/3,0)</f>
        <v>4</v>
      </c>
    </row>
    <row r="567" spans="1:51" x14ac:dyDescent="0.2">
      <c r="A567">
        <v>566</v>
      </c>
      <c r="B567">
        <f t="shared" si="144"/>
        <v>12</v>
      </c>
      <c r="C567" s="22">
        <v>45270</v>
      </c>
      <c r="D567">
        <f>SUM(Table2[[#This Row],[Gray Min]:[Red Min]])</f>
        <v>57</v>
      </c>
      <c r="E567">
        <v>13</v>
      </c>
      <c r="F567">
        <v>546</v>
      </c>
      <c r="G567">
        <v>117</v>
      </c>
      <c r="H567">
        <v>160</v>
      </c>
      <c r="I567">
        <v>25</v>
      </c>
      <c r="J567">
        <v>9</v>
      </c>
      <c r="K567">
        <v>10</v>
      </c>
      <c r="L567">
        <v>13</v>
      </c>
      <c r="M567">
        <v>0</v>
      </c>
      <c r="N567" t="s">
        <v>91</v>
      </c>
      <c r="O567" t="s">
        <v>79</v>
      </c>
      <c r="P567" t="s">
        <v>168</v>
      </c>
      <c r="Q567">
        <f t="shared" si="156"/>
        <v>1</v>
      </c>
      <c r="R567" t="str">
        <f t="shared" si="145"/>
        <v>12-2023</v>
      </c>
      <c r="S567" t="s">
        <v>104</v>
      </c>
      <c r="T567" t="str">
        <f t="shared" si="146"/>
        <v>Sunday</v>
      </c>
      <c r="U567">
        <f t="shared" si="147"/>
        <v>1</v>
      </c>
      <c r="V567" s="24">
        <f>IFERROR(Table2[[#This Row],[Gray Min]]/Table2[[#This Row],[ClassLength]],"")</f>
        <v>0.43859649122807015</v>
      </c>
      <c r="W567" s="24">
        <f>IFERROR(Table2[[#This Row],[Blue Min]]/Table2[[#This Row],[ClassLength]],"")</f>
        <v>0.15789473684210525</v>
      </c>
      <c r="X567" s="24">
        <f>IFERROR(Table2[[#This Row],[Green Min]]/Table2[[#This Row],[ClassLength]],"")</f>
        <v>0.17543859649122806</v>
      </c>
      <c r="Y567" s="24">
        <f>IFERROR(Table2[[#This Row],[Orange Min]]/Table2[[#This Row],[ClassLength]],"")</f>
        <v>0.22807017543859648</v>
      </c>
      <c r="Z567" s="24">
        <f>IFERROR(Table2[[#This Row],[Red Min]]/Table2[[#This Row],[ClassLength]],"")</f>
        <v>0</v>
      </c>
      <c r="AA567" s="25">
        <v>232.14</v>
      </c>
      <c r="AB567" s="25">
        <f t="shared" si="158"/>
        <v>19.344999999999999</v>
      </c>
      <c r="AC567" s="26">
        <f t="shared" si="148"/>
        <v>649.58333333333337</v>
      </c>
      <c r="AD567" s="26">
        <f t="shared" si="149"/>
        <v>15.25</v>
      </c>
      <c r="AE567">
        <f t="shared" si="150"/>
        <v>2023</v>
      </c>
      <c r="AG567">
        <v>12</v>
      </c>
      <c r="AH567" s="26">
        <f t="shared" si="151"/>
        <v>9.5789473684210531</v>
      </c>
      <c r="AI567" t="str">
        <f t="shared" si="152"/>
        <v>AM</v>
      </c>
      <c r="AJ567" t="str">
        <f t="shared" si="153"/>
        <v>12-2023-3</v>
      </c>
      <c r="AK567">
        <f t="shared" si="154"/>
        <v>12</v>
      </c>
      <c r="AL567" s="26">
        <f>IFERROR(Table2[[#This Row],[Calories]]/Table2[[#This Row],[Splat]],"")</f>
        <v>42</v>
      </c>
      <c r="AM567">
        <f>COUNTIF(N$2:$N$938,N567)</f>
        <v>218</v>
      </c>
      <c r="AN567" t="str">
        <f>VLOOKUP(N567,'Helpful Tables'!A:D,4,FALSE)</f>
        <v>Washington, DC</v>
      </c>
      <c r="AO567" s="24">
        <f>COUNTIF(AN:AN,Table2[[#This Row],[State]])/COUNTA(AN:AN)</f>
        <v>0.54904051172707891</v>
      </c>
      <c r="AP567">
        <f>VLOOKUP(N567,'Helpful Tables'!A:B,2,FALSE)</f>
        <v>38.934710000000003</v>
      </c>
      <c r="AQ567">
        <f>VLOOKUP(N567,'Helpful Tables'!A:C,3,FALSE)</f>
        <v>-77.058222999999998</v>
      </c>
      <c r="AR567">
        <f>COUNTIF(P$2:$P$938,P567)</f>
        <v>12</v>
      </c>
      <c r="AS567" cm="1">
        <f t="array" ref="AS567">_xlfn.IFS(E567&lt;6,((E567/D567)*60)*0.5,AND(E567&gt;=6,E567&lt;9),((E567/D567)*60)*0.75,AND(E567&gt;=9,E567&lt;=11),((E567/D567)*60)*0.9,AND(E567=12),((E567/D567)*60)*1,AND(E567&gt;=13,E567&lt;=15),((E567/D567)*60)*1.2,AND(E567&gt;=16,E567&lt;=19),((E567/D567)*60)*1.5,E567&gt;=20,((E567/D567)*60)*1.8)</f>
        <v>16.421052631578945</v>
      </c>
      <c r="AT567" cm="1">
        <f t="array" ref="AT567">_xlfn.IFS(F567&lt;550,((F567/D567)*60)*0.5,AND(F567&gt;=550,F567&lt;575),((F567/D567)*60)*0.75,AND(F567&gt;=575,F567&lt;600),((F567/D567)*60)*0.9,AND(F567=600),((F567/D567)*60)*1,AND(F567&gt;=601,F567&lt;=625),((F567/D567)*60)*1.2,AND(F567&gt;=626,F567&lt;=650),((F567/D567)*60)*1.5,F567&gt;=651,((F567/D567)*60)*1.8)</f>
        <v>287.36842105263162</v>
      </c>
      <c r="AU567">
        <f t="shared" si="159"/>
        <v>-10.999999999999996</v>
      </c>
      <c r="AV567">
        <f t="shared" si="157"/>
        <v>119.31578947368423</v>
      </c>
      <c r="AW567">
        <f t="shared" si="160"/>
        <v>6.7</v>
      </c>
      <c r="AX567" t="str">
        <f t="shared" si="155"/>
        <v>Dec-2023</v>
      </c>
      <c r="AY567">
        <f>ROUNDUP(Table2[[#This Row],[Month]]/3,0)</f>
        <v>4</v>
      </c>
    </row>
    <row r="568" spans="1:51" x14ac:dyDescent="0.2">
      <c r="A568">
        <v>567</v>
      </c>
      <c r="B568">
        <f t="shared" si="144"/>
        <v>12</v>
      </c>
      <c r="C568" s="22">
        <v>45272</v>
      </c>
      <c r="D568">
        <f>SUM(Table2[[#This Row],[Gray Min]:[Red Min]])</f>
        <v>60</v>
      </c>
      <c r="E568">
        <v>15</v>
      </c>
      <c r="F568">
        <v>698</v>
      </c>
      <c r="G568">
        <v>131</v>
      </c>
      <c r="H568">
        <v>166</v>
      </c>
      <c r="I568">
        <v>7</v>
      </c>
      <c r="J568">
        <v>12</v>
      </c>
      <c r="K568">
        <v>26</v>
      </c>
      <c r="L568">
        <v>14</v>
      </c>
      <c r="M568">
        <v>1</v>
      </c>
      <c r="N568" t="s">
        <v>197</v>
      </c>
      <c r="O568" t="s">
        <v>199</v>
      </c>
      <c r="P568" t="s">
        <v>198</v>
      </c>
      <c r="Q568">
        <f t="shared" si="156"/>
        <v>2</v>
      </c>
      <c r="R568" t="str">
        <f t="shared" si="145"/>
        <v>12-2023</v>
      </c>
      <c r="S568" t="s">
        <v>104</v>
      </c>
      <c r="T568" t="str">
        <f t="shared" si="146"/>
        <v>Tuesday</v>
      </c>
      <c r="U568">
        <f t="shared" si="147"/>
        <v>1</v>
      </c>
      <c r="V568" s="24">
        <f>IFERROR(Table2[[#This Row],[Gray Min]]/Table2[[#This Row],[ClassLength]],"")</f>
        <v>0.11666666666666667</v>
      </c>
      <c r="W568" s="24">
        <f>IFERROR(Table2[[#This Row],[Blue Min]]/Table2[[#This Row],[ClassLength]],"")</f>
        <v>0.2</v>
      </c>
      <c r="X568" s="24">
        <f>IFERROR(Table2[[#This Row],[Green Min]]/Table2[[#This Row],[ClassLength]],"")</f>
        <v>0.43333333333333335</v>
      </c>
      <c r="Y568" s="24">
        <f>IFERROR(Table2[[#This Row],[Orange Min]]/Table2[[#This Row],[ClassLength]],"")</f>
        <v>0.23333333333333334</v>
      </c>
      <c r="Z568" s="24">
        <f>IFERROR(Table2[[#This Row],[Red Min]]/Table2[[#This Row],[ClassLength]],"")</f>
        <v>1.6666666666666666E-2</v>
      </c>
      <c r="AA568" s="25">
        <v>232.14</v>
      </c>
      <c r="AB568" s="25">
        <f t="shared" si="158"/>
        <v>19.344999999999999</v>
      </c>
      <c r="AC568" s="26">
        <f t="shared" si="148"/>
        <v>649.58333333333337</v>
      </c>
      <c r="AD568" s="26">
        <f t="shared" si="149"/>
        <v>15.25</v>
      </c>
      <c r="AE568">
        <f t="shared" si="150"/>
        <v>2023</v>
      </c>
      <c r="AG568">
        <v>12</v>
      </c>
      <c r="AH568" s="26">
        <f t="shared" si="151"/>
        <v>11.633333333333333</v>
      </c>
      <c r="AI568" t="str">
        <f t="shared" si="152"/>
        <v>PM</v>
      </c>
      <c r="AJ568" t="str">
        <f t="shared" si="153"/>
        <v>12-2023-3</v>
      </c>
      <c r="AK568">
        <f t="shared" si="154"/>
        <v>12</v>
      </c>
      <c r="AL568" s="26">
        <f>IFERROR(Table2[[#This Row],[Calories]]/Table2[[#This Row],[Splat]],"")</f>
        <v>46.533333333333331</v>
      </c>
      <c r="AM568">
        <f>COUNTIF(N$2:$N$938,N568)</f>
        <v>1</v>
      </c>
      <c r="AN568" t="str">
        <f>VLOOKUP(N568,'Helpful Tables'!A:D,4,FALSE)</f>
        <v>Oregon</v>
      </c>
      <c r="AO568" s="24">
        <f>COUNTIF(AN:AN,Table2[[#This Row],[State]])/COUNTA(AN:AN)</f>
        <v>0.36140724946695096</v>
      </c>
      <c r="AP568">
        <f>VLOOKUP(N568,'Helpful Tables'!A:B,2,FALSE)</f>
        <v>45.516534</v>
      </c>
      <c r="AQ568">
        <f>VLOOKUP(N568,'Helpful Tables'!A:C,3,FALSE)</f>
        <v>-122.656554</v>
      </c>
      <c r="AR568">
        <f>COUNTIF(P$2:$P$938,P568)</f>
        <v>1</v>
      </c>
      <c r="AS568" cm="1">
        <f t="array" ref="AS568">_xlfn.IFS(E568&lt;6,((E568/D568)*60)*0.5,AND(E568&gt;=6,E568&lt;9),((E568/D568)*60)*0.75,AND(E568&gt;=9,E568&lt;=11),((E568/D568)*60)*0.9,AND(E568=12),((E568/D568)*60)*1,AND(E568&gt;=13,E568&lt;=15),((E568/D568)*60)*1.2,AND(E568&gt;=16,E568&lt;=19),((E568/D568)*60)*1.5,E568&gt;=20,((E568/D568)*60)*1.8)</f>
        <v>18</v>
      </c>
      <c r="AT568" cm="1">
        <f t="array" ref="AT568">_xlfn.IFS(F568&lt;550,((F568/D568)*60)*0.5,AND(F568&gt;=550,F568&lt;575),((F568/D568)*60)*0.75,AND(F568&gt;=575,F568&lt;600),((F568/D568)*60)*0.9,AND(F568=600),((F568/D568)*60)*1,AND(F568&gt;=601,F568&lt;=625),((F568/D568)*60)*1.2,AND(F568&gt;=626,F568&lt;=650),((F568/D568)*60)*1.5,F568&gt;=651,((F568/D568)*60)*1.8)</f>
        <v>1256.4000000000001</v>
      </c>
      <c r="AU568">
        <f t="shared" si="159"/>
        <v>29.299999999999997</v>
      </c>
      <c r="AV568">
        <f t="shared" si="157"/>
        <v>515.62</v>
      </c>
      <c r="AW568">
        <f t="shared" si="160"/>
        <v>88.6</v>
      </c>
      <c r="AX568" t="str">
        <f t="shared" si="155"/>
        <v>Dec-2023</v>
      </c>
      <c r="AY568">
        <f>ROUNDUP(Table2[[#This Row],[Month]]/3,0)</f>
        <v>4</v>
      </c>
    </row>
    <row r="569" spans="1:51" x14ac:dyDescent="0.2">
      <c r="A569">
        <v>568</v>
      </c>
      <c r="B569">
        <f t="shared" si="144"/>
        <v>12</v>
      </c>
      <c r="C569" s="22">
        <v>45274</v>
      </c>
      <c r="D569">
        <f>SUM(Table2[[#This Row],[Gray Min]:[Red Min]])</f>
        <v>59</v>
      </c>
      <c r="E569">
        <v>12</v>
      </c>
      <c r="F569">
        <v>682</v>
      </c>
      <c r="G569">
        <v>129</v>
      </c>
      <c r="H569">
        <v>166</v>
      </c>
      <c r="I569">
        <v>8</v>
      </c>
      <c r="J569">
        <v>12</v>
      </c>
      <c r="K569">
        <v>27</v>
      </c>
      <c r="L569">
        <v>11</v>
      </c>
      <c r="M569">
        <v>1</v>
      </c>
      <c r="N569" t="s">
        <v>200</v>
      </c>
      <c r="O569" t="s">
        <v>127</v>
      </c>
      <c r="P569" t="s">
        <v>201</v>
      </c>
      <c r="Q569">
        <f t="shared" si="156"/>
        <v>2</v>
      </c>
      <c r="R569" t="str">
        <f t="shared" si="145"/>
        <v>12-2023</v>
      </c>
      <c r="S569" t="s">
        <v>104</v>
      </c>
      <c r="T569" t="str">
        <f t="shared" si="146"/>
        <v>Thursday</v>
      </c>
      <c r="U569">
        <f t="shared" si="147"/>
        <v>1</v>
      </c>
      <c r="V569" s="24">
        <f>IFERROR(Table2[[#This Row],[Gray Min]]/Table2[[#This Row],[ClassLength]],"")</f>
        <v>0.13559322033898305</v>
      </c>
      <c r="W569" s="24">
        <f>IFERROR(Table2[[#This Row],[Blue Min]]/Table2[[#This Row],[ClassLength]],"")</f>
        <v>0.20338983050847459</v>
      </c>
      <c r="X569" s="24">
        <f>IFERROR(Table2[[#This Row],[Green Min]]/Table2[[#This Row],[ClassLength]],"")</f>
        <v>0.4576271186440678</v>
      </c>
      <c r="Y569" s="24">
        <f>IFERROR(Table2[[#This Row],[Orange Min]]/Table2[[#This Row],[ClassLength]],"")</f>
        <v>0.1864406779661017</v>
      </c>
      <c r="Z569" s="24">
        <f>IFERROR(Table2[[#This Row],[Red Min]]/Table2[[#This Row],[ClassLength]],"")</f>
        <v>1.6949152542372881E-2</v>
      </c>
      <c r="AA569" s="25">
        <v>232.14</v>
      </c>
      <c r="AB569" s="25">
        <f t="shared" si="158"/>
        <v>19.344999999999999</v>
      </c>
      <c r="AC569" s="26">
        <f t="shared" si="148"/>
        <v>649.58333333333337</v>
      </c>
      <c r="AD569" s="26">
        <f t="shared" si="149"/>
        <v>15.25</v>
      </c>
      <c r="AE569">
        <f t="shared" si="150"/>
        <v>2023</v>
      </c>
      <c r="AG569">
        <v>12</v>
      </c>
      <c r="AH569" s="26">
        <f t="shared" si="151"/>
        <v>11.559322033898304</v>
      </c>
      <c r="AI569" t="str">
        <f t="shared" si="152"/>
        <v>PM</v>
      </c>
      <c r="AJ569" t="str">
        <f t="shared" si="153"/>
        <v>12-2023-3</v>
      </c>
      <c r="AK569">
        <f t="shared" si="154"/>
        <v>12</v>
      </c>
      <c r="AL569" s="26">
        <f>IFERROR(Table2[[#This Row],[Calories]]/Table2[[#This Row],[Splat]],"")</f>
        <v>56.833333333333336</v>
      </c>
      <c r="AM569">
        <f>COUNTIF(N$2:$N$938,N569)</f>
        <v>1</v>
      </c>
      <c r="AN569" t="str">
        <f>VLOOKUP(N569,'Helpful Tables'!A:D,4,FALSE)</f>
        <v>Oregon</v>
      </c>
      <c r="AO569" s="24">
        <f>COUNTIF(AN:AN,Table2[[#This Row],[State]])/COUNTA(AN:AN)</f>
        <v>0.36140724946695096</v>
      </c>
      <c r="AP569">
        <f>VLOOKUP(N569,'Helpful Tables'!A:B,2,FALSE)</f>
        <v>45.496763000000001</v>
      </c>
      <c r="AQ569">
        <f>VLOOKUP(N569,'Helpful Tables'!A:C,3,FALSE)</f>
        <v>-122.669736</v>
      </c>
      <c r="AR569">
        <f>COUNTIF(P$2:$P$938,P569)</f>
        <v>1</v>
      </c>
      <c r="AS569" cm="1">
        <f t="array" ref="AS569">_xlfn.IFS(E569&lt;6,((E569/D569)*60)*0.5,AND(E569&gt;=6,E569&lt;9),((E569/D569)*60)*0.75,AND(E569&gt;=9,E569&lt;=11),((E569/D569)*60)*0.9,AND(E569=12),((E569/D569)*60)*1,AND(E569&gt;=13,E569&lt;=15),((E569/D569)*60)*1.2,AND(E569&gt;=16,E569&lt;=19),((E569/D569)*60)*1.5,E569&gt;=20,((E569/D569)*60)*1.8)</f>
        <v>12.203389830508476</v>
      </c>
      <c r="AT569" cm="1">
        <f t="array" ref="AT569">_xlfn.IFS(F569&lt;550,((F569/D569)*60)*0.5,AND(F569&gt;=550,F569&lt;575),((F569/D569)*60)*0.75,AND(F569&gt;=575,F569&lt;600),((F569/D569)*60)*0.9,AND(F569=600),((F569/D569)*60)*1,AND(F569&gt;=601,F569&lt;=625),((F569/D569)*60)*1.2,AND(F569&gt;=626,F569&lt;=650),((F569/D569)*60)*1.5,F569&gt;=651,((F569/D569)*60)*1.8)</f>
        <v>1248.406779661017</v>
      </c>
      <c r="AU569">
        <f t="shared" si="159"/>
        <v>25.4</v>
      </c>
      <c r="AV569">
        <f t="shared" si="157"/>
        <v>509.32406779661022</v>
      </c>
      <c r="AW569">
        <f t="shared" si="160"/>
        <v>84.8</v>
      </c>
      <c r="AX569" t="str">
        <f t="shared" si="155"/>
        <v>Dec-2023</v>
      </c>
      <c r="AY569">
        <f>ROUNDUP(Table2[[#This Row],[Month]]/3,0)</f>
        <v>4</v>
      </c>
    </row>
    <row r="570" spans="1:51" x14ac:dyDescent="0.2">
      <c r="A570">
        <v>569</v>
      </c>
      <c r="B570">
        <f t="shared" si="144"/>
        <v>12</v>
      </c>
      <c r="C570" s="22">
        <v>45287</v>
      </c>
      <c r="D570">
        <f>SUM(Table2[[#This Row],[Gray Min]:[Red Min]])</f>
        <v>57</v>
      </c>
      <c r="E570">
        <v>22</v>
      </c>
      <c r="F570">
        <v>687</v>
      </c>
      <c r="G570">
        <v>134</v>
      </c>
      <c r="H570">
        <v>169</v>
      </c>
      <c r="I570">
        <v>5</v>
      </c>
      <c r="J570">
        <v>19</v>
      </c>
      <c r="K570">
        <v>11</v>
      </c>
      <c r="L570">
        <v>17</v>
      </c>
      <c r="M570">
        <v>5</v>
      </c>
      <c r="N570" t="s">
        <v>101</v>
      </c>
      <c r="O570" t="s">
        <v>53</v>
      </c>
      <c r="P570" t="s">
        <v>189</v>
      </c>
      <c r="Q570">
        <f t="shared" si="156"/>
        <v>13</v>
      </c>
      <c r="R570" t="str">
        <f t="shared" si="145"/>
        <v>12-2023</v>
      </c>
      <c r="S570" t="s">
        <v>104</v>
      </c>
      <c r="T570" t="str">
        <f t="shared" si="146"/>
        <v>Wednesday</v>
      </c>
      <c r="U570">
        <f t="shared" si="147"/>
        <v>1</v>
      </c>
      <c r="V570" s="24">
        <f>IFERROR(Table2[[#This Row],[Gray Min]]/Table2[[#This Row],[ClassLength]],"")</f>
        <v>8.771929824561403E-2</v>
      </c>
      <c r="W570" s="24">
        <f>IFERROR(Table2[[#This Row],[Blue Min]]/Table2[[#This Row],[ClassLength]],"")</f>
        <v>0.33333333333333331</v>
      </c>
      <c r="X570" s="24">
        <f>IFERROR(Table2[[#This Row],[Green Min]]/Table2[[#This Row],[ClassLength]],"")</f>
        <v>0.19298245614035087</v>
      </c>
      <c r="Y570" s="24">
        <f>IFERROR(Table2[[#This Row],[Orange Min]]/Table2[[#This Row],[ClassLength]],"")</f>
        <v>0.2982456140350877</v>
      </c>
      <c r="Z570" s="24">
        <f>IFERROR(Table2[[#This Row],[Red Min]]/Table2[[#This Row],[ClassLength]],"")</f>
        <v>8.771929824561403E-2</v>
      </c>
      <c r="AA570" s="25">
        <v>232.14</v>
      </c>
      <c r="AB570" s="25">
        <f t="shared" si="158"/>
        <v>19.344999999999999</v>
      </c>
      <c r="AC570" s="26">
        <f t="shared" si="148"/>
        <v>649.58333333333337</v>
      </c>
      <c r="AD570" s="26">
        <f t="shared" si="149"/>
        <v>15.25</v>
      </c>
      <c r="AE570">
        <f t="shared" si="150"/>
        <v>2023</v>
      </c>
      <c r="AG570">
        <v>12</v>
      </c>
      <c r="AH570" s="26">
        <f t="shared" si="151"/>
        <v>12.052631578947368</v>
      </c>
      <c r="AI570" t="str">
        <f t="shared" si="152"/>
        <v>PM</v>
      </c>
      <c r="AJ570" t="str">
        <f t="shared" si="153"/>
        <v>12-2023-5</v>
      </c>
      <c r="AK570">
        <f t="shared" si="154"/>
        <v>12</v>
      </c>
      <c r="AL570" s="26">
        <f>IFERROR(Table2[[#This Row],[Calories]]/Table2[[#This Row],[Splat]],"")</f>
        <v>31.227272727272727</v>
      </c>
      <c r="AM570">
        <f>COUNTIF(N$2:$N$938,N570)</f>
        <v>191</v>
      </c>
      <c r="AN570" t="str">
        <f>VLOOKUP(N570,'Helpful Tables'!A:D,4,FALSE)</f>
        <v>Washington, DC</v>
      </c>
      <c r="AO570" s="24">
        <f>COUNTIF(AN:AN,Table2[[#This Row],[State]])/COUNTA(AN:AN)</f>
        <v>0.54904051172707891</v>
      </c>
      <c r="AP570">
        <f>VLOOKUP(N570,'Helpful Tables'!A:B,2,FALSE)</f>
        <v>38.949649000000001</v>
      </c>
      <c r="AQ570">
        <f>VLOOKUP(N570,'Helpful Tables'!A:C,3,FALSE)</f>
        <v>-77.080878999999996</v>
      </c>
      <c r="AR570">
        <f>COUNTIF(P$2:$P$938,P570)</f>
        <v>8</v>
      </c>
      <c r="AS570" cm="1">
        <f t="array" ref="AS570">_xlfn.IFS(E570&lt;6,((E570/D570)*60)*0.5,AND(E570&gt;=6,E570&lt;9),((E570/D570)*60)*0.75,AND(E570&gt;=9,E570&lt;=11),((E570/D570)*60)*0.9,AND(E570=12),((E570/D570)*60)*1,AND(E570&gt;=13,E570&lt;=15),((E570/D570)*60)*1.2,AND(E570&gt;=16,E570&lt;=19),((E570/D570)*60)*1.5,E570&gt;=20,((E570/D570)*60)*1.8)</f>
        <v>41.684210526315788</v>
      </c>
      <c r="AT570" cm="1">
        <f t="array" ref="AT570">_xlfn.IFS(F570&lt;550,((F570/D570)*60)*0.5,AND(F570&gt;=550,F570&lt;575),((F570/D570)*60)*0.75,AND(F570&gt;=575,F570&lt;600),((F570/D570)*60)*0.9,AND(F570=600),((F570/D570)*60)*1,AND(F570&gt;=601,F570&lt;=625),((F570/D570)*60)*1.2,AND(F570&gt;=626,F570&lt;=650),((F570/D570)*60)*1.5,F570&gt;=651,((F570/D570)*60)*1.8)</f>
        <v>1301.6842105263158</v>
      </c>
      <c r="AU570">
        <f t="shared" si="159"/>
        <v>15.899999999999999</v>
      </c>
      <c r="AV570">
        <f t="shared" si="157"/>
        <v>540.52736842105264</v>
      </c>
      <c r="AW570">
        <f t="shared" si="160"/>
        <v>96.399999999999991</v>
      </c>
      <c r="AX570" t="str">
        <f t="shared" si="155"/>
        <v>Dec-2023</v>
      </c>
      <c r="AY570">
        <f>ROUNDUP(Table2[[#This Row],[Month]]/3,0)</f>
        <v>4</v>
      </c>
    </row>
    <row r="571" spans="1:51" x14ac:dyDescent="0.2">
      <c r="A571">
        <v>570</v>
      </c>
      <c r="B571">
        <f t="shared" si="144"/>
        <v>12</v>
      </c>
      <c r="C571" s="22">
        <v>45288</v>
      </c>
      <c r="D571">
        <f>SUM(Table2[[#This Row],[Gray Min]:[Red Min]])</f>
        <v>58</v>
      </c>
      <c r="E571">
        <v>15</v>
      </c>
      <c r="F571">
        <v>618</v>
      </c>
      <c r="G571">
        <v>124</v>
      </c>
      <c r="H571">
        <v>170</v>
      </c>
      <c r="I571">
        <v>18</v>
      </c>
      <c r="J571">
        <v>12</v>
      </c>
      <c r="K571">
        <v>13</v>
      </c>
      <c r="L571">
        <v>15</v>
      </c>
      <c r="M571">
        <v>0</v>
      </c>
      <c r="N571" t="s">
        <v>101</v>
      </c>
      <c r="O571" t="s">
        <v>53</v>
      </c>
      <c r="P571" t="s">
        <v>109</v>
      </c>
      <c r="Q571">
        <f t="shared" si="156"/>
        <v>1</v>
      </c>
      <c r="R571" t="str">
        <f t="shared" si="145"/>
        <v>12-2023</v>
      </c>
      <c r="S571" t="s">
        <v>104</v>
      </c>
      <c r="T571" t="str">
        <f t="shared" si="146"/>
        <v>Thursday</v>
      </c>
      <c r="U571">
        <f t="shared" si="147"/>
        <v>1</v>
      </c>
      <c r="V571" s="24">
        <f>IFERROR(Table2[[#This Row],[Gray Min]]/Table2[[#This Row],[ClassLength]],"")</f>
        <v>0.31034482758620691</v>
      </c>
      <c r="W571" s="24">
        <f>IFERROR(Table2[[#This Row],[Blue Min]]/Table2[[#This Row],[ClassLength]],"")</f>
        <v>0.20689655172413793</v>
      </c>
      <c r="X571" s="24">
        <f>IFERROR(Table2[[#This Row],[Green Min]]/Table2[[#This Row],[ClassLength]],"")</f>
        <v>0.22413793103448276</v>
      </c>
      <c r="Y571" s="24">
        <f>IFERROR(Table2[[#This Row],[Orange Min]]/Table2[[#This Row],[ClassLength]],"")</f>
        <v>0.25862068965517243</v>
      </c>
      <c r="Z571" s="24">
        <f>IFERROR(Table2[[#This Row],[Red Min]]/Table2[[#This Row],[ClassLength]],"")</f>
        <v>0</v>
      </c>
      <c r="AA571" s="25">
        <v>232.14</v>
      </c>
      <c r="AB571" s="25">
        <f t="shared" si="158"/>
        <v>19.344999999999999</v>
      </c>
      <c r="AC571" s="26">
        <f t="shared" si="148"/>
        <v>649.58333333333337</v>
      </c>
      <c r="AD571" s="26">
        <f t="shared" si="149"/>
        <v>15.25</v>
      </c>
      <c r="AE571">
        <f t="shared" si="150"/>
        <v>2023</v>
      </c>
      <c r="AG571">
        <v>12</v>
      </c>
      <c r="AH571" s="26">
        <f t="shared" si="151"/>
        <v>10.655172413793103</v>
      </c>
      <c r="AI571" t="str">
        <f t="shared" si="152"/>
        <v>PM</v>
      </c>
      <c r="AJ571" t="str">
        <f t="shared" si="153"/>
        <v>12-2023-5</v>
      </c>
      <c r="AK571">
        <f t="shared" si="154"/>
        <v>12</v>
      </c>
      <c r="AL571" s="26">
        <f>IFERROR(Table2[[#This Row],[Calories]]/Table2[[#This Row],[Splat]],"")</f>
        <v>41.2</v>
      </c>
      <c r="AM571">
        <f>COUNTIF(N$2:$N$938,N571)</f>
        <v>191</v>
      </c>
      <c r="AN571" t="str">
        <f>VLOOKUP(N571,'Helpful Tables'!A:D,4,FALSE)</f>
        <v>Washington, DC</v>
      </c>
      <c r="AO571" s="24">
        <f>COUNTIF(AN:AN,Table2[[#This Row],[State]])/COUNTA(AN:AN)</f>
        <v>0.54904051172707891</v>
      </c>
      <c r="AP571">
        <f>VLOOKUP(N571,'Helpful Tables'!A:B,2,FALSE)</f>
        <v>38.949649000000001</v>
      </c>
      <c r="AQ571">
        <f>VLOOKUP(N571,'Helpful Tables'!A:C,3,FALSE)</f>
        <v>-77.080878999999996</v>
      </c>
      <c r="AR571">
        <f>COUNTIF(P$2:$P$938,P571)</f>
        <v>66</v>
      </c>
      <c r="AS571" cm="1">
        <f t="array" ref="AS571">_xlfn.IFS(E571&lt;6,((E571/D571)*60)*0.5,AND(E571&gt;=6,E571&lt;9),((E571/D571)*60)*0.75,AND(E571&gt;=9,E571&lt;=11),((E571/D571)*60)*0.9,AND(E571=12),((E571/D571)*60)*1,AND(E571&gt;=13,E571&lt;=15),((E571/D571)*60)*1.2,AND(E571&gt;=16,E571&lt;=19),((E571/D571)*60)*1.5,E571&gt;=20,((E571/D571)*60)*1.8)</f>
        <v>18.620689655172413</v>
      </c>
      <c r="AT571" cm="1">
        <f t="array" ref="AT571">_xlfn.IFS(F571&lt;550,((F571/D571)*60)*0.5,AND(F571&gt;=550,F571&lt;575),((F571/D571)*60)*0.75,AND(F571&gt;=575,F571&lt;600),((F571/D571)*60)*0.9,AND(F571=600),((F571/D571)*60)*1,AND(F571&gt;=601,F571&lt;=625),((F571/D571)*60)*1.2,AND(F571&gt;=626,F571&lt;=650),((F571/D571)*60)*1.5,F571&gt;=651,((F571/D571)*60)*1.8)</f>
        <v>767.17241379310337</v>
      </c>
      <c r="AU571">
        <f t="shared" si="159"/>
        <v>0.30000000000000426</v>
      </c>
      <c r="AV571">
        <f t="shared" si="157"/>
        <v>314.37724137931031</v>
      </c>
      <c r="AW571">
        <f t="shared" si="160"/>
        <v>33.5</v>
      </c>
      <c r="AX571" t="str">
        <f t="shared" si="155"/>
        <v>Dec-2023</v>
      </c>
      <c r="AY571">
        <f>ROUNDUP(Table2[[#This Row],[Month]]/3,0)</f>
        <v>4</v>
      </c>
    </row>
    <row r="572" spans="1:51" x14ac:dyDescent="0.2">
      <c r="A572">
        <v>571</v>
      </c>
      <c r="B572">
        <f t="shared" si="144"/>
        <v>12</v>
      </c>
      <c r="C572" s="22">
        <v>45290</v>
      </c>
      <c r="D572">
        <f>SUM(Table2[[#This Row],[Gray Min]:[Red Min]])</f>
        <v>57</v>
      </c>
      <c r="E572">
        <v>21</v>
      </c>
      <c r="F572">
        <v>653</v>
      </c>
      <c r="G572">
        <v>129</v>
      </c>
      <c r="H572">
        <v>167</v>
      </c>
      <c r="I572">
        <v>14</v>
      </c>
      <c r="J572">
        <v>15</v>
      </c>
      <c r="K572">
        <v>7</v>
      </c>
      <c r="L572">
        <v>17</v>
      </c>
      <c r="M572">
        <v>4</v>
      </c>
      <c r="N572" t="s">
        <v>91</v>
      </c>
      <c r="O572" t="s">
        <v>79</v>
      </c>
      <c r="P572" t="s">
        <v>188</v>
      </c>
      <c r="Q572">
        <f t="shared" si="156"/>
        <v>2</v>
      </c>
      <c r="R572" t="str">
        <f t="shared" si="145"/>
        <v>12-2023</v>
      </c>
      <c r="S572" t="s">
        <v>104</v>
      </c>
      <c r="T572" t="str">
        <f t="shared" si="146"/>
        <v>Saturday</v>
      </c>
      <c r="U572">
        <f t="shared" si="147"/>
        <v>1</v>
      </c>
      <c r="V572" s="24">
        <f>IFERROR(Table2[[#This Row],[Gray Min]]/Table2[[#This Row],[ClassLength]],"")</f>
        <v>0.24561403508771928</v>
      </c>
      <c r="W572" s="24">
        <f>IFERROR(Table2[[#This Row],[Blue Min]]/Table2[[#This Row],[ClassLength]],"")</f>
        <v>0.26315789473684209</v>
      </c>
      <c r="X572" s="24">
        <f>IFERROR(Table2[[#This Row],[Green Min]]/Table2[[#This Row],[ClassLength]],"")</f>
        <v>0.12280701754385964</v>
      </c>
      <c r="Y572" s="24">
        <f>IFERROR(Table2[[#This Row],[Orange Min]]/Table2[[#This Row],[ClassLength]],"")</f>
        <v>0.2982456140350877</v>
      </c>
      <c r="Z572" s="24">
        <f>IFERROR(Table2[[#This Row],[Red Min]]/Table2[[#This Row],[ClassLength]],"")</f>
        <v>7.0175438596491224E-2</v>
      </c>
      <c r="AA572" s="25">
        <v>232.14</v>
      </c>
      <c r="AB572" s="25">
        <f t="shared" si="158"/>
        <v>19.344999999999999</v>
      </c>
      <c r="AC572" s="26">
        <f t="shared" si="148"/>
        <v>649.58333333333337</v>
      </c>
      <c r="AD572" s="26">
        <f t="shared" si="149"/>
        <v>15.25</v>
      </c>
      <c r="AE572">
        <f t="shared" si="150"/>
        <v>2023</v>
      </c>
      <c r="AG572">
        <v>12</v>
      </c>
      <c r="AH572" s="26">
        <f t="shared" si="151"/>
        <v>11.456140350877194</v>
      </c>
      <c r="AI572" t="str">
        <f t="shared" si="152"/>
        <v>AM</v>
      </c>
      <c r="AJ572" t="str">
        <f t="shared" si="153"/>
        <v>12-2023-5</v>
      </c>
      <c r="AK572">
        <f t="shared" si="154"/>
        <v>12</v>
      </c>
      <c r="AL572" s="26">
        <f>IFERROR(Table2[[#This Row],[Calories]]/Table2[[#This Row],[Splat]],"")</f>
        <v>31.095238095238095</v>
      </c>
      <c r="AM572">
        <f>COUNTIF(N$2:$N$938,N572)</f>
        <v>218</v>
      </c>
      <c r="AN572" t="str">
        <f>VLOOKUP(N572,'Helpful Tables'!A:D,4,FALSE)</f>
        <v>Washington, DC</v>
      </c>
      <c r="AO572" s="24">
        <f>COUNTIF(AN:AN,Table2[[#This Row],[State]])/COUNTA(AN:AN)</f>
        <v>0.54904051172707891</v>
      </c>
      <c r="AP572">
        <f>VLOOKUP(N572,'Helpful Tables'!A:B,2,FALSE)</f>
        <v>38.934710000000003</v>
      </c>
      <c r="AQ572">
        <f>VLOOKUP(N572,'Helpful Tables'!A:C,3,FALSE)</f>
        <v>-77.058222999999998</v>
      </c>
      <c r="AR572">
        <f>COUNTIF(P$2:$P$938,P572)</f>
        <v>10</v>
      </c>
      <c r="AS572" cm="1">
        <f t="array" ref="AS572">_xlfn.IFS(E572&lt;6,((E572/D572)*60)*0.5,AND(E572&gt;=6,E572&lt;9),((E572/D572)*60)*0.75,AND(E572&gt;=9,E572&lt;=11),((E572/D572)*60)*0.9,AND(E572=12),((E572/D572)*60)*1,AND(E572&gt;=13,E572&lt;=15),((E572/D572)*60)*1.2,AND(E572&gt;=16,E572&lt;=19),((E572/D572)*60)*1.5,E572&gt;=20,((E572/D572)*60)*1.8)</f>
        <v>39.789473684210527</v>
      </c>
      <c r="AT572" cm="1">
        <f t="array" ref="AT572">_xlfn.IFS(F572&lt;550,((F572/D572)*60)*0.5,AND(F572&gt;=550,F572&lt;575),((F572/D572)*60)*0.75,AND(F572&gt;=575,F572&lt;600),((F572/D572)*60)*0.9,AND(F572=600),((F572/D572)*60)*1,AND(F572&gt;=601,F572&lt;=625),((F572/D572)*60)*1.2,AND(F572&gt;=626,F572&lt;=650),((F572/D572)*60)*1.5,F572&gt;=651,((F572/D572)*60)*1.8)</f>
        <v>1237.2631578947369</v>
      </c>
      <c r="AU572">
        <f t="shared" si="159"/>
        <v>3.2000000000000028</v>
      </c>
      <c r="AV572">
        <f t="shared" si="157"/>
        <v>511.46105263157892</v>
      </c>
      <c r="AW572">
        <f t="shared" si="160"/>
        <v>86.7</v>
      </c>
      <c r="AX572" t="str">
        <f t="shared" si="155"/>
        <v>Dec-2023</v>
      </c>
      <c r="AY572">
        <f>ROUNDUP(Table2[[#This Row],[Month]]/3,0)</f>
        <v>4</v>
      </c>
    </row>
    <row r="573" spans="1:51" x14ac:dyDescent="0.2">
      <c r="A573">
        <v>572</v>
      </c>
      <c r="B573">
        <f t="shared" si="144"/>
        <v>12</v>
      </c>
      <c r="C573" s="22">
        <v>45291</v>
      </c>
      <c r="D573">
        <f>SUM(Table2[[#This Row],[Gray Min]:[Red Min]])</f>
        <v>60</v>
      </c>
      <c r="E573">
        <v>7</v>
      </c>
      <c r="F573">
        <v>613</v>
      </c>
      <c r="G573">
        <v>122</v>
      </c>
      <c r="H573">
        <v>160</v>
      </c>
      <c r="I573">
        <v>15</v>
      </c>
      <c r="J573">
        <v>15</v>
      </c>
      <c r="K573">
        <v>23</v>
      </c>
      <c r="L573">
        <v>7</v>
      </c>
      <c r="M573">
        <v>0</v>
      </c>
      <c r="N573" t="s">
        <v>30</v>
      </c>
      <c r="O573" t="s">
        <v>58</v>
      </c>
      <c r="P573" t="s">
        <v>193</v>
      </c>
      <c r="Q573">
        <f t="shared" si="156"/>
        <v>1</v>
      </c>
      <c r="R573" t="str">
        <f t="shared" si="145"/>
        <v>12-2023</v>
      </c>
      <c r="S573" t="s">
        <v>117</v>
      </c>
      <c r="T573" t="str">
        <f t="shared" si="146"/>
        <v>Sunday</v>
      </c>
      <c r="U573">
        <f t="shared" si="147"/>
        <v>0</v>
      </c>
      <c r="V573" s="24">
        <f>IFERROR(Table2[[#This Row],[Gray Min]]/Table2[[#This Row],[ClassLength]],"")</f>
        <v>0.25</v>
      </c>
      <c r="W573" s="24">
        <f>IFERROR(Table2[[#This Row],[Blue Min]]/Table2[[#This Row],[ClassLength]],"")</f>
        <v>0.25</v>
      </c>
      <c r="X573" s="24">
        <f>IFERROR(Table2[[#This Row],[Green Min]]/Table2[[#This Row],[ClassLength]],"")</f>
        <v>0.38333333333333336</v>
      </c>
      <c r="Y573" s="24">
        <f>IFERROR(Table2[[#This Row],[Orange Min]]/Table2[[#This Row],[ClassLength]],"")</f>
        <v>0.11666666666666667</v>
      </c>
      <c r="Z573" s="24">
        <f>IFERROR(Table2[[#This Row],[Red Min]]/Table2[[#This Row],[ClassLength]],"")</f>
        <v>0</v>
      </c>
      <c r="AA573" s="25">
        <v>232.14</v>
      </c>
      <c r="AB573" s="25">
        <f t="shared" si="158"/>
        <v>19.344999999999999</v>
      </c>
      <c r="AC573" s="26">
        <f t="shared" si="148"/>
        <v>649.58333333333337</v>
      </c>
      <c r="AD573" s="26">
        <f t="shared" si="149"/>
        <v>15.25</v>
      </c>
      <c r="AE573">
        <f t="shared" si="150"/>
        <v>2023</v>
      </c>
      <c r="AG573">
        <v>12</v>
      </c>
      <c r="AH573" s="26">
        <f t="shared" si="151"/>
        <v>10.216666666666667</v>
      </c>
      <c r="AI573" t="str">
        <f t="shared" si="152"/>
        <v>AM</v>
      </c>
      <c r="AJ573" t="str">
        <f t="shared" si="153"/>
        <v>12-2023-6</v>
      </c>
      <c r="AK573">
        <f t="shared" si="154"/>
        <v>12</v>
      </c>
      <c r="AL573" s="26">
        <f>IFERROR(Table2[[#This Row],[Calories]]/Table2[[#This Row],[Splat]],"")</f>
        <v>87.571428571428569</v>
      </c>
      <c r="AM573">
        <f>COUNTIF(N$2:$N$938,N573)</f>
        <v>9</v>
      </c>
      <c r="AN573" t="str">
        <f>VLOOKUP(N573,'Helpful Tables'!A:D,4,FALSE)</f>
        <v>Virginia</v>
      </c>
      <c r="AO573" s="24">
        <f>COUNTIF(AN:AN,Table2[[#This Row],[State]])/COUNTA(AN:AN)</f>
        <v>5.6503198294243072E-2</v>
      </c>
      <c r="AP573">
        <f>VLOOKUP(N573,'Helpful Tables'!A:B,2,FALSE)</f>
        <v>38.894024999999999</v>
      </c>
      <c r="AQ573">
        <f>VLOOKUP(N573,'Helpful Tables'!A:C,3,FALSE)</f>
        <v>-77.078213000000005</v>
      </c>
      <c r="AR573">
        <f>COUNTIF(P$2:$P$938,P573)</f>
        <v>2</v>
      </c>
      <c r="AS573" cm="1">
        <f t="array" ref="AS573">_xlfn.IFS(E573&lt;6,((E573/D573)*60)*0.5,AND(E573&gt;=6,E573&lt;9),((E573/D573)*60)*0.75,AND(E573&gt;=9,E573&lt;=11),((E573/D573)*60)*0.9,AND(E573=12),((E573/D573)*60)*1,AND(E573&gt;=13,E573&lt;=15),((E573/D573)*60)*1.2,AND(E573&gt;=16,E573&lt;=19),((E573/D573)*60)*1.5,E573&gt;=20,((E573/D573)*60)*1.8)</f>
        <v>5.25</v>
      </c>
      <c r="AT573" cm="1">
        <f t="array" ref="AT573">_xlfn.IFS(F573&lt;550,((F573/D573)*60)*0.5,AND(F573&gt;=550,F573&lt;575),((F573/D573)*60)*0.75,AND(F573&gt;=575,F573&lt;600),((F573/D573)*60)*0.9,AND(F573=600),((F573/D573)*60)*1,AND(F573&gt;=601,F573&lt;=625),((F573/D573)*60)*1.2,AND(F573&gt;=626,F573&lt;=650),((F573/D573)*60)*1.5,F573&gt;=651,((F573/D573)*60)*1.8)</f>
        <v>735.6</v>
      </c>
      <c r="AU573">
        <f t="shared" si="159"/>
        <v>2.1999999999999975</v>
      </c>
      <c r="AV573">
        <f t="shared" si="157"/>
        <v>296.78000000000003</v>
      </c>
      <c r="AW573">
        <f t="shared" si="160"/>
        <v>25.900000000000002</v>
      </c>
      <c r="AX573" t="str">
        <f t="shared" si="155"/>
        <v>Dec-2023</v>
      </c>
      <c r="AY573">
        <f>ROUNDUP(Table2[[#This Row],[Month]]/3,0)</f>
        <v>4</v>
      </c>
    </row>
    <row r="574" spans="1:51" x14ac:dyDescent="0.2">
      <c r="A574">
        <v>573</v>
      </c>
      <c r="B574">
        <f t="shared" si="144"/>
        <v>16</v>
      </c>
      <c r="C574" s="22">
        <v>45294</v>
      </c>
      <c r="D574">
        <f>SUM(Table2[[#This Row],[Gray Min]:[Red Min]])</f>
        <v>59</v>
      </c>
      <c r="E574">
        <v>14</v>
      </c>
      <c r="F574">
        <v>665</v>
      </c>
      <c r="G574">
        <v>128</v>
      </c>
      <c r="H574">
        <v>167</v>
      </c>
      <c r="I574">
        <v>12</v>
      </c>
      <c r="J574">
        <v>16</v>
      </c>
      <c r="K574">
        <v>17</v>
      </c>
      <c r="L574">
        <v>12</v>
      </c>
      <c r="M574">
        <v>2</v>
      </c>
      <c r="N574" t="s">
        <v>91</v>
      </c>
      <c r="O574" t="s">
        <v>57</v>
      </c>
      <c r="P574" t="s">
        <v>96</v>
      </c>
      <c r="Q574">
        <f t="shared" si="156"/>
        <v>3</v>
      </c>
      <c r="R574" t="str">
        <f t="shared" si="145"/>
        <v>1-2024</v>
      </c>
      <c r="S574" t="s">
        <v>104</v>
      </c>
      <c r="T574" t="str">
        <f t="shared" si="146"/>
        <v>Wednesday</v>
      </c>
      <c r="U574">
        <f t="shared" si="147"/>
        <v>1</v>
      </c>
      <c r="V574" s="24">
        <f>IFERROR(Table2[[#This Row],[Gray Min]]/Table2[[#This Row],[ClassLength]],"")</f>
        <v>0.20338983050847459</v>
      </c>
      <c r="W574" s="24">
        <f>IFERROR(Table2[[#This Row],[Blue Min]]/Table2[[#This Row],[ClassLength]],"")</f>
        <v>0.2711864406779661</v>
      </c>
      <c r="X574" s="24">
        <f>IFERROR(Table2[[#This Row],[Green Min]]/Table2[[#This Row],[ClassLength]],"")</f>
        <v>0.28813559322033899</v>
      </c>
      <c r="Y574" s="24">
        <f>IFERROR(Table2[[#This Row],[Orange Min]]/Table2[[#This Row],[ClassLength]],"")</f>
        <v>0.20338983050847459</v>
      </c>
      <c r="Z574" s="24">
        <f>IFERROR(Table2[[#This Row],[Red Min]]/Table2[[#This Row],[ClassLength]],"")</f>
        <v>3.3898305084745763E-2</v>
      </c>
      <c r="AA574" s="25">
        <v>232.14</v>
      </c>
      <c r="AB574" s="25">
        <f t="shared" si="158"/>
        <v>14.508749999999999</v>
      </c>
      <c r="AC574" s="26">
        <f t="shared" si="148"/>
        <v>634.0625</v>
      </c>
      <c r="AD574" s="26">
        <f t="shared" si="149"/>
        <v>13.4375</v>
      </c>
      <c r="AE574">
        <f t="shared" si="150"/>
        <v>2024</v>
      </c>
      <c r="AG574">
        <v>12</v>
      </c>
      <c r="AH574" s="26">
        <f t="shared" si="151"/>
        <v>11.271186440677965</v>
      </c>
      <c r="AI574" t="str">
        <f t="shared" si="152"/>
        <v>PM</v>
      </c>
      <c r="AJ574" t="str">
        <f t="shared" si="153"/>
        <v>1-2024-1</v>
      </c>
      <c r="AK574">
        <f t="shared" si="154"/>
        <v>1</v>
      </c>
      <c r="AL574" s="26">
        <f>IFERROR(Table2[[#This Row],[Calories]]/Table2[[#This Row],[Splat]],"")</f>
        <v>47.5</v>
      </c>
      <c r="AM574">
        <f>COUNTIF(N$2:$N$938,N574)</f>
        <v>218</v>
      </c>
      <c r="AN574" t="str">
        <f>VLOOKUP(N574,'Helpful Tables'!A:D,4,FALSE)</f>
        <v>Washington, DC</v>
      </c>
      <c r="AO574" s="24">
        <f>COUNTIF(AN:AN,Table2[[#This Row],[State]])/COUNTA(AN:AN)</f>
        <v>0.54904051172707891</v>
      </c>
      <c r="AP574">
        <f>VLOOKUP(N574,'Helpful Tables'!A:B,2,FALSE)</f>
        <v>38.934710000000003</v>
      </c>
      <c r="AQ574">
        <f>VLOOKUP(N574,'Helpful Tables'!A:C,3,FALSE)</f>
        <v>-77.058222999999998</v>
      </c>
      <c r="AR574">
        <f>COUNTIF(P$2:$P$938,P574)</f>
        <v>71</v>
      </c>
      <c r="AS574" cm="1">
        <f t="array" ref="AS574">_xlfn.IFS(E574&lt;6,((E574/D574)*60)*0.5,AND(E574&gt;=6,E574&lt;9),((E574/D574)*60)*0.75,AND(E574&gt;=9,E574&lt;=11),((E574/D574)*60)*0.9,AND(E574=12),((E574/D574)*60)*1,AND(E574&gt;=13,E574&lt;=15),((E574/D574)*60)*1.2,AND(E574&gt;=16,E574&lt;=19),((E574/D574)*60)*1.5,E574&gt;=20,((E574/D574)*60)*1.8)</f>
        <v>17.084745762711865</v>
      </c>
      <c r="AT574" cm="1">
        <f t="array" ref="AT574">_xlfn.IFS(F574&lt;550,((F574/D574)*60)*0.5,AND(F574&gt;=550,F574&lt;575),((F574/D574)*60)*0.75,AND(F574&gt;=575,F574&lt;600),((F574/D574)*60)*0.9,AND(F574=600),((F574/D574)*60)*1,AND(F574&gt;=601,F574&lt;=625),((F574/D574)*60)*1.2,AND(F574&gt;=626,F574&lt;=650),((F574/D574)*60)*1.5,F574&gt;=651,((F574/D574)*60)*1.8)</f>
        <v>1217.2881355932202</v>
      </c>
      <c r="AU574">
        <f t="shared" si="159"/>
        <v>7</v>
      </c>
      <c r="AV574">
        <f t="shared" si="157"/>
        <v>495.1491525423728</v>
      </c>
      <c r="AW574">
        <f t="shared" si="160"/>
        <v>76</v>
      </c>
      <c r="AX574" t="str">
        <f t="shared" si="155"/>
        <v>Jan-2024</v>
      </c>
      <c r="AY574">
        <f>ROUNDUP(Table2[[#This Row],[Month]]/3,0)</f>
        <v>1</v>
      </c>
    </row>
    <row r="575" spans="1:51" x14ac:dyDescent="0.2">
      <c r="A575">
        <v>574</v>
      </c>
      <c r="B575">
        <f t="shared" si="144"/>
        <v>16</v>
      </c>
      <c r="C575" s="22">
        <v>45297</v>
      </c>
      <c r="D575">
        <f>SUM(Table2[[#This Row],[Gray Min]:[Red Min]])</f>
        <v>61</v>
      </c>
      <c r="E575">
        <v>14</v>
      </c>
      <c r="F575">
        <v>655</v>
      </c>
      <c r="G575">
        <v>125</v>
      </c>
      <c r="H575">
        <v>167</v>
      </c>
      <c r="I575">
        <v>14</v>
      </c>
      <c r="J575">
        <v>21</v>
      </c>
      <c r="K575">
        <v>12</v>
      </c>
      <c r="L575">
        <v>11</v>
      </c>
      <c r="M575">
        <v>3</v>
      </c>
      <c r="N575" t="s">
        <v>91</v>
      </c>
      <c r="O575" t="s">
        <v>79</v>
      </c>
      <c r="P575" t="s">
        <v>188</v>
      </c>
      <c r="Q575">
        <f t="shared" si="156"/>
        <v>3</v>
      </c>
      <c r="R575" t="str">
        <f t="shared" si="145"/>
        <v>1-2024</v>
      </c>
      <c r="S575" t="s">
        <v>104</v>
      </c>
      <c r="T575" t="str">
        <f t="shared" si="146"/>
        <v>Saturday</v>
      </c>
      <c r="U575">
        <f t="shared" si="147"/>
        <v>1</v>
      </c>
      <c r="V575" s="24">
        <f>IFERROR(Table2[[#This Row],[Gray Min]]/Table2[[#This Row],[ClassLength]],"")</f>
        <v>0.22950819672131148</v>
      </c>
      <c r="W575" s="24">
        <f>IFERROR(Table2[[#This Row],[Blue Min]]/Table2[[#This Row],[ClassLength]],"")</f>
        <v>0.34426229508196721</v>
      </c>
      <c r="X575" s="24">
        <f>IFERROR(Table2[[#This Row],[Green Min]]/Table2[[#This Row],[ClassLength]],"")</f>
        <v>0.19672131147540983</v>
      </c>
      <c r="Y575" s="24">
        <f>IFERROR(Table2[[#This Row],[Orange Min]]/Table2[[#This Row],[ClassLength]],"")</f>
        <v>0.18032786885245902</v>
      </c>
      <c r="Z575" s="24">
        <f>IFERROR(Table2[[#This Row],[Red Min]]/Table2[[#This Row],[ClassLength]],"")</f>
        <v>4.9180327868852458E-2</v>
      </c>
      <c r="AA575" s="25">
        <v>232.14</v>
      </c>
      <c r="AB575" s="25">
        <f t="shared" si="158"/>
        <v>14.508749999999999</v>
      </c>
      <c r="AC575" s="26">
        <f t="shared" si="148"/>
        <v>634.0625</v>
      </c>
      <c r="AD575" s="26">
        <f t="shared" si="149"/>
        <v>13.4375</v>
      </c>
      <c r="AE575">
        <f t="shared" si="150"/>
        <v>2024</v>
      </c>
      <c r="AG575">
        <v>12</v>
      </c>
      <c r="AH575" s="26">
        <f t="shared" si="151"/>
        <v>10.737704918032787</v>
      </c>
      <c r="AI575" t="str">
        <f t="shared" si="152"/>
        <v>AM</v>
      </c>
      <c r="AJ575" t="str">
        <f t="shared" si="153"/>
        <v>1-2024-1</v>
      </c>
      <c r="AK575">
        <f t="shared" si="154"/>
        <v>1</v>
      </c>
      <c r="AL575" s="26">
        <f>IFERROR(Table2[[#This Row],[Calories]]/Table2[[#This Row],[Splat]],"")</f>
        <v>46.785714285714285</v>
      </c>
      <c r="AM575">
        <f>COUNTIF(N$2:$N$938,N575)</f>
        <v>218</v>
      </c>
      <c r="AN575" t="str">
        <f>VLOOKUP(N575,'Helpful Tables'!A:D,4,FALSE)</f>
        <v>Washington, DC</v>
      </c>
      <c r="AO575" s="24">
        <f>COUNTIF(AN:AN,Table2[[#This Row],[State]])/COUNTA(AN:AN)</f>
        <v>0.54904051172707891</v>
      </c>
      <c r="AP575">
        <f>VLOOKUP(N575,'Helpful Tables'!A:B,2,FALSE)</f>
        <v>38.934710000000003</v>
      </c>
      <c r="AQ575">
        <f>VLOOKUP(N575,'Helpful Tables'!A:C,3,FALSE)</f>
        <v>-77.058222999999998</v>
      </c>
      <c r="AR575">
        <f>COUNTIF(P$2:$P$938,P575)</f>
        <v>10</v>
      </c>
      <c r="AS575" cm="1">
        <f t="array" ref="AS575">_xlfn.IFS(E575&lt;6,((E575/D575)*60)*0.5,AND(E575&gt;=6,E575&lt;9),((E575/D575)*60)*0.75,AND(E575&gt;=9,E575&lt;=11),((E575/D575)*60)*0.9,AND(E575=12),((E575/D575)*60)*1,AND(E575&gt;=13,E575&lt;=15),((E575/D575)*60)*1.2,AND(E575&gt;=16,E575&lt;=19),((E575/D575)*60)*1.5,E575&gt;=20,((E575/D575)*60)*1.8)</f>
        <v>16.524590163934427</v>
      </c>
      <c r="AT575" cm="1">
        <f t="array" ref="AT575">_xlfn.IFS(F575&lt;550,((F575/D575)*60)*0.5,AND(F575&gt;=550,F575&lt;575),((F575/D575)*60)*0.75,AND(F575&gt;=575,F575&lt;600),((F575/D575)*60)*0.9,AND(F575=600),((F575/D575)*60)*1,AND(F575&gt;=601,F575&lt;=625),((F575/D575)*60)*1.2,AND(F575&gt;=626,F575&lt;=650),((F575/D575)*60)*1.5,F575&gt;=651,((F575/D575)*60)*1.8)</f>
        <v>1159.672131147541</v>
      </c>
      <c r="AU575">
        <f t="shared" si="159"/>
        <v>-6.7000000000000064</v>
      </c>
      <c r="AV575">
        <f t="shared" si="157"/>
        <v>469.13868852459018</v>
      </c>
      <c r="AW575">
        <f t="shared" si="160"/>
        <v>67.400000000000006</v>
      </c>
      <c r="AX575" t="str">
        <f t="shared" si="155"/>
        <v>Jan-2024</v>
      </c>
      <c r="AY575">
        <f>ROUNDUP(Table2[[#This Row],[Month]]/3,0)</f>
        <v>1</v>
      </c>
    </row>
    <row r="576" spans="1:51" x14ac:dyDescent="0.2">
      <c r="A576">
        <v>575</v>
      </c>
      <c r="B576">
        <f t="shared" si="144"/>
        <v>16</v>
      </c>
      <c r="C576" s="22">
        <v>45298</v>
      </c>
      <c r="D576">
        <f>SUM(Table2[[#This Row],[Gray Min]:[Red Min]])</f>
        <v>57</v>
      </c>
      <c r="E576">
        <v>19</v>
      </c>
      <c r="F576">
        <v>689</v>
      </c>
      <c r="G576">
        <v>133</v>
      </c>
      <c r="H576">
        <v>166</v>
      </c>
      <c r="I576">
        <v>6</v>
      </c>
      <c r="J576">
        <v>16</v>
      </c>
      <c r="K576">
        <v>16</v>
      </c>
      <c r="L576">
        <v>16</v>
      </c>
      <c r="M576">
        <v>3</v>
      </c>
      <c r="N576" t="s">
        <v>101</v>
      </c>
      <c r="O576" t="s">
        <v>192</v>
      </c>
      <c r="P576" t="s">
        <v>202</v>
      </c>
      <c r="Q576">
        <f t="shared" si="156"/>
        <v>1</v>
      </c>
      <c r="R576" t="str">
        <f t="shared" si="145"/>
        <v>1-2024</v>
      </c>
      <c r="S576" t="s">
        <v>104</v>
      </c>
      <c r="T576" t="str">
        <f t="shared" si="146"/>
        <v>Sunday</v>
      </c>
      <c r="U576">
        <f t="shared" si="147"/>
        <v>1</v>
      </c>
      <c r="V576" s="24">
        <f>IFERROR(Table2[[#This Row],[Gray Min]]/Table2[[#This Row],[ClassLength]],"")</f>
        <v>0.10526315789473684</v>
      </c>
      <c r="W576" s="24">
        <f>IFERROR(Table2[[#This Row],[Blue Min]]/Table2[[#This Row],[ClassLength]],"")</f>
        <v>0.2807017543859649</v>
      </c>
      <c r="X576" s="24">
        <f>IFERROR(Table2[[#This Row],[Green Min]]/Table2[[#This Row],[ClassLength]],"")</f>
        <v>0.2807017543859649</v>
      </c>
      <c r="Y576" s="24">
        <f>IFERROR(Table2[[#This Row],[Orange Min]]/Table2[[#This Row],[ClassLength]],"")</f>
        <v>0.2807017543859649</v>
      </c>
      <c r="Z576" s="24">
        <f>IFERROR(Table2[[#This Row],[Red Min]]/Table2[[#This Row],[ClassLength]],"")</f>
        <v>5.2631578947368418E-2</v>
      </c>
      <c r="AA576" s="25">
        <v>232.14</v>
      </c>
      <c r="AB576" s="25">
        <f t="shared" si="158"/>
        <v>14.508749999999999</v>
      </c>
      <c r="AC576" s="26">
        <f t="shared" si="148"/>
        <v>634.0625</v>
      </c>
      <c r="AD576" s="26">
        <f t="shared" si="149"/>
        <v>13.4375</v>
      </c>
      <c r="AE576">
        <f t="shared" si="150"/>
        <v>2024</v>
      </c>
      <c r="AG576">
        <v>12</v>
      </c>
      <c r="AH576" s="26">
        <f t="shared" si="151"/>
        <v>12.087719298245615</v>
      </c>
      <c r="AI576" t="str">
        <f t="shared" si="152"/>
        <v>PM</v>
      </c>
      <c r="AJ576" t="str">
        <f t="shared" si="153"/>
        <v>1-2024-2</v>
      </c>
      <c r="AK576">
        <f t="shared" si="154"/>
        <v>1</v>
      </c>
      <c r="AL576" s="26">
        <f>IFERROR(Table2[[#This Row],[Calories]]/Table2[[#This Row],[Splat]],"")</f>
        <v>36.263157894736842</v>
      </c>
      <c r="AM576">
        <f>COUNTIF(N$2:$N$938,N576)</f>
        <v>191</v>
      </c>
      <c r="AN576" t="str">
        <f>VLOOKUP(N576,'Helpful Tables'!A:D,4,FALSE)</f>
        <v>Washington, DC</v>
      </c>
      <c r="AO576" s="24">
        <f>COUNTIF(AN:AN,Table2[[#This Row],[State]])/COUNTA(AN:AN)</f>
        <v>0.54904051172707891</v>
      </c>
      <c r="AP576">
        <f>VLOOKUP(N576,'Helpful Tables'!A:B,2,FALSE)</f>
        <v>38.949649000000001</v>
      </c>
      <c r="AQ576">
        <f>VLOOKUP(N576,'Helpful Tables'!A:C,3,FALSE)</f>
        <v>-77.080878999999996</v>
      </c>
      <c r="AR576">
        <f>COUNTIF(P$2:$P$938,P576)</f>
        <v>4</v>
      </c>
      <c r="AS576" cm="1">
        <f t="array" ref="AS576">_xlfn.IFS(E576&lt;6,((E576/D576)*60)*0.5,AND(E576&gt;=6,E576&lt;9),((E576/D576)*60)*0.75,AND(E576&gt;=9,E576&lt;=11),((E576/D576)*60)*0.9,AND(E576=12),((E576/D576)*60)*1,AND(E576&gt;=13,E576&lt;=15),((E576/D576)*60)*1.2,AND(E576&gt;=16,E576&lt;=19),((E576/D576)*60)*1.5,E576&gt;=20,((E576/D576)*60)*1.8)</f>
        <v>30</v>
      </c>
      <c r="AT576" cm="1">
        <f t="array" ref="AT576">_xlfn.IFS(F576&lt;550,((F576/D576)*60)*0.5,AND(F576&gt;=550,F576&lt;575),((F576/D576)*60)*0.75,AND(F576&gt;=575,F576&lt;600),((F576/D576)*60)*0.9,AND(F576=600),((F576/D576)*60)*1,AND(F576&gt;=601,F576&lt;=625),((F576/D576)*60)*1.2,AND(F576&gt;=626,F576&lt;=650),((F576/D576)*60)*1.5,F576&gt;=651,((F576/D576)*60)*1.8)</f>
        <v>1305.4736842105265</v>
      </c>
      <c r="AU576">
        <f t="shared" si="159"/>
        <v>19.7</v>
      </c>
      <c r="AV576">
        <f t="shared" si="157"/>
        <v>538.12947368421067</v>
      </c>
      <c r="AW576">
        <f t="shared" si="160"/>
        <v>96</v>
      </c>
      <c r="AX576" t="str">
        <f t="shared" si="155"/>
        <v>Jan-2024</v>
      </c>
      <c r="AY576">
        <f>ROUNDUP(Table2[[#This Row],[Month]]/3,0)</f>
        <v>1</v>
      </c>
    </row>
    <row r="577" spans="1:51" x14ac:dyDescent="0.2">
      <c r="A577">
        <v>576</v>
      </c>
      <c r="B577">
        <f t="shared" si="144"/>
        <v>16</v>
      </c>
      <c r="C577" s="22">
        <v>45300</v>
      </c>
      <c r="D577">
        <f>SUM(Table2[[#This Row],[Gray Min]:[Red Min]])</f>
        <v>56</v>
      </c>
      <c r="E577">
        <v>12</v>
      </c>
      <c r="F577">
        <v>638</v>
      </c>
      <c r="G577">
        <v>128</v>
      </c>
      <c r="H577">
        <v>169</v>
      </c>
      <c r="I577">
        <v>9</v>
      </c>
      <c r="J577">
        <v>16</v>
      </c>
      <c r="K577">
        <v>19</v>
      </c>
      <c r="L577">
        <v>9</v>
      </c>
      <c r="M577">
        <v>3</v>
      </c>
      <c r="N577" t="s">
        <v>101</v>
      </c>
      <c r="O577" t="s">
        <v>173</v>
      </c>
      <c r="P577" t="s">
        <v>202</v>
      </c>
      <c r="Q577">
        <f t="shared" si="156"/>
        <v>2</v>
      </c>
      <c r="R577" t="str">
        <f t="shared" si="145"/>
        <v>1-2024</v>
      </c>
      <c r="S577" t="s">
        <v>145</v>
      </c>
      <c r="T577" t="str">
        <f t="shared" si="146"/>
        <v>Tuesday</v>
      </c>
      <c r="U577">
        <f t="shared" si="147"/>
        <v>1</v>
      </c>
      <c r="V577" s="24">
        <f>IFERROR(Table2[[#This Row],[Gray Min]]/Table2[[#This Row],[ClassLength]],"")</f>
        <v>0.16071428571428573</v>
      </c>
      <c r="W577" s="24">
        <f>IFERROR(Table2[[#This Row],[Blue Min]]/Table2[[#This Row],[ClassLength]],"")</f>
        <v>0.2857142857142857</v>
      </c>
      <c r="X577" s="24">
        <f>IFERROR(Table2[[#This Row],[Green Min]]/Table2[[#This Row],[ClassLength]],"")</f>
        <v>0.3392857142857143</v>
      </c>
      <c r="Y577" s="24">
        <f>IFERROR(Table2[[#This Row],[Orange Min]]/Table2[[#This Row],[ClassLength]],"")</f>
        <v>0.16071428571428573</v>
      </c>
      <c r="Z577" s="24">
        <f>IFERROR(Table2[[#This Row],[Red Min]]/Table2[[#This Row],[ClassLength]],"")</f>
        <v>5.3571428571428568E-2</v>
      </c>
      <c r="AA577" s="25">
        <v>232.14</v>
      </c>
      <c r="AB577" s="25">
        <f t="shared" si="158"/>
        <v>14.508749999999999</v>
      </c>
      <c r="AC577" s="26">
        <f t="shared" si="148"/>
        <v>634.0625</v>
      </c>
      <c r="AD577" s="26">
        <f t="shared" si="149"/>
        <v>13.4375</v>
      </c>
      <c r="AE577">
        <f t="shared" si="150"/>
        <v>2024</v>
      </c>
      <c r="AG577">
        <v>12</v>
      </c>
      <c r="AH577" s="26">
        <f t="shared" si="151"/>
        <v>11.392857142857142</v>
      </c>
      <c r="AI577" t="str">
        <f t="shared" si="152"/>
        <v>PM</v>
      </c>
      <c r="AJ577" t="str">
        <f t="shared" si="153"/>
        <v>1-2024-2</v>
      </c>
      <c r="AK577">
        <f t="shared" si="154"/>
        <v>1</v>
      </c>
      <c r="AL577" s="26">
        <f>IFERROR(Table2[[#This Row],[Calories]]/Table2[[#This Row],[Splat]],"")</f>
        <v>53.166666666666664</v>
      </c>
      <c r="AM577">
        <f>COUNTIF(N$2:$N$938,N577)</f>
        <v>191</v>
      </c>
      <c r="AN577" t="str">
        <f>VLOOKUP(N577,'Helpful Tables'!A:D,4,FALSE)</f>
        <v>Washington, DC</v>
      </c>
      <c r="AO577" s="24">
        <f>COUNTIF(AN:AN,Table2[[#This Row],[State]])/COUNTA(AN:AN)</f>
        <v>0.54904051172707891</v>
      </c>
      <c r="AP577">
        <f>VLOOKUP(N577,'Helpful Tables'!A:B,2,FALSE)</f>
        <v>38.949649000000001</v>
      </c>
      <c r="AQ577">
        <f>VLOOKUP(N577,'Helpful Tables'!A:C,3,FALSE)</f>
        <v>-77.080878999999996</v>
      </c>
      <c r="AR577">
        <f>COUNTIF(P$2:$P$938,P577)</f>
        <v>4</v>
      </c>
      <c r="AS577" cm="1">
        <f t="array" ref="AS577">_xlfn.IFS(E577&lt;6,((E577/D577)*60)*0.5,AND(E577&gt;=6,E577&lt;9),((E577/D577)*60)*0.75,AND(E577&gt;=9,E577&lt;=11),((E577/D577)*60)*0.9,AND(E577=12),((E577/D577)*60)*1,AND(E577&gt;=13,E577&lt;=15),((E577/D577)*60)*1.2,AND(E577&gt;=16,E577&lt;=19),((E577/D577)*60)*1.5,E577&gt;=20,((E577/D577)*60)*1.8)</f>
        <v>12.857142857142856</v>
      </c>
      <c r="AT577" cm="1">
        <f t="array" ref="AT577">_xlfn.IFS(F577&lt;550,((F577/D577)*60)*0.5,AND(F577&gt;=550,F577&lt;575),((F577/D577)*60)*0.75,AND(F577&gt;=575,F577&lt;600),((F577/D577)*60)*0.9,AND(F577=600),((F577/D577)*60)*1,AND(F577&gt;=601,F577&lt;=625),((F577/D577)*60)*1.2,AND(F577&gt;=626,F577&lt;=650),((F577/D577)*60)*1.5,F577&gt;=651,((F577/D577)*60)*1.8)</f>
        <v>1025.3571428571429</v>
      </c>
      <c r="AU577">
        <f t="shared" si="159"/>
        <v>10.600000000000003</v>
      </c>
      <c r="AV577">
        <f t="shared" si="157"/>
        <v>417.40571428571434</v>
      </c>
      <c r="AW577">
        <f t="shared" si="160"/>
        <v>61</v>
      </c>
      <c r="AX577" t="str">
        <f t="shared" si="155"/>
        <v>Jan-2024</v>
      </c>
      <c r="AY577">
        <f>ROUNDUP(Table2[[#This Row],[Month]]/3,0)</f>
        <v>1</v>
      </c>
    </row>
    <row r="578" spans="1:51" x14ac:dyDescent="0.2">
      <c r="A578">
        <v>577</v>
      </c>
      <c r="B578">
        <f t="shared" ref="B578:B641" si="161">COUNTIF(R:R,R578)</f>
        <v>16</v>
      </c>
      <c r="C578" s="22">
        <v>45301</v>
      </c>
      <c r="D578">
        <f>SUM(Table2[[#This Row],[Gray Min]:[Red Min]])</f>
        <v>60</v>
      </c>
      <c r="E578">
        <v>9</v>
      </c>
      <c r="F578">
        <v>604</v>
      </c>
      <c r="G578">
        <v>121</v>
      </c>
      <c r="H578">
        <v>171</v>
      </c>
      <c r="I578">
        <v>18</v>
      </c>
      <c r="J578">
        <v>16</v>
      </c>
      <c r="K578">
        <v>17</v>
      </c>
      <c r="L578">
        <v>8</v>
      </c>
      <c r="M578">
        <v>1</v>
      </c>
      <c r="N578" t="s">
        <v>91</v>
      </c>
      <c r="O578" t="s">
        <v>57</v>
      </c>
      <c r="P578" t="s">
        <v>96</v>
      </c>
      <c r="Q578">
        <f t="shared" si="156"/>
        <v>1</v>
      </c>
      <c r="R578" t="str">
        <f t="shared" ref="R578:R641" si="162">MONTH(C578)&amp;"-"&amp;YEAR(C578)</f>
        <v>1-2024</v>
      </c>
      <c r="S578" t="s">
        <v>104</v>
      </c>
      <c r="T578" t="str">
        <f t="shared" ref="T578:T641" si="163">IF(WEEKDAY(C578)=1,"Sunday",IF(WEEKDAY(C578)=2,"Monday",IF(WEEKDAY(C578)=3,"Tuesday",IF(WEEKDAY(C578)=4,"Wednesday",IF(WEEKDAY(C578)=5,"Thursday",IF(WEEKDAY(C578)=6,"Friday","Saturday"))))))</f>
        <v>Wednesday</v>
      </c>
      <c r="U578">
        <f t="shared" ref="U578:U641" si="164">IF(E578&gt;=12,1,0)</f>
        <v>0</v>
      </c>
      <c r="V578" s="24">
        <f>IFERROR(Table2[[#This Row],[Gray Min]]/Table2[[#This Row],[ClassLength]],"")</f>
        <v>0.3</v>
      </c>
      <c r="W578" s="24">
        <f>IFERROR(Table2[[#This Row],[Blue Min]]/Table2[[#This Row],[ClassLength]],"")</f>
        <v>0.26666666666666666</v>
      </c>
      <c r="X578" s="24">
        <f>IFERROR(Table2[[#This Row],[Green Min]]/Table2[[#This Row],[ClassLength]],"")</f>
        <v>0.28333333333333333</v>
      </c>
      <c r="Y578" s="24">
        <f>IFERROR(Table2[[#This Row],[Orange Min]]/Table2[[#This Row],[ClassLength]],"")</f>
        <v>0.13333333333333333</v>
      </c>
      <c r="Z578" s="24">
        <f>IFERROR(Table2[[#This Row],[Red Min]]/Table2[[#This Row],[ClassLength]],"")</f>
        <v>1.6666666666666666E-2</v>
      </c>
      <c r="AA578" s="25">
        <v>232.14</v>
      </c>
      <c r="AB578" s="25">
        <f t="shared" si="158"/>
        <v>14.508749999999999</v>
      </c>
      <c r="AC578" s="26">
        <f t="shared" ref="AC578:AC641" si="165">AVERAGEIF(R:R,R578,F:F)</f>
        <v>634.0625</v>
      </c>
      <c r="AD578" s="26">
        <f t="shared" ref="AD578:AD641" si="166">AVERAGEIF(R:R,R578,E:E)</f>
        <v>13.4375</v>
      </c>
      <c r="AE578">
        <f t="shared" ref="AE578:AE641" si="167">YEAR(C578)</f>
        <v>2024</v>
      </c>
      <c r="AG578">
        <v>12</v>
      </c>
      <c r="AH578" s="26">
        <f t="shared" ref="AH578:AH641" si="168">F578/D578</f>
        <v>10.066666666666666</v>
      </c>
      <c r="AI578" t="str">
        <f t="shared" ref="AI578:AI641" si="169">RIGHT(O578,2)</f>
        <v>PM</v>
      </c>
      <c r="AJ578" t="str">
        <f t="shared" ref="AJ578:AJ641" si="170">R578&amp;"-"&amp;WEEKNUM(C578,1)-WEEKNUM(DATE(YEAR(C578),MONTH(C578),1),1)+1</f>
        <v>1-2024-2</v>
      </c>
      <c r="AK578">
        <f t="shared" ref="AK578:AK641" si="171">MONTH(C578)</f>
        <v>1</v>
      </c>
      <c r="AL578" s="26">
        <f>IFERROR(Table2[[#This Row],[Calories]]/Table2[[#This Row],[Splat]],"")</f>
        <v>67.111111111111114</v>
      </c>
      <c r="AM578">
        <f>COUNTIF(N$2:$N$938,N578)</f>
        <v>218</v>
      </c>
      <c r="AN578" t="str">
        <f>VLOOKUP(N578,'Helpful Tables'!A:D,4,FALSE)</f>
        <v>Washington, DC</v>
      </c>
      <c r="AO578" s="24">
        <f>COUNTIF(AN:AN,Table2[[#This Row],[State]])/COUNTA(AN:AN)</f>
        <v>0.54904051172707891</v>
      </c>
      <c r="AP578">
        <f>VLOOKUP(N578,'Helpful Tables'!A:B,2,FALSE)</f>
        <v>38.934710000000003</v>
      </c>
      <c r="AQ578">
        <f>VLOOKUP(N578,'Helpful Tables'!A:C,3,FALSE)</f>
        <v>-77.058222999999998</v>
      </c>
      <c r="AR578">
        <f>COUNTIF(P$2:$P$938,P578)</f>
        <v>71</v>
      </c>
      <c r="AS578" cm="1">
        <f t="array" ref="AS578">_xlfn.IFS(E578&lt;6,((E578/D578)*60)*0.5,AND(E578&gt;=6,E578&lt;9),((E578/D578)*60)*0.75,AND(E578&gt;=9,E578&lt;=11),((E578/D578)*60)*0.9,AND(E578=12),((E578/D578)*60)*1,AND(E578&gt;=13,E578&lt;=15),((E578/D578)*60)*1.2,AND(E578&gt;=16,E578&lt;=19),((E578/D578)*60)*1.5,E578&gt;=20,((E578/D578)*60)*1.8)</f>
        <v>8.1</v>
      </c>
      <c r="AT578" cm="1">
        <f t="array" ref="AT578">_xlfn.IFS(F578&lt;550,((F578/D578)*60)*0.5,AND(F578&gt;=550,F578&lt;575),((F578/D578)*60)*0.75,AND(F578&gt;=575,F578&lt;600),((F578/D578)*60)*0.9,AND(F578=600),((F578/D578)*60)*1,AND(F578&gt;=601,F578&lt;=625),((F578/D578)*60)*1.2,AND(F578&gt;=626,F578&lt;=650),((F578/D578)*60)*1.5,F578&gt;=651,((F578/D578)*60)*1.8)</f>
        <v>724.8</v>
      </c>
      <c r="AU578">
        <f t="shared" si="159"/>
        <v>-6.9000000000000039</v>
      </c>
      <c r="AV578">
        <f t="shared" si="157"/>
        <v>291.78000000000003</v>
      </c>
      <c r="AW578">
        <f t="shared" si="160"/>
        <v>25</v>
      </c>
      <c r="AX578" t="str">
        <f t="shared" ref="AX578:AX641" si="172">_xlfn.CONCAT(TEXT(C578,"mmm"),"-",AE578)</f>
        <v>Jan-2024</v>
      </c>
      <c r="AY578">
        <f>ROUNDUP(Table2[[#This Row],[Month]]/3,0)</f>
        <v>1</v>
      </c>
    </row>
    <row r="579" spans="1:51" x14ac:dyDescent="0.2">
      <c r="A579">
        <v>578</v>
      </c>
      <c r="B579">
        <f t="shared" si="161"/>
        <v>16</v>
      </c>
      <c r="C579" s="22">
        <v>45303</v>
      </c>
      <c r="D579">
        <f>SUM(Table2[[#This Row],[Gray Min]:[Red Min]])</f>
        <v>57</v>
      </c>
      <c r="E579">
        <v>12</v>
      </c>
      <c r="F579">
        <v>650</v>
      </c>
      <c r="G579">
        <v>128</v>
      </c>
      <c r="H579">
        <v>163</v>
      </c>
      <c r="I579">
        <v>9</v>
      </c>
      <c r="J579">
        <v>20</v>
      </c>
      <c r="K579">
        <v>16</v>
      </c>
      <c r="L579">
        <v>12</v>
      </c>
      <c r="M579">
        <v>0</v>
      </c>
      <c r="N579" t="s">
        <v>101</v>
      </c>
      <c r="O579" t="s">
        <v>173</v>
      </c>
      <c r="P579" t="s">
        <v>189</v>
      </c>
      <c r="Q579">
        <f t="shared" ref="Q579:Q642" si="173">C579-C578</f>
        <v>2</v>
      </c>
      <c r="R579" t="str">
        <f t="shared" si="162"/>
        <v>1-2024</v>
      </c>
      <c r="S579" t="s">
        <v>104</v>
      </c>
      <c r="T579" t="str">
        <f t="shared" si="163"/>
        <v>Friday</v>
      </c>
      <c r="U579">
        <f t="shared" si="164"/>
        <v>1</v>
      </c>
      <c r="V579" s="24">
        <f>IFERROR(Table2[[#This Row],[Gray Min]]/Table2[[#This Row],[ClassLength]],"")</f>
        <v>0.15789473684210525</v>
      </c>
      <c r="W579" s="24">
        <f>IFERROR(Table2[[#This Row],[Blue Min]]/Table2[[#This Row],[ClassLength]],"")</f>
        <v>0.35087719298245612</v>
      </c>
      <c r="X579" s="24">
        <f>IFERROR(Table2[[#This Row],[Green Min]]/Table2[[#This Row],[ClassLength]],"")</f>
        <v>0.2807017543859649</v>
      </c>
      <c r="Y579" s="24">
        <f>IFERROR(Table2[[#This Row],[Orange Min]]/Table2[[#This Row],[ClassLength]],"")</f>
        <v>0.21052631578947367</v>
      </c>
      <c r="Z579" s="24">
        <f>IFERROR(Table2[[#This Row],[Red Min]]/Table2[[#This Row],[ClassLength]],"")</f>
        <v>0</v>
      </c>
      <c r="AA579" s="25">
        <v>232.14</v>
      </c>
      <c r="AB579" s="25">
        <f t="shared" si="158"/>
        <v>14.508749999999999</v>
      </c>
      <c r="AC579" s="26">
        <f t="shared" si="165"/>
        <v>634.0625</v>
      </c>
      <c r="AD579" s="26">
        <f t="shared" si="166"/>
        <v>13.4375</v>
      </c>
      <c r="AE579">
        <f t="shared" si="167"/>
        <v>2024</v>
      </c>
      <c r="AG579">
        <v>12</v>
      </c>
      <c r="AH579" s="26">
        <f t="shared" si="168"/>
        <v>11.403508771929825</v>
      </c>
      <c r="AI579" t="str">
        <f t="shared" si="169"/>
        <v>PM</v>
      </c>
      <c r="AJ579" t="str">
        <f t="shared" si="170"/>
        <v>1-2024-2</v>
      </c>
      <c r="AK579">
        <f t="shared" si="171"/>
        <v>1</v>
      </c>
      <c r="AL579" s="26">
        <f>IFERROR(Table2[[#This Row],[Calories]]/Table2[[#This Row],[Splat]],"")</f>
        <v>54.166666666666664</v>
      </c>
      <c r="AM579">
        <f>COUNTIF(N$2:$N$938,N579)</f>
        <v>191</v>
      </c>
      <c r="AN579" t="str">
        <f>VLOOKUP(N579,'Helpful Tables'!A:D,4,FALSE)</f>
        <v>Washington, DC</v>
      </c>
      <c r="AO579" s="24">
        <f>COUNTIF(AN:AN,Table2[[#This Row],[State]])/COUNTA(AN:AN)</f>
        <v>0.54904051172707891</v>
      </c>
      <c r="AP579">
        <f>VLOOKUP(N579,'Helpful Tables'!A:B,2,FALSE)</f>
        <v>38.949649000000001</v>
      </c>
      <c r="AQ579">
        <f>VLOOKUP(N579,'Helpful Tables'!A:C,3,FALSE)</f>
        <v>-77.080878999999996</v>
      </c>
      <c r="AR579">
        <f>COUNTIF(P$2:$P$938,P579)</f>
        <v>8</v>
      </c>
      <c r="AS579" cm="1">
        <f t="array" ref="AS579">_xlfn.IFS(E579&lt;6,((E579/D579)*60)*0.5,AND(E579&gt;=6,E579&lt;9),((E579/D579)*60)*0.75,AND(E579&gt;=9,E579&lt;=11),((E579/D579)*60)*0.9,AND(E579=12),((E579/D579)*60)*1,AND(E579&gt;=13,E579&lt;=15),((E579/D579)*60)*1.2,AND(E579&gt;=16,E579&lt;=19),((E579/D579)*60)*1.5,E579&gt;=20,((E579/D579)*60)*1.8)</f>
        <v>12.631578947368421</v>
      </c>
      <c r="AT579" cm="1">
        <f t="array" ref="AT579">_xlfn.IFS(F579&lt;550,((F579/D579)*60)*0.5,AND(F579&gt;=550,F579&lt;575),((F579/D579)*60)*0.75,AND(F579&gt;=575,F579&lt;600),((F579/D579)*60)*0.9,AND(F579=600),((F579/D579)*60)*1,AND(F579&gt;=601,F579&lt;=625),((F579/D579)*60)*1.2,AND(F579&gt;=626,F579&lt;=650),((F579/D579)*60)*1.5,F579&gt;=651,((F579/D579)*60)*1.8)</f>
        <v>1026.3157894736842</v>
      </c>
      <c r="AU579">
        <f t="shared" si="159"/>
        <v>2.0000000000000036</v>
      </c>
      <c r="AV579">
        <f t="shared" ref="AV579:AV642" si="174">(AS579*0.4)+(AT579*0.4)+(AU579*0.2)</f>
        <v>415.97894736842102</v>
      </c>
      <c r="AW579">
        <f t="shared" si="160"/>
        <v>60.4</v>
      </c>
      <c r="AX579" t="str">
        <f t="shared" si="172"/>
        <v>Jan-2024</v>
      </c>
      <c r="AY579">
        <f>ROUNDUP(Table2[[#This Row],[Month]]/3,0)</f>
        <v>1</v>
      </c>
    </row>
    <row r="580" spans="1:51" x14ac:dyDescent="0.2">
      <c r="A580">
        <v>579</v>
      </c>
      <c r="B580">
        <f t="shared" si="161"/>
        <v>16</v>
      </c>
      <c r="C580" s="22">
        <v>45305</v>
      </c>
      <c r="D580">
        <f>SUM(Table2[[#This Row],[Gray Min]:[Red Min]])</f>
        <v>60</v>
      </c>
      <c r="E580">
        <v>10</v>
      </c>
      <c r="F580">
        <v>614</v>
      </c>
      <c r="G580">
        <v>122</v>
      </c>
      <c r="H580">
        <v>165</v>
      </c>
      <c r="I580">
        <v>19</v>
      </c>
      <c r="J580">
        <v>15</v>
      </c>
      <c r="K580">
        <v>16</v>
      </c>
      <c r="L580">
        <v>9</v>
      </c>
      <c r="M580">
        <v>1</v>
      </c>
      <c r="N580" t="s">
        <v>91</v>
      </c>
      <c r="O580" t="s">
        <v>79</v>
      </c>
      <c r="P580" t="s">
        <v>100</v>
      </c>
      <c r="Q580">
        <f t="shared" si="173"/>
        <v>2</v>
      </c>
      <c r="R580" t="str">
        <f t="shared" si="162"/>
        <v>1-2024</v>
      </c>
      <c r="S580" t="s">
        <v>104</v>
      </c>
      <c r="T580" t="str">
        <f t="shared" si="163"/>
        <v>Sunday</v>
      </c>
      <c r="U580">
        <f t="shared" si="164"/>
        <v>0</v>
      </c>
      <c r="V580" s="24">
        <f>IFERROR(Table2[[#This Row],[Gray Min]]/Table2[[#This Row],[ClassLength]],"")</f>
        <v>0.31666666666666665</v>
      </c>
      <c r="W580" s="24">
        <f>IFERROR(Table2[[#This Row],[Blue Min]]/Table2[[#This Row],[ClassLength]],"")</f>
        <v>0.25</v>
      </c>
      <c r="X580" s="24">
        <f>IFERROR(Table2[[#This Row],[Green Min]]/Table2[[#This Row],[ClassLength]],"")</f>
        <v>0.26666666666666666</v>
      </c>
      <c r="Y580" s="24">
        <f>IFERROR(Table2[[#This Row],[Orange Min]]/Table2[[#This Row],[ClassLength]],"")</f>
        <v>0.15</v>
      </c>
      <c r="Z580" s="24">
        <f>IFERROR(Table2[[#This Row],[Red Min]]/Table2[[#This Row],[ClassLength]],"")</f>
        <v>1.6666666666666666E-2</v>
      </c>
      <c r="AA580" s="25">
        <v>232.14</v>
      </c>
      <c r="AB580" s="25">
        <f t="shared" si="158"/>
        <v>14.508749999999999</v>
      </c>
      <c r="AC580" s="26">
        <f t="shared" si="165"/>
        <v>634.0625</v>
      </c>
      <c r="AD580" s="26">
        <f t="shared" si="166"/>
        <v>13.4375</v>
      </c>
      <c r="AE580">
        <f t="shared" si="167"/>
        <v>2024</v>
      </c>
      <c r="AG580">
        <v>12</v>
      </c>
      <c r="AH580" s="26">
        <f t="shared" si="168"/>
        <v>10.233333333333333</v>
      </c>
      <c r="AI580" t="str">
        <f t="shared" si="169"/>
        <v>AM</v>
      </c>
      <c r="AJ580" t="str">
        <f t="shared" si="170"/>
        <v>1-2024-3</v>
      </c>
      <c r="AK580">
        <f t="shared" si="171"/>
        <v>1</v>
      </c>
      <c r="AL580" s="26">
        <f>IFERROR(Table2[[#This Row],[Calories]]/Table2[[#This Row],[Splat]],"")</f>
        <v>61.4</v>
      </c>
      <c r="AM580">
        <f>COUNTIF(N$2:$N$938,N580)</f>
        <v>218</v>
      </c>
      <c r="AN580" t="str">
        <f>VLOOKUP(N580,'Helpful Tables'!A:D,4,FALSE)</f>
        <v>Washington, DC</v>
      </c>
      <c r="AO580" s="24">
        <f>COUNTIF(AN:AN,Table2[[#This Row],[State]])/COUNTA(AN:AN)</f>
        <v>0.54904051172707891</v>
      </c>
      <c r="AP580">
        <f>VLOOKUP(N580,'Helpful Tables'!A:B,2,FALSE)</f>
        <v>38.934710000000003</v>
      </c>
      <c r="AQ580">
        <f>VLOOKUP(N580,'Helpful Tables'!A:C,3,FALSE)</f>
        <v>-77.058222999999998</v>
      </c>
      <c r="AR580">
        <f>COUNTIF(P$2:$P$938,P580)</f>
        <v>35</v>
      </c>
      <c r="AS580" cm="1">
        <f t="array" ref="AS580">_xlfn.IFS(E580&lt;6,((E580/D580)*60)*0.5,AND(E580&gt;=6,E580&lt;9),((E580/D580)*60)*0.75,AND(E580&gt;=9,E580&lt;=11),((E580/D580)*60)*0.9,AND(E580=12),((E580/D580)*60)*1,AND(E580&gt;=13,E580&lt;=15),((E580/D580)*60)*1.2,AND(E580&gt;=16,E580&lt;=19),((E580/D580)*60)*1.5,E580&gt;=20,((E580/D580)*60)*1.8)</f>
        <v>9</v>
      </c>
      <c r="AT580" cm="1">
        <f t="array" ref="AT580">_xlfn.IFS(F580&lt;550,((F580/D580)*60)*0.5,AND(F580&gt;=550,F580&lt;575),((F580/D580)*60)*0.75,AND(F580&gt;=575,F580&lt;600),((F580/D580)*60)*0.9,AND(F580=600),((F580/D580)*60)*1,AND(F580&gt;=601,F580&lt;=625),((F580/D580)*60)*1.2,AND(F580&gt;=626,F580&lt;=650),((F580/D580)*60)*1.5,F580&gt;=651,((F580/D580)*60)*1.8)</f>
        <v>736.8</v>
      </c>
      <c r="AU580">
        <f t="shared" si="159"/>
        <v>-6.8999999999999968</v>
      </c>
      <c r="AV580">
        <f t="shared" si="174"/>
        <v>296.94</v>
      </c>
      <c r="AW580">
        <f t="shared" si="160"/>
        <v>26.1</v>
      </c>
      <c r="AX580" t="str">
        <f t="shared" si="172"/>
        <v>Jan-2024</v>
      </c>
      <c r="AY580">
        <f>ROUNDUP(Table2[[#This Row],[Month]]/3,0)</f>
        <v>1</v>
      </c>
    </row>
    <row r="581" spans="1:51" x14ac:dyDescent="0.2">
      <c r="A581">
        <v>580</v>
      </c>
      <c r="B581">
        <f t="shared" si="161"/>
        <v>16</v>
      </c>
      <c r="C581" s="22">
        <v>45306</v>
      </c>
      <c r="D581">
        <f>SUM(Table2[[#This Row],[Gray Min]:[Red Min]])</f>
        <v>60</v>
      </c>
      <c r="E581">
        <v>12</v>
      </c>
      <c r="F581">
        <v>506</v>
      </c>
      <c r="G581">
        <v>109</v>
      </c>
      <c r="H581">
        <v>162</v>
      </c>
      <c r="I581">
        <v>38</v>
      </c>
      <c r="J581">
        <v>6</v>
      </c>
      <c r="K581">
        <v>4</v>
      </c>
      <c r="L581">
        <v>12</v>
      </c>
      <c r="M581">
        <v>0</v>
      </c>
      <c r="N581" t="s">
        <v>101</v>
      </c>
      <c r="O581" t="s">
        <v>190</v>
      </c>
      <c r="P581" t="s">
        <v>203</v>
      </c>
      <c r="Q581">
        <f t="shared" si="173"/>
        <v>1</v>
      </c>
      <c r="R581" t="str">
        <f t="shared" si="162"/>
        <v>1-2024</v>
      </c>
      <c r="S581" t="s">
        <v>117</v>
      </c>
      <c r="T581" t="str">
        <f t="shared" si="163"/>
        <v>Monday</v>
      </c>
      <c r="U581">
        <f t="shared" si="164"/>
        <v>1</v>
      </c>
      <c r="V581" s="24">
        <f>IFERROR(Table2[[#This Row],[Gray Min]]/Table2[[#This Row],[ClassLength]],"")</f>
        <v>0.6333333333333333</v>
      </c>
      <c r="W581" s="24">
        <f>IFERROR(Table2[[#This Row],[Blue Min]]/Table2[[#This Row],[ClassLength]],"")</f>
        <v>0.1</v>
      </c>
      <c r="X581" s="24">
        <f>IFERROR(Table2[[#This Row],[Green Min]]/Table2[[#This Row],[ClassLength]],"")</f>
        <v>6.6666666666666666E-2</v>
      </c>
      <c r="Y581" s="24">
        <f>IFERROR(Table2[[#This Row],[Orange Min]]/Table2[[#This Row],[ClassLength]],"")</f>
        <v>0.2</v>
      </c>
      <c r="Z581" s="24">
        <f>IFERROR(Table2[[#This Row],[Red Min]]/Table2[[#This Row],[ClassLength]],"")</f>
        <v>0</v>
      </c>
      <c r="AA581" s="25">
        <v>232.14</v>
      </c>
      <c r="AB581" s="25">
        <f t="shared" si="158"/>
        <v>14.508749999999999</v>
      </c>
      <c r="AC581" s="26">
        <f t="shared" si="165"/>
        <v>634.0625</v>
      </c>
      <c r="AD581" s="26">
        <f t="shared" si="166"/>
        <v>13.4375</v>
      </c>
      <c r="AE581">
        <f t="shared" si="167"/>
        <v>2024</v>
      </c>
      <c r="AG581">
        <v>12</v>
      </c>
      <c r="AH581" s="26">
        <f t="shared" si="168"/>
        <v>8.4333333333333336</v>
      </c>
      <c r="AI581" t="str">
        <f t="shared" si="169"/>
        <v>AM</v>
      </c>
      <c r="AJ581" t="str">
        <f t="shared" si="170"/>
        <v>1-2024-3</v>
      </c>
      <c r="AK581">
        <f t="shared" si="171"/>
        <v>1</v>
      </c>
      <c r="AL581" s="26">
        <f>IFERROR(Table2[[#This Row],[Calories]]/Table2[[#This Row],[Splat]],"")</f>
        <v>42.166666666666664</v>
      </c>
      <c r="AM581">
        <f>COUNTIF(N$2:$N$938,N581)</f>
        <v>191</v>
      </c>
      <c r="AN581" t="str">
        <f>VLOOKUP(N581,'Helpful Tables'!A:D,4,FALSE)</f>
        <v>Washington, DC</v>
      </c>
      <c r="AO581" s="24">
        <f>COUNTIF(AN:AN,Table2[[#This Row],[State]])/COUNTA(AN:AN)</f>
        <v>0.54904051172707891</v>
      </c>
      <c r="AP581">
        <f>VLOOKUP(N581,'Helpful Tables'!A:B,2,FALSE)</f>
        <v>38.949649000000001</v>
      </c>
      <c r="AQ581">
        <f>VLOOKUP(N581,'Helpful Tables'!A:C,3,FALSE)</f>
        <v>-77.080878999999996</v>
      </c>
      <c r="AR581">
        <f>COUNTIF(P$2:$P$938,P581)</f>
        <v>4</v>
      </c>
      <c r="AS581" cm="1">
        <f t="array" ref="AS581">_xlfn.IFS(E581&lt;6,((E581/D581)*60)*0.5,AND(E581&gt;=6,E581&lt;9),((E581/D581)*60)*0.75,AND(E581&gt;=9,E581&lt;=11),((E581/D581)*60)*0.9,AND(E581=12),((E581/D581)*60)*1,AND(E581&gt;=13,E581&lt;=15),((E581/D581)*60)*1.2,AND(E581&gt;=16,E581&lt;=19),((E581/D581)*60)*1.5,E581&gt;=20,((E581/D581)*60)*1.8)</f>
        <v>12</v>
      </c>
      <c r="AT581" cm="1">
        <f t="array" ref="AT581">_xlfn.IFS(F581&lt;550,((F581/D581)*60)*0.5,AND(F581&gt;=550,F581&lt;575),((F581/D581)*60)*0.75,AND(F581&gt;=575,F581&lt;600),((F581/D581)*60)*0.9,AND(F581=600),((F581/D581)*60)*1,AND(F581&gt;=601,F581&lt;=625),((F581/D581)*60)*1.2,AND(F581&gt;=626,F581&lt;=650),((F581/D581)*60)*1.5,F581&gt;=651,((F581/D581)*60)*1.8)</f>
        <v>253</v>
      </c>
      <c r="AU581">
        <f t="shared" si="159"/>
        <v>-31.800000000000004</v>
      </c>
      <c r="AV581">
        <f t="shared" si="174"/>
        <v>99.64</v>
      </c>
      <c r="AW581">
        <f t="shared" si="160"/>
        <v>0.89999999999999991</v>
      </c>
      <c r="AX581" t="str">
        <f t="shared" si="172"/>
        <v>Jan-2024</v>
      </c>
      <c r="AY581">
        <f>ROUNDUP(Table2[[#This Row],[Month]]/3,0)</f>
        <v>1</v>
      </c>
    </row>
    <row r="582" spans="1:51" x14ac:dyDescent="0.2">
      <c r="A582">
        <v>581</v>
      </c>
      <c r="B582">
        <f t="shared" si="161"/>
        <v>16</v>
      </c>
      <c r="C582" s="22">
        <v>45309</v>
      </c>
      <c r="D582">
        <f>SUM(Table2[[#This Row],[Gray Min]:[Red Min]])</f>
        <v>59</v>
      </c>
      <c r="E582">
        <v>13</v>
      </c>
      <c r="F582">
        <v>657</v>
      </c>
      <c r="G582">
        <v>127</v>
      </c>
      <c r="H582">
        <v>166</v>
      </c>
      <c r="I582">
        <v>15</v>
      </c>
      <c r="J582">
        <v>10</v>
      </c>
      <c r="K582">
        <v>21</v>
      </c>
      <c r="L582">
        <v>11</v>
      </c>
      <c r="M582">
        <v>2</v>
      </c>
      <c r="N582" t="s">
        <v>91</v>
      </c>
      <c r="O582" t="s">
        <v>57</v>
      </c>
      <c r="P582" t="s">
        <v>188</v>
      </c>
      <c r="Q582">
        <f t="shared" si="173"/>
        <v>3</v>
      </c>
      <c r="R582" t="str">
        <f t="shared" si="162"/>
        <v>1-2024</v>
      </c>
      <c r="S582" t="s">
        <v>104</v>
      </c>
      <c r="T582" t="str">
        <f t="shared" si="163"/>
        <v>Thursday</v>
      </c>
      <c r="U582">
        <f t="shared" si="164"/>
        <v>1</v>
      </c>
      <c r="V582" s="24">
        <f>IFERROR(Table2[[#This Row],[Gray Min]]/Table2[[#This Row],[ClassLength]],"")</f>
        <v>0.25423728813559321</v>
      </c>
      <c r="W582" s="24">
        <f>IFERROR(Table2[[#This Row],[Blue Min]]/Table2[[#This Row],[ClassLength]],"")</f>
        <v>0.16949152542372881</v>
      </c>
      <c r="X582" s="24">
        <f>IFERROR(Table2[[#This Row],[Green Min]]/Table2[[#This Row],[ClassLength]],"")</f>
        <v>0.3559322033898305</v>
      </c>
      <c r="Y582" s="24">
        <f>IFERROR(Table2[[#This Row],[Orange Min]]/Table2[[#This Row],[ClassLength]],"")</f>
        <v>0.1864406779661017</v>
      </c>
      <c r="Z582" s="24">
        <f>IFERROR(Table2[[#This Row],[Red Min]]/Table2[[#This Row],[ClassLength]],"")</f>
        <v>3.3898305084745763E-2</v>
      </c>
      <c r="AA582" s="25">
        <v>232.14</v>
      </c>
      <c r="AB582" s="25">
        <f t="shared" si="158"/>
        <v>14.508749999999999</v>
      </c>
      <c r="AC582" s="26">
        <f t="shared" si="165"/>
        <v>634.0625</v>
      </c>
      <c r="AD582" s="26">
        <f t="shared" si="166"/>
        <v>13.4375</v>
      </c>
      <c r="AE582">
        <f t="shared" si="167"/>
        <v>2024</v>
      </c>
      <c r="AG582">
        <v>12</v>
      </c>
      <c r="AH582" s="26">
        <f t="shared" si="168"/>
        <v>11.135593220338983</v>
      </c>
      <c r="AI582" t="str">
        <f t="shared" si="169"/>
        <v>PM</v>
      </c>
      <c r="AJ582" t="str">
        <f t="shared" si="170"/>
        <v>1-2024-3</v>
      </c>
      <c r="AK582">
        <f t="shared" si="171"/>
        <v>1</v>
      </c>
      <c r="AL582" s="26">
        <f>IFERROR(Table2[[#This Row],[Calories]]/Table2[[#This Row],[Splat]],"")</f>
        <v>50.53846153846154</v>
      </c>
      <c r="AM582">
        <f>COUNTIF(N$2:$N$938,N582)</f>
        <v>218</v>
      </c>
      <c r="AN582" t="str">
        <f>VLOOKUP(N582,'Helpful Tables'!A:D,4,FALSE)</f>
        <v>Washington, DC</v>
      </c>
      <c r="AO582" s="24">
        <f>COUNTIF(AN:AN,Table2[[#This Row],[State]])/COUNTA(AN:AN)</f>
        <v>0.54904051172707891</v>
      </c>
      <c r="AP582">
        <f>VLOOKUP(N582,'Helpful Tables'!A:B,2,FALSE)</f>
        <v>38.934710000000003</v>
      </c>
      <c r="AQ582">
        <f>VLOOKUP(N582,'Helpful Tables'!A:C,3,FALSE)</f>
        <v>-77.058222999999998</v>
      </c>
      <c r="AR582">
        <f>COUNTIF(P$2:$P$938,P582)</f>
        <v>10</v>
      </c>
      <c r="AS582" cm="1">
        <f t="array" ref="AS582">_xlfn.IFS(E582&lt;6,((E582/D582)*60)*0.5,AND(E582&gt;=6,E582&lt;9),((E582/D582)*60)*0.75,AND(E582&gt;=9,E582&lt;=11),((E582/D582)*60)*0.9,AND(E582=12),((E582/D582)*60)*1,AND(E582&gt;=13,E582&lt;=15),((E582/D582)*60)*1.2,AND(E582&gt;=16,E582&lt;=19),((E582/D582)*60)*1.5,E582&gt;=20,((E582/D582)*60)*1.8)</f>
        <v>15.864406779661017</v>
      </c>
      <c r="AT582" cm="1">
        <f t="array" ref="AT582">_xlfn.IFS(F582&lt;550,((F582/D582)*60)*0.5,AND(F582&gt;=550,F582&lt;575),((F582/D582)*60)*0.75,AND(F582&gt;=575,F582&lt;600),((F582/D582)*60)*0.9,AND(F582=600),((F582/D582)*60)*1,AND(F582&gt;=601,F582&lt;=625),((F582/D582)*60)*1.2,AND(F582&gt;=626,F582&lt;=650),((F582/D582)*60)*1.5,F582&gt;=651,((F582/D582)*60)*1.8)</f>
        <v>1202.6440677966102</v>
      </c>
      <c r="AU582">
        <f t="shared" si="159"/>
        <v>13.5</v>
      </c>
      <c r="AV582">
        <f t="shared" si="174"/>
        <v>490.10338983050849</v>
      </c>
      <c r="AW582">
        <f t="shared" si="160"/>
        <v>74.3</v>
      </c>
      <c r="AX582" t="str">
        <f t="shared" si="172"/>
        <v>Jan-2024</v>
      </c>
      <c r="AY582">
        <f>ROUNDUP(Table2[[#This Row],[Month]]/3,0)</f>
        <v>1</v>
      </c>
    </row>
    <row r="583" spans="1:51" x14ac:dyDescent="0.2">
      <c r="A583">
        <v>582</v>
      </c>
      <c r="B583">
        <f t="shared" si="161"/>
        <v>16</v>
      </c>
      <c r="C583" s="22">
        <v>45311</v>
      </c>
      <c r="D583">
        <f>SUM(Table2[[#This Row],[Gray Min]:[Red Min]])</f>
        <v>58</v>
      </c>
      <c r="E583">
        <v>16</v>
      </c>
      <c r="F583">
        <v>670</v>
      </c>
      <c r="G583">
        <v>130</v>
      </c>
      <c r="H583">
        <v>167</v>
      </c>
      <c r="I583">
        <v>11</v>
      </c>
      <c r="J583">
        <v>15</v>
      </c>
      <c r="K583">
        <v>16</v>
      </c>
      <c r="L583">
        <v>13</v>
      </c>
      <c r="M583">
        <v>3</v>
      </c>
      <c r="N583" t="s">
        <v>91</v>
      </c>
      <c r="O583" t="s">
        <v>204</v>
      </c>
      <c r="P583" t="s">
        <v>96</v>
      </c>
      <c r="Q583">
        <f t="shared" si="173"/>
        <v>2</v>
      </c>
      <c r="R583" t="str">
        <f t="shared" si="162"/>
        <v>1-2024</v>
      </c>
      <c r="S583" t="s">
        <v>104</v>
      </c>
      <c r="T583" t="str">
        <f t="shared" si="163"/>
        <v>Saturday</v>
      </c>
      <c r="U583">
        <f t="shared" si="164"/>
        <v>1</v>
      </c>
      <c r="V583" s="24">
        <f>IFERROR(Table2[[#This Row],[Gray Min]]/Table2[[#This Row],[ClassLength]],"")</f>
        <v>0.18965517241379309</v>
      </c>
      <c r="W583" s="24">
        <f>IFERROR(Table2[[#This Row],[Blue Min]]/Table2[[#This Row],[ClassLength]],"")</f>
        <v>0.25862068965517243</v>
      </c>
      <c r="X583" s="24">
        <f>IFERROR(Table2[[#This Row],[Green Min]]/Table2[[#This Row],[ClassLength]],"")</f>
        <v>0.27586206896551724</v>
      </c>
      <c r="Y583" s="24">
        <f>IFERROR(Table2[[#This Row],[Orange Min]]/Table2[[#This Row],[ClassLength]],"")</f>
        <v>0.22413793103448276</v>
      </c>
      <c r="Z583" s="24">
        <f>IFERROR(Table2[[#This Row],[Red Min]]/Table2[[#This Row],[ClassLength]],"")</f>
        <v>5.1724137931034482E-2</v>
      </c>
      <c r="AA583" s="25">
        <v>232.14</v>
      </c>
      <c r="AB583" s="25">
        <f t="shared" si="158"/>
        <v>14.508749999999999</v>
      </c>
      <c r="AC583" s="26">
        <f t="shared" si="165"/>
        <v>634.0625</v>
      </c>
      <c r="AD583" s="26">
        <f t="shared" si="166"/>
        <v>13.4375</v>
      </c>
      <c r="AE583">
        <f t="shared" si="167"/>
        <v>2024</v>
      </c>
      <c r="AG583">
        <v>12</v>
      </c>
      <c r="AH583" s="26">
        <f t="shared" si="168"/>
        <v>11.551724137931034</v>
      </c>
      <c r="AI583" t="str">
        <f t="shared" si="169"/>
        <v>AM</v>
      </c>
      <c r="AJ583" t="str">
        <f t="shared" si="170"/>
        <v>1-2024-3</v>
      </c>
      <c r="AK583">
        <f t="shared" si="171"/>
        <v>1</v>
      </c>
      <c r="AL583" s="26">
        <f>IFERROR(Table2[[#This Row],[Calories]]/Table2[[#This Row],[Splat]],"")</f>
        <v>41.875</v>
      </c>
      <c r="AM583">
        <f>COUNTIF(N$2:$N$938,N583)</f>
        <v>218</v>
      </c>
      <c r="AN583" t="str">
        <f>VLOOKUP(N583,'Helpful Tables'!A:D,4,FALSE)</f>
        <v>Washington, DC</v>
      </c>
      <c r="AO583" s="24">
        <f>COUNTIF(AN:AN,Table2[[#This Row],[State]])/COUNTA(AN:AN)</f>
        <v>0.54904051172707891</v>
      </c>
      <c r="AP583">
        <f>VLOOKUP(N583,'Helpful Tables'!A:B,2,FALSE)</f>
        <v>38.934710000000003</v>
      </c>
      <c r="AQ583">
        <f>VLOOKUP(N583,'Helpful Tables'!A:C,3,FALSE)</f>
        <v>-77.058222999999998</v>
      </c>
      <c r="AR583">
        <f>COUNTIF(P$2:$P$938,P583)</f>
        <v>71</v>
      </c>
      <c r="AS583" cm="1">
        <f t="array" ref="AS583">_xlfn.IFS(E583&lt;6,((E583/D583)*60)*0.5,AND(E583&gt;=6,E583&lt;9),((E583/D583)*60)*0.75,AND(E583&gt;=9,E583&lt;=11),((E583/D583)*60)*0.9,AND(E583=12),((E583/D583)*60)*1,AND(E583&gt;=13,E583&lt;=15),((E583/D583)*60)*1.2,AND(E583&gt;=16,E583&lt;=19),((E583/D583)*60)*1.5,E583&gt;=20,((E583/D583)*60)*1.8)</f>
        <v>24.827586206896555</v>
      </c>
      <c r="AT583" cm="1">
        <f t="array" ref="AT583">_xlfn.IFS(F583&lt;550,((F583/D583)*60)*0.5,AND(F583&gt;=550,F583&lt;575),((F583/D583)*60)*0.75,AND(F583&gt;=575,F583&lt;600),((F583/D583)*60)*0.9,AND(F583=600),((F583/D583)*60)*1,AND(F583&gt;=601,F583&lt;=625),((F583/D583)*60)*1.2,AND(F583&gt;=626,F583&lt;=650),((F583/D583)*60)*1.5,F583&gt;=651,((F583/D583)*60)*1.8)</f>
        <v>1247.5862068965516</v>
      </c>
      <c r="AU583">
        <f t="shared" si="159"/>
        <v>10.900000000000002</v>
      </c>
      <c r="AV583">
        <f t="shared" si="174"/>
        <v>511.14551724137931</v>
      </c>
      <c r="AW583">
        <f t="shared" si="160"/>
        <v>86.4</v>
      </c>
      <c r="AX583" t="str">
        <f t="shared" si="172"/>
        <v>Jan-2024</v>
      </c>
      <c r="AY583">
        <f>ROUNDUP(Table2[[#This Row],[Month]]/3,0)</f>
        <v>1</v>
      </c>
    </row>
    <row r="584" spans="1:51" x14ac:dyDescent="0.2">
      <c r="A584">
        <v>583</v>
      </c>
      <c r="B584">
        <f t="shared" si="161"/>
        <v>16</v>
      </c>
      <c r="C584" s="22">
        <v>45313</v>
      </c>
      <c r="D584">
        <f>SUM(Table2[[#This Row],[Gray Min]:[Red Min]])</f>
        <v>58</v>
      </c>
      <c r="E584">
        <v>12</v>
      </c>
      <c r="F584">
        <v>612</v>
      </c>
      <c r="G584">
        <v>122</v>
      </c>
      <c r="H584">
        <v>161</v>
      </c>
      <c r="I584">
        <v>19</v>
      </c>
      <c r="J584">
        <v>15</v>
      </c>
      <c r="K584">
        <v>12</v>
      </c>
      <c r="L584">
        <v>12</v>
      </c>
      <c r="M584">
        <v>0</v>
      </c>
      <c r="N584" t="s">
        <v>91</v>
      </c>
      <c r="O584" t="s">
        <v>57</v>
      </c>
      <c r="P584" t="s">
        <v>187</v>
      </c>
      <c r="Q584">
        <f t="shared" si="173"/>
        <v>2</v>
      </c>
      <c r="R584" t="str">
        <f t="shared" si="162"/>
        <v>1-2024</v>
      </c>
      <c r="S584" t="s">
        <v>104</v>
      </c>
      <c r="T584" t="str">
        <f t="shared" si="163"/>
        <v>Monday</v>
      </c>
      <c r="U584">
        <f t="shared" si="164"/>
        <v>1</v>
      </c>
      <c r="V584" s="24">
        <f>IFERROR(Table2[[#This Row],[Gray Min]]/Table2[[#This Row],[ClassLength]],"")</f>
        <v>0.32758620689655171</v>
      </c>
      <c r="W584" s="24">
        <f>IFERROR(Table2[[#This Row],[Blue Min]]/Table2[[#This Row],[ClassLength]],"")</f>
        <v>0.25862068965517243</v>
      </c>
      <c r="X584" s="24">
        <f>IFERROR(Table2[[#This Row],[Green Min]]/Table2[[#This Row],[ClassLength]],"")</f>
        <v>0.20689655172413793</v>
      </c>
      <c r="Y584" s="24">
        <f>IFERROR(Table2[[#This Row],[Orange Min]]/Table2[[#This Row],[ClassLength]],"")</f>
        <v>0.20689655172413793</v>
      </c>
      <c r="Z584" s="24">
        <f>IFERROR(Table2[[#This Row],[Red Min]]/Table2[[#This Row],[ClassLength]],"")</f>
        <v>0</v>
      </c>
      <c r="AA584" s="25">
        <v>232.14</v>
      </c>
      <c r="AB584" s="25">
        <f t="shared" si="158"/>
        <v>14.508749999999999</v>
      </c>
      <c r="AC584" s="26">
        <f t="shared" si="165"/>
        <v>634.0625</v>
      </c>
      <c r="AD584" s="26">
        <f t="shared" si="166"/>
        <v>13.4375</v>
      </c>
      <c r="AE584">
        <f t="shared" si="167"/>
        <v>2024</v>
      </c>
      <c r="AG584">
        <v>12</v>
      </c>
      <c r="AH584" s="26">
        <f t="shared" si="168"/>
        <v>10.551724137931034</v>
      </c>
      <c r="AI584" t="str">
        <f t="shared" si="169"/>
        <v>PM</v>
      </c>
      <c r="AJ584" t="str">
        <f t="shared" si="170"/>
        <v>1-2024-4</v>
      </c>
      <c r="AK584">
        <f t="shared" si="171"/>
        <v>1</v>
      </c>
      <c r="AL584" s="26">
        <f>IFERROR(Table2[[#This Row],[Calories]]/Table2[[#This Row],[Splat]],"")</f>
        <v>51</v>
      </c>
      <c r="AM584">
        <f>COUNTIF(N$2:$N$938,N584)</f>
        <v>218</v>
      </c>
      <c r="AN584" t="str">
        <f>VLOOKUP(N584,'Helpful Tables'!A:D,4,FALSE)</f>
        <v>Washington, DC</v>
      </c>
      <c r="AO584" s="24">
        <f>COUNTIF(AN:AN,Table2[[#This Row],[State]])/COUNTA(AN:AN)</f>
        <v>0.54904051172707891</v>
      </c>
      <c r="AP584">
        <f>VLOOKUP(N584,'Helpful Tables'!A:B,2,FALSE)</f>
        <v>38.934710000000003</v>
      </c>
      <c r="AQ584">
        <f>VLOOKUP(N584,'Helpful Tables'!A:C,3,FALSE)</f>
        <v>-77.058222999999998</v>
      </c>
      <c r="AR584">
        <f>COUNTIF(P$2:$P$938,P584)</f>
        <v>7</v>
      </c>
      <c r="AS584" cm="1">
        <f t="array" ref="AS584">_xlfn.IFS(E584&lt;6,((E584/D584)*60)*0.5,AND(E584&gt;=6,E584&lt;9),((E584/D584)*60)*0.75,AND(E584&gt;=9,E584&lt;=11),((E584/D584)*60)*0.9,AND(E584=12),((E584/D584)*60)*1,AND(E584&gt;=13,E584&lt;=15),((E584/D584)*60)*1.2,AND(E584&gt;=16,E584&lt;=19),((E584/D584)*60)*1.5,E584&gt;=20,((E584/D584)*60)*1.8)</f>
        <v>12.413793103448276</v>
      </c>
      <c r="AT584" cm="1">
        <f t="array" ref="AT584">_xlfn.IFS(F584&lt;550,((F584/D584)*60)*0.5,AND(F584&gt;=550,F584&lt;575),((F584/D584)*60)*0.75,AND(F584&gt;=575,F584&lt;600),((F584/D584)*60)*0.9,AND(F584=600),((F584/D584)*60)*1,AND(F584&gt;=601,F584&lt;=625),((F584/D584)*60)*1.2,AND(F584&gt;=626,F584&lt;=650),((F584/D584)*60)*1.5,F584&gt;=651,((F584/D584)*60)*1.8)</f>
        <v>759.72413793103431</v>
      </c>
      <c r="AU584">
        <f t="shared" si="159"/>
        <v>-9.2999999999999972</v>
      </c>
      <c r="AV584">
        <f t="shared" si="174"/>
        <v>306.995172413793</v>
      </c>
      <c r="AW584">
        <f t="shared" si="160"/>
        <v>29.9</v>
      </c>
      <c r="AX584" t="str">
        <f t="shared" si="172"/>
        <v>Jan-2024</v>
      </c>
      <c r="AY584">
        <f>ROUNDUP(Table2[[#This Row],[Month]]/3,0)</f>
        <v>1</v>
      </c>
    </row>
    <row r="585" spans="1:51" x14ac:dyDescent="0.2">
      <c r="A585">
        <v>584</v>
      </c>
      <c r="B585">
        <f t="shared" si="161"/>
        <v>16</v>
      </c>
      <c r="C585" s="22">
        <v>45315</v>
      </c>
      <c r="D585">
        <f>SUM(Table2[[#This Row],[Gray Min]:[Red Min]])</f>
        <v>57</v>
      </c>
      <c r="E585">
        <v>22</v>
      </c>
      <c r="F585">
        <v>737</v>
      </c>
      <c r="G585">
        <v>138</v>
      </c>
      <c r="H585">
        <v>177</v>
      </c>
      <c r="I585">
        <v>2</v>
      </c>
      <c r="J585">
        <v>13</v>
      </c>
      <c r="K585">
        <v>20</v>
      </c>
      <c r="L585">
        <v>16</v>
      </c>
      <c r="M585">
        <v>6</v>
      </c>
      <c r="N585" t="s">
        <v>101</v>
      </c>
      <c r="O585" t="s">
        <v>173</v>
      </c>
      <c r="P585" t="s">
        <v>203</v>
      </c>
      <c r="Q585">
        <f t="shared" si="173"/>
        <v>2</v>
      </c>
      <c r="R585" t="str">
        <f t="shared" si="162"/>
        <v>1-2024</v>
      </c>
      <c r="S585" t="s">
        <v>104</v>
      </c>
      <c r="T585" t="str">
        <f t="shared" si="163"/>
        <v>Wednesday</v>
      </c>
      <c r="U585">
        <f t="shared" si="164"/>
        <v>1</v>
      </c>
      <c r="V585" s="24">
        <f>IFERROR(Table2[[#This Row],[Gray Min]]/Table2[[#This Row],[ClassLength]],"")</f>
        <v>3.5087719298245612E-2</v>
      </c>
      <c r="W585" s="24">
        <f>IFERROR(Table2[[#This Row],[Blue Min]]/Table2[[#This Row],[ClassLength]],"")</f>
        <v>0.22807017543859648</v>
      </c>
      <c r="X585" s="24">
        <f>IFERROR(Table2[[#This Row],[Green Min]]/Table2[[#This Row],[ClassLength]],"")</f>
        <v>0.35087719298245612</v>
      </c>
      <c r="Y585" s="24">
        <f>IFERROR(Table2[[#This Row],[Orange Min]]/Table2[[#This Row],[ClassLength]],"")</f>
        <v>0.2807017543859649</v>
      </c>
      <c r="Z585" s="24">
        <f>IFERROR(Table2[[#This Row],[Red Min]]/Table2[[#This Row],[ClassLength]],"")</f>
        <v>0.10526315789473684</v>
      </c>
      <c r="AA585" s="25">
        <v>232.14</v>
      </c>
      <c r="AB585" s="25">
        <f t="shared" si="158"/>
        <v>14.508749999999999</v>
      </c>
      <c r="AC585" s="26">
        <f t="shared" si="165"/>
        <v>634.0625</v>
      </c>
      <c r="AD585" s="26">
        <f t="shared" si="166"/>
        <v>13.4375</v>
      </c>
      <c r="AE585">
        <f t="shared" si="167"/>
        <v>2024</v>
      </c>
      <c r="AG585">
        <v>12</v>
      </c>
      <c r="AH585" s="26">
        <f t="shared" si="168"/>
        <v>12.929824561403509</v>
      </c>
      <c r="AI585" t="str">
        <f t="shared" si="169"/>
        <v>PM</v>
      </c>
      <c r="AJ585" t="str">
        <f t="shared" si="170"/>
        <v>1-2024-4</v>
      </c>
      <c r="AK585">
        <f t="shared" si="171"/>
        <v>1</v>
      </c>
      <c r="AL585" s="26">
        <f>IFERROR(Table2[[#This Row],[Calories]]/Table2[[#This Row],[Splat]],"")</f>
        <v>33.5</v>
      </c>
      <c r="AM585">
        <f>COUNTIF(N$2:$N$938,N585)</f>
        <v>191</v>
      </c>
      <c r="AN585" t="str">
        <f>VLOOKUP(N585,'Helpful Tables'!A:D,4,FALSE)</f>
        <v>Washington, DC</v>
      </c>
      <c r="AO585" s="24">
        <f>COUNTIF(AN:AN,Table2[[#This Row],[State]])/COUNTA(AN:AN)</f>
        <v>0.54904051172707891</v>
      </c>
      <c r="AP585">
        <f>VLOOKUP(N585,'Helpful Tables'!A:B,2,FALSE)</f>
        <v>38.949649000000001</v>
      </c>
      <c r="AQ585">
        <f>VLOOKUP(N585,'Helpful Tables'!A:C,3,FALSE)</f>
        <v>-77.080878999999996</v>
      </c>
      <c r="AR585">
        <f>COUNTIF(P$2:$P$938,P585)</f>
        <v>4</v>
      </c>
      <c r="AS585" cm="1">
        <f t="array" ref="AS585">_xlfn.IFS(E585&lt;6,((E585/D585)*60)*0.5,AND(E585&gt;=6,E585&lt;9),((E585/D585)*60)*0.75,AND(E585&gt;=9,E585&lt;=11),((E585/D585)*60)*0.9,AND(E585=12),((E585/D585)*60)*1,AND(E585&gt;=13,E585&lt;=15),((E585/D585)*60)*1.2,AND(E585&gt;=16,E585&lt;=19),((E585/D585)*60)*1.5,E585&gt;=20,((E585/D585)*60)*1.8)</f>
        <v>41.684210526315788</v>
      </c>
      <c r="AT585" cm="1">
        <f t="array" ref="AT585">_xlfn.IFS(F585&lt;550,((F585/D585)*60)*0.5,AND(F585&gt;=550,F585&lt;575),((F585/D585)*60)*0.75,AND(F585&gt;=575,F585&lt;600),((F585/D585)*60)*0.9,AND(F585=600),((F585/D585)*60)*1,AND(F585&gt;=601,F585&lt;=625),((F585/D585)*60)*1.2,AND(F585&gt;=626,F585&lt;=650),((F585/D585)*60)*1.5,F585&gt;=651,((F585/D585)*60)*1.8)</f>
        <v>1396.421052631579</v>
      </c>
      <c r="AU585">
        <f t="shared" si="159"/>
        <v>37.1</v>
      </c>
      <c r="AV585">
        <f t="shared" si="174"/>
        <v>582.66210526315786</v>
      </c>
      <c r="AW585">
        <f t="shared" si="160"/>
        <v>99.8</v>
      </c>
      <c r="AX585" t="str">
        <f t="shared" si="172"/>
        <v>Jan-2024</v>
      </c>
      <c r="AY585">
        <f>ROUNDUP(Table2[[#This Row],[Month]]/3,0)</f>
        <v>1</v>
      </c>
    </row>
    <row r="586" spans="1:51" x14ac:dyDescent="0.2">
      <c r="A586">
        <v>585</v>
      </c>
      <c r="B586">
        <f t="shared" si="161"/>
        <v>16</v>
      </c>
      <c r="C586" s="22">
        <v>45316</v>
      </c>
      <c r="D586">
        <f>SUM(Table2[[#This Row],[Gray Min]:[Red Min]])</f>
        <v>59</v>
      </c>
      <c r="E586">
        <v>13</v>
      </c>
      <c r="F586">
        <v>626</v>
      </c>
      <c r="G586">
        <v>123</v>
      </c>
      <c r="H586">
        <v>166</v>
      </c>
      <c r="I586">
        <v>18</v>
      </c>
      <c r="J586">
        <v>11</v>
      </c>
      <c r="K586">
        <v>17</v>
      </c>
      <c r="L586">
        <v>11</v>
      </c>
      <c r="M586">
        <v>2</v>
      </c>
      <c r="N586" t="s">
        <v>91</v>
      </c>
      <c r="O586" t="s">
        <v>57</v>
      </c>
      <c r="P586" t="s">
        <v>188</v>
      </c>
      <c r="Q586">
        <f t="shared" si="173"/>
        <v>1</v>
      </c>
      <c r="R586" t="str">
        <f t="shared" si="162"/>
        <v>1-2024</v>
      </c>
      <c r="S586" t="s">
        <v>104</v>
      </c>
      <c r="T586" t="str">
        <f t="shared" si="163"/>
        <v>Thursday</v>
      </c>
      <c r="U586">
        <f t="shared" si="164"/>
        <v>1</v>
      </c>
      <c r="V586" s="24">
        <f>IFERROR(Table2[[#This Row],[Gray Min]]/Table2[[#This Row],[ClassLength]],"")</f>
        <v>0.30508474576271188</v>
      </c>
      <c r="W586" s="24">
        <f>IFERROR(Table2[[#This Row],[Blue Min]]/Table2[[#This Row],[ClassLength]],"")</f>
        <v>0.1864406779661017</v>
      </c>
      <c r="X586" s="24">
        <f>IFERROR(Table2[[#This Row],[Green Min]]/Table2[[#This Row],[ClassLength]],"")</f>
        <v>0.28813559322033899</v>
      </c>
      <c r="Y586" s="24">
        <f>IFERROR(Table2[[#This Row],[Orange Min]]/Table2[[#This Row],[ClassLength]],"")</f>
        <v>0.1864406779661017</v>
      </c>
      <c r="Z586" s="24">
        <f>IFERROR(Table2[[#This Row],[Red Min]]/Table2[[#This Row],[ClassLength]],"")</f>
        <v>3.3898305084745763E-2</v>
      </c>
      <c r="AA586" s="25">
        <v>232.14</v>
      </c>
      <c r="AB586" s="25">
        <f t="shared" si="158"/>
        <v>14.508749999999999</v>
      </c>
      <c r="AC586" s="26">
        <f t="shared" si="165"/>
        <v>634.0625</v>
      </c>
      <c r="AD586" s="26">
        <f t="shared" si="166"/>
        <v>13.4375</v>
      </c>
      <c r="AE586">
        <f t="shared" si="167"/>
        <v>2024</v>
      </c>
      <c r="AG586">
        <v>12</v>
      </c>
      <c r="AH586" s="26">
        <f t="shared" si="168"/>
        <v>10.610169491525424</v>
      </c>
      <c r="AI586" t="str">
        <f t="shared" si="169"/>
        <v>PM</v>
      </c>
      <c r="AJ586" t="str">
        <f t="shared" si="170"/>
        <v>1-2024-4</v>
      </c>
      <c r="AK586">
        <f t="shared" si="171"/>
        <v>1</v>
      </c>
      <c r="AL586" s="26">
        <f>IFERROR(Table2[[#This Row],[Calories]]/Table2[[#This Row],[Splat]],"")</f>
        <v>48.153846153846153</v>
      </c>
      <c r="AM586">
        <f>COUNTIF(N$2:$N$938,N586)</f>
        <v>218</v>
      </c>
      <c r="AN586" t="str">
        <f>VLOOKUP(N586,'Helpful Tables'!A:D,4,FALSE)</f>
        <v>Washington, DC</v>
      </c>
      <c r="AO586" s="24">
        <f>COUNTIF(AN:AN,Table2[[#This Row],[State]])/COUNTA(AN:AN)</f>
        <v>0.54904051172707891</v>
      </c>
      <c r="AP586">
        <f>VLOOKUP(N586,'Helpful Tables'!A:B,2,FALSE)</f>
        <v>38.934710000000003</v>
      </c>
      <c r="AQ586">
        <f>VLOOKUP(N586,'Helpful Tables'!A:C,3,FALSE)</f>
        <v>-77.058222999999998</v>
      </c>
      <c r="AR586">
        <f>COUNTIF(P$2:$P$938,P586)</f>
        <v>10</v>
      </c>
      <c r="AS586" cm="1">
        <f t="array" ref="AS586">_xlfn.IFS(E586&lt;6,((E586/D586)*60)*0.5,AND(E586&gt;=6,E586&lt;9),((E586/D586)*60)*0.75,AND(E586&gt;=9,E586&lt;=11),((E586/D586)*60)*0.9,AND(E586=12),((E586/D586)*60)*1,AND(E586&gt;=13,E586&lt;=15),((E586/D586)*60)*1.2,AND(E586&gt;=16,E586&lt;=19),((E586/D586)*60)*1.5,E586&gt;=20,((E586/D586)*60)*1.8)</f>
        <v>15.864406779661017</v>
      </c>
      <c r="AT586" cm="1">
        <f t="array" ref="AT586">_xlfn.IFS(F586&lt;550,((F586/D586)*60)*0.5,AND(F586&gt;=550,F586&lt;575),((F586/D586)*60)*0.75,AND(F586&gt;=575,F586&lt;600),((F586/D586)*60)*0.9,AND(F586=600),((F586/D586)*60)*1,AND(F586&gt;=601,F586&lt;=625),((F586/D586)*60)*1.2,AND(F586&gt;=626,F586&lt;=650),((F586/D586)*60)*1.5,F586&gt;=651,((F586/D586)*60)*1.8)</f>
        <v>954.91525423728808</v>
      </c>
      <c r="AU586">
        <f t="shared" si="159"/>
        <v>3.9999999999999964</v>
      </c>
      <c r="AV586">
        <f t="shared" si="174"/>
        <v>389.11186440677966</v>
      </c>
      <c r="AW586">
        <f t="shared" si="160"/>
        <v>48</v>
      </c>
      <c r="AX586" t="str">
        <f t="shared" si="172"/>
        <v>Jan-2024</v>
      </c>
      <c r="AY586">
        <f>ROUNDUP(Table2[[#This Row],[Month]]/3,0)</f>
        <v>1</v>
      </c>
    </row>
    <row r="587" spans="1:51" x14ac:dyDescent="0.2">
      <c r="A587">
        <v>586</v>
      </c>
      <c r="B587">
        <f t="shared" si="161"/>
        <v>16</v>
      </c>
      <c r="C587" s="22">
        <v>45318</v>
      </c>
      <c r="D587">
        <f>SUM(Table2[[#This Row],[Gray Min]:[Red Min]])</f>
        <v>57</v>
      </c>
      <c r="E587">
        <v>9</v>
      </c>
      <c r="F587">
        <v>534</v>
      </c>
      <c r="G587">
        <v>114</v>
      </c>
      <c r="H587">
        <v>162</v>
      </c>
      <c r="I587">
        <v>24</v>
      </c>
      <c r="J587">
        <v>15</v>
      </c>
      <c r="K587">
        <v>9</v>
      </c>
      <c r="L587">
        <v>9</v>
      </c>
      <c r="M587">
        <v>0</v>
      </c>
      <c r="N587" t="s">
        <v>101</v>
      </c>
      <c r="O587" t="s">
        <v>180</v>
      </c>
      <c r="P587" t="s">
        <v>148</v>
      </c>
      <c r="Q587">
        <f t="shared" si="173"/>
        <v>2</v>
      </c>
      <c r="R587" t="str">
        <f t="shared" si="162"/>
        <v>1-2024</v>
      </c>
      <c r="S587" t="s">
        <v>117</v>
      </c>
      <c r="T587" t="str">
        <f t="shared" si="163"/>
        <v>Saturday</v>
      </c>
      <c r="U587">
        <f t="shared" si="164"/>
        <v>0</v>
      </c>
      <c r="V587" s="24">
        <f>IFERROR(Table2[[#This Row],[Gray Min]]/Table2[[#This Row],[ClassLength]],"")</f>
        <v>0.42105263157894735</v>
      </c>
      <c r="W587" s="24">
        <f>IFERROR(Table2[[#This Row],[Blue Min]]/Table2[[#This Row],[ClassLength]],"")</f>
        <v>0.26315789473684209</v>
      </c>
      <c r="X587" s="24">
        <f>IFERROR(Table2[[#This Row],[Green Min]]/Table2[[#This Row],[ClassLength]],"")</f>
        <v>0.15789473684210525</v>
      </c>
      <c r="Y587" s="24">
        <f>IFERROR(Table2[[#This Row],[Orange Min]]/Table2[[#This Row],[ClassLength]],"")</f>
        <v>0.15789473684210525</v>
      </c>
      <c r="Z587" s="24">
        <f>IFERROR(Table2[[#This Row],[Red Min]]/Table2[[#This Row],[ClassLength]],"")</f>
        <v>0</v>
      </c>
      <c r="AA587" s="25">
        <v>232.14</v>
      </c>
      <c r="AB587" s="25">
        <f t="shared" si="158"/>
        <v>14.508749999999999</v>
      </c>
      <c r="AC587" s="26">
        <f t="shared" si="165"/>
        <v>634.0625</v>
      </c>
      <c r="AD587" s="26">
        <f t="shared" si="166"/>
        <v>13.4375</v>
      </c>
      <c r="AE587">
        <f t="shared" si="167"/>
        <v>2024</v>
      </c>
      <c r="AG587">
        <v>12</v>
      </c>
      <c r="AH587" s="26">
        <f t="shared" si="168"/>
        <v>9.3684210526315788</v>
      </c>
      <c r="AI587" t="str">
        <f t="shared" si="169"/>
        <v>AM</v>
      </c>
      <c r="AJ587" t="str">
        <f t="shared" si="170"/>
        <v>1-2024-4</v>
      </c>
      <c r="AK587">
        <f t="shared" si="171"/>
        <v>1</v>
      </c>
      <c r="AL587" s="26">
        <f>IFERROR(Table2[[#This Row],[Calories]]/Table2[[#This Row],[Splat]],"")</f>
        <v>59.333333333333336</v>
      </c>
      <c r="AM587">
        <f>COUNTIF(N$2:$N$938,N587)</f>
        <v>191</v>
      </c>
      <c r="AN587" t="str">
        <f>VLOOKUP(N587,'Helpful Tables'!A:D,4,FALSE)</f>
        <v>Washington, DC</v>
      </c>
      <c r="AO587" s="24">
        <f>COUNTIF(AN:AN,Table2[[#This Row],[State]])/COUNTA(AN:AN)</f>
        <v>0.54904051172707891</v>
      </c>
      <c r="AP587">
        <f>VLOOKUP(N587,'Helpful Tables'!A:B,2,FALSE)</f>
        <v>38.949649000000001</v>
      </c>
      <c r="AQ587">
        <f>VLOOKUP(N587,'Helpful Tables'!A:C,3,FALSE)</f>
        <v>-77.080878999999996</v>
      </c>
      <c r="AR587">
        <f>COUNTIF(P$2:$P$938,P587)</f>
        <v>14</v>
      </c>
      <c r="AS587" cm="1">
        <f t="array" ref="AS587">_xlfn.IFS(E587&lt;6,((E587/D587)*60)*0.5,AND(E587&gt;=6,E587&lt;9),((E587/D587)*60)*0.75,AND(E587&gt;=9,E587&lt;=11),((E587/D587)*60)*0.9,AND(E587=12),((E587/D587)*60)*1,AND(E587&gt;=13,E587&lt;=15),((E587/D587)*60)*1.2,AND(E587&gt;=16,E587&lt;=19),((E587/D587)*60)*1.5,E587&gt;=20,((E587/D587)*60)*1.8)</f>
        <v>8.5263157894736832</v>
      </c>
      <c r="AT587" cm="1">
        <f t="array" ref="AT587">_xlfn.IFS(F587&lt;550,((F587/D587)*60)*0.5,AND(F587&gt;=550,F587&lt;575),((F587/D587)*60)*0.75,AND(F587&gt;=575,F587&lt;600),((F587/D587)*60)*0.9,AND(F587=600),((F587/D587)*60)*1,AND(F587&gt;=601,F587&lt;=625),((F587/D587)*60)*1.2,AND(F587&gt;=626,F587&lt;=650),((F587/D587)*60)*1.5,F587&gt;=651,((F587/D587)*60)*1.8)</f>
        <v>281.05263157894734</v>
      </c>
      <c r="AU587">
        <f t="shared" si="159"/>
        <v>-22.799999999999997</v>
      </c>
      <c r="AV587">
        <f t="shared" si="174"/>
        <v>111.27157894736841</v>
      </c>
      <c r="AW587">
        <f t="shared" si="160"/>
        <v>4.1000000000000005</v>
      </c>
      <c r="AX587" t="str">
        <f t="shared" si="172"/>
        <v>Jan-2024</v>
      </c>
      <c r="AY587">
        <f>ROUNDUP(Table2[[#This Row],[Month]]/3,0)</f>
        <v>1</v>
      </c>
    </row>
    <row r="588" spans="1:51" x14ac:dyDescent="0.2">
      <c r="A588">
        <v>587</v>
      </c>
      <c r="B588">
        <f t="shared" si="161"/>
        <v>16</v>
      </c>
      <c r="C588" s="22">
        <v>45320</v>
      </c>
      <c r="D588">
        <f>SUM(Table2[[#This Row],[Gray Min]:[Red Min]])</f>
        <v>62</v>
      </c>
      <c r="E588">
        <v>13</v>
      </c>
      <c r="F588">
        <v>626</v>
      </c>
      <c r="G588">
        <v>121</v>
      </c>
      <c r="H588">
        <v>165</v>
      </c>
      <c r="I588">
        <v>18</v>
      </c>
      <c r="J588">
        <v>17</v>
      </c>
      <c r="K588">
        <v>14</v>
      </c>
      <c r="L588">
        <v>12</v>
      </c>
      <c r="M588">
        <v>1</v>
      </c>
      <c r="N588" t="s">
        <v>91</v>
      </c>
      <c r="O588" t="s">
        <v>57</v>
      </c>
      <c r="P588" t="s">
        <v>187</v>
      </c>
      <c r="Q588">
        <f t="shared" si="173"/>
        <v>2</v>
      </c>
      <c r="R588" t="str">
        <f t="shared" si="162"/>
        <v>1-2024</v>
      </c>
      <c r="S588" t="s">
        <v>104</v>
      </c>
      <c r="T588" t="str">
        <f t="shared" si="163"/>
        <v>Monday</v>
      </c>
      <c r="U588">
        <f t="shared" si="164"/>
        <v>1</v>
      </c>
      <c r="V588" s="24">
        <f>IFERROR(Table2[[#This Row],[Gray Min]]/Table2[[#This Row],[ClassLength]],"")</f>
        <v>0.29032258064516131</v>
      </c>
      <c r="W588" s="24">
        <f>IFERROR(Table2[[#This Row],[Blue Min]]/Table2[[#This Row],[ClassLength]],"")</f>
        <v>0.27419354838709675</v>
      </c>
      <c r="X588" s="24">
        <f>IFERROR(Table2[[#This Row],[Green Min]]/Table2[[#This Row],[ClassLength]],"")</f>
        <v>0.22580645161290322</v>
      </c>
      <c r="Y588" s="24">
        <f>IFERROR(Table2[[#This Row],[Orange Min]]/Table2[[#This Row],[ClassLength]],"")</f>
        <v>0.19354838709677419</v>
      </c>
      <c r="Z588" s="24">
        <f>IFERROR(Table2[[#This Row],[Red Min]]/Table2[[#This Row],[ClassLength]],"")</f>
        <v>1.6129032258064516E-2</v>
      </c>
      <c r="AA588" s="25">
        <v>232.14</v>
      </c>
      <c r="AB588" s="25">
        <f t="shared" si="158"/>
        <v>14.508749999999999</v>
      </c>
      <c r="AC588" s="26">
        <f t="shared" si="165"/>
        <v>634.0625</v>
      </c>
      <c r="AD588" s="26">
        <f t="shared" si="166"/>
        <v>13.4375</v>
      </c>
      <c r="AE588">
        <f t="shared" si="167"/>
        <v>2024</v>
      </c>
      <c r="AG588">
        <v>12</v>
      </c>
      <c r="AH588" s="26">
        <f t="shared" si="168"/>
        <v>10.096774193548388</v>
      </c>
      <c r="AI588" t="str">
        <f t="shared" si="169"/>
        <v>PM</v>
      </c>
      <c r="AJ588" t="str">
        <f t="shared" si="170"/>
        <v>1-2024-5</v>
      </c>
      <c r="AK588">
        <f t="shared" si="171"/>
        <v>1</v>
      </c>
      <c r="AL588" s="26">
        <f>IFERROR(Table2[[#This Row],[Calories]]/Table2[[#This Row],[Splat]],"")</f>
        <v>48.153846153846153</v>
      </c>
      <c r="AM588">
        <f>COUNTIF(N$2:$N$938,N588)</f>
        <v>218</v>
      </c>
      <c r="AN588" t="str">
        <f>VLOOKUP(N588,'Helpful Tables'!A:D,4,FALSE)</f>
        <v>Washington, DC</v>
      </c>
      <c r="AO588" s="24">
        <f>COUNTIF(AN:AN,Table2[[#This Row],[State]])/COUNTA(AN:AN)</f>
        <v>0.54904051172707891</v>
      </c>
      <c r="AP588">
        <f>VLOOKUP(N588,'Helpful Tables'!A:B,2,FALSE)</f>
        <v>38.934710000000003</v>
      </c>
      <c r="AQ588">
        <f>VLOOKUP(N588,'Helpful Tables'!A:C,3,FALSE)</f>
        <v>-77.058222999999998</v>
      </c>
      <c r="AR588">
        <f>COUNTIF(P$2:$P$938,P588)</f>
        <v>7</v>
      </c>
      <c r="AS588" cm="1">
        <f t="array" ref="AS588">_xlfn.IFS(E588&lt;6,((E588/D588)*60)*0.5,AND(E588&gt;=6,E588&lt;9),((E588/D588)*60)*0.75,AND(E588&gt;=9,E588&lt;=11),((E588/D588)*60)*0.9,AND(E588=12),((E588/D588)*60)*1,AND(E588&gt;=13,E588&lt;=15),((E588/D588)*60)*1.2,AND(E588&gt;=16,E588&lt;=19),((E588/D588)*60)*1.5,E588&gt;=20,((E588/D588)*60)*1.8)</f>
        <v>15.096774193548388</v>
      </c>
      <c r="AT588" cm="1">
        <f t="array" ref="AT588">_xlfn.IFS(F588&lt;550,((F588/D588)*60)*0.5,AND(F588&gt;=550,F588&lt;575),((F588/D588)*60)*0.75,AND(F588&gt;=575,F588&lt;600),((F588/D588)*60)*0.9,AND(F588=600),((F588/D588)*60)*1,AND(F588&gt;=601,F588&lt;=625),((F588/D588)*60)*1.2,AND(F588&gt;=626,F588&lt;=650),((F588/D588)*60)*1.5,F588&gt;=651,((F588/D588)*60)*1.8)</f>
        <v>908.70967741935488</v>
      </c>
      <c r="AU588">
        <f t="shared" si="159"/>
        <v>-6.399999999999995</v>
      </c>
      <c r="AV588">
        <f t="shared" si="174"/>
        <v>368.24258064516135</v>
      </c>
      <c r="AW588">
        <f t="shared" si="160"/>
        <v>43</v>
      </c>
      <c r="AX588" t="str">
        <f t="shared" si="172"/>
        <v>Jan-2024</v>
      </c>
      <c r="AY588">
        <f>ROUNDUP(Table2[[#This Row],[Month]]/3,0)</f>
        <v>1</v>
      </c>
    </row>
    <row r="589" spans="1:51" x14ac:dyDescent="0.2">
      <c r="A589">
        <v>588</v>
      </c>
      <c r="B589">
        <f t="shared" si="161"/>
        <v>16</v>
      </c>
      <c r="C589" s="22">
        <v>45322</v>
      </c>
      <c r="D589">
        <f>SUM(Table2[[#This Row],[Gray Min]:[Red Min]])</f>
        <v>62</v>
      </c>
      <c r="E589">
        <v>15</v>
      </c>
      <c r="F589">
        <v>662</v>
      </c>
      <c r="G589">
        <v>125</v>
      </c>
      <c r="H589">
        <v>168</v>
      </c>
      <c r="I589">
        <v>14</v>
      </c>
      <c r="J589">
        <v>16</v>
      </c>
      <c r="K589">
        <v>17</v>
      </c>
      <c r="L589">
        <v>14</v>
      </c>
      <c r="M589">
        <v>1</v>
      </c>
      <c r="N589" t="s">
        <v>101</v>
      </c>
      <c r="O589" t="s">
        <v>173</v>
      </c>
      <c r="P589" t="s">
        <v>203</v>
      </c>
      <c r="Q589">
        <f t="shared" si="173"/>
        <v>2</v>
      </c>
      <c r="R589" t="str">
        <f t="shared" si="162"/>
        <v>1-2024</v>
      </c>
      <c r="S589" t="s">
        <v>104</v>
      </c>
      <c r="T589" t="str">
        <f t="shared" si="163"/>
        <v>Wednesday</v>
      </c>
      <c r="U589">
        <f t="shared" si="164"/>
        <v>1</v>
      </c>
      <c r="V589" s="24">
        <f>IFERROR(Table2[[#This Row],[Gray Min]]/Table2[[#This Row],[ClassLength]],"")</f>
        <v>0.22580645161290322</v>
      </c>
      <c r="W589" s="24">
        <f>IFERROR(Table2[[#This Row],[Blue Min]]/Table2[[#This Row],[ClassLength]],"")</f>
        <v>0.25806451612903225</v>
      </c>
      <c r="X589" s="24">
        <f>IFERROR(Table2[[#This Row],[Green Min]]/Table2[[#This Row],[ClassLength]],"")</f>
        <v>0.27419354838709675</v>
      </c>
      <c r="Y589" s="24">
        <f>IFERROR(Table2[[#This Row],[Orange Min]]/Table2[[#This Row],[ClassLength]],"")</f>
        <v>0.22580645161290322</v>
      </c>
      <c r="Z589" s="24">
        <f>IFERROR(Table2[[#This Row],[Red Min]]/Table2[[#This Row],[ClassLength]],"")</f>
        <v>1.6129032258064516E-2</v>
      </c>
      <c r="AA589" s="25">
        <v>232.14</v>
      </c>
      <c r="AB589" s="25">
        <f t="shared" si="158"/>
        <v>14.508749999999999</v>
      </c>
      <c r="AC589" s="26">
        <f t="shared" si="165"/>
        <v>634.0625</v>
      </c>
      <c r="AD589" s="26">
        <f t="shared" si="166"/>
        <v>13.4375</v>
      </c>
      <c r="AE589">
        <f t="shared" si="167"/>
        <v>2024</v>
      </c>
      <c r="AG589">
        <v>12</v>
      </c>
      <c r="AH589" s="26">
        <f t="shared" si="168"/>
        <v>10.67741935483871</v>
      </c>
      <c r="AI589" t="str">
        <f t="shared" si="169"/>
        <v>PM</v>
      </c>
      <c r="AJ589" t="str">
        <f t="shared" si="170"/>
        <v>1-2024-5</v>
      </c>
      <c r="AK589">
        <f t="shared" si="171"/>
        <v>1</v>
      </c>
      <c r="AL589" s="26">
        <f>IFERROR(Table2[[#This Row],[Calories]]/Table2[[#This Row],[Splat]],"")</f>
        <v>44.133333333333333</v>
      </c>
      <c r="AM589">
        <f>COUNTIF(N$2:$N$938,N589)</f>
        <v>191</v>
      </c>
      <c r="AN589" t="str">
        <f>VLOOKUP(N589,'Helpful Tables'!A:D,4,FALSE)</f>
        <v>Washington, DC</v>
      </c>
      <c r="AO589" s="24">
        <f>COUNTIF(AN:AN,Table2[[#This Row],[State]])/COUNTA(AN:AN)</f>
        <v>0.54904051172707891</v>
      </c>
      <c r="AP589">
        <f>VLOOKUP(N589,'Helpful Tables'!A:B,2,FALSE)</f>
        <v>38.949649000000001</v>
      </c>
      <c r="AQ589">
        <f>VLOOKUP(N589,'Helpful Tables'!A:C,3,FALSE)</f>
        <v>-77.080878999999996</v>
      </c>
      <c r="AR589">
        <f>COUNTIF(P$2:$P$938,P589)</f>
        <v>4</v>
      </c>
      <c r="AS589" cm="1">
        <f t="array" ref="AS589">_xlfn.IFS(E589&lt;6,((E589/D589)*60)*0.5,AND(E589&gt;=6,E589&lt;9),((E589/D589)*60)*0.75,AND(E589&gt;=9,E589&lt;=11),((E589/D589)*60)*0.9,AND(E589=12),((E589/D589)*60)*1,AND(E589&gt;=13,E589&lt;=15),((E589/D589)*60)*1.2,AND(E589&gt;=16,E589&lt;=19),((E589/D589)*60)*1.5,E589&gt;=20,((E589/D589)*60)*1.8)</f>
        <v>17.419354838709676</v>
      </c>
      <c r="AT589" cm="1">
        <f t="array" ref="AT589">_xlfn.IFS(F589&lt;550,((F589/D589)*60)*0.5,AND(F589&gt;=550,F589&lt;575),((F589/D589)*60)*0.75,AND(F589&gt;=575,F589&lt;600),((F589/D589)*60)*0.9,AND(F589=600),((F589/D589)*60)*1,AND(F589&gt;=601,F589&lt;=625),((F589/D589)*60)*1.2,AND(F589&gt;=626,F589&lt;=650),((F589/D589)*60)*1.5,F589&gt;=651,((F589/D589)*60)*1.8)</f>
        <v>1153.1612903225807</v>
      </c>
      <c r="AU589">
        <f t="shared" si="159"/>
        <v>5.6999999999999922</v>
      </c>
      <c r="AV589">
        <f t="shared" si="174"/>
        <v>469.37225806451613</v>
      </c>
      <c r="AW589">
        <f t="shared" si="160"/>
        <v>67.5</v>
      </c>
      <c r="AX589" t="str">
        <f t="shared" si="172"/>
        <v>Jan-2024</v>
      </c>
      <c r="AY589">
        <f>ROUNDUP(Table2[[#This Row],[Month]]/3,0)</f>
        <v>1</v>
      </c>
    </row>
    <row r="590" spans="1:51" x14ac:dyDescent="0.2">
      <c r="A590">
        <v>589</v>
      </c>
      <c r="B590">
        <f t="shared" si="161"/>
        <v>13</v>
      </c>
      <c r="C590" s="22">
        <v>45324</v>
      </c>
      <c r="D590">
        <f>SUM(Table2[[#This Row],[Gray Min]:[Red Min]])</f>
        <v>60</v>
      </c>
      <c r="E590">
        <v>17</v>
      </c>
      <c r="F590">
        <v>687</v>
      </c>
      <c r="G590">
        <v>129</v>
      </c>
      <c r="H590">
        <v>167</v>
      </c>
      <c r="I590">
        <v>9</v>
      </c>
      <c r="J590">
        <v>23</v>
      </c>
      <c r="K590">
        <v>11</v>
      </c>
      <c r="L590">
        <v>15</v>
      </c>
      <c r="M590">
        <v>2</v>
      </c>
      <c r="N590" t="s">
        <v>91</v>
      </c>
      <c r="O590" t="s">
        <v>57</v>
      </c>
      <c r="P590" t="s">
        <v>96</v>
      </c>
      <c r="Q590">
        <f t="shared" si="173"/>
        <v>2</v>
      </c>
      <c r="R590" t="str">
        <f t="shared" si="162"/>
        <v>2-2024</v>
      </c>
      <c r="S590" t="s">
        <v>104</v>
      </c>
      <c r="T590" t="str">
        <f t="shared" si="163"/>
        <v>Friday</v>
      </c>
      <c r="U590">
        <f t="shared" si="164"/>
        <v>1</v>
      </c>
      <c r="V590" s="24">
        <f>IFERROR(Table2[[#This Row],[Gray Min]]/Table2[[#This Row],[ClassLength]],"")</f>
        <v>0.15</v>
      </c>
      <c r="W590" s="24">
        <f>IFERROR(Table2[[#This Row],[Blue Min]]/Table2[[#This Row],[ClassLength]],"")</f>
        <v>0.38333333333333336</v>
      </c>
      <c r="X590" s="24">
        <f>IFERROR(Table2[[#This Row],[Green Min]]/Table2[[#This Row],[ClassLength]],"")</f>
        <v>0.18333333333333332</v>
      </c>
      <c r="Y590" s="24">
        <f>IFERROR(Table2[[#This Row],[Orange Min]]/Table2[[#This Row],[ClassLength]],"")</f>
        <v>0.25</v>
      </c>
      <c r="Z590" s="24">
        <f>IFERROR(Table2[[#This Row],[Red Min]]/Table2[[#This Row],[ClassLength]],"")</f>
        <v>3.3333333333333333E-2</v>
      </c>
      <c r="AA590" s="25">
        <v>232.14</v>
      </c>
      <c r="AB590" s="25">
        <f t="shared" si="158"/>
        <v>17.856923076923074</v>
      </c>
      <c r="AC590" s="26">
        <f t="shared" si="165"/>
        <v>643.07692307692309</v>
      </c>
      <c r="AD590" s="26">
        <f t="shared" si="166"/>
        <v>14.692307692307692</v>
      </c>
      <c r="AE590">
        <f t="shared" si="167"/>
        <v>2024</v>
      </c>
      <c r="AG590">
        <v>12</v>
      </c>
      <c r="AH590" s="26">
        <f t="shared" si="168"/>
        <v>11.45</v>
      </c>
      <c r="AI590" t="str">
        <f t="shared" si="169"/>
        <v>PM</v>
      </c>
      <c r="AJ590" t="str">
        <f t="shared" si="170"/>
        <v>2-2024-1</v>
      </c>
      <c r="AK590">
        <f t="shared" si="171"/>
        <v>2</v>
      </c>
      <c r="AL590" s="26">
        <f>IFERROR(Table2[[#This Row],[Calories]]/Table2[[#This Row],[Splat]],"")</f>
        <v>40.411764705882355</v>
      </c>
      <c r="AM590">
        <f>COUNTIF(N$2:$N$938,N590)</f>
        <v>218</v>
      </c>
      <c r="AN590" t="str">
        <f>VLOOKUP(N590,'Helpful Tables'!A:D,4,FALSE)</f>
        <v>Washington, DC</v>
      </c>
      <c r="AO590" s="24">
        <f>COUNTIF(AN:AN,Table2[[#This Row],[State]])/COUNTA(AN:AN)</f>
        <v>0.54904051172707891</v>
      </c>
      <c r="AP590">
        <f>VLOOKUP(N590,'Helpful Tables'!A:B,2,FALSE)</f>
        <v>38.934710000000003</v>
      </c>
      <c r="AQ590">
        <f>VLOOKUP(N590,'Helpful Tables'!A:C,3,FALSE)</f>
        <v>-77.058222999999998</v>
      </c>
      <c r="AR590">
        <f>COUNTIF(P$2:$P$938,P590)</f>
        <v>71</v>
      </c>
      <c r="AS590" cm="1">
        <f t="array" ref="AS590">_xlfn.IFS(E590&lt;6,((E590/D590)*60)*0.5,AND(E590&gt;=6,E590&lt;9),((E590/D590)*60)*0.75,AND(E590&gt;=9,E590&lt;=11),((E590/D590)*60)*0.9,AND(E590=12),((E590/D590)*60)*1,AND(E590&gt;=13,E590&lt;=15),((E590/D590)*60)*1.2,AND(E590&gt;=16,E590&lt;=19),((E590/D590)*60)*1.5,E590&gt;=20,((E590/D590)*60)*1.8)</f>
        <v>25.5</v>
      </c>
      <c r="AT590" cm="1">
        <f t="array" ref="AT590">_xlfn.IFS(F590&lt;550,((F590/D590)*60)*0.5,AND(F590&gt;=550,F590&lt;575),((F590/D590)*60)*0.75,AND(F590&gt;=575,F590&lt;600),((F590/D590)*60)*0.9,AND(F590=600),((F590/D590)*60)*1,AND(F590&gt;=601,F590&lt;=625),((F590/D590)*60)*1.2,AND(F590&gt;=626,F590&lt;=650),((F590/D590)*60)*1.5,F590&gt;=651,((F590/D590)*60)*1.8)</f>
        <v>1236.6000000000001</v>
      </c>
      <c r="AU590">
        <f t="shared" si="159"/>
        <v>-0.40000000000000213</v>
      </c>
      <c r="AV590">
        <f t="shared" si="174"/>
        <v>504.7600000000001</v>
      </c>
      <c r="AW590">
        <f t="shared" si="160"/>
        <v>82.3</v>
      </c>
      <c r="AX590" t="str">
        <f t="shared" si="172"/>
        <v>Feb-2024</v>
      </c>
      <c r="AY590">
        <f>ROUNDUP(Table2[[#This Row],[Month]]/3,0)</f>
        <v>1</v>
      </c>
    </row>
    <row r="591" spans="1:51" x14ac:dyDescent="0.2">
      <c r="A591">
        <v>590</v>
      </c>
      <c r="B591">
        <f t="shared" si="161"/>
        <v>13</v>
      </c>
      <c r="C591" s="22">
        <v>45326</v>
      </c>
      <c r="D591">
        <f>SUM(Table2[[#This Row],[Gray Min]:[Red Min]])</f>
        <v>58</v>
      </c>
      <c r="E591">
        <v>15</v>
      </c>
      <c r="F591">
        <v>603</v>
      </c>
      <c r="G591">
        <v>122</v>
      </c>
      <c r="H591">
        <v>166</v>
      </c>
      <c r="I591">
        <v>21</v>
      </c>
      <c r="J591">
        <v>12</v>
      </c>
      <c r="K591">
        <v>10</v>
      </c>
      <c r="L591">
        <v>14</v>
      </c>
      <c r="M591">
        <v>1</v>
      </c>
      <c r="N591" t="s">
        <v>91</v>
      </c>
      <c r="O591" t="s">
        <v>32</v>
      </c>
      <c r="P591" t="s">
        <v>100</v>
      </c>
      <c r="Q591">
        <f t="shared" si="173"/>
        <v>2</v>
      </c>
      <c r="R591" t="str">
        <f t="shared" si="162"/>
        <v>2-2024</v>
      </c>
      <c r="S591" t="s">
        <v>104</v>
      </c>
      <c r="T591" t="str">
        <f t="shared" si="163"/>
        <v>Sunday</v>
      </c>
      <c r="U591">
        <f t="shared" si="164"/>
        <v>1</v>
      </c>
      <c r="V591" s="24">
        <f>IFERROR(Table2[[#This Row],[Gray Min]]/Table2[[#This Row],[ClassLength]],"")</f>
        <v>0.36206896551724138</v>
      </c>
      <c r="W591" s="24">
        <f>IFERROR(Table2[[#This Row],[Blue Min]]/Table2[[#This Row],[ClassLength]],"")</f>
        <v>0.20689655172413793</v>
      </c>
      <c r="X591" s="24">
        <f>IFERROR(Table2[[#This Row],[Green Min]]/Table2[[#This Row],[ClassLength]],"")</f>
        <v>0.17241379310344829</v>
      </c>
      <c r="Y591" s="24">
        <f>IFERROR(Table2[[#This Row],[Orange Min]]/Table2[[#This Row],[ClassLength]],"")</f>
        <v>0.2413793103448276</v>
      </c>
      <c r="Z591" s="24">
        <f>IFERROR(Table2[[#This Row],[Red Min]]/Table2[[#This Row],[ClassLength]],"")</f>
        <v>1.7241379310344827E-2</v>
      </c>
      <c r="AA591" s="25">
        <v>232.14</v>
      </c>
      <c r="AB591" s="25">
        <f t="shared" si="158"/>
        <v>17.856923076923074</v>
      </c>
      <c r="AC591" s="26">
        <f t="shared" si="165"/>
        <v>643.07692307692309</v>
      </c>
      <c r="AD591" s="26">
        <f t="shared" si="166"/>
        <v>14.692307692307692</v>
      </c>
      <c r="AE591">
        <f t="shared" si="167"/>
        <v>2024</v>
      </c>
      <c r="AG591">
        <v>12</v>
      </c>
      <c r="AH591" s="26">
        <f t="shared" si="168"/>
        <v>10.396551724137931</v>
      </c>
      <c r="AI591" t="str">
        <f t="shared" si="169"/>
        <v>AM</v>
      </c>
      <c r="AJ591" t="str">
        <f t="shared" si="170"/>
        <v>2-2024-2</v>
      </c>
      <c r="AK591">
        <f t="shared" si="171"/>
        <v>2</v>
      </c>
      <c r="AL591" s="26">
        <f>IFERROR(Table2[[#This Row],[Calories]]/Table2[[#This Row],[Splat]],"")</f>
        <v>40.200000000000003</v>
      </c>
      <c r="AM591">
        <f>COUNTIF(N$2:$N$938,N591)</f>
        <v>218</v>
      </c>
      <c r="AN591" t="str">
        <f>VLOOKUP(N591,'Helpful Tables'!A:D,4,FALSE)</f>
        <v>Washington, DC</v>
      </c>
      <c r="AO591" s="24">
        <f>COUNTIF(AN:AN,Table2[[#This Row],[State]])/COUNTA(AN:AN)</f>
        <v>0.54904051172707891</v>
      </c>
      <c r="AP591">
        <f>VLOOKUP(N591,'Helpful Tables'!A:B,2,FALSE)</f>
        <v>38.934710000000003</v>
      </c>
      <c r="AQ591">
        <f>VLOOKUP(N591,'Helpful Tables'!A:C,3,FALSE)</f>
        <v>-77.058222999999998</v>
      </c>
      <c r="AR591">
        <f>COUNTIF(P$2:$P$938,P591)</f>
        <v>35</v>
      </c>
      <c r="AS591" cm="1">
        <f t="array" ref="AS591">_xlfn.IFS(E591&lt;6,((E591/D591)*60)*0.5,AND(E591&gt;=6,E591&lt;9),((E591/D591)*60)*0.75,AND(E591&gt;=9,E591&lt;=11),((E591/D591)*60)*0.9,AND(E591=12),((E591/D591)*60)*1,AND(E591&gt;=13,E591&lt;=15),((E591/D591)*60)*1.2,AND(E591&gt;=16,E591&lt;=19),((E591/D591)*60)*1.5,E591&gt;=20,((E591/D591)*60)*1.8)</f>
        <v>18.620689655172413</v>
      </c>
      <c r="AT591" cm="1">
        <f t="array" ref="AT591">_xlfn.IFS(F591&lt;550,((F591/D591)*60)*0.5,AND(F591&gt;=550,F591&lt;575),((F591/D591)*60)*0.75,AND(F591&gt;=575,F591&lt;600),((F591/D591)*60)*0.9,AND(F591=600),((F591/D591)*60)*1,AND(F591&gt;=601,F591&lt;=625),((F591/D591)*60)*1.2,AND(F591&gt;=626,F591&lt;=650),((F591/D591)*60)*1.5,F591&gt;=651,((F591/D591)*60)*1.8)</f>
        <v>748.55172413793093</v>
      </c>
      <c r="AU591">
        <f t="shared" si="159"/>
        <v>-6.6999999999999993</v>
      </c>
      <c r="AV591">
        <f t="shared" si="174"/>
        <v>305.52896551724137</v>
      </c>
      <c r="AW591">
        <f t="shared" si="160"/>
        <v>29.299999999999997</v>
      </c>
      <c r="AX591" t="str">
        <f t="shared" si="172"/>
        <v>Feb-2024</v>
      </c>
      <c r="AY591">
        <f>ROUNDUP(Table2[[#This Row],[Month]]/3,0)</f>
        <v>1</v>
      </c>
    </row>
    <row r="592" spans="1:51" x14ac:dyDescent="0.2">
      <c r="A592">
        <v>591</v>
      </c>
      <c r="B592">
        <f t="shared" si="161"/>
        <v>13</v>
      </c>
      <c r="C592" s="22">
        <v>45329</v>
      </c>
      <c r="D592">
        <f>SUM(Table2[[#This Row],[Gray Min]:[Red Min]])</f>
        <v>59</v>
      </c>
      <c r="E592">
        <v>17</v>
      </c>
      <c r="F592">
        <v>590</v>
      </c>
      <c r="G592">
        <v>119</v>
      </c>
      <c r="H592">
        <v>158</v>
      </c>
      <c r="I592">
        <v>21</v>
      </c>
      <c r="J592">
        <v>13</v>
      </c>
      <c r="K592">
        <v>8</v>
      </c>
      <c r="L592">
        <v>17</v>
      </c>
      <c r="M592">
        <v>0</v>
      </c>
      <c r="N592" t="s">
        <v>101</v>
      </c>
      <c r="O592" t="s">
        <v>173</v>
      </c>
      <c r="P592" t="s">
        <v>203</v>
      </c>
      <c r="Q592">
        <f t="shared" si="173"/>
        <v>3</v>
      </c>
      <c r="R592" t="str">
        <f t="shared" si="162"/>
        <v>2-2024</v>
      </c>
      <c r="S592" t="s">
        <v>104</v>
      </c>
      <c r="T592" t="str">
        <f t="shared" si="163"/>
        <v>Wednesday</v>
      </c>
      <c r="U592">
        <f t="shared" si="164"/>
        <v>1</v>
      </c>
      <c r="V592" s="24">
        <f>IFERROR(Table2[[#This Row],[Gray Min]]/Table2[[#This Row],[ClassLength]],"")</f>
        <v>0.3559322033898305</v>
      </c>
      <c r="W592" s="24">
        <f>IFERROR(Table2[[#This Row],[Blue Min]]/Table2[[#This Row],[ClassLength]],"")</f>
        <v>0.22033898305084745</v>
      </c>
      <c r="X592" s="24">
        <f>IFERROR(Table2[[#This Row],[Green Min]]/Table2[[#This Row],[ClassLength]],"")</f>
        <v>0.13559322033898305</v>
      </c>
      <c r="Y592" s="24">
        <f>IFERROR(Table2[[#This Row],[Orange Min]]/Table2[[#This Row],[ClassLength]],"")</f>
        <v>0.28813559322033899</v>
      </c>
      <c r="Z592" s="24">
        <f>IFERROR(Table2[[#This Row],[Red Min]]/Table2[[#This Row],[ClassLength]],"")</f>
        <v>0</v>
      </c>
      <c r="AA592" s="25">
        <v>232.14</v>
      </c>
      <c r="AB592" s="25">
        <f t="shared" ref="AB592:AB655" si="175">AA592/B592</f>
        <v>17.856923076923074</v>
      </c>
      <c r="AC592" s="26">
        <f t="shared" si="165"/>
        <v>643.07692307692309</v>
      </c>
      <c r="AD592" s="26">
        <f t="shared" si="166"/>
        <v>14.692307692307692</v>
      </c>
      <c r="AE592">
        <f t="shared" si="167"/>
        <v>2024</v>
      </c>
      <c r="AG592">
        <v>12</v>
      </c>
      <c r="AH592" s="26">
        <f t="shared" si="168"/>
        <v>10</v>
      </c>
      <c r="AI592" t="str">
        <f t="shared" si="169"/>
        <v>PM</v>
      </c>
      <c r="AJ592" t="str">
        <f t="shared" si="170"/>
        <v>2-2024-2</v>
      </c>
      <c r="AK592">
        <f t="shared" si="171"/>
        <v>2</v>
      </c>
      <c r="AL592" s="26">
        <f>IFERROR(Table2[[#This Row],[Calories]]/Table2[[#This Row],[Splat]],"")</f>
        <v>34.705882352941174</v>
      </c>
      <c r="AM592">
        <f>COUNTIF(N$2:$N$938,N592)</f>
        <v>191</v>
      </c>
      <c r="AN592" t="str">
        <f>VLOOKUP(N592,'Helpful Tables'!A:D,4,FALSE)</f>
        <v>Washington, DC</v>
      </c>
      <c r="AO592" s="24">
        <f>COUNTIF(AN:AN,Table2[[#This Row],[State]])/COUNTA(AN:AN)</f>
        <v>0.54904051172707891</v>
      </c>
      <c r="AP592">
        <f>VLOOKUP(N592,'Helpful Tables'!A:B,2,FALSE)</f>
        <v>38.949649000000001</v>
      </c>
      <c r="AQ592">
        <f>VLOOKUP(N592,'Helpful Tables'!A:C,3,FALSE)</f>
        <v>-77.080878999999996</v>
      </c>
      <c r="AR592">
        <f>COUNTIF(P$2:$P$938,P592)</f>
        <v>4</v>
      </c>
      <c r="AS592" cm="1">
        <f t="array" ref="AS592">_xlfn.IFS(E592&lt;6,((E592/D592)*60)*0.5,AND(E592&gt;=6,E592&lt;9),((E592/D592)*60)*0.75,AND(E592&gt;=9,E592&lt;=11),((E592/D592)*60)*0.9,AND(E592=12),((E592/D592)*60)*1,AND(E592&gt;=13,E592&lt;=15),((E592/D592)*60)*1.2,AND(E592&gt;=16,E592&lt;=19),((E592/D592)*60)*1.5,E592&gt;=20,((E592/D592)*60)*1.8)</f>
        <v>25.932203389830509</v>
      </c>
      <c r="AT592" cm="1">
        <f t="array" ref="AT592">_xlfn.IFS(F592&lt;550,((F592/D592)*60)*0.5,AND(F592&gt;=550,F592&lt;575),((F592/D592)*60)*0.75,AND(F592&gt;=575,F592&lt;600),((F592/D592)*60)*0.9,AND(F592=600),((F592/D592)*60)*1,AND(F592&gt;=601,F592&lt;=625),((F592/D592)*60)*1.2,AND(F592&gt;=626,F592&lt;=650),((F592/D592)*60)*1.5,F592&gt;=651,((F592/D592)*60)*1.8)</f>
        <v>540</v>
      </c>
      <c r="AU592">
        <f t="shared" si="159"/>
        <v>-7.7999999999999972</v>
      </c>
      <c r="AV592">
        <f t="shared" si="174"/>
        <v>224.81288135593221</v>
      </c>
      <c r="AW592">
        <f t="shared" si="160"/>
        <v>18.2</v>
      </c>
      <c r="AX592" t="str">
        <f t="shared" si="172"/>
        <v>Feb-2024</v>
      </c>
      <c r="AY592">
        <f>ROUNDUP(Table2[[#This Row],[Month]]/3,0)</f>
        <v>1</v>
      </c>
    </row>
    <row r="593" spans="1:51" x14ac:dyDescent="0.2">
      <c r="A593">
        <v>592</v>
      </c>
      <c r="B593">
        <f t="shared" si="161"/>
        <v>13</v>
      </c>
      <c r="C593" s="22">
        <v>45331</v>
      </c>
      <c r="D593">
        <f>SUM(Table2[[#This Row],[Gray Min]:[Red Min]])</f>
        <v>57</v>
      </c>
      <c r="E593">
        <v>13</v>
      </c>
      <c r="F593">
        <v>671</v>
      </c>
      <c r="G593">
        <v>130</v>
      </c>
      <c r="H593">
        <v>167</v>
      </c>
      <c r="I593">
        <v>9</v>
      </c>
      <c r="J593">
        <v>12</v>
      </c>
      <c r="K593">
        <v>23</v>
      </c>
      <c r="L593">
        <v>12</v>
      </c>
      <c r="M593">
        <v>1</v>
      </c>
      <c r="N593" t="s">
        <v>91</v>
      </c>
      <c r="O593" t="s">
        <v>205</v>
      </c>
      <c r="P593" t="s">
        <v>168</v>
      </c>
      <c r="Q593">
        <f t="shared" si="173"/>
        <v>2</v>
      </c>
      <c r="R593" t="str">
        <f t="shared" si="162"/>
        <v>2-2024</v>
      </c>
      <c r="S593" t="s">
        <v>104</v>
      </c>
      <c r="T593" t="str">
        <f t="shared" si="163"/>
        <v>Friday</v>
      </c>
      <c r="U593">
        <f t="shared" si="164"/>
        <v>1</v>
      </c>
      <c r="V593" s="24">
        <f>IFERROR(Table2[[#This Row],[Gray Min]]/Table2[[#This Row],[ClassLength]],"")</f>
        <v>0.15789473684210525</v>
      </c>
      <c r="W593" s="24">
        <f>IFERROR(Table2[[#This Row],[Blue Min]]/Table2[[#This Row],[ClassLength]],"")</f>
        <v>0.21052631578947367</v>
      </c>
      <c r="X593" s="24">
        <f>IFERROR(Table2[[#This Row],[Green Min]]/Table2[[#This Row],[ClassLength]],"")</f>
        <v>0.40350877192982454</v>
      </c>
      <c r="Y593" s="24">
        <f>IFERROR(Table2[[#This Row],[Orange Min]]/Table2[[#This Row],[ClassLength]],"")</f>
        <v>0.21052631578947367</v>
      </c>
      <c r="Z593" s="24">
        <f>IFERROR(Table2[[#This Row],[Red Min]]/Table2[[#This Row],[ClassLength]],"")</f>
        <v>1.7543859649122806E-2</v>
      </c>
      <c r="AA593" s="25">
        <v>232.14</v>
      </c>
      <c r="AB593" s="25">
        <f t="shared" si="175"/>
        <v>17.856923076923074</v>
      </c>
      <c r="AC593" s="26">
        <f t="shared" si="165"/>
        <v>643.07692307692309</v>
      </c>
      <c r="AD593" s="26">
        <f t="shared" si="166"/>
        <v>14.692307692307692</v>
      </c>
      <c r="AE593">
        <f t="shared" si="167"/>
        <v>2024</v>
      </c>
      <c r="AG593">
        <v>12</v>
      </c>
      <c r="AH593" s="26">
        <f t="shared" si="168"/>
        <v>11.771929824561404</v>
      </c>
      <c r="AI593" t="str">
        <f t="shared" si="169"/>
        <v>AM</v>
      </c>
      <c r="AJ593" t="str">
        <f t="shared" si="170"/>
        <v>2-2024-2</v>
      </c>
      <c r="AK593">
        <f t="shared" si="171"/>
        <v>2</v>
      </c>
      <c r="AL593" s="26">
        <f>IFERROR(Table2[[#This Row],[Calories]]/Table2[[#This Row],[Splat]],"")</f>
        <v>51.615384615384613</v>
      </c>
      <c r="AM593">
        <f>COUNTIF(N$2:$N$938,N593)</f>
        <v>218</v>
      </c>
      <c r="AN593" t="str">
        <f>VLOOKUP(N593,'Helpful Tables'!A:D,4,FALSE)</f>
        <v>Washington, DC</v>
      </c>
      <c r="AO593" s="24">
        <f>COUNTIF(AN:AN,Table2[[#This Row],[State]])/COUNTA(AN:AN)</f>
        <v>0.54904051172707891</v>
      </c>
      <c r="AP593">
        <f>VLOOKUP(N593,'Helpful Tables'!A:B,2,FALSE)</f>
        <v>38.934710000000003</v>
      </c>
      <c r="AQ593">
        <f>VLOOKUP(N593,'Helpful Tables'!A:C,3,FALSE)</f>
        <v>-77.058222999999998</v>
      </c>
      <c r="AR593">
        <f>COUNTIF(P$2:$P$938,P593)</f>
        <v>12</v>
      </c>
      <c r="AS593" cm="1">
        <f t="array" ref="AS593">_xlfn.IFS(E593&lt;6,((E593/D593)*60)*0.5,AND(E593&gt;=6,E593&lt;9),((E593/D593)*60)*0.75,AND(E593&gt;=9,E593&lt;=11),((E593/D593)*60)*0.9,AND(E593=12),((E593/D593)*60)*1,AND(E593&gt;=13,E593&lt;=15),((E593/D593)*60)*1.2,AND(E593&gt;=16,E593&lt;=19),((E593/D593)*60)*1.5,E593&gt;=20,((E593/D593)*60)*1.8)</f>
        <v>16.421052631578945</v>
      </c>
      <c r="AT593" cm="1">
        <f t="array" ref="AT593">_xlfn.IFS(F593&lt;550,((F593/D593)*60)*0.5,AND(F593&gt;=550,F593&lt;575),((F593/D593)*60)*0.75,AND(F593&gt;=575,F593&lt;600),((F593/D593)*60)*0.9,AND(F593=600),((F593/D593)*60)*1,AND(F593&gt;=601,F593&lt;=625),((F593/D593)*60)*1.2,AND(F593&gt;=626,F593&lt;=650),((F593/D593)*60)*1.5,F593&gt;=651,((F593/D593)*60)*1.8)</f>
        <v>1271.3684210526317</v>
      </c>
      <c r="AU593">
        <f t="shared" si="159"/>
        <v>20.7</v>
      </c>
      <c r="AV593">
        <f t="shared" si="174"/>
        <v>519.25578947368422</v>
      </c>
      <c r="AW593">
        <f t="shared" si="160"/>
        <v>89.5</v>
      </c>
      <c r="AX593" t="str">
        <f t="shared" si="172"/>
        <v>Feb-2024</v>
      </c>
      <c r="AY593">
        <f>ROUNDUP(Table2[[#This Row],[Month]]/3,0)</f>
        <v>1</v>
      </c>
    </row>
    <row r="594" spans="1:51" x14ac:dyDescent="0.2">
      <c r="A594">
        <v>593</v>
      </c>
      <c r="B594">
        <f t="shared" si="161"/>
        <v>13</v>
      </c>
      <c r="C594" s="22">
        <v>45333</v>
      </c>
      <c r="D594">
        <f>SUM(Table2[[#This Row],[Gray Min]:[Red Min]])</f>
        <v>57</v>
      </c>
      <c r="E594">
        <v>13</v>
      </c>
      <c r="F594">
        <v>626</v>
      </c>
      <c r="G594">
        <v>126</v>
      </c>
      <c r="H594">
        <v>170</v>
      </c>
      <c r="I594">
        <v>13</v>
      </c>
      <c r="J594">
        <v>13</v>
      </c>
      <c r="K594">
        <v>18</v>
      </c>
      <c r="L594">
        <v>10</v>
      </c>
      <c r="M594">
        <v>3</v>
      </c>
      <c r="N594" t="s">
        <v>101</v>
      </c>
      <c r="O594" t="s">
        <v>180</v>
      </c>
      <c r="P594" t="s">
        <v>202</v>
      </c>
      <c r="Q594">
        <f t="shared" si="173"/>
        <v>2</v>
      </c>
      <c r="R594" t="str">
        <f t="shared" si="162"/>
        <v>2-2024</v>
      </c>
      <c r="S594" t="s">
        <v>117</v>
      </c>
      <c r="T594" t="str">
        <f t="shared" si="163"/>
        <v>Sunday</v>
      </c>
      <c r="U594">
        <f t="shared" si="164"/>
        <v>1</v>
      </c>
      <c r="V594" s="24">
        <f>IFERROR(Table2[[#This Row],[Gray Min]]/Table2[[#This Row],[ClassLength]],"")</f>
        <v>0.22807017543859648</v>
      </c>
      <c r="W594" s="24">
        <f>IFERROR(Table2[[#This Row],[Blue Min]]/Table2[[#This Row],[ClassLength]],"")</f>
        <v>0.22807017543859648</v>
      </c>
      <c r="X594" s="24">
        <f>IFERROR(Table2[[#This Row],[Green Min]]/Table2[[#This Row],[ClassLength]],"")</f>
        <v>0.31578947368421051</v>
      </c>
      <c r="Y594" s="24">
        <f>IFERROR(Table2[[#This Row],[Orange Min]]/Table2[[#This Row],[ClassLength]],"")</f>
        <v>0.17543859649122806</v>
      </c>
      <c r="Z594" s="24">
        <f>IFERROR(Table2[[#This Row],[Red Min]]/Table2[[#This Row],[ClassLength]],"")</f>
        <v>5.2631578947368418E-2</v>
      </c>
      <c r="AA594" s="25">
        <v>232.14</v>
      </c>
      <c r="AB594" s="25">
        <f t="shared" si="175"/>
        <v>17.856923076923074</v>
      </c>
      <c r="AC594" s="26">
        <f t="shared" si="165"/>
        <v>643.07692307692309</v>
      </c>
      <c r="AD594" s="26">
        <f t="shared" si="166"/>
        <v>14.692307692307692</v>
      </c>
      <c r="AE594">
        <f t="shared" si="167"/>
        <v>2024</v>
      </c>
      <c r="AG594">
        <v>12</v>
      </c>
      <c r="AH594" s="26">
        <f t="shared" si="168"/>
        <v>10.982456140350877</v>
      </c>
      <c r="AI594" t="str">
        <f t="shared" si="169"/>
        <v>AM</v>
      </c>
      <c r="AJ594" t="str">
        <f t="shared" si="170"/>
        <v>2-2024-3</v>
      </c>
      <c r="AK594">
        <f t="shared" si="171"/>
        <v>2</v>
      </c>
      <c r="AL594" s="26">
        <f>IFERROR(Table2[[#This Row],[Calories]]/Table2[[#This Row],[Splat]],"")</f>
        <v>48.153846153846153</v>
      </c>
      <c r="AM594">
        <f>COUNTIF(N$2:$N$938,N594)</f>
        <v>191</v>
      </c>
      <c r="AN594" t="str">
        <f>VLOOKUP(N594,'Helpful Tables'!A:D,4,FALSE)</f>
        <v>Washington, DC</v>
      </c>
      <c r="AO594" s="24">
        <f>COUNTIF(AN:AN,Table2[[#This Row],[State]])/COUNTA(AN:AN)</f>
        <v>0.54904051172707891</v>
      </c>
      <c r="AP594">
        <f>VLOOKUP(N594,'Helpful Tables'!A:B,2,FALSE)</f>
        <v>38.949649000000001</v>
      </c>
      <c r="AQ594">
        <f>VLOOKUP(N594,'Helpful Tables'!A:C,3,FALSE)</f>
        <v>-77.080878999999996</v>
      </c>
      <c r="AR594">
        <f>COUNTIF(P$2:$P$938,P594)</f>
        <v>4</v>
      </c>
      <c r="AS594" cm="1">
        <f t="array" ref="AS594">_xlfn.IFS(E594&lt;6,((E594/D594)*60)*0.5,AND(E594&gt;=6,E594&lt;9),((E594/D594)*60)*0.75,AND(E594&gt;=9,E594&lt;=11),((E594/D594)*60)*0.9,AND(E594=12),((E594/D594)*60)*1,AND(E594&gt;=13,E594&lt;=15),((E594/D594)*60)*1.2,AND(E594&gt;=16,E594&lt;=19),((E594/D594)*60)*1.5,E594&gt;=20,((E594/D594)*60)*1.8)</f>
        <v>16.421052631578945</v>
      </c>
      <c r="AT594" cm="1">
        <f t="array" ref="AT594">_xlfn.IFS(F594&lt;550,((F594/D594)*60)*0.5,AND(F594&gt;=550,F594&lt;575),((F594/D594)*60)*0.75,AND(F594&gt;=575,F594&lt;600),((F594/D594)*60)*0.9,AND(F594=600),((F594/D594)*60)*1,AND(F594&gt;=601,F594&lt;=625),((F594/D594)*60)*1.2,AND(F594&gt;=626,F594&lt;=650),((F594/D594)*60)*1.5,F594&gt;=651,((F594/D594)*60)*1.8)</f>
        <v>988.42105263157896</v>
      </c>
      <c r="AU594">
        <f t="shared" si="159"/>
        <v>9.1999999999999993</v>
      </c>
      <c r="AV594">
        <f t="shared" si="174"/>
        <v>403.77684210526314</v>
      </c>
      <c r="AW594">
        <f t="shared" si="160"/>
        <v>55.400000000000006</v>
      </c>
      <c r="AX594" t="str">
        <f t="shared" si="172"/>
        <v>Feb-2024</v>
      </c>
      <c r="AY594">
        <f>ROUNDUP(Table2[[#This Row],[Month]]/3,0)</f>
        <v>1</v>
      </c>
    </row>
    <row r="595" spans="1:51" x14ac:dyDescent="0.2">
      <c r="A595">
        <v>594</v>
      </c>
      <c r="B595">
        <f t="shared" si="161"/>
        <v>13</v>
      </c>
      <c r="C595" s="22">
        <v>45335</v>
      </c>
      <c r="D595">
        <f>SUM(Table2[[#This Row],[Gray Min]:[Red Min]])</f>
        <v>58</v>
      </c>
      <c r="E595">
        <v>18</v>
      </c>
      <c r="F595">
        <v>683</v>
      </c>
      <c r="G595">
        <v>132</v>
      </c>
      <c r="H595">
        <v>166</v>
      </c>
      <c r="I595">
        <v>7</v>
      </c>
      <c r="J595">
        <v>16</v>
      </c>
      <c r="K595">
        <v>17</v>
      </c>
      <c r="L595">
        <v>16</v>
      </c>
      <c r="M595">
        <v>2</v>
      </c>
      <c r="N595" t="s">
        <v>101</v>
      </c>
      <c r="O595" t="s">
        <v>173</v>
      </c>
      <c r="P595" t="s">
        <v>202</v>
      </c>
      <c r="Q595">
        <f t="shared" si="173"/>
        <v>2</v>
      </c>
      <c r="R595" t="str">
        <f t="shared" si="162"/>
        <v>2-2024</v>
      </c>
      <c r="S595" t="s">
        <v>104</v>
      </c>
      <c r="T595" t="str">
        <f t="shared" si="163"/>
        <v>Tuesday</v>
      </c>
      <c r="U595">
        <f t="shared" si="164"/>
        <v>1</v>
      </c>
      <c r="V595" s="24">
        <f>IFERROR(Table2[[#This Row],[Gray Min]]/Table2[[#This Row],[ClassLength]],"")</f>
        <v>0.1206896551724138</v>
      </c>
      <c r="W595" s="24">
        <f>IFERROR(Table2[[#This Row],[Blue Min]]/Table2[[#This Row],[ClassLength]],"")</f>
        <v>0.27586206896551724</v>
      </c>
      <c r="X595" s="24">
        <f>IFERROR(Table2[[#This Row],[Green Min]]/Table2[[#This Row],[ClassLength]],"")</f>
        <v>0.29310344827586204</v>
      </c>
      <c r="Y595" s="24">
        <f>IFERROR(Table2[[#This Row],[Orange Min]]/Table2[[#This Row],[ClassLength]],"")</f>
        <v>0.27586206896551724</v>
      </c>
      <c r="Z595" s="24">
        <f>IFERROR(Table2[[#This Row],[Red Min]]/Table2[[#This Row],[ClassLength]],"")</f>
        <v>3.4482758620689655E-2</v>
      </c>
      <c r="AA595" s="25">
        <v>232.14</v>
      </c>
      <c r="AB595" s="25">
        <f t="shared" si="175"/>
        <v>17.856923076923074</v>
      </c>
      <c r="AC595" s="26">
        <f t="shared" si="165"/>
        <v>643.07692307692309</v>
      </c>
      <c r="AD595" s="26">
        <f t="shared" si="166"/>
        <v>14.692307692307692</v>
      </c>
      <c r="AE595">
        <f t="shared" si="167"/>
        <v>2024</v>
      </c>
      <c r="AG595">
        <v>12</v>
      </c>
      <c r="AH595" s="26">
        <f t="shared" si="168"/>
        <v>11.775862068965518</v>
      </c>
      <c r="AI595" t="str">
        <f t="shared" si="169"/>
        <v>PM</v>
      </c>
      <c r="AJ595" t="str">
        <f t="shared" si="170"/>
        <v>2-2024-3</v>
      </c>
      <c r="AK595">
        <f t="shared" si="171"/>
        <v>2</v>
      </c>
      <c r="AL595" s="26">
        <f>IFERROR(Table2[[#This Row],[Calories]]/Table2[[#This Row],[Splat]],"")</f>
        <v>37.944444444444443</v>
      </c>
      <c r="AM595">
        <f>COUNTIF(N$2:$N$938,N595)</f>
        <v>191</v>
      </c>
      <c r="AN595" t="str">
        <f>VLOOKUP(N595,'Helpful Tables'!A:D,4,FALSE)</f>
        <v>Washington, DC</v>
      </c>
      <c r="AO595" s="24">
        <f>COUNTIF(AN:AN,Table2[[#This Row],[State]])/COUNTA(AN:AN)</f>
        <v>0.54904051172707891</v>
      </c>
      <c r="AP595">
        <f>VLOOKUP(N595,'Helpful Tables'!A:B,2,FALSE)</f>
        <v>38.949649000000001</v>
      </c>
      <c r="AQ595">
        <f>VLOOKUP(N595,'Helpful Tables'!A:C,3,FALSE)</f>
        <v>-77.080878999999996</v>
      </c>
      <c r="AR595">
        <f>COUNTIF(P$2:$P$938,P595)</f>
        <v>4</v>
      </c>
      <c r="AS595" cm="1">
        <f t="array" ref="AS595">_xlfn.IFS(E595&lt;6,((E595/D595)*60)*0.5,AND(E595&gt;=6,E595&lt;9),((E595/D595)*60)*0.75,AND(E595&gt;=9,E595&lt;=11),((E595/D595)*60)*0.9,AND(E595=12),((E595/D595)*60)*1,AND(E595&gt;=13,E595&lt;=15),((E595/D595)*60)*1.2,AND(E595&gt;=16,E595&lt;=19),((E595/D595)*60)*1.5,E595&gt;=20,((E595/D595)*60)*1.8)</f>
        <v>27.931034482758619</v>
      </c>
      <c r="AT595" cm="1">
        <f t="array" ref="AT595">_xlfn.IFS(F595&lt;550,((F595/D595)*60)*0.5,AND(F595&gt;=550,F595&lt;575),((F595/D595)*60)*0.75,AND(F595&gt;=575,F595&lt;600),((F595/D595)*60)*0.9,AND(F595=600),((F595/D595)*60)*1,AND(F595&gt;=601,F595&lt;=625),((F595/D595)*60)*1.2,AND(F595&gt;=626,F595&lt;=650),((F595/D595)*60)*1.5,F595&gt;=651,((F595/D595)*60)*1.8)</f>
        <v>1271.7931034482758</v>
      </c>
      <c r="AU595">
        <f t="shared" si="159"/>
        <v>18.2</v>
      </c>
      <c r="AV595">
        <f t="shared" si="174"/>
        <v>523.52965517241375</v>
      </c>
      <c r="AW595">
        <f t="shared" si="160"/>
        <v>91.7</v>
      </c>
      <c r="AX595" t="str">
        <f t="shared" si="172"/>
        <v>Feb-2024</v>
      </c>
      <c r="AY595">
        <f>ROUNDUP(Table2[[#This Row],[Month]]/3,0)</f>
        <v>1</v>
      </c>
    </row>
    <row r="596" spans="1:51" x14ac:dyDescent="0.2">
      <c r="A596">
        <v>595</v>
      </c>
      <c r="B596">
        <f t="shared" si="161"/>
        <v>13</v>
      </c>
      <c r="C596" s="22">
        <v>45336</v>
      </c>
      <c r="D596">
        <f>SUM(Table2[[#This Row],[Gray Min]:[Red Min]])</f>
        <v>57</v>
      </c>
      <c r="E596">
        <v>15</v>
      </c>
      <c r="F596">
        <v>662</v>
      </c>
      <c r="G596">
        <v>131</v>
      </c>
      <c r="H596">
        <v>166</v>
      </c>
      <c r="I596">
        <v>8</v>
      </c>
      <c r="J596">
        <v>14</v>
      </c>
      <c r="K596">
        <v>20</v>
      </c>
      <c r="L596">
        <v>13</v>
      </c>
      <c r="M596">
        <v>2</v>
      </c>
      <c r="N596" t="s">
        <v>91</v>
      </c>
      <c r="O596" t="s">
        <v>57</v>
      </c>
      <c r="P596" t="s">
        <v>96</v>
      </c>
      <c r="Q596">
        <f t="shared" si="173"/>
        <v>1</v>
      </c>
      <c r="R596" t="str">
        <f t="shared" si="162"/>
        <v>2-2024</v>
      </c>
      <c r="S596" t="s">
        <v>104</v>
      </c>
      <c r="T596" t="str">
        <f t="shared" si="163"/>
        <v>Wednesday</v>
      </c>
      <c r="U596">
        <f t="shared" si="164"/>
        <v>1</v>
      </c>
      <c r="V596" s="24">
        <f>IFERROR(Table2[[#This Row],[Gray Min]]/Table2[[#This Row],[ClassLength]],"")</f>
        <v>0.14035087719298245</v>
      </c>
      <c r="W596" s="24">
        <f>IFERROR(Table2[[#This Row],[Blue Min]]/Table2[[#This Row],[ClassLength]],"")</f>
        <v>0.24561403508771928</v>
      </c>
      <c r="X596" s="24">
        <f>IFERROR(Table2[[#This Row],[Green Min]]/Table2[[#This Row],[ClassLength]],"")</f>
        <v>0.35087719298245612</v>
      </c>
      <c r="Y596" s="24">
        <f>IFERROR(Table2[[#This Row],[Orange Min]]/Table2[[#This Row],[ClassLength]],"")</f>
        <v>0.22807017543859648</v>
      </c>
      <c r="Z596" s="24">
        <f>IFERROR(Table2[[#This Row],[Red Min]]/Table2[[#This Row],[ClassLength]],"")</f>
        <v>3.5087719298245612E-2</v>
      </c>
      <c r="AA596" s="25">
        <v>232.14</v>
      </c>
      <c r="AB596" s="25">
        <f t="shared" si="175"/>
        <v>17.856923076923074</v>
      </c>
      <c r="AC596" s="26">
        <f t="shared" si="165"/>
        <v>643.07692307692309</v>
      </c>
      <c r="AD596" s="26">
        <f t="shared" si="166"/>
        <v>14.692307692307692</v>
      </c>
      <c r="AE596">
        <f t="shared" si="167"/>
        <v>2024</v>
      </c>
      <c r="AG596">
        <v>12</v>
      </c>
      <c r="AH596" s="26">
        <f t="shared" si="168"/>
        <v>11.614035087719298</v>
      </c>
      <c r="AI596" t="str">
        <f t="shared" si="169"/>
        <v>PM</v>
      </c>
      <c r="AJ596" t="str">
        <f t="shared" si="170"/>
        <v>2-2024-3</v>
      </c>
      <c r="AK596">
        <f t="shared" si="171"/>
        <v>2</v>
      </c>
      <c r="AL596" s="26">
        <f>IFERROR(Table2[[#This Row],[Calories]]/Table2[[#This Row],[Splat]],"")</f>
        <v>44.133333333333333</v>
      </c>
      <c r="AM596">
        <f>COUNTIF(N$2:$N$938,N596)</f>
        <v>218</v>
      </c>
      <c r="AN596" t="str">
        <f>VLOOKUP(N596,'Helpful Tables'!A:D,4,FALSE)</f>
        <v>Washington, DC</v>
      </c>
      <c r="AO596" s="24">
        <f>COUNTIF(AN:AN,Table2[[#This Row],[State]])/COUNTA(AN:AN)</f>
        <v>0.54904051172707891</v>
      </c>
      <c r="AP596">
        <f>VLOOKUP(N596,'Helpful Tables'!A:B,2,FALSE)</f>
        <v>38.934710000000003</v>
      </c>
      <c r="AQ596">
        <f>VLOOKUP(N596,'Helpful Tables'!A:C,3,FALSE)</f>
        <v>-77.058222999999998</v>
      </c>
      <c r="AR596">
        <f>COUNTIF(P$2:$P$938,P596)</f>
        <v>71</v>
      </c>
      <c r="AS596" cm="1">
        <f t="array" ref="AS596">_xlfn.IFS(E596&lt;6,((E596/D596)*60)*0.5,AND(E596&gt;=6,E596&lt;9),((E596/D596)*60)*0.75,AND(E596&gt;=9,E596&lt;=11),((E596/D596)*60)*0.9,AND(E596=12),((E596/D596)*60)*1,AND(E596&gt;=13,E596&lt;=15),((E596/D596)*60)*1.2,AND(E596&gt;=16,E596&lt;=19),((E596/D596)*60)*1.5,E596&gt;=20,((E596/D596)*60)*1.8)</f>
        <v>18.94736842105263</v>
      </c>
      <c r="AT596" cm="1">
        <f t="array" ref="AT596">_xlfn.IFS(F596&lt;550,((F596/D596)*60)*0.5,AND(F596&gt;=550,F596&lt;575),((F596/D596)*60)*0.75,AND(F596&gt;=575,F596&lt;600),((F596/D596)*60)*0.9,AND(F596=600),((F596/D596)*60)*1,AND(F596&gt;=601,F596&lt;=625),((F596/D596)*60)*1.2,AND(F596&gt;=626,F596&lt;=650),((F596/D596)*60)*1.5,F596&gt;=651,((F596/D596)*60)*1.8)</f>
        <v>1254.3157894736844</v>
      </c>
      <c r="AU596">
        <f t="shared" si="159"/>
        <v>18.900000000000002</v>
      </c>
      <c r="AV596">
        <f t="shared" si="174"/>
        <v>513.08526315789481</v>
      </c>
      <c r="AW596">
        <f t="shared" si="160"/>
        <v>87.2</v>
      </c>
      <c r="AX596" t="str">
        <f t="shared" si="172"/>
        <v>Feb-2024</v>
      </c>
      <c r="AY596">
        <f>ROUNDUP(Table2[[#This Row],[Month]]/3,0)</f>
        <v>1</v>
      </c>
    </row>
    <row r="597" spans="1:51" x14ac:dyDescent="0.2">
      <c r="A597">
        <v>596</v>
      </c>
      <c r="B597">
        <f t="shared" si="161"/>
        <v>13</v>
      </c>
      <c r="C597" s="22">
        <v>45341</v>
      </c>
      <c r="D597">
        <f>SUM(Table2[[#This Row],[Gray Min]:[Red Min]])</f>
        <v>59</v>
      </c>
      <c r="E597">
        <v>14</v>
      </c>
      <c r="F597">
        <v>602</v>
      </c>
      <c r="G597">
        <v>121</v>
      </c>
      <c r="H597">
        <v>166</v>
      </c>
      <c r="I597">
        <v>22</v>
      </c>
      <c r="J597">
        <v>10</v>
      </c>
      <c r="K597">
        <v>13</v>
      </c>
      <c r="L597">
        <v>12</v>
      </c>
      <c r="M597">
        <v>2</v>
      </c>
      <c r="N597" t="s">
        <v>125</v>
      </c>
      <c r="O597" t="s">
        <v>83</v>
      </c>
      <c r="P597" t="s">
        <v>206</v>
      </c>
      <c r="Q597">
        <f t="shared" si="173"/>
        <v>5</v>
      </c>
      <c r="R597" t="str">
        <f t="shared" si="162"/>
        <v>2-2024</v>
      </c>
      <c r="S597" t="s">
        <v>104</v>
      </c>
      <c r="T597" t="str">
        <f t="shared" si="163"/>
        <v>Monday</v>
      </c>
      <c r="U597">
        <f t="shared" si="164"/>
        <v>1</v>
      </c>
      <c r="V597" s="24">
        <f>IFERROR(Table2[[#This Row],[Gray Min]]/Table2[[#This Row],[ClassLength]],"")</f>
        <v>0.3728813559322034</v>
      </c>
      <c r="W597" s="24">
        <f>IFERROR(Table2[[#This Row],[Blue Min]]/Table2[[#This Row],[ClassLength]],"")</f>
        <v>0.16949152542372881</v>
      </c>
      <c r="X597" s="24">
        <f>IFERROR(Table2[[#This Row],[Green Min]]/Table2[[#This Row],[ClassLength]],"")</f>
        <v>0.22033898305084745</v>
      </c>
      <c r="Y597" s="24">
        <f>IFERROR(Table2[[#This Row],[Orange Min]]/Table2[[#This Row],[ClassLength]],"")</f>
        <v>0.20338983050847459</v>
      </c>
      <c r="Z597" s="24">
        <f>IFERROR(Table2[[#This Row],[Red Min]]/Table2[[#This Row],[ClassLength]],"")</f>
        <v>3.3898305084745763E-2</v>
      </c>
      <c r="AA597" s="25">
        <v>232.14</v>
      </c>
      <c r="AB597" s="25">
        <f t="shared" si="175"/>
        <v>17.856923076923074</v>
      </c>
      <c r="AC597" s="26">
        <f t="shared" si="165"/>
        <v>643.07692307692309</v>
      </c>
      <c r="AD597" s="26">
        <f t="shared" si="166"/>
        <v>14.692307692307692</v>
      </c>
      <c r="AE597">
        <f t="shared" si="167"/>
        <v>2024</v>
      </c>
      <c r="AG597">
        <v>12</v>
      </c>
      <c r="AH597" s="26">
        <f t="shared" si="168"/>
        <v>10.203389830508474</v>
      </c>
      <c r="AI597" t="str">
        <f t="shared" si="169"/>
        <v>PM</v>
      </c>
      <c r="AJ597" t="str">
        <f t="shared" si="170"/>
        <v>2-2024-4</v>
      </c>
      <c r="AK597">
        <f t="shared" si="171"/>
        <v>2</v>
      </c>
      <c r="AL597" s="26">
        <f>IFERROR(Table2[[#This Row],[Calories]]/Table2[[#This Row],[Splat]],"")</f>
        <v>43</v>
      </c>
      <c r="AM597">
        <f>COUNTIF(N$2:$N$938,N597)</f>
        <v>258</v>
      </c>
      <c r="AN597" t="str">
        <f>VLOOKUP(N597,'Helpful Tables'!A:D,4,FALSE)</f>
        <v>Oregon</v>
      </c>
      <c r="AO597" s="24">
        <f>COUNTIF(AN:AN,Table2[[#This Row],[State]])/COUNTA(AN:AN)</f>
        <v>0.36140724946695096</v>
      </c>
      <c r="AP597">
        <f>VLOOKUP(N597,'Helpful Tables'!A:B,2,FALSE)</f>
        <v>45.534162000000002</v>
      </c>
      <c r="AQ597">
        <f>VLOOKUP(N597,'Helpful Tables'!A:C,3,FALSE)</f>
        <v>-122.69670000000001</v>
      </c>
      <c r="AR597">
        <f>COUNTIF(P$2:$P$938,P597)</f>
        <v>1</v>
      </c>
      <c r="AS597" cm="1">
        <f t="array" ref="AS597">_xlfn.IFS(E597&lt;6,((E597/D597)*60)*0.5,AND(E597&gt;=6,E597&lt;9),((E597/D597)*60)*0.75,AND(E597&gt;=9,E597&lt;=11),((E597/D597)*60)*0.9,AND(E597=12),((E597/D597)*60)*1,AND(E597&gt;=13,E597&lt;=15),((E597/D597)*60)*1.2,AND(E597&gt;=16,E597&lt;=19),((E597/D597)*60)*1.5,E597&gt;=20,((E597/D597)*60)*1.8)</f>
        <v>17.084745762711865</v>
      </c>
      <c r="AT597" cm="1">
        <f t="array" ref="AT597">_xlfn.IFS(F597&lt;550,((F597/D597)*60)*0.5,AND(F597&gt;=550,F597&lt;575),((F597/D597)*60)*0.75,AND(F597&gt;=575,F597&lt;600),((F597/D597)*60)*0.9,AND(F597=600),((F597/D597)*60)*1,AND(F597&gt;=601,F597&lt;=625),((F597/D597)*60)*1.2,AND(F597&gt;=626,F597&lt;=650),((F597/D597)*60)*1.5,F597&gt;=651,((F597/D597)*60)*1.8)</f>
        <v>734.6440677966101</v>
      </c>
      <c r="AU597">
        <f t="shared" si="159"/>
        <v>-3.1999999999999957</v>
      </c>
      <c r="AV597">
        <f t="shared" si="174"/>
        <v>300.05152542372883</v>
      </c>
      <c r="AW597">
        <f t="shared" si="160"/>
        <v>26.700000000000003</v>
      </c>
      <c r="AX597" t="str">
        <f t="shared" si="172"/>
        <v>Feb-2024</v>
      </c>
      <c r="AY597">
        <f>ROUNDUP(Table2[[#This Row],[Month]]/3,0)</f>
        <v>1</v>
      </c>
    </row>
    <row r="598" spans="1:51" x14ac:dyDescent="0.2">
      <c r="A598">
        <v>597</v>
      </c>
      <c r="B598">
        <f t="shared" si="161"/>
        <v>13</v>
      </c>
      <c r="C598" s="22">
        <v>45343</v>
      </c>
      <c r="D598">
        <f>SUM(Table2[[#This Row],[Gray Min]:[Red Min]])</f>
        <v>58</v>
      </c>
      <c r="E598">
        <v>15</v>
      </c>
      <c r="F598">
        <v>672</v>
      </c>
      <c r="G598">
        <v>131</v>
      </c>
      <c r="H598">
        <v>170</v>
      </c>
      <c r="I598">
        <v>5</v>
      </c>
      <c r="J598">
        <v>16</v>
      </c>
      <c r="K598">
        <v>22</v>
      </c>
      <c r="L598">
        <v>11</v>
      </c>
      <c r="M598">
        <v>4</v>
      </c>
      <c r="N598" t="s">
        <v>125</v>
      </c>
      <c r="O598" t="s">
        <v>183</v>
      </c>
      <c r="P598" t="s">
        <v>207</v>
      </c>
      <c r="Q598">
        <f t="shared" si="173"/>
        <v>2</v>
      </c>
      <c r="R598" t="str">
        <f t="shared" si="162"/>
        <v>2-2024</v>
      </c>
      <c r="S598" t="s">
        <v>104</v>
      </c>
      <c r="T598" t="str">
        <f t="shared" si="163"/>
        <v>Wednesday</v>
      </c>
      <c r="U598">
        <f t="shared" si="164"/>
        <v>1</v>
      </c>
      <c r="V598" s="24">
        <f>IFERROR(Table2[[#This Row],[Gray Min]]/Table2[[#This Row],[ClassLength]],"")</f>
        <v>8.6206896551724144E-2</v>
      </c>
      <c r="W598" s="24">
        <f>IFERROR(Table2[[#This Row],[Blue Min]]/Table2[[#This Row],[ClassLength]],"")</f>
        <v>0.27586206896551724</v>
      </c>
      <c r="X598" s="24">
        <f>IFERROR(Table2[[#This Row],[Green Min]]/Table2[[#This Row],[ClassLength]],"")</f>
        <v>0.37931034482758619</v>
      </c>
      <c r="Y598" s="24">
        <f>IFERROR(Table2[[#This Row],[Orange Min]]/Table2[[#This Row],[ClassLength]],"")</f>
        <v>0.18965517241379309</v>
      </c>
      <c r="Z598" s="24">
        <f>IFERROR(Table2[[#This Row],[Red Min]]/Table2[[#This Row],[ClassLength]],"")</f>
        <v>6.8965517241379309E-2</v>
      </c>
      <c r="AA598" s="25">
        <v>232.14</v>
      </c>
      <c r="AB598" s="25">
        <f t="shared" si="175"/>
        <v>17.856923076923074</v>
      </c>
      <c r="AC598" s="26">
        <f t="shared" si="165"/>
        <v>643.07692307692309</v>
      </c>
      <c r="AD598" s="26">
        <f t="shared" si="166"/>
        <v>14.692307692307692</v>
      </c>
      <c r="AE598">
        <f t="shared" si="167"/>
        <v>2024</v>
      </c>
      <c r="AG598">
        <v>12</v>
      </c>
      <c r="AH598" s="26">
        <f t="shared" si="168"/>
        <v>11.586206896551724</v>
      </c>
      <c r="AI598" t="str">
        <f t="shared" si="169"/>
        <v>AM</v>
      </c>
      <c r="AJ598" t="str">
        <f t="shared" si="170"/>
        <v>2-2024-4</v>
      </c>
      <c r="AK598">
        <f t="shared" si="171"/>
        <v>2</v>
      </c>
      <c r="AL598" s="26">
        <f>IFERROR(Table2[[#This Row],[Calories]]/Table2[[#This Row],[Splat]],"")</f>
        <v>44.8</v>
      </c>
      <c r="AM598">
        <f>COUNTIF(N$2:$N$938,N598)</f>
        <v>258</v>
      </c>
      <c r="AN598" t="str">
        <f>VLOOKUP(N598,'Helpful Tables'!A:D,4,FALSE)</f>
        <v>Oregon</v>
      </c>
      <c r="AO598" s="24">
        <f>COUNTIF(AN:AN,Table2[[#This Row],[State]])/COUNTA(AN:AN)</f>
        <v>0.36140724946695096</v>
      </c>
      <c r="AP598">
        <f>VLOOKUP(N598,'Helpful Tables'!A:B,2,FALSE)</f>
        <v>45.534162000000002</v>
      </c>
      <c r="AQ598">
        <f>VLOOKUP(N598,'Helpful Tables'!A:C,3,FALSE)</f>
        <v>-122.69670000000001</v>
      </c>
      <c r="AR598">
        <f>COUNTIF(P$2:$P$938,P598)</f>
        <v>10</v>
      </c>
      <c r="AS598" cm="1">
        <f t="array" ref="AS598">_xlfn.IFS(E598&lt;6,((E598/D598)*60)*0.5,AND(E598&gt;=6,E598&lt;9),((E598/D598)*60)*0.75,AND(E598&gt;=9,E598&lt;=11),((E598/D598)*60)*0.9,AND(E598=12),((E598/D598)*60)*1,AND(E598&gt;=13,E598&lt;=15),((E598/D598)*60)*1.2,AND(E598&gt;=16,E598&lt;=19),((E598/D598)*60)*1.5,E598&gt;=20,((E598/D598)*60)*1.8)</f>
        <v>18.620689655172413</v>
      </c>
      <c r="AT598" cm="1">
        <f t="array" ref="AT598">_xlfn.IFS(F598&lt;550,((F598/D598)*60)*0.5,AND(F598&gt;=550,F598&lt;575),((F598/D598)*60)*0.75,AND(F598&gt;=575,F598&lt;600),((F598/D598)*60)*0.9,AND(F598=600),((F598/D598)*60)*1,AND(F598&gt;=601,F598&lt;=625),((F598/D598)*60)*1.2,AND(F598&gt;=626,F598&lt;=650),((F598/D598)*60)*1.5,F598&gt;=651,((F598/D598)*60)*1.8)</f>
        <v>1251.3103448275863</v>
      </c>
      <c r="AU598">
        <f t="shared" si="159"/>
        <v>23.099999999999998</v>
      </c>
      <c r="AV598">
        <f t="shared" si="174"/>
        <v>512.59241379310345</v>
      </c>
      <c r="AW598">
        <f t="shared" si="160"/>
        <v>87</v>
      </c>
      <c r="AX598" t="str">
        <f t="shared" si="172"/>
        <v>Feb-2024</v>
      </c>
      <c r="AY598">
        <f>ROUNDUP(Table2[[#This Row],[Month]]/3,0)</f>
        <v>1</v>
      </c>
    </row>
    <row r="599" spans="1:51" x14ac:dyDescent="0.2">
      <c r="A599">
        <v>598</v>
      </c>
      <c r="B599">
        <f t="shared" si="161"/>
        <v>13</v>
      </c>
      <c r="C599" s="22">
        <v>45344</v>
      </c>
      <c r="D599">
        <f>SUM(Table2[[#This Row],[Gray Min]:[Red Min]])</f>
        <v>57</v>
      </c>
      <c r="E599">
        <v>16</v>
      </c>
      <c r="F599">
        <v>657</v>
      </c>
      <c r="G599">
        <v>128</v>
      </c>
      <c r="H599">
        <v>165</v>
      </c>
      <c r="I599">
        <v>8</v>
      </c>
      <c r="J599">
        <v>19</v>
      </c>
      <c r="K599">
        <v>14</v>
      </c>
      <c r="L599">
        <v>15</v>
      </c>
      <c r="M599">
        <v>1</v>
      </c>
      <c r="N599" t="s">
        <v>125</v>
      </c>
      <c r="O599" t="s">
        <v>127</v>
      </c>
      <c r="P599" t="s">
        <v>207</v>
      </c>
      <c r="Q599">
        <f t="shared" si="173"/>
        <v>1</v>
      </c>
      <c r="R599" t="str">
        <f t="shared" si="162"/>
        <v>2-2024</v>
      </c>
      <c r="S599" t="s">
        <v>104</v>
      </c>
      <c r="T599" t="str">
        <f t="shared" si="163"/>
        <v>Thursday</v>
      </c>
      <c r="U599">
        <f t="shared" si="164"/>
        <v>1</v>
      </c>
      <c r="V599" s="24">
        <f>IFERROR(Table2[[#This Row],[Gray Min]]/Table2[[#This Row],[ClassLength]],"")</f>
        <v>0.14035087719298245</v>
      </c>
      <c r="W599" s="24">
        <f>IFERROR(Table2[[#This Row],[Blue Min]]/Table2[[#This Row],[ClassLength]],"")</f>
        <v>0.33333333333333331</v>
      </c>
      <c r="X599" s="24">
        <f>IFERROR(Table2[[#This Row],[Green Min]]/Table2[[#This Row],[ClassLength]],"")</f>
        <v>0.24561403508771928</v>
      </c>
      <c r="Y599" s="24">
        <f>IFERROR(Table2[[#This Row],[Orange Min]]/Table2[[#This Row],[ClassLength]],"")</f>
        <v>0.26315789473684209</v>
      </c>
      <c r="Z599" s="24">
        <f>IFERROR(Table2[[#This Row],[Red Min]]/Table2[[#This Row],[ClassLength]],"")</f>
        <v>1.7543859649122806E-2</v>
      </c>
      <c r="AA599" s="25">
        <v>232.14</v>
      </c>
      <c r="AB599" s="25">
        <f t="shared" si="175"/>
        <v>17.856923076923074</v>
      </c>
      <c r="AC599" s="26">
        <f t="shared" si="165"/>
        <v>643.07692307692309</v>
      </c>
      <c r="AD599" s="26">
        <f t="shared" si="166"/>
        <v>14.692307692307692</v>
      </c>
      <c r="AE599">
        <f t="shared" si="167"/>
        <v>2024</v>
      </c>
      <c r="AG599">
        <v>12</v>
      </c>
      <c r="AH599" s="26">
        <f t="shared" si="168"/>
        <v>11.526315789473685</v>
      </c>
      <c r="AI599" t="str">
        <f t="shared" si="169"/>
        <v>PM</v>
      </c>
      <c r="AJ599" t="str">
        <f t="shared" si="170"/>
        <v>2-2024-4</v>
      </c>
      <c r="AK599">
        <f t="shared" si="171"/>
        <v>2</v>
      </c>
      <c r="AL599" s="26">
        <f>IFERROR(Table2[[#This Row],[Calories]]/Table2[[#This Row],[Splat]],"")</f>
        <v>41.0625</v>
      </c>
      <c r="AM599">
        <f>COUNTIF(N$2:$N$938,N599)</f>
        <v>258</v>
      </c>
      <c r="AN599" t="str">
        <f>VLOOKUP(N599,'Helpful Tables'!A:D,4,FALSE)</f>
        <v>Oregon</v>
      </c>
      <c r="AO599" s="24">
        <f>COUNTIF(AN:AN,Table2[[#This Row],[State]])/COUNTA(AN:AN)</f>
        <v>0.36140724946695096</v>
      </c>
      <c r="AP599">
        <f>VLOOKUP(N599,'Helpful Tables'!A:B,2,FALSE)</f>
        <v>45.534162000000002</v>
      </c>
      <c r="AQ599">
        <f>VLOOKUP(N599,'Helpful Tables'!A:C,3,FALSE)</f>
        <v>-122.69670000000001</v>
      </c>
      <c r="AR599">
        <f>COUNTIF(P$2:$P$938,P599)</f>
        <v>10</v>
      </c>
      <c r="AS599" cm="1">
        <f t="array" ref="AS599">_xlfn.IFS(E599&lt;6,((E599/D599)*60)*0.5,AND(E599&gt;=6,E599&lt;9),((E599/D599)*60)*0.75,AND(E599&gt;=9,E599&lt;=11),((E599/D599)*60)*0.9,AND(E599=12),((E599/D599)*60)*1,AND(E599&gt;=13,E599&lt;=15),((E599/D599)*60)*1.2,AND(E599&gt;=16,E599&lt;=19),((E599/D599)*60)*1.5,E599&gt;=20,((E599/D599)*60)*1.8)</f>
        <v>25.263157894736842</v>
      </c>
      <c r="AT599" cm="1">
        <f t="array" ref="AT599">_xlfn.IFS(F599&lt;550,((F599/D599)*60)*0.5,AND(F599&gt;=550,F599&lt;575),((F599/D599)*60)*0.75,AND(F599&gt;=575,F599&lt;600),((F599/D599)*60)*0.9,AND(F599=600),((F599/D599)*60)*1,AND(F599&gt;=601,F599&lt;=625),((F599/D599)*60)*1.2,AND(F599&gt;=626,F599&lt;=650),((F599/D599)*60)*1.5,F599&gt;=651,((F599/D599)*60)*1.8)</f>
        <v>1244.8421052631579</v>
      </c>
      <c r="AU599">
        <f t="shared" si="159"/>
        <v>7.3000000000000007</v>
      </c>
      <c r="AV599">
        <f t="shared" si="174"/>
        <v>509.50210526315789</v>
      </c>
      <c r="AW599">
        <f t="shared" si="160"/>
        <v>85.3</v>
      </c>
      <c r="AX599" t="str">
        <f t="shared" si="172"/>
        <v>Feb-2024</v>
      </c>
      <c r="AY599">
        <f>ROUNDUP(Table2[[#This Row],[Month]]/3,0)</f>
        <v>1</v>
      </c>
    </row>
    <row r="600" spans="1:51" x14ac:dyDescent="0.2">
      <c r="A600">
        <v>599</v>
      </c>
      <c r="B600">
        <f t="shared" si="161"/>
        <v>13</v>
      </c>
      <c r="C600" s="22">
        <v>45347</v>
      </c>
      <c r="D600">
        <f>SUM(Table2[[#This Row],[Gray Min]:[Red Min]])</f>
        <v>60</v>
      </c>
      <c r="E600">
        <v>16</v>
      </c>
      <c r="F600">
        <v>642</v>
      </c>
      <c r="G600">
        <v>124</v>
      </c>
      <c r="H600">
        <v>166</v>
      </c>
      <c r="I600">
        <v>18</v>
      </c>
      <c r="J600">
        <v>15</v>
      </c>
      <c r="K600">
        <v>11</v>
      </c>
      <c r="L600">
        <v>15</v>
      </c>
      <c r="M600">
        <v>1</v>
      </c>
      <c r="N600" t="s">
        <v>208</v>
      </c>
      <c r="O600" t="s">
        <v>183</v>
      </c>
      <c r="P600" t="s">
        <v>209</v>
      </c>
      <c r="Q600">
        <f t="shared" si="173"/>
        <v>3</v>
      </c>
      <c r="R600" t="str">
        <f t="shared" si="162"/>
        <v>2-2024</v>
      </c>
      <c r="S600" t="s">
        <v>104</v>
      </c>
      <c r="T600" t="str">
        <f t="shared" si="163"/>
        <v>Sunday</v>
      </c>
      <c r="U600">
        <f t="shared" si="164"/>
        <v>1</v>
      </c>
      <c r="V600" s="24">
        <f>IFERROR(Table2[[#This Row],[Gray Min]]/Table2[[#This Row],[ClassLength]],"")</f>
        <v>0.3</v>
      </c>
      <c r="W600" s="24">
        <f>IFERROR(Table2[[#This Row],[Blue Min]]/Table2[[#This Row],[ClassLength]],"")</f>
        <v>0.25</v>
      </c>
      <c r="X600" s="24">
        <f>IFERROR(Table2[[#This Row],[Green Min]]/Table2[[#This Row],[ClassLength]],"")</f>
        <v>0.18333333333333332</v>
      </c>
      <c r="Y600" s="24">
        <f>IFERROR(Table2[[#This Row],[Orange Min]]/Table2[[#This Row],[ClassLength]],"")</f>
        <v>0.25</v>
      </c>
      <c r="Z600" s="24">
        <f>IFERROR(Table2[[#This Row],[Red Min]]/Table2[[#This Row],[ClassLength]],"")</f>
        <v>1.6666666666666666E-2</v>
      </c>
      <c r="AA600" s="25">
        <v>232.14</v>
      </c>
      <c r="AB600" s="25">
        <f t="shared" si="175"/>
        <v>17.856923076923074</v>
      </c>
      <c r="AC600" s="26">
        <f t="shared" si="165"/>
        <v>643.07692307692309</v>
      </c>
      <c r="AD600" s="26">
        <f t="shared" si="166"/>
        <v>14.692307692307692</v>
      </c>
      <c r="AE600">
        <f t="shared" si="167"/>
        <v>2024</v>
      </c>
      <c r="AG600">
        <v>12</v>
      </c>
      <c r="AH600" s="26">
        <f t="shared" si="168"/>
        <v>10.7</v>
      </c>
      <c r="AI600" t="str">
        <f t="shared" si="169"/>
        <v>AM</v>
      </c>
      <c r="AJ600" t="str">
        <f t="shared" si="170"/>
        <v>2-2024-5</v>
      </c>
      <c r="AK600">
        <f t="shared" si="171"/>
        <v>2</v>
      </c>
      <c r="AL600" s="26">
        <f>IFERROR(Table2[[#This Row],[Calories]]/Table2[[#This Row],[Splat]],"")</f>
        <v>40.125</v>
      </c>
      <c r="AM600">
        <f>COUNTIF(N$2:$N$938,N600)</f>
        <v>78</v>
      </c>
      <c r="AN600" t="str">
        <f>VLOOKUP(N600,'Helpful Tables'!A:D,4,FALSE)</f>
        <v>Oregon</v>
      </c>
      <c r="AO600" s="24">
        <f>COUNTIF(AN:AN,Table2[[#This Row],[State]])/COUNTA(AN:AN)</f>
        <v>0.36140724946695096</v>
      </c>
      <c r="AP600">
        <f>VLOOKUP(N600,'Helpful Tables'!A:B,2,FALSE)</f>
        <v>45.525092999999998</v>
      </c>
      <c r="AQ600">
        <f>VLOOKUP(N600,'Helpful Tables'!A:C,3,FALSE)</f>
        <v>-122.681383</v>
      </c>
      <c r="AR600">
        <f>COUNTIF(P$2:$P$938,P600)</f>
        <v>20</v>
      </c>
      <c r="AS600" cm="1">
        <f t="array" ref="AS600">_xlfn.IFS(E600&lt;6,((E600/D600)*60)*0.5,AND(E600&gt;=6,E600&lt;9),((E600/D600)*60)*0.75,AND(E600&gt;=9,E600&lt;=11),((E600/D600)*60)*0.9,AND(E600=12),((E600/D600)*60)*1,AND(E600&gt;=13,E600&lt;=15),((E600/D600)*60)*1.2,AND(E600&gt;=16,E600&lt;=19),((E600/D600)*60)*1.5,E600&gt;=20,((E600/D600)*60)*1.8)</f>
        <v>24</v>
      </c>
      <c r="AT600" cm="1">
        <f t="array" ref="AT600">_xlfn.IFS(F600&lt;550,((F600/D600)*60)*0.5,AND(F600&gt;=550,F600&lt;575),((F600/D600)*60)*0.75,AND(F600&gt;=575,F600&lt;600),((F600/D600)*60)*0.9,AND(F600=600),((F600/D600)*60)*1,AND(F600&gt;=601,F600&lt;=625),((F600/D600)*60)*1.2,AND(F600&gt;=626,F600&lt;=650),((F600/D600)*60)*1.5,F600&gt;=651,((F600/D600)*60)*1.8)</f>
        <v>963</v>
      </c>
      <c r="AU600">
        <f t="shared" si="159"/>
        <v>-3.899999999999995</v>
      </c>
      <c r="AV600">
        <f t="shared" si="174"/>
        <v>394.0200000000001</v>
      </c>
      <c r="AW600">
        <f t="shared" si="160"/>
        <v>49.8</v>
      </c>
      <c r="AX600" t="str">
        <f t="shared" si="172"/>
        <v>Feb-2024</v>
      </c>
      <c r="AY600">
        <f>ROUNDUP(Table2[[#This Row],[Month]]/3,0)</f>
        <v>1</v>
      </c>
    </row>
    <row r="601" spans="1:51" x14ac:dyDescent="0.2">
      <c r="A601">
        <v>600</v>
      </c>
      <c r="B601">
        <f t="shared" si="161"/>
        <v>13</v>
      </c>
      <c r="C601" s="22">
        <v>45349</v>
      </c>
      <c r="D601">
        <f>SUM(Table2[[#This Row],[Gray Min]:[Red Min]])</f>
        <v>57</v>
      </c>
      <c r="E601">
        <v>9</v>
      </c>
      <c r="F601">
        <v>595</v>
      </c>
      <c r="G601">
        <v>122</v>
      </c>
      <c r="H601">
        <v>166</v>
      </c>
      <c r="I601">
        <v>16</v>
      </c>
      <c r="J601">
        <v>18</v>
      </c>
      <c r="K601">
        <v>14</v>
      </c>
      <c r="L601">
        <v>8</v>
      </c>
      <c r="M601">
        <v>1</v>
      </c>
      <c r="N601" t="s">
        <v>125</v>
      </c>
      <c r="O601" t="s">
        <v>127</v>
      </c>
      <c r="P601" t="s">
        <v>126</v>
      </c>
      <c r="Q601">
        <f t="shared" si="173"/>
        <v>2</v>
      </c>
      <c r="R601" t="str">
        <f t="shared" si="162"/>
        <v>2-2024</v>
      </c>
      <c r="S601" t="s">
        <v>104</v>
      </c>
      <c r="T601" t="str">
        <f t="shared" si="163"/>
        <v>Tuesday</v>
      </c>
      <c r="U601">
        <f t="shared" si="164"/>
        <v>0</v>
      </c>
      <c r="V601" s="24">
        <f>IFERROR(Table2[[#This Row],[Gray Min]]/Table2[[#This Row],[ClassLength]],"")</f>
        <v>0.2807017543859649</v>
      </c>
      <c r="W601" s="24">
        <f>IFERROR(Table2[[#This Row],[Blue Min]]/Table2[[#This Row],[ClassLength]],"")</f>
        <v>0.31578947368421051</v>
      </c>
      <c r="X601" s="24">
        <f>IFERROR(Table2[[#This Row],[Green Min]]/Table2[[#This Row],[ClassLength]],"")</f>
        <v>0.24561403508771928</v>
      </c>
      <c r="Y601" s="24">
        <f>IFERROR(Table2[[#This Row],[Orange Min]]/Table2[[#This Row],[ClassLength]],"")</f>
        <v>0.14035087719298245</v>
      </c>
      <c r="Z601" s="24">
        <f>IFERROR(Table2[[#This Row],[Red Min]]/Table2[[#This Row],[ClassLength]],"")</f>
        <v>1.7543859649122806E-2</v>
      </c>
      <c r="AA601" s="25">
        <v>232.14</v>
      </c>
      <c r="AB601" s="25">
        <f t="shared" si="175"/>
        <v>17.856923076923074</v>
      </c>
      <c r="AC601" s="26">
        <f t="shared" si="165"/>
        <v>643.07692307692309</v>
      </c>
      <c r="AD601" s="26">
        <f t="shared" si="166"/>
        <v>14.692307692307692</v>
      </c>
      <c r="AE601">
        <f t="shared" si="167"/>
        <v>2024</v>
      </c>
      <c r="AG601">
        <v>12</v>
      </c>
      <c r="AH601" s="26">
        <f t="shared" si="168"/>
        <v>10.43859649122807</v>
      </c>
      <c r="AI601" t="str">
        <f t="shared" si="169"/>
        <v>PM</v>
      </c>
      <c r="AJ601" t="str">
        <f t="shared" si="170"/>
        <v>2-2024-5</v>
      </c>
      <c r="AK601">
        <f t="shared" si="171"/>
        <v>2</v>
      </c>
      <c r="AL601" s="26">
        <f>IFERROR(Table2[[#This Row],[Calories]]/Table2[[#This Row],[Splat]],"")</f>
        <v>66.111111111111114</v>
      </c>
      <c r="AM601">
        <f>COUNTIF(N$2:$N$938,N601)</f>
        <v>258</v>
      </c>
      <c r="AN601" t="str">
        <f>VLOOKUP(N601,'Helpful Tables'!A:D,4,FALSE)</f>
        <v>Oregon</v>
      </c>
      <c r="AO601" s="24">
        <f>COUNTIF(AN:AN,Table2[[#This Row],[State]])/COUNTA(AN:AN)</f>
        <v>0.36140724946695096</v>
      </c>
      <c r="AP601">
        <f>VLOOKUP(N601,'Helpful Tables'!A:B,2,FALSE)</f>
        <v>45.534162000000002</v>
      </c>
      <c r="AQ601">
        <f>VLOOKUP(N601,'Helpful Tables'!A:C,3,FALSE)</f>
        <v>-122.69670000000001</v>
      </c>
      <c r="AR601">
        <f>COUNTIF(P$2:$P$938,P601)</f>
        <v>11</v>
      </c>
      <c r="AS601" cm="1">
        <f t="array" ref="AS601">_xlfn.IFS(E601&lt;6,((E601/D601)*60)*0.5,AND(E601&gt;=6,E601&lt;9),((E601/D601)*60)*0.75,AND(E601&gt;=9,E601&lt;=11),((E601/D601)*60)*0.9,AND(E601=12),((E601/D601)*60)*1,AND(E601&gt;=13,E601&lt;=15),((E601/D601)*60)*1.2,AND(E601&gt;=16,E601&lt;=19),((E601/D601)*60)*1.5,E601&gt;=20,((E601/D601)*60)*1.8)</f>
        <v>8.5263157894736832</v>
      </c>
      <c r="AT601" cm="1">
        <f t="array" ref="AT601">_xlfn.IFS(F601&lt;550,((F601/D601)*60)*0.5,AND(F601&gt;=550,F601&lt;575),((F601/D601)*60)*0.75,AND(F601&gt;=575,F601&lt;600),((F601/D601)*60)*0.9,AND(F601=600),((F601/D601)*60)*1,AND(F601&gt;=601,F601&lt;=625),((F601/D601)*60)*1.2,AND(F601&gt;=626,F601&lt;=650),((F601/D601)*60)*1.5,F601&gt;=651,((F601/D601)*60)*1.8)</f>
        <v>563.68421052631572</v>
      </c>
      <c r="AU601">
        <f t="shared" si="159"/>
        <v>-10.299999999999999</v>
      </c>
      <c r="AV601">
        <f t="shared" si="174"/>
        <v>226.82421052631577</v>
      </c>
      <c r="AW601">
        <f t="shared" si="160"/>
        <v>18.7</v>
      </c>
      <c r="AX601" t="str">
        <f t="shared" si="172"/>
        <v>Feb-2024</v>
      </c>
      <c r="AY601">
        <f>ROUNDUP(Table2[[#This Row],[Month]]/3,0)</f>
        <v>1</v>
      </c>
    </row>
    <row r="602" spans="1:51" x14ac:dyDescent="0.2">
      <c r="A602">
        <v>601</v>
      </c>
      <c r="B602">
        <f t="shared" si="161"/>
        <v>13</v>
      </c>
      <c r="C602" s="22">
        <v>45351</v>
      </c>
      <c r="D602">
        <f>SUM(Table2[[#This Row],[Gray Min]:[Red Min]])</f>
        <v>57</v>
      </c>
      <c r="E602">
        <v>13</v>
      </c>
      <c r="F602">
        <v>670</v>
      </c>
      <c r="G602">
        <v>131</v>
      </c>
      <c r="H602">
        <v>166</v>
      </c>
      <c r="I602">
        <v>4</v>
      </c>
      <c r="J602">
        <v>17</v>
      </c>
      <c r="K602">
        <v>23</v>
      </c>
      <c r="L602">
        <v>11</v>
      </c>
      <c r="M602">
        <v>2</v>
      </c>
      <c r="N602" t="s">
        <v>125</v>
      </c>
      <c r="O602" t="s">
        <v>127</v>
      </c>
      <c r="P602" t="s">
        <v>207</v>
      </c>
      <c r="Q602">
        <f t="shared" si="173"/>
        <v>2</v>
      </c>
      <c r="R602" t="str">
        <f t="shared" si="162"/>
        <v>2-2024</v>
      </c>
      <c r="S602" t="s">
        <v>104</v>
      </c>
      <c r="T602" t="str">
        <f t="shared" si="163"/>
        <v>Thursday</v>
      </c>
      <c r="U602">
        <f t="shared" si="164"/>
        <v>1</v>
      </c>
      <c r="V602" s="24">
        <f>IFERROR(Table2[[#This Row],[Gray Min]]/Table2[[#This Row],[ClassLength]],"")</f>
        <v>7.0175438596491224E-2</v>
      </c>
      <c r="W602" s="24">
        <f>IFERROR(Table2[[#This Row],[Blue Min]]/Table2[[#This Row],[ClassLength]],"")</f>
        <v>0.2982456140350877</v>
      </c>
      <c r="X602" s="24">
        <f>IFERROR(Table2[[#This Row],[Green Min]]/Table2[[#This Row],[ClassLength]],"")</f>
        <v>0.40350877192982454</v>
      </c>
      <c r="Y602" s="24">
        <f>IFERROR(Table2[[#This Row],[Orange Min]]/Table2[[#This Row],[ClassLength]],"")</f>
        <v>0.19298245614035087</v>
      </c>
      <c r="Z602" s="24">
        <f>IFERROR(Table2[[#This Row],[Red Min]]/Table2[[#This Row],[ClassLength]],"")</f>
        <v>3.5087719298245612E-2</v>
      </c>
      <c r="AA602" s="25">
        <v>232.14</v>
      </c>
      <c r="AB602" s="25">
        <f t="shared" si="175"/>
        <v>17.856923076923074</v>
      </c>
      <c r="AC602" s="26">
        <f t="shared" si="165"/>
        <v>643.07692307692309</v>
      </c>
      <c r="AD602" s="26">
        <f t="shared" si="166"/>
        <v>14.692307692307692</v>
      </c>
      <c r="AE602">
        <f t="shared" si="167"/>
        <v>2024</v>
      </c>
      <c r="AG602">
        <v>12</v>
      </c>
      <c r="AH602" s="26">
        <f t="shared" si="168"/>
        <v>11.754385964912281</v>
      </c>
      <c r="AI602" t="str">
        <f t="shared" si="169"/>
        <v>PM</v>
      </c>
      <c r="AJ602" t="str">
        <f t="shared" si="170"/>
        <v>2-2024-5</v>
      </c>
      <c r="AK602">
        <f t="shared" si="171"/>
        <v>2</v>
      </c>
      <c r="AL602" s="26">
        <f>IFERROR(Table2[[#This Row],[Calories]]/Table2[[#This Row],[Splat]],"")</f>
        <v>51.53846153846154</v>
      </c>
      <c r="AM602">
        <f>COUNTIF(N$2:$N$938,N602)</f>
        <v>258</v>
      </c>
      <c r="AN602" t="str">
        <f>VLOOKUP(N602,'Helpful Tables'!A:D,4,FALSE)</f>
        <v>Oregon</v>
      </c>
      <c r="AO602" s="24">
        <f>COUNTIF(AN:AN,Table2[[#This Row],[State]])/COUNTA(AN:AN)</f>
        <v>0.36140724946695096</v>
      </c>
      <c r="AP602">
        <f>VLOOKUP(N602,'Helpful Tables'!A:B,2,FALSE)</f>
        <v>45.534162000000002</v>
      </c>
      <c r="AQ602">
        <f>VLOOKUP(N602,'Helpful Tables'!A:C,3,FALSE)</f>
        <v>-122.69670000000001</v>
      </c>
      <c r="AR602">
        <f>COUNTIF(P$2:$P$938,P602)</f>
        <v>10</v>
      </c>
      <c r="AS602" cm="1">
        <f t="array" ref="AS602">_xlfn.IFS(E602&lt;6,((E602/D602)*60)*0.5,AND(E602&gt;=6,E602&lt;9),((E602/D602)*60)*0.75,AND(E602&gt;=9,E602&lt;=11),((E602/D602)*60)*0.9,AND(E602=12),((E602/D602)*60)*1,AND(E602&gt;=13,E602&lt;=15),((E602/D602)*60)*1.2,AND(E602&gt;=16,E602&lt;=19),((E602/D602)*60)*1.5,E602&gt;=20,((E602/D602)*60)*1.8)</f>
        <v>16.421052631578945</v>
      </c>
      <c r="AT602" cm="1">
        <f t="array" ref="AT602">_xlfn.IFS(F602&lt;550,((F602/D602)*60)*0.5,AND(F602&gt;=550,F602&lt;575),((F602/D602)*60)*0.75,AND(F602&gt;=575,F602&lt;600),((F602/D602)*60)*0.9,AND(F602=600),((F602/D602)*60)*1,AND(F602&gt;=601,F602&lt;=625),((F602/D602)*60)*1.2,AND(F602&gt;=626,F602&lt;=650),((F602/D602)*60)*1.5,F602&gt;=651,((F602/D602)*60)*1.8)</f>
        <v>1269.4736842105265</v>
      </c>
      <c r="AU602">
        <f t="shared" si="159"/>
        <v>21.399999999999995</v>
      </c>
      <c r="AV602">
        <f t="shared" si="174"/>
        <v>518.63789473684221</v>
      </c>
      <c r="AW602">
        <f t="shared" si="160"/>
        <v>89.4</v>
      </c>
      <c r="AX602" t="str">
        <f t="shared" si="172"/>
        <v>Feb-2024</v>
      </c>
      <c r="AY602">
        <f>ROUNDUP(Table2[[#This Row],[Month]]/3,0)</f>
        <v>1</v>
      </c>
    </row>
    <row r="603" spans="1:51" x14ac:dyDescent="0.2">
      <c r="A603">
        <v>602</v>
      </c>
      <c r="B603">
        <f t="shared" si="161"/>
        <v>13</v>
      </c>
      <c r="C603" s="22">
        <v>45353</v>
      </c>
      <c r="D603">
        <f>SUM(Table2[[#This Row],[Gray Min]:[Red Min]])</f>
        <v>59</v>
      </c>
      <c r="E603">
        <v>14</v>
      </c>
      <c r="F603">
        <v>672</v>
      </c>
      <c r="G603">
        <v>130</v>
      </c>
      <c r="H603">
        <v>170</v>
      </c>
      <c r="I603">
        <v>9</v>
      </c>
      <c r="J603">
        <v>13</v>
      </c>
      <c r="K603">
        <v>23</v>
      </c>
      <c r="L603">
        <v>11</v>
      </c>
      <c r="M603">
        <v>3</v>
      </c>
      <c r="N603" t="s">
        <v>125</v>
      </c>
      <c r="O603" t="s">
        <v>32</v>
      </c>
      <c r="P603" t="s">
        <v>210</v>
      </c>
      <c r="Q603">
        <f t="shared" si="173"/>
        <v>2</v>
      </c>
      <c r="R603" t="str">
        <f t="shared" si="162"/>
        <v>3-2024</v>
      </c>
      <c r="S603" t="s">
        <v>117</v>
      </c>
      <c r="T603" t="str">
        <f t="shared" si="163"/>
        <v>Saturday</v>
      </c>
      <c r="U603">
        <f t="shared" si="164"/>
        <v>1</v>
      </c>
      <c r="V603" s="24">
        <f>IFERROR(Table2[[#This Row],[Gray Min]]/Table2[[#This Row],[ClassLength]],"")</f>
        <v>0.15254237288135594</v>
      </c>
      <c r="W603" s="24">
        <f>IFERROR(Table2[[#This Row],[Blue Min]]/Table2[[#This Row],[ClassLength]],"")</f>
        <v>0.22033898305084745</v>
      </c>
      <c r="X603" s="24">
        <f>IFERROR(Table2[[#This Row],[Green Min]]/Table2[[#This Row],[ClassLength]],"")</f>
        <v>0.38983050847457629</v>
      </c>
      <c r="Y603" s="24">
        <f>IFERROR(Table2[[#This Row],[Orange Min]]/Table2[[#This Row],[ClassLength]],"")</f>
        <v>0.1864406779661017</v>
      </c>
      <c r="Z603" s="24">
        <f>IFERROR(Table2[[#This Row],[Red Min]]/Table2[[#This Row],[ClassLength]],"")</f>
        <v>5.0847457627118647E-2</v>
      </c>
      <c r="AA603" s="25">
        <v>232.14</v>
      </c>
      <c r="AB603" s="25">
        <f t="shared" si="175"/>
        <v>17.856923076923074</v>
      </c>
      <c r="AC603" s="26">
        <f t="shared" si="165"/>
        <v>629.30769230769226</v>
      </c>
      <c r="AD603" s="26">
        <f t="shared" si="166"/>
        <v>13</v>
      </c>
      <c r="AE603">
        <f t="shared" si="167"/>
        <v>2024</v>
      </c>
      <c r="AG603">
        <v>12</v>
      </c>
      <c r="AH603" s="26">
        <f t="shared" si="168"/>
        <v>11.389830508474576</v>
      </c>
      <c r="AI603" t="str">
        <f t="shared" si="169"/>
        <v>AM</v>
      </c>
      <c r="AJ603" t="str">
        <f t="shared" si="170"/>
        <v>3-2024-1</v>
      </c>
      <c r="AK603">
        <f t="shared" si="171"/>
        <v>3</v>
      </c>
      <c r="AL603" s="26">
        <f>IFERROR(Table2[[#This Row],[Calories]]/Table2[[#This Row],[Splat]],"")</f>
        <v>48</v>
      </c>
      <c r="AM603">
        <f>COUNTIF(N$2:$N$938,N603)</f>
        <v>258</v>
      </c>
      <c r="AN603" t="str">
        <f>VLOOKUP(N603,'Helpful Tables'!A:D,4,FALSE)</f>
        <v>Oregon</v>
      </c>
      <c r="AO603" s="24">
        <f>COUNTIF(AN:AN,Table2[[#This Row],[State]])/COUNTA(AN:AN)</f>
        <v>0.36140724946695096</v>
      </c>
      <c r="AP603">
        <f>VLOOKUP(N603,'Helpful Tables'!A:B,2,FALSE)</f>
        <v>45.534162000000002</v>
      </c>
      <c r="AQ603">
        <f>VLOOKUP(N603,'Helpful Tables'!A:C,3,FALSE)</f>
        <v>-122.69670000000001</v>
      </c>
      <c r="AR603">
        <f>COUNTIF(P$2:$P$938,P603)</f>
        <v>16</v>
      </c>
      <c r="AS603" cm="1">
        <f t="array" ref="AS603">_xlfn.IFS(E603&lt;6,((E603/D603)*60)*0.5,AND(E603&gt;=6,E603&lt;9),((E603/D603)*60)*0.75,AND(E603&gt;=9,E603&lt;=11),((E603/D603)*60)*0.9,AND(E603=12),((E603/D603)*60)*1,AND(E603&gt;=13,E603&lt;=15),((E603/D603)*60)*1.2,AND(E603&gt;=16,E603&lt;=19),((E603/D603)*60)*1.5,E603&gt;=20,((E603/D603)*60)*1.8)</f>
        <v>17.084745762711865</v>
      </c>
      <c r="AT603" cm="1">
        <f t="array" ref="AT603">_xlfn.IFS(F603&lt;550,((F603/D603)*60)*0.5,AND(F603&gt;=550,F603&lt;575),((F603/D603)*60)*0.75,AND(F603&gt;=575,F603&lt;600),((F603/D603)*60)*0.9,AND(F603=600),((F603/D603)*60)*1,AND(F603&gt;=601,F603&lt;=625),((F603/D603)*60)*1.2,AND(F603&gt;=626,F603&lt;=650),((F603/D603)*60)*1.5,F603&gt;=651,((F603/D603)*60)*1.8)</f>
        <v>1230.1016949152543</v>
      </c>
      <c r="AU603">
        <f t="shared" si="159"/>
        <v>21.299999999999997</v>
      </c>
      <c r="AV603">
        <f t="shared" si="174"/>
        <v>503.13457627118646</v>
      </c>
      <c r="AW603">
        <f t="shared" si="160"/>
        <v>81</v>
      </c>
      <c r="AX603" t="str">
        <f t="shared" si="172"/>
        <v>Mar-2024</v>
      </c>
      <c r="AY603">
        <f>ROUNDUP(Table2[[#This Row],[Month]]/3,0)</f>
        <v>1</v>
      </c>
    </row>
    <row r="604" spans="1:51" x14ac:dyDescent="0.2">
      <c r="A604">
        <v>603</v>
      </c>
      <c r="B604">
        <f t="shared" si="161"/>
        <v>13</v>
      </c>
      <c r="C604" s="22">
        <v>45354</v>
      </c>
      <c r="D604">
        <f>SUM(Table2[[#This Row],[Gray Min]:[Red Min]])</f>
        <v>58</v>
      </c>
      <c r="E604">
        <v>13</v>
      </c>
      <c r="F604">
        <v>556</v>
      </c>
      <c r="G604">
        <v>118</v>
      </c>
      <c r="H604">
        <v>167</v>
      </c>
      <c r="I604">
        <v>22</v>
      </c>
      <c r="J604">
        <v>13</v>
      </c>
      <c r="K604">
        <v>10</v>
      </c>
      <c r="L604">
        <v>11</v>
      </c>
      <c r="M604">
        <v>2</v>
      </c>
      <c r="N604" t="s">
        <v>125</v>
      </c>
      <c r="O604" t="s">
        <v>79</v>
      </c>
      <c r="P604" t="s">
        <v>211</v>
      </c>
      <c r="Q604">
        <f t="shared" si="173"/>
        <v>1</v>
      </c>
      <c r="R604" t="str">
        <f t="shared" si="162"/>
        <v>3-2024</v>
      </c>
      <c r="S604" t="s">
        <v>117</v>
      </c>
      <c r="T604" t="str">
        <f t="shared" si="163"/>
        <v>Sunday</v>
      </c>
      <c r="U604">
        <f t="shared" si="164"/>
        <v>1</v>
      </c>
      <c r="V604" s="24">
        <f>IFERROR(Table2[[#This Row],[Gray Min]]/Table2[[#This Row],[ClassLength]],"")</f>
        <v>0.37931034482758619</v>
      </c>
      <c r="W604" s="24">
        <f>IFERROR(Table2[[#This Row],[Blue Min]]/Table2[[#This Row],[ClassLength]],"")</f>
        <v>0.22413793103448276</v>
      </c>
      <c r="X604" s="24">
        <f>IFERROR(Table2[[#This Row],[Green Min]]/Table2[[#This Row],[ClassLength]],"")</f>
        <v>0.17241379310344829</v>
      </c>
      <c r="Y604" s="24">
        <f>IFERROR(Table2[[#This Row],[Orange Min]]/Table2[[#This Row],[ClassLength]],"")</f>
        <v>0.18965517241379309</v>
      </c>
      <c r="Z604" s="24">
        <f>IFERROR(Table2[[#This Row],[Red Min]]/Table2[[#This Row],[ClassLength]],"")</f>
        <v>3.4482758620689655E-2</v>
      </c>
      <c r="AA604" s="25">
        <v>232.14</v>
      </c>
      <c r="AB604" s="25">
        <f t="shared" si="175"/>
        <v>17.856923076923074</v>
      </c>
      <c r="AC604" s="26">
        <f t="shared" si="165"/>
        <v>629.30769230769226</v>
      </c>
      <c r="AD604" s="26">
        <f t="shared" si="166"/>
        <v>13</v>
      </c>
      <c r="AE604">
        <f t="shared" si="167"/>
        <v>2024</v>
      </c>
      <c r="AG604">
        <v>12</v>
      </c>
      <c r="AH604" s="26">
        <f t="shared" si="168"/>
        <v>9.5862068965517242</v>
      </c>
      <c r="AI604" t="str">
        <f t="shared" si="169"/>
        <v>AM</v>
      </c>
      <c r="AJ604" t="str">
        <f t="shared" si="170"/>
        <v>3-2024-2</v>
      </c>
      <c r="AK604">
        <f t="shared" si="171"/>
        <v>3</v>
      </c>
      <c r="AL604" s="26">
        <f>IFERROR(Table2[[#This Row],[Calories]]/Table2[[#This Row],[Splat]],"")</f>
        <v>42.769230769230766</v>
      </c>
      <c r="AM604">
        <f>COUNTIF(N$2:$N$938,N604)</f>
        <v>258</v>
      </c>
      <c r="AN604" t="str">
        <f>VLOOKUP(N604,'Helpful Tables'!A:D,4,FALSE)</f>
        <v>Oregon</v>
      </c>
      <c r="AO604" s="24">
        <f>COUNTIF(AN:AN,Table2[[#This Row],[State]])/COUNTA(AN:AN)</f>
        <v>0.36140724946695096</v>
      </c>
      <c r="AP604">
        <f>VLOOKUP(N604,'Helpful Tables'!A:B,2,FALSE)</f>
        <v>45.534162000000002</v>
      </c>
      <c r="AQ604">
        <f>VLOOKUP(N604,'Helpful Tables'!A:C,3,FALSE)</f>
        <v>-122.69670000000001</v>
      </c>
      <c r="AR604">
        <f>COUNTIF(P$2:$P$938,P604)</f>
        <v>3</v>
      </c>
      <c r="AS604" cm="1">
        <f t="array" ref="AS604">_xlfn.IFS(E604&lt;6,((E604/D604)*60)*0.5,AND(E604&gt;=6,E604&lt;9),((E604/D604)*60)*0.75,AND(E604&gt;=9,E604&lt;=11),((E604/D604)*60)*0.9,AND(E604=12),((E604/D604)*60)*1,AND(E604&gt;=13,E604&lt;=15),((E604/D604)*60)*1.2,AND(E604&gt;=16,E604&lt;=19),((E604/D604)*60)*1.5,E604&gt;=20,((E604/D604)*60)*1.8)</f>
        <v>16.137931034482758</v>
      </c>
      <c r="AT604" cm="1">
        <f t="array" ref="AT604">_xlfn.IFS(F604&lt;550,((F604/D604)*60)*0.5,AND(F604&gt;=550,F604&lt;575),((F604/D604)*60)*0.75,AND(F604&gt;=575,F604&lt;600),((F604/D604)*60)*0.9,AND(F604=600),((F604/D604)*60)*1,AND(F604&gt;=601,F604&lt;=625),((F604/D604)*60)*1.2,AND(F604&gt;=626,F604&lt;=650),((F604/D604)*60)*1.5,F604&gt;=651,((F604/D604)*60)*1.8)</f>
        <v>431.37931034482762</v>
      </c>
      <c r="AU604">
        <f t="shared" si="159"/>
        <v>-11.400000000000002</v>
      </c>
      <c r="AV604">
        <f t="shared" si="174"/>
        <v>176.72689655172414</v>
      </c>
      <c r="AW604">
        <f t="shared" si="160"/>
        <v>9.9</v>
      </c>
      <c r="AX604" t="str">
        <f t="shared" si="172"/>
        <v>Mar-2024</v>
      </c>
      <c r="AY604">
        <f>ROUNDUP(Table2[[#This Row],[Month]]/3,0)</f>
        <v>1</v>
      </c>
    </row>
    <row r="605" spans="1:51" x14ac:dyDescent="0.2">
      <c r="A605">
        <v>604</v>
      </c>
      <c r="B605">
        <f t="shared" si="161"/>
        <v>13</v>
      </c>
      <c r="C605" s="22">
        <v>45360</v>
      </c>
      <c r="D605">
        <f>SUM(Table2[[#This Row],[Gray Min]:[Red Min]])</f>
        <v>60</v>
      </c>
      <c r="E605">
        <v>12</v>
      </c>
      <c r="F605">
        <v>650</v>
      </c>
      <c r="G605">
        <v>125</v>
      </c>
      <c r="H605">
        <v>173</v>
      </c>
      <c r="I605">
        <v>12</v>
      </c>
      <c r="J605">
        <v>20</v>
      </c>
      <c r="K605">
        <v>16</v>
      </c>
      <c r="L605">
        <v>11</v>
      </c>
      <c r="M605">
        <v>1</v>
      </c>
      <c r="N605" t="s">
        <v>138</v>
      </c>
      <c r="O605" t="s">
        <v>76</v>
      </c>
      <c r="P605" t="s">
        <v>140</v>
      </c>
      <c r="Q605">
        <f t="shared" si="173"/>
        <v>6</v>
      </c>
      <c r="R605" t="str">
        <f t="shared" si="162"/>
        <v>3-2024</v>
      </c>
      <c r="S605" t="s">
        <v>117</v>
      </c>
      <c r="T605" t="str">
        <f t="shared" si="163"/>
        <v>Saturday</v>
      </c>
      <c r="U605">
        <f t="shared" si="164"/>
        <v>1</v>
      </c>
      <c r="V605" s="24">
        <f>IFERROR(Table2[[#This Row],[Gray Min]]/Table2[[#This Row],[ClassLength]],"")</f>
        <v>0.2</v>
      </c>
      <c r="W605" s="24">
        <f>IFERROR(Table2[[#This Row],[Blue Min]]/Table2[[#This Row],[ClassLength]],"")</f>
        <v>0.33333333333333331</v>
      </c>
      <c r="X605" s="24">
        <f>IFERROR(Table2[[#This Row],[Green Min]]/Table2[[#This Row],[ClassLength]],"")</f>
        <v>0.26666666666666666</v>
      </c>
      <c r="Y605" s="24">
        <f>IFERROR(Table2[[#This Row],[Orange Min]]/Table2[[#This Row],[ClassLength]],"")</f>
        <v>0.18333333333333332</v>
      </c>
      <c r="Z605" s="24">
        <f>IFERROR(Table2[[#This Row],[Red Min]]/Table2[[#This Row],[ClassLength]],"")</f>
        <v>1.6666666666666666E-2</v>
      </c>
      <c r="AA605" s="25">
        <v>232.14</v>
      </c>
      <c r="AB605" s="25">
        <f t="shared" si="175"/>
        <v>17.856923076923074</v>
      </c>
      <c r="AC605" s="26">
        <f t="shared" si="165"/>
        <v>629.30769230769226</v>
      </c>
      <c r="AD605" s="26">
        <f t="shared" si="166"/>
        <v>13</v>
      </c>
      <c r="AE605">
        <f t="shared" si="167"/>
        <v>2024</v>
      </c>
      <c r="AG605">
        <v>12</v>
      </c>
      <c r="AH605" s="26">
        <f t="shared" si="168"/>
        <v>10.833333333333334</v>
      </c>
      <c r="AI605" t="str">
        <f t="shared" si="169"/>
        <v>AM</v>
      </c>
      <c r="AJ605" t="str">
        <f t="shared" si="170"/>
        <v>3-2024-2</v>
      </c>
      <c r="AK605">
        <f t="shared" si="171"/>
        <v>3</v>
      </c>
      <c r="AL605" s="26">
        <f>IFERROR(Table2[[#This Row],[Calories]]/Table2[[#This Row],[Splat]],"")</f>
        <v>54.166666666666664</v>
      </c>
      <c r="AM605">
        <f>COUNTIF(N$2:$N$938,N605)</f>
        <v>11</v>
      </c>
      <c r="AN605" t="str">
        <f>VLOOKUP(N605,'Helpful Tables'!A:D,4,FALSE)</f>
        <v>Massachusetts</v>
      </c>
      <c r="AO605" s="24">
        <f>COUNTIF(AN:AN,Table2[[#This Row],[State]])/COUNTA(AN:AN)</f>
        <v>1.7057569296375266E-2</v>
      </c>
      <c r="AP605">
        <f>VLOOKUP(N605,'Helpful Tables'!A:B,2,FALSE)</f>
        <v>42.350487000000001</v>
      </c>
      <c r="AQ605">
        <f>VLOOKUP(N605,'Helpful Tables'!A:C,3,FALSE)</f>
        <v>-71.152720000000002</v>
      </c>
      <c r="AR605">
        <f>COUNTIF(P$2:$P$938,P605)</f>
        <v>4</v>
      </c>
      <c r="AS605" cm="1">
        <f t="array" ref="AS605">_xlfn.IFS(E605&lt;6,((E605/D605)*60)*0.5,AND(E605&gt;=6,E605&lt;9),((E605/D605)*60)*0.75,AND(E605&gt;=9,E605&lt;=11),((E605/D605)*60)*0.9,AND(E605=12),((E605/D605)*60)*1,AND(E605&gt;=13,E605&lt;=15),((E605/D605)*60)*1.2,AND(E605&gt;=16,E605&lt;=19),((E605/D605)*60)*1.5,E605&gt;=20,((E605/D605)*60)*1.8)</f>
        <v>12</v>
      </c>
      <c r="AT605" cm="1">
        <f t="array" ref="AT605">_xlfn.IFS(F605&lt;550,((F605/D605)*60)*0.5,AND(F605&gt;=550,F605&lt;575),((F605/D605)*60)*0.75,AND(F605&gt;=575,F605&lt;600),((F605/D605)*60)*0.9,AND(F605=600),((F605/D605)*60)*1,AND(F605&gt;=601,F605&lt;=625),((F605/D605)*60)*1.2,AND(F605&gt;=626,F605&lt;=650),((F605/D605)*60)*1.5,F605&gt;=651,((F605/D605)*60)*1.8)</f>
        <v>975</v>
      </c>
      <c r="AU605">
        <f t="shared" si="159"/>
        <v>-1.3999999999999986</v>
      </c>
      <c r="AV605">
        <f t="shared" si="174"/>
        <v>394.52000000000004</v>
      </c>
      <c r="AW605">
        <f t="shared" si="160"/>
        <v>50</v>
      </c>
      <c r="AX605" t="str">
        <f t="shared" si="172"/>
        <v>Mar-2024</v>
      </c>
      <c r="AY605">
        <f>ROUNDUP(Table2[[#This Row],[Month]]/3,0)</f>
        <v>1</v>
      </c>
    </row>
    <row r="606" spans="1:51" x14ac:dyDescent="0.2">
      <c r="A606">
        <v>605</v>
      </c>
      <c r="B606">
        <f t="shared" si="161"/>
        <v>13</v>
      </c>
      <c r="C606" s="22">
        <v>45363</v>
      </c>
      <c r="D606">
        <f>SUM(Table2[[#This Row],[Gray Min]:[Red Min]])</f>
        <v>55</v>
      </c>
      <c r="E606">
        <v>12</v>
      </c>
      <c r="F606">
        <v>602</v>
      </c>
      <c r="G606">
        <v>125</v>
      </c>
      <c r="H606">
        <v>166</v>
      </c>
      <c r="I606">
        <v>11</v>
      </c>
      <c r="J606">
        <v>18</v>
      </c>
      <c r="K606">
        <v>14</v>
      </c>
      <c r="L606">
        <v>11</v>
      </c>
      <c r="M606">
        <v>1</v>
      </c>
      <c r="N606" t="s">
        <v>125</v>
      </c>
      <c r="O606" t="s">
        <v>127</v>
      </c>
      <c r="P606" t="s">
        <v>126</v>
      </c>
      <c r="Q606">
        <f t="shared" si="173"/>
        <v>3</v>
      </c>
      <c r="R606" t="str">
        <f t="shared" si="162"/>
        <v>3-2024</v>
      </c>
      <c r="S606" t="s">
        <v>117</v>
      </c>
      <c r="T606" t="str">
        <f t="shared" si="163"/>
        <v>Tuesday</v>
      </c>
      <c r="U606">
        <f t="shared" si="164"/>
        <v>1</v>
      </c>
      <c r="V606" s="24">
        <f>IFERROR(Table2[[#This Row],[Gray Min]]/Table2[[#This Row],[ClassLength]],"")</f>
        <v>0.2</v>
      </c>
      <c r="W606" s="24">
        <f>IFERROR(Table2[[#This Row],[Blue Min]]/Table2[[#This Row],[ClassLength]],"")</f>
        <v>0.32727272727272727</v>
      </c>
      <c r="X606" s="24">
        <f>IFERROR(Table2[[#This Row],[Green Min]]/Table2[[#This Row],[ClassLength]],"")</f>
        <v>0.25454545454545452</v>
      </c>
      <c r="Y606" s="24">
        <f>IFERROR(Table2[[#This Row],[Orange Min]]/Table2[[#This Row],[ClassLength]],"")</f>
        <v>0.2</v>
      </c>
      <c r="Z606" s="24">
        <f>IFERROR(Table2[[#This Row],[Red Min]]/Table2[[#This Row],[ClassLength]],"")</f>
        <v>1.8181818181818181E-2</v>
      </c>
      <c r="AA606" s="25">
        <v>232.14</v>
      </c>
      <c r="AB606" s="25">
        <f t="shared" si="175"/>
        <v>17.856923076923074</v>
      </c>
      <c r="AC606" s="26">
        <f t="shared" si="165"/>
        <v>629.30769230769226</v>
      </c>
      <c r="AD606" s="26">
        <f t="shared" si="166"/>
        <v>13</v>
      </c>
      <c r="AE606">
        <f t="shared" si="167"/>
        <v>2024</v>
      </c>
      <c r="AG606">
        <v>12</v>
      </c>
      <c r="AH606" s="26">
        <f t="shared" si="168"/>
        <v>10.945454545454545</v>
      </c>
      <c r="AI606" t="str">
        <f t="shared" si="169"/>
        <v>PM</v>
      </c>
      <c r="AJ606" t="str">
        <f t="shared" si="170"/>
        <v>3-2024-3</v>
      </c>
      <c r="AK606">
        <f t="shared" si="171"/>
        <v>3</v>
      </c>
      <c r="AL606" s="26">
        <f>IFERROR(Table2[[#This Row],[Calories]]/Table2[[#This Row],[Splat]],"")</f>
        <v>50.166666666666664</v>
      </c>
      <c r="AM606">
        <f>COUNTIF(N$2:$N$938,N606)</f>
        <v>258</v>
      </c>
      <c r="AN606" t="str">
        <f>VLOOKUP(N606,'Helpful Tables'!A:D,4,FALSE)</f>
        <v>Oregon</v>
      </c>
      <c r="AO606" s="24">
        <f>COUNTIF(AN:AN,Table2[[#This Row],[State]])/COUNTA(AN:AN)</f>
        <v>0.36140724946695096</v>
      </c>
      <c r="AP606">
        <f>VLOOKUP(N606,'Helpful Tables'!A:B,2,FALSE)</f>
        <v>45.534162000000002</v>
      </c>
      <c r="AQ606">
        <f>VLOOKUP(N606,'Helpful Tables'!A:C,3,FALSE)</f>
        <v>-122.69670000000001</v>
      </c>
      <c r="AR606">
        <f>COUNTIF(P$2:$P$938,P606)</f>
        <v>11</v>
      </c>
      <c r="AS606" cm="1">
        <f t="array" ref="AS606">_xlfn.IFS(E606&lt;6,((E606/D606)*60)*0.5,AND(E606&gt;=6,E606&lt;9),((E606/D606)*60)*0.75,AND(E606&gt;=9,E606&lt;=11),((E606/D606)*60)*0.9,AND(E606=12),((E606/D606)*60)*1,AND(E606&gt;=13,E606&lt;=15),((E606/D606)*60)*1.2,AND(E606&gt;=16,E606&lt;=19),((E606/D606)*60)*1.5,E606&gt;=20,((E606/D606)*60)*1.8)</f>
        <v>13.09090909090909</v>
      </c>
      <c r="AT606" cm="1">
        <f t="array" ref="AT606">_xlfn.IFS(F606&lt;550,((F606/D606)*60)*0.5,AND(F606&gt;=550,F606&lt;575),((F606/D606)*60)*0.75,AND(F606&gt;=575,F606&lt;600),((F606/D606)*60)*0.9,AND(F606=600),((F606/D606)*60)*1,AND(F606&gt;=601,F606&lt;=625),((F606/D606)*60)*1.2,AND(F606&gt;=626,F606&lt;=650),((F606/D606)*60)*1.5,F606&gt;=651,((F606/D606)*60)*1.8)</f>
        <v>788.07272727272732</v>
      </c>
      <c r="AU606">
        <f t="shared" ref="AU606:AU669" si="176">(I606*-1.2)+(J606*-1.1)+(K606*1.2)+(L606*1.3)+(M606*1.5)</f>
        <v>-0.39999999999999858</v>
      </c>
      <c r="AV606">
        <f t="shared" si="174"/>
        <v>320.38545454545459</v>
      </c>
      <c r="AW606">
        <f t="shared" ref="AW606:AW669" si="177">PERCENTRANK(AV:AV,AV606)*100</f>
        <v>37.299999999999997</v>
      </c>
      <c r="AX606" t="str">
        <f t="shared" si="172"/>
        <v>Mar-2024</v>
      </c>
      <c r="AY606">
        <f>ROUNDUP(Table2[[#This Row],[Month]]/3,0)</f>
        <v>1</v>
      </c>
    </row>
    <row r="607" spans="1:51" x14ac:dyDescent="0.2">
      <c r="A607">
        <v>606</v>
      </c>
      <c r="B607">
        <f t="shared" si="161"/>
        <v>13</v>
      </c>
      <c r="C607" s="22">
        <v>45365</v>
      </c>
      <c r="D607">
        <f>SUM(Table2[[#This Row],[Gray Min]:[Red Min]])</f>
        <v>57</v>
      </c>
      <c r="E607">
        <v>12</v>
      </c>
      <c r="F607">
        <v>617</v>
      </c>
      <c r="G607">
        <v>125</v>
      </c>
      <c r="H607">
        <v>164</v>
      </c>
      <c r="I607">
        <v>12</v>
      </c>
      <c r="J607">
        <v>19</v>
      </c>
      <c r="K607">
        <v>14</v>
      </c>
      <c r="L607">
        <v>11</v>
      </c>
      <c r="M607">
        <v>1</v>
      </c>
      <c r="N607" t="s">
        <v>125</v>
      </c>
      <c r="O607" t="s">
        <v>127</v>
      </c>
      <c r="P607" t="s">
        <v>207</v>
      </c>
      <c r="Q607">
        <f t="shared" si="173"/>
        <v>2</v>
      </c>
      <c r="R607" t="str">
        <f t="shared" si="162"/>
        <v>3-2024</v>
      </c>
      <c r="S607" t="s">
        <v>104</v>
      </c>
      <c r="T607" t="str">
        <f t="shared" si="163"/>
        <v>Thursday</v>
      </c>
      <c r="U607">
        <f t="shared" si="164"/>
        <v>1</v>
      </c>
      <c r="V607" s="24">
        <f>IFERROR(Table2[[#This Row],[Gray Min]]/Table2[[#This Row],[ClassLength]],"")</f>
        <v>0.21052631578947367</v>
      </c>
      <c r="W607" s="24">
        <f>IFERROR(Table2[[#This Row],[Blue Min]]/Table2[[#This Row],[ClassLength]],"")</f>
        <v>0.33333333333333331</v>
      </c>
      <c r="X607" s="24">
        <f>IFERROR(Table2[[#This Row],[Green Min]]/Table2[[#This Row],[ClassLength]],"")</f>
        <v>0.24561403508771928</v>
      </c>
      <c r="Y607" s="24">
        <f>IFERROR(Table2[[#This Row],[Orange Min]]/Table2[[#This Row],[ClassLength]],"")</f>
        <v>0.19298245614035087</v>
      </c>
      <c r="Z607" s="24">
        <f>IFERROR(Table2[[#This Row],[Red Min]]/Table2[[#This Row],[ClassLength]],"")</f>
        <v>1.7543859649122806E-2</v>
      </c>
      <c r="AA607" s="25">
        <v>232.14</v>
      </c>
      <c r="AB607" s="25">
        <f t="shared" si="175"/>
        <v>17.856923076923074</v>
      </c>
      <c r="AC607" s="26">
        <f t="shared" si="165"/>
        <v>629.30769230769226</v>
      </c>
      <c r="AD607" s="26">
        <f t="shared" si="166"/>
        <v>13</v>
      </c>
      <c r="AE607">
        <f t="shared" si="167"/>
        <v>2024</v>
      </c>
      <c r="AG607">
        <v>12</v>
      </c>
      <c r="AH607" s="26">
        <f t="shared" si="168"/>
        <v>10.824561403508772</v>
      </c>
      <c r="AI607" t="str">
        <f t="shared" si="169"/>
        <v>PM</v>
      </c>
      <c r="AJ607" t="str">
        <f t="shared" si="170"/>
        <v>3-2024-3</v>
      </c>
      <c r="AK607">
        <f t="shared" si="171"/>
        <v>3</v>
      </c>
      <c r="AL607" s="26">
        <f>IFERROR(Table2[[#This Row],[Calories]]/Table2[[#This Row],[Splat]],"")</f>
        <v>51.416666666666664</v>
      </c>
      <c r="AM607">
        <f>COUNTIF(N$2:$N$938,N607)</f>
        <v>258</v>
      </c>
      <c r="AN607" t="str">
        <f>VLOOKUP(N607,'Helpful Tables'!A:D,4,FALSE)</f>
        <v>Oregon</v>
      </c>
      <c r="AO607" s="24">
        <f>COUNTIF(AN:AN,Table2[[#This Row],[State]])/COUNTA(AN:AN)</f>
        <v>0.36140724946695096</v>
      </c>
      <c r="AP607">
        <f>VLOOKUP(N607,'Helpful Tables'!A:B,2,FALSE)</f>
        <v>45.534162000000002</v>
      </c>
      <c r="AQ607">
        <f>VLOOKUP(N607,'Helpful Tables'!A:C,3,FALSE)</f>
        <v>-122.69670000000001</v>
      </c>
      <c r="AR607">
        <f>COUNTIF(P$2:$P$938,P607)</f>
        <v>10</v>
      </c>
      <c r="AS607" cm="1">
        <f t="array" ref="AS607">_xlfn.IFS(E607&lt;6,((E607/D607)*60)*0.5,AND(E607&gt;=6,E607&lt;9),((E607/D607)*60)*0.75,AND(E607&gt;=9,E607&lt;=11),((E607/D607)*60)*0.9,AND(E607=12),((E607/D607)*60)*1,AND(E607&gt;=13,E607&lt;=15),((E607/D607)*60)*1.2,AND(E607&gt;=16,E607&lt;=19),((E607/D607)*60)*1.5,E607&gt;=20,((E607/D607)*60)*1.8)</f>
        <v>12.631578947368421</v>
      </c>
      <c r="AT607" cm="1">
        <f t="array" ref="AT607">_xlfn.IFS(F607&lt;550,((F607/D607)*60)*0.5,AND(F607&gt;=550,F607&lt;575),((F607/D607)*60)*0.75,AND(F607&gt;=575,F607&lt;600),((F607/D607)*60)*0.9,AND(F607=600),((F607/D607)*60)*1,AND(F607&gt;=601,F607&lt;=625),((F607/D607)*60)*1.2,AND(F607&gt;=626,F607&lt;=650),((F607/D607)*60)*1.5,F607&gt;=651,((F607/D607)*60)*1.8)</f>
        <v>779.36842105263156</v>
      </c>
      <c r="AU607">
        <f t="shared" si="176"/>
        <v>-2.6999999999999957</v>
      </c>
      <c r="AV607">
        <f t="shared" si="174"/>
        <v>316.26</v>
      </c>
      <c r="AW607">
        <f t="shared" si="177"/>
        <v>34.9</v>
      </c>
      <c r="AX607" t="str">
        <f t="shared" si="172"/>
        <v>Mar-2024</v>
      </c>
      <c r="AY607">
        <f>ROUNDUP(Table2[[#This Row],[Month]]/3,0)</f>
        <v>1</v>
      </c>
    </row>
    <row r="608" spans="1:51" x14ac:dyDescent="0.2">
      <c r="A608">
        <v>607</v>
      </c>
      <c r="B608">
        <f t="shared" si="161"/>
        <v>13</v>
      </c>
      <c r="C608" s="22">
        <v>45367</v>
      </c>
      <c r="D608">
        <f>SUM(Table2[[#This Row],[Gray Min]:[Red Min]])</f>
        <v>59</v>
      </c>
      <c r="E608">
        <v>10</v>
      </c>
      <c r="F608">
        <v>603</v>
      </c>
      <c r="G608">
        <v>121</v>
      </c>
      <c r="H608">
        <v>168</v>
      </c>
      <c r="I608">
        <v>14</v>
      </c>
      <c r="J608">
        <v>25</v>
      </c>
      <c r="K608">
        <v>10</v>
      </c>
      <c r="L608">
        <v>8</v>
      </c>
      <c r="M608">
        <v>2</v>
      </c>
      <c r="N608" t="s">
        <v>125</v>
      </c>
      <c r="O608" t="s">
        <v>159</v>
      </c>
      <c r="P608" t="s">
        <v>210</v>
      </c>
      <c r="Q608">
        <f t="shared" si="173"/>
        <v>2</v>
      </c>
      <c r="R608" t="str">
        <f t="shared" si="162"/>
        <v>3-2024</v>
      </c>
      <c r="S608" t="s">
        <v>117</v>
      </c>
      <c r="T608" t="str">
        <f t="shared" si="163"/>
        <v>Saturday</v>
      </c>
      <c r="U608">
        <f t="shared" si="164"/>
        <v>0</v>
      </c>
      <c r="V608" s="24">
        <f>IFERROR(Table2[[#This Row],[Gray Min]]/Table2[[#This Row],[ClassLength]],"")</f>
        <v>0.23728813559322035</v>
      </c>
      <c r="W608" s="24">
        <f>IFERROR(Table2[[#This Row],[Blue Min]]/Table2[[#This Row],[ClassLength]],"")</f>
        <v>0.42372881355932202</v>
      </c>
      <c r="X608" s="24">
        <f>IFERROR(Table2[[#This Row],[Green Min]]/Table2[[#This Row],[ClassLength]],"")</f>
        <v>0.16949152542372881</v>
      </c>
      <c r="Y608" s="24">
        <f>IFERROR(Table2[[#This Row],[Orange Min]]/Table2[[#This Row],[ClassLength]],"")</f>
        <v>0.13559322033898305</v>
      </c>
      <c r="Z608" s="24">
        <f>IFERROR(Table2[[#This Row],[Red Min]]/Table2[[#This Row],[ClassLength]],"")</f>
        <v>3.3898305084745763E-2</v>
      </c>
      <c r="AA608" s="25">
        <v>232.14</v>
      </c>
      <c r="AB608" s="25">
        <f t="shared" si="175"/>
        <v>17.856923076923074</v>
      </c>
      <c r="AC608" s="26">
        <f t="shared" si="165"/>
        <v>629.30769230769226</v>
      </c>
      <c r="AD608" s="26">
        <f t="shared" si="166"/>
        <v>13</v>
      </c>
      <c r="AE608">
        <f t="shared" si="167"/>
        <v>2024</v>
      </c>
      <c r="AG608">
        <v>12</v>
      </c>
      <c r="AH608" s="26">
        <f t="shared" si="168"/>
        <v>10.220338983050848</v>
      </c>
      <c r="AI608" t="str">
        <f t="shared" si="169"/>
        <v>AM</v>
      </c>
      <c r="AJ608" t="str">
        <f t="shared" si="170"/>
        <v>3-2024-3</v>
      </c>
      <c r="AK608">
        <f t="shared" si="171"/>
        <v>3</v>
      </c>
      <c r="AL608" s="26">
        <f>IFERROR(Table2[[#This Row],[Calories]]/Table2[[#This Row],[Splat]],"")</f>
        <v>60.3</v>
      </c>
      <c r="AM608">
        <f>COUNTIF(N$2:$N$938,N608)</f>
        <v>258</v>
      </c>
      <c r="AN608" t="str">
        <f>VLOOKUP(N608,'Helpful Tables'!A:D,4,FALSE)</f>
        <v>Oregon</v>
      </c>
      <c r="AO608" s="24">
        <f>COUNTIF(AN:AN,Table2[[#This Row],[State]])/COUNTA(AN:AN)</f>
        <v>0.36140724946695096</v>
      </c>
      <c r="AP608">
        <f>VLOOKUP(N608,'Helpful Tables'!A:B,2,FALSE)</f>
        <v>45.534162000000002</v>
      </c>
      <c r="AQ608">
        <f>VLOOKUP(N608,'Helpful Tables'!A:C,3,FALSE)</f>
        <v>-122.69670000000001</v>
      </c>
      <c r="AR608">
        <f>COUNTIF(P$2:$P$938,P608)</f>
        <v>16</v>
      </c>
      <c r="AS608" cm="1">
        <f t="array" ref="AS608">_xlfn.IFS(E608&lt;6,((E608/D608)*60)*0.5,AND(E608&gt;=6,E608&lt;9),((E608/D608)*60)*0.75,AND(E608&gt;=9,E608&lt;=11),((E608/D608)*60)*0.9,AND(E608=12),((E608/D608)*60)*1,AND(E608&gt;=13,E608&lt;=15),((E608/D608)*60)*1.2,AND(E608&gt;=16,E608&lt;=19),((E608/D608)*60)*1.5,E608&gt;=20,((E608/D608)*60)*1.8)</f>
        <v>9.1525423728813564</v>
      </c>
      <c r="AT608" cm="1">
        <f t="array" ref="AT608">_xlfn.IFS(F608&lt;550,((F608/D608)*60)*0.5,AND(F608&gt;=550,F608&lt;575),((F608/D608)*60)*0.75,AND(F608&gt;=575,F608&lt;600),((F608/D608)*60)*0.9,AND(F608=600),((F608/D608)*60)*1,AND(F608&gt;=601,F608&lt;=625),((F608/D608)*60)*1.2,AND(F608&gt;=626,F608&lt;=650),((F608/D608)*60)*1.5,F608&gt;=651,((F608/D608)*60)*1.8)</f>
        <v>735.86440677966095</v>
      </c>
      <c r="AU608">
        <f t="shared" si="176"/>
        <v>-18.900000000000006</v>
      </c>
      <c r="AV608">
        <f t="shared" si="174"/>
        <v>294.22677966101696</v>
      </c>
      <c r="AW608">
        <f t="shared" si="177"/>
        <v>25.3</v>
      </c>
      <c r="AX608" t="str">
        <f t="shared" si="172"/>
        <v>Mar-2024</v>
      </c>
      <c r="AY608">
        <f>ROUNDUP(Table2[[#This Row],[Month]]/3,0)</f>
        <v>1</v>
      </c>
    </row>
    <row r="609" spans="1:51" x14ac:dyDescent="0.2">
      <c r="A609">
        <v>608</v>
      </c>
      <c r="B609">
        <f t="shared" si="161"/>
        <v>13</v>
      </c>
      <c r="C609" s="22">
        <v>45369</v>
      </c>
      <c r="D609">
        <f>SUM(Table2[[#This Row],[Gray Min]:[Red Min]])</f>
        <v>57</v>
      </c>
      <c r="E609">
        <v>13</v>
      </c>
      <c r="F609">
        <v>549</v>
      </c>
      <c r="G609">
        <v>117</v>
      </c>
      <c r="H609">
        <v>169</v>
      </c>
      <c r="I609">
        <v>24</v>
      </c>
      <c r="J609">
        <v>11</v>
      </c>
      <c r="K609">
        <v>9</v>
      </c>
      <c r="L609">
        <v>10</v>
      </c>
      <c r="M609">
        <v>3</v>
      </c>
      <c r="N609" t="s">
        <v>125</v>
      </c>
      <c r="O609" t="s">
        <v>127</v>
      </c>
      <c r="P609" t="s">
        <v>211</v>
      </c>
      <c r="Q609">
        <f t="shared" si="173"/>
        <v>2</v>
      </c>
      <c r="R609" t="str">
        <f t="shared" si="162"/>
        <v>3-2024</v>
      </c>
      <c r="S609" t="s">
        <v>117</v>
      </c>
      <c r="T609" t="str">
        <f t="shared" si="163"/>
        <v>Monday</v>
      </c>
      <c r="U609">
        <f t="shared" si="164"/>
        <v>1</v>
      </c>
      <c r="V609" s="24">
        <f>IFERROR(Table2[[#This Row],[Gray Min]]/Table2[[#This Row],[ClassLength]],"")</f>
        <v>0.42105263157894735</v>
      </c>
      <c r="W609" s="24">
        <f>IFERROR(Table2[[#This Row],[Blue Min]]/Table2[[#This Row],[ClassLength]],"")</f>
        <v>0.19298245614035087</v>
      </c>
      <c r="X609" s="24">
        <f>IFERROR(Table2[[#This Row],[Green Min]]/Table2[[#This Row],[ClassLength]],"")</f>
        <v>0.15789473684210525</v>
      </c>
      <c r="Y609" s="24">
        <f>IFERROR(Table2[[#This Row],[Orange Min]]/Table2[[#This Row],[ClassLength]],"")</f>
        <v>0.17543859649122806</v>
      </c>
      <c r="Z609" s="24">
        <f>IFERROR(Table2[[#This Row],[Red Min]]/Table2[[#This Row],[ClassLength]],"")</f>
        <v>5.2631578947368418E-2</v>
      </c>
      <c r="AA609" s="25">
        <v>232.14</v>
      </c>
      <c r="AB609" s="25">
        <f t="shared" si="175"/>
        <v>17.856923076923074</v>
      </c>
      <c r="AC609" s="26">
        <f t="shared" si="165"/>
        <v>629.30769230769226</v>
      </c>
      <c r="AD609" s="26">
        <f t="shared" si="166"/>
        <v>13</v>
      </c>
      <c r="AE609">
        <f t="shared" si="167"/>
        <v>2024</v>
      </c>
      <c r="AG609">
        <v>12</v>
      </c>
      <c r="AH609" s="26">
        <f t="shared" si="168"/>
        <v>9.6315789473684212</v>
      </c>
      <c r="AI609" t="str">
        <f t="shared" si="169"/>
        <v>PM</v>
      </c>
      <c r="AJ609" t="str">
        <f t="shared" si="170"/>
        <v>3-2024-4</v>
      </c>
      <c r="AK609">
        <f t="shared" si="171"/>
        <v>3</v>
      </c>
      <c r="AL609" s="26">
        <f>IFERROR(Table2[[#This Row],[Calories]]/Table2[[#This Row],[Splat]],"")</f>
        <v>42.230769230769234</v>
      </c>
      <c r="AM609">
        <f>COUNTIF(N$2:$N$938,N609)</f>
        <v>258</v>
      </c>
      <c r="AN609" t="str">
        <f>VLOOKUP(N609,'Helpful Tables'!A:D,4,FALSE)</f>
        <v>Oregon</v>
      </c>
      <c r="AO609" s="24">
        <f>COUNTIF(AN:AN,Table2[[#This Row],[State]])/COUNTA(AN:AN)</f>
        <v>0.36140724946695096</v>
      </c>
      <c r="AP609">
        <f>VLOOKUP(N609,'Helpful Tables'!A:B,2,FALSE)</f>
        <v>45.534162000000002</v>
      </c>
      <c r="AQ609">
        <f>VLOOKUP(N609,'Helpful Tables'!A:C,3,FALSE)</f>
        <v>-122.69670000000001</v>
      </c>
      <c r="AR609">
        <f>COUNTIF(P$2:$P$938,P609)</f>
        <v>3</v>
      </c>
      <c r="AS609" cm="1">
        <f t="array" ref="AS609">_xlfn.IFS(E609&lt;6,((E609/D609)*60)*0.5,AND(E609&gt;=6,E609&lt;9),((E609/D609)*60)*0.75,AND(E609&gt;=9,E609&lt;=11),((E609/D609)*60)*0.9,AND(E609=12),((E609/D609)*60)*1,AND(E609&gt;=13,E609&lt;=15),((E609/D609)*60)*1.2,AND(E609&gt;=16,E609&lt;=19),((E609/D609)*60)*1.5,E609&gt;=20,((E609/D609)*60)*1.8)</f>
        <v>16.421052631578945</v>
      </c>
      <c r="AT609" cm="1">
        <f t="array" ref="AT609">_xlfn.IFS(F609&lt;550,((F609/D609)*60)*0.5,AND(F609&gt;=550,F609&lt;575),((F609/D609)*60)*0.75,AND(F609&gt;=575,F609&lt;600),((F609/D609)*60)*0.9,AND(F609=600),((F609/D609)*60)*1,AND(F609&gt;=601,F609&lt;=625),((F609/D609)*60)*1.2,AND(F609&gt;=626,F609&lt;=650),((F609/D609)*60)*1.5,F609&gt;=651,((F609/D609)*60)*1.8)</f>
        <v>288.94736842105266</v>
      </c>
      <c r="AU609">
        <f t="shared" si="176"/>
        <v>-12.600000000000001</v>
      </c>
      <c r="AV609">
        <f t="shared" si="174"/>
        <v>119.62736842105265</v>
      </c>
      <c r="AW609">
        <f t="shared" si="177"/>
        <v>6.9</v>
      </c>
      <c r="AX609" t="str">
        <f t="shared" si="172"/>
        <v>Mar-2024</v>
      </c>
      <c r="AY609">
        <f>ROUNDUP(Table2[[#This Row],[Month]]/3,0)</f>
        <v>1</v>
      </c>
    </row>
    <row r="610" spans="1:51" x14ac:dyDescent="0.2">
      <c r="A610">
        <v>609</v>
      </c>
      <c r="B610">
        <f t="shared" si="161"/>
        <v>13</v>
      </c>
      <c r="C610" s="22">
        <v>45371</v>
      </c>
      <c r="D610">
        <f>SUM(Table2[[#This Row],[Gray Min]:[Red Min]])</f>
        <v>59</v>
      </c>
      <c r="E610">
        <v>15</v>
      </c>
      <c r="F610">
        <v>665</v>
      </c>
      <c r="G610">
        <v>129</v>
      </c>
      <c r="H610">
        <v>166</v>
      </c>
      <c r="I610">
        <v>11</v>
      </c>
      <c r="J610">
        <v>14</v>
      </c>
      <c r="K610">
        <v>19</v>
      </c>
      <c r="L610">
        <v>14</v>
      </c>
      <c r="M610">
        <v>1</v>
      </c>
      <c r="N610" t="s">
        <v>125</v>
      </c>
      <c r="O610" t="s">
        <v>127</v>
      </c>
      <c r="P610" t="s">
        <v>210</v>
      </c>
      <c r="Q610">
        <f t="shared" si="173"/>
        <v>2</v>
      </c>
      <c r="R610" t="str">
        <f t="shared" si="162"/>
        <v>3-2024</v>
      </c>
      <c r="S610" t="s">
        <v>117</v>
      </c>
      <c r="T610" t="str">
        <f t="shared" si="163"/>
        <v>Wednesday</v>
      </c>
      <c r="U610">
        <f t="shared" si="164"/>
        <v>1</v>
      </c>
      <c r="V610" s="24">
        <f>IFERROR(Table2[[#This Row],[Gray Min]]/Table2[[#This Row],[ClassLength]],"")</f>
        <v>0.1864406779661017</v>
      </c>
      <c r="W610" s="24">
        <f>IFERROR(Table2[[#This Row],[Blue Min]]/Table2[[#This Row],[ClassLength]],"")</f>
        <v>0.23728813559322035</v>
      </c>
      <c r="X610" s="24">
        <f>IFERROR(Table2[[#This Row],[Green Min]]/Table2[[#This Row],[ClassLength]],"")</f>
        <v>0.32203389830508472</v>
      </c>
      <c r="Y610" s="24">
        <f>IFERROR(Table2[[#This Row],[Orange Min]]/Table2[[#This Row],[ClassLength]],"")</f>
        <v>0.23728813559322035</v>
      </c>
      <c r="Z610" s="24">
        <f>IFERROR(Table2[[#This Row],[Red Min]]/Table2[[#This Row],[ClassLength]],"")</f>
        <v>1.6949152542372881E-2</v>
      </c>
      <c r="AA610" s="25">
        <v>232.14</v>
      </c>
      <c r="AB610" s="25">
        <f t="shared" si="175"/>
        <v>17.856923076923074</v>
      </c>
      <c r="AC610" s="26">
        <f t="shared" si="165"/>
        <v>629.30769230769226</v>
      </c>
      <c r="AD610" s="26">
        <f t="shared" si="166"/>
        <v>13</v>
      </c>
      <c r="AE610">
        <f t="shared" si="167"/>
        <v>2024</v>
      </c>
      <c r="AG610">
        <v>12</v>
      </c>
      <c r="AH610" s="26">
        <f t="shared" si="168"/>
        <v>11.271186440677965</v>
      </c>
      <c r="AI610" t="str">
        <f t="shared" si="169"/>
        <v>PM</v>
      </c>
      <c r="AJ610" t="str">
        <f t="shared" si="170"/>
        <v>3-2024-4</v>
      </c>
      <c r="AK610">
        <f t="shared" si="171"/>
        <v>3</v>
      </c>
      <c r="AL610" s="26">
        <f>IFERROR(Table2[[#This Row],[Calories]]/Table2[[#This Row],[Splat]],"")</f>
        <v>44.333333333333336</v>
      </c>
      <c r="AM610">
        <f>COUNTIF(N$2:$N$938,N610)</f>
        <v>258</v>
      </c>
      <c r="AN610" t="str">
        <f>VLOOKUP(N610,'Helpful Tables'!A:D,4,FALSE)</f>
        <v>Oregon</v>
      </c>
      <c r="AO610" s="24">
        <f>COUNTIF(AN:AN,Table2[[#This Row],[State]])/COUNTA(AN:AN)</f>
        <v>0.36140724946695096</v>
      </c>
      <c r="AP610">
        <f>VLOOKUP(N610,'Helpful Tables'!A:B,2,FALSE)</f>
        <v>45.534162000000002</v>
      </c>
      <c r="AQ610">
        <f>VLOOKUP(N610,'Helpful Tables'!A:C,3,FALSE)</f>
        <v>-122.69670000000001</v>
      </c>
      <c r="AR610">
        <f>COUNTIF(P$2:$P$938,P610)</f>
        <v>16</v>
      </c>
      <c r="AS610" cm="1">
        <f t="array" ref="AS610">_xlfn.IFS(E610&lt;6,((E610/D610)*60)*0.5,AND(E610&gt;=6,E610&lt;9),((E610/D610)*60)*0.75,AND(E610&gt;=9,E610&lt;=11),((E610/D610)*60)*0.9,AND(E610=12),((E610/D610)*60)*1,AND(E610&gt;=13,E610&lt;=15),((E610/D610)*60)*1.2,AND(E610&gt;=16,E610&lt;=19),((E610/D610)*60)*1.5,E610&gt;=20,((E610/D610)*60)*1.8)</f>
        <v>18.305084745762709</v>
      </c>
      <c r="AT610" cm="1">
        <f t="array" ref="AT610">_xlfn.IFS(F610&lt;550,((F610/D610)*60)*0.5,AND(F610&gt;=550,F610&lt;575),((F610/D610)*60)*0.75,AND(F610&gt;=575,F610&lt;600),((F610/D610)*60)*0.9,AND(F610=600),((F610/D610)*60)*1,AND(F610&gt;=601,F610&lt;=625),((F610/D610)*60)*1.2,AND(F610&gt;=626,F610&lt;=650),((F610/D610)*60)*1.5,F610&gt;=651,((F610/D610)*60)*1.8)</f>
        <v>1217.2881355932202</v>
      </c>
      <c r="AU610">
        <f t="shared" si="176"/>
        <v>13.899999999999999</v>
      </c>
      <c r="AV610">
        <f t="shared" si="174"/>
        <v>497.01728813559316</v>
      </c>
      <c r="AW610">
        <f t="shared" si="177"/>
        <v>76.900000000000006</v>
      </c>
      <c r="AX610" t="str">
        <f t="shared" si="172"/>
        <v>Mar-2024</v>
      </c>
      <c r="AY610">
        <f>ROUNDUP(Table2[[#This Row],[Month]]/3,0)</f>
        <v>1</v>
      </c>
    </row>
    <row r="611" spans="1:51" x14ac:dyDescent="0.2">
      <c r="A611">
        <v>610</v>
      </c>
      <c r="B611">
        <f t="shared" si="161"/>
        <v>13</v>
      </c>
      <c r="C611" s="22">
        <v>45373</v>
      </c>
      <c r="D611">
        <f>SUM(Table2[[#This Row],[Gray Min]:[Red Min]])</f>
        <v>64</v>
      </c>
      <c r="E611">
        <v>14</v>
      </c>
      <c r="F611">
        <v>666</v>
      </c>
      <c r="G611">
        <v>122</v>
      </c>
      <c r="H611">
        <v>161</v>
      </c>
      <c r="I611">
        <v>20</v>
      </c>
      <c r="J611">
        <v>16</v>
      </c>
      <c r="K611">
        <v>14</v>
      </c>
      <c r="L611">
        <v>14</v>
      </c>
      <c r="M611">
        <v>0</v>
      </c>
      <c r="N611" t="s">
        <v>125</v>
      </c>
      <c r="O611" t="s">
        <v>127</v>
      </c>
      <c r="P611" t="s">
        <v>212</v>
      </c>
      <c r="Q611">
        <f t="shared" si="173"/>
        <v>2</v>
      </c>
      <c r="R611" t="str">
        <f t="shared" si="162"/>
        <v>3-2024</v>
      </c>
      <c r="S611" t="s">
        <v>104</v>
      </c>
      <c r="T611" t="str">
        <f t="shared" si="163"/>
        <v>Friday</v>
      </c>
      <c r="U611">
        <f t="shared" si="164"/>
        <v>1</v>
      </c>
      <c r="V611" s="24">
        <f>IFERROR(Table2[[#This Row],[Gray Min]]/Table2[[#This Row],[ClassLength]],"")</f>
        <v>0.3125</v>
      </c>
      <c r="W611" s="24">
        <f>IFERROR(Table2[[#This Row],[Blue Min]]/Table2[[#This Row],[ClassLength]],"")</f>
        <v>0.25</v>
      </c>
      <c r="X611" s="24">
        <f>IFERROR(Table2[[#This Row],[Green Min]]/Table2[[#This Row],[ClassLength]],"")</f>
        <v>0.21875</v>
      </c>
      <c r="Y611" s="24">
        <f>IFERROR(Table2[[#This Row],[Orange Min]]/Table2[[#This Row],[ClassLength]],"")</f>
        <v>0.21875</v>
      </c>
      <c r="Z611" s="24">
        <f>IFERROR(Table2[[#This Row],[Red Min]]/Table2[[#This Row],[ClassLength]],"")</f>
        <v>0</v>
      </c>
      <c r="AA611" s="25">
        <v>232.14</v>
      </c>
      <c r="AB611" s="25">
        <f t="shared" si="175"/>
        <v>17.856923076923074</v>
      </c>
      <c r="AC611" s="26">
        <f t="shared" si="165"/>
        <v>629.30769230769226</v>
      </c>
      <c r="AD611" s="26">
        <f t="shared" si="166"/>
        <v>13</v>
      </c>
      <c r="AE611">
        <f t="shared" si="167"/>
        <v>2024</v>
      </c>
      <c r="AG611">
        <v>12</v>
      </c>
      <c r="AH611" s="26">
        <f t="shared" si="168"/>
        <v>10.40625</v>
      </c>
      <c r="AI611" t="str">
        <f t="shared" si="169"/>
        <v>PM</v>
      </c>
      <c r="AJ611" t="str">
        <f t="shared" si="170"/>
        <v>3-2024-4</v>
      </c>
      <c r="AK611">
        <f t="shared" si="171"/>
        <v>3</v>
      </c>
      <c r="AL611" s="26">
        <f>IFERROR(Table2[[#This Row],[Calories]]/Table2[[#This Row],[Splat]],"")</f>
        <v>47.571428571428569</v>
      </c>
      <c r="AM611">
        <f>COUNTIF(N$2:$N$938,N611)</f>
        <v>258</v>
      </c>
      <c r="AN611" t="str">
        <f>VLOOKUP(N611,'Helpful Tables'!A:D,4,FALSE)</f>
        <v>Oregon</v>
      </c>
      <c r="AO611" s="24">
        <f>COUNTIF(AN:AN,Table2[[#This Row],[State]])/COUNTA(AN:AN)</f>
        <v>0.36140724946695096</v>
      </c>
      <c r="AP611">
        <f>VLOOKUP(N611,'Helpful Tables'!A:B,2,FALSE)</f>
        <v>45.534162000000002</v>
      </c>
      <c r="AQ611">
        <f>VLOOKUP(N611,'Helpful Tables'!A:C,3,FALSE)</f>
        <v>-122.69670000000001</v>
      </c>
      <c r="AR611">
        <f>COUNTIF(P$2:$P$938,P611)</f>
        <v>5</v>
      </c>
      <c r="AS611" cm="1">
        <f t="array" ref="AS611">_xlfn.IFS(E611&lt;6,((E611/D611)*60)*0.5,AND(E611&gt;=6,E611&lt;9),((E611/D611)*60)*0.75,AND(E611&gt;=9,E611&lt;=11),((E611/D611)*60)*0.9,AND(E611=12),((E611/D611)*60)*1,AND(E611&gt;=13,E611&lt;=15),((E611/D611)*60)*1.2,AND(E611&gt;=16,E611&lt;=19),((E611/D611)*60)*1.5,E611&gt;=20,((E611/D611)*60)*1.8)</f>
        <v>15.75</v>
      </c>
      <c r="AT611" cm="1">
        <f t="array" ref="AT611">_xlfn.IFS(F611&lt;550,((F611/D611)*60)*0.5,AND(F611&gt;=550,F611&lt;575),((F611/D611)*60)*0.75,AND(F611&gt;=575,F611&lt;600),((F611/D611)*60)*0.9,AND(F611=600),((F611/D611)*60)*1,AND(F611&gt;=601,F611&lt;=625),((F611/D611)*60)*1.2,AND(F611&gt;=626,F611&lt;=650),((F611/D611)*60)*1.5,F611&gt;=651,((F611/D611)*60)*1.8)</f>
        <v>1123.875</v>
      </c>
      <c r="AU611">
        <f t="shared" si="176"/>
        <v>-6.6000000000000014</v>
      </c>
      <c r="AV611">
        <f t="shared" si="174"/>
        <v>454.53000000000003</v>
      </c>
      <c r="AW611">
        <f t="shared" si="177"/>
        <v>65.900000000000006</v>
      </c>
      <c r="AX611" t="str">
        <f t="shared" si="172"/>
        <v>Mar-2024</v>
      </c>
      <c r="AY611">
        <f>ROUNDUP(Table2[[#This Row],[Month]]/3,0)</f>
        <v>1</v>
      </c>
    </row>
    <row r="612" spans="1:51" x14ac:dyDescent="0.2">
      <c r="A612">
        <v>611</v>
      </c>
      <c r="B612">
        <f t="shared" si="161"/>
        <v>13</v>
      </c>
      <c r="C612" s="22">
        <v>45375</v>
      </c>
      <c r="D612">
        <f>SUM(Table2[[#This Row],[Gray Min]:[Red Min]])</f>
        <v>63</v>
      </c>
      <c r="E612">
        <v>16</v>
      </c>
      <c r="F612">
        <v>663</v>
      </c>
      <c r="G612">
        <v>124</v>
      </c>
      <c r="H612">
        <v>166</v>
      </c>
      <c r="I612">
        <v>18</v>
      </c>
      <c r="J612">
        <v>17</v>
      </c>
      <c r="K612">
        <v>12</v>
      </c>
      <c r="L612">
        <v>15</v>
      </c>
      <c r="M612">
        <v>1</v>
      </c>
      <c r="N612" t="s">
        <v>125</v>
      </c>
      <c r="O612" t="s">
        <v>159</v>
      </c>
      <c r="P612" t="s">
        <v>211</v>
      </c>
      <c r="Q612">
        <f t="shared" si="173"/>
        <v>2</v>
      </c>
      <c r="R612" t="str">
        <f t="shared" si="162"/>
        <v>3-2024</v>
      </c>
      <c r="S612" t="s">
        <v>117</v>
      </c>
      <c r="T612" t="str">
        <f t="shared" si="163"/>
        <v>Sunday</v>
      </c>
      <c r="U612">
        <f t="shared" si="164"/>
        <v>1</v>
      </c>
      <c r="V612" s="24">
        <f>IFERROR(Table2[[#This Row],[Gray Min]]/Table2[[#This Row],[ClassLength]],"")</f>
        <v>0.2857142857142857</v>
      </c>
      <c r="W612" s="24">
        <f>IFERROR(Table2[[#This Row],[Blue Min]]/Table2[[#This Row],[ClassLength]],"")</f>
        <v>0.26984126984126983</v>
      </c>
      <c r="X612" s="24">
        <f>IFERROR(Table2[[#This Row],[Green Min]]/Table2[[#This Row],[ClassLength]],"")</f>
        <v>0.19047619047619047</v>
      </c>
      <c r="Y612" s="24">
        <f>IFERROR(Table2[[#This Row],[Orange Min]]/Table2[[#This Row],[ClassLength]],"")</f>
        <v>0.23809523809523808</v>
      </c>
      <c r="Z612" s="24">
        <f>IFERROR(Table2[[#This Row],[Red Min]]/Table2[[#This Row],[ClassLength]],"")</f>
        <v>1.5873015873015872E-2</v>
      </c>
      <c r="AA612" s="25">
        <v>232.14</v>
      </c>
      <c r="AB612" s="25">
        <f t="shared" si="175"/>
        <v>17.856923076923074</v>
      </c>
      <c r="AC612" s="26">
        <f t="shared" si="165"/>
        <v>629.30769230769226</v>
      </c>
      <c r="AD612" s="26">
        <f t="shared" si="166"/>
        <v>13</v>
      </c>
      <c r="AE612">
        <f t="shared" si="167"/>
        <v>2024</v>
      </c>
      <c r="AG612">
        <v>12</v>
      </c>
      <c r="AH612" s="26">
        <f t="shared" si="168"/>
        <v>10.523809523809524</v>
      </c>
      <c r="AI612" t="str">
        <f t="shared" si="169"/>
        <v>AM</v>
      </c>
      <c r="AJ612" t="str">
        <f t="shared" si="170"/>
        <v>3-2024-5</v>
      </c>
      <c r="AK612">
        <f t="shared" si="171"/>
        <v>3</v>
      </c>
      <c r="AL612" s="26">
        <f>IFERROR(Table2[[#This Row],[Calories]]/Table2[[#This Row],[Splat]],"")</f>
        <v>41.4375</v>
      </c>
      <c r="AM612">
        <f>COUNTIF(N$2:$N$938,N612)</f>
        <v>258</v>
      </c>
      <c r="AN612" t="str">
        <f>VLOOKUP(N612,'Helpful Tables'!A:D,4,FALSE)</f>
        <v>Oregon</v>
      </c>
      <c r="AO612" s="24">
        <f>COUNTIF(AN:AN,Table2[[#This Row],[State]])/COUNTA(AN:AN)</f>
        <v>0.36140724946695096</v>
      </c>
      <c r="AP612">
        <f>VLOOKUP(N612,'Helpful Tables'!A:B,2,FALSE)</f>
        <v>45.534162000000002</v>
      </c>
      <c r="AQ612">
        <f>VLOOKUP(N612,'Helpful Tables'!A:C,3,FALSE)</f>
        <v>-122.69670000000001</v>
      </c>
      <c r="AR612">
        <f>COUNTIF(P$2:$P$938,P612)</f>
        <v>3</v>
      </c>
      <c r="AS612" cm="1">
        <f t="array" ref="AS612">_xlfn.IFS(E612&lt;6,((E612/D612)*60)*0.5,AND(E612&gt;=6,E612&lt;9),((E612/D612)*60)*0.75,AND(E612&gt;=9,E612&lt;=11),((E612/D612)*60)*0.9,AND(E612=12),((E612/D612)*60)*1,AND(E612&gt;=13,E612&lt;=15),((E612/D612)*60)*1.2,AND(E612&gt;=16,E612&lt;=19),((E612/D612)*60)*1.5,E612&gt;=20,((E612/D612)*60)*1.8)</f>
        <v>22.857142857142854</v>
      </c>
      <c r="AT612" cm="1">
        <f t="array" ref="AT612">_xlfn.IFS(F612&lt;550,((F612/D612)*60)*0.5,AND(F612&gt;=550,F612&lt;575),((F612/D612)*60)*0.75,AND(F612&gt;=575,F612&lt;600),((F612/D612)*60)*0.9,AND(F612=600),((F612/D612)*60)*1,AND(F612&gt;=601,F612&lt;=625),((F612/D612)*60)*1.2,AND(F612&gt;=626,F612&lt;=650),((F612/D612)*60)*1.5,F612&gt;=651,((F612/D612)*60)*1.8)</f>
        <v>1136.5714285714287</v>
      </c>
      <c r="AU612">
        <f t="shared" si="176"/>
        <v>-4.8999999999999986</v>
      </c>
      <c r="AV612">
        <f t="shared" si="174"/>
        <v>462.79142857142864</v>
      </c>
      <c r="AW612">
        <f t="shared" si="177"/>
        <v>66.5</v>
      </c>
      <c r="AX612" t="str">
        <f t="shared" si="172"/>
        <v>Mar-2024</v>
      </c>
      <c r="AY612">
        <f>ROUNDUP(Table2[[#This Row],[Month]]/3,0)</f>
        <v>1</v>
      </c>
    </row>
    <row r="613" spans="1:51" x14ac:dyDescent="0.2">
      <c r="A613">
        <v>612</v>
      </c>
      <c r="B613">
        <f t="shared" si="161"/>
        <v>13</v>
      </c>
      <c r="C613" s="22">
        <v>45377</v>
      </c>
      <c r="D613">
        <f>SUM(Table2[[#This Row],[Gray Min]:[Red Min]])</f>
        <v>56</v>
      </c>
      <c r="E613">
        <v>10</v>
      </c>
      <c r="F613">
        <v>565</v>
      </c>
      <c r="G613">
        <v>120</v>
      </c>
      <c r="H613">
        <v>155</v>
      </c>
      <c r="I613">
        <v>17</v>
      </c>
      <c r="J613">
        <v>18</v>
      </c>
      <c r="K613">
        <v>11</v>
      </c>
      <c r="L613">
        <v>10</v>
      </c>
      <c r="M613">
        <v>0</v>
      </c>
      <c r="N613" t="s">
        <v>125</v>
      </c>
      <c r="O613" t="s">
        <v>127</v>
      </c>
      <c r="P613" t="s">
        <v>126</v>
      </c>
      <c r="Q613">
        <f t="shared" si="173"/>
        <v>2</v>
      </c>
      <c r="R613" t="str">
        <f t="shared" si="162"/>
        <v>3-2024</v>
      </c>
      <c r="S613" t="s">
        <v>104</v>
      </c>
      <c r="T613" t="str">
        <f t="shared" si="163"/>
        <v>Tuesday</v>
      </c>
      <c r="U613">
        <f t="shared" si="164"/>
        <v>0</v>
      </c>
      <c r="V613" s="24">
        <f>IFERROR(Table2[[#This Row],[Gray Min]]/Table2[[#This Row],[ClassLength]],"")</f>
        <v>0.30357142857142855</v>
      </c>
      <c r="W613" s="24">
        <f>IFERROR(Table2[[#This Row],[Blue Min]]/Table2[[#This Row],[ClassLength]],"")</f>
        <v>0.32142857142857145</v>
      </c>
      <c r="X613" s="24">
        <f>IFERROR(Table2[[#This Row],[Green Min]]/Table2[[#This Row],[ClassLength]],"")</f>
        <v>0.19642857142857142</v>
      </c>
      <c r="Y613" s="24">
        <f>IFERROR(Table2[[#This Row],[Orange Min]]/Table2[[#This Row],[ClassLength]],"")</f>
        <v>0.17857142857142858</v>
      </c>
      <c r="Z613" s="24">
        <f>IFERROR(Table2[[#This Row],[Red Min]]/Table2[[#This Row],[ClassLength]],"")</f>
        <v>0</v>
      </c>
      <c r="AA613" s="25">
        <v>232.14</v>
      </c>
      <c r="AB613" s="25">
        <f t="shared" si="175"/>
        <v>17.856923076923074</v>
      </c>
      <c r="AC613" s="26">
        <f t="shared" si="165"/>
        <v>629.30769230769226</v>
      </c>
      <c r="AD613" s="26">
        <f t="shared" si="166"/>
        <v>13</v>
      </c>
      <c r="AE613">
        <f t="shared" si="167"/>
        <v>2024</v>
      </c>
      <c r="AG613">
        <v>12</v>
      </c>
      <c r="AH613" s="26">
        <f t="shared" si="168"/>
        <v>10.089285714285714</v>
      </c>
      <c r="AI613" t="str">
        <f t="shared" si="169"/>
        <v>PM</v>
      </c>
      <c r="AJ613" t="str">
        <f t="shared" si="170"/>
        <v>3-2024-5</v>
      </c>
      <c r="AK613">
        <f t="shared" si="171"/>
        <v>3</v>
      </c>
      <c r="AL613" s="26">
        <f>IFERROR(Table2[[#This Row],[Calories]]/Table2[[#This Row],[Splat]],"")</f>
        <v>56.5</v>
      </c>
      <c r="AM613">
        <f>COUNTIF(N$2:$N$938,N613)</f>
        <v>258</v>
      </c>
      <c r="AN613" t="str">
        <f>VLOOKUP(N613,'Helpful Tables'!A:D,4,FALSE)</f>
        <v>Oregon</v>
      </c>
      <c r="AO613" s="24">
        <f>COUNTIF(AN:AN,Table2[[#This Row],[State]])/COUNTA(AN:AN)</f>
        <v>0.36140724946695096</v>
      </c>
      <c r="AP613">
        <f>VLOOKUP(N613,'Helpful Tables'!A:B,2,FALSE)</f>
        <v>45.534162000000002</v>
      </c>
      <c r="AQ613">
        <f>VLOOKUP(N613,'Helpful Tables'!A:C,3,FALSE)</f>
        <v>-122.69670000000001</v>
      </c>
      <c r="AR613">
        <f>COUNTIF(P$2:$P$938,P613)</f>
        <v>11</v>
      </c>
      <c r="AS613" cm="1">
        <f t="array" ref="AS613">_xlfn.IFS(E613&lt;6,((E613/D613)*60)*0.5,AND(E613&gt;=6,E613&lt;9),((E613/D613)*60)*0.75,AND(E613&gt;=9,E613&lt;=11),((E613/D613)*60)*0.9,AND(E613=12),((E613/D613)*60)*1,AND(E613&gt;=13,E613&lt;=15),((E613/D613)*60)*1.2,AND(E613&gt;=16,E613&lt;=19),((E613/D613)*60)*1.5,E613&gt;=20,((E613/D613)*60)*1.8)</f>
        <v>9.6428571428571441</v>
      </c>
      <c r="AT613" cm="1">
        <f t="array" ref="AT613">_xlfn.IFS(F613&lt;550,((F613/D613)*60)*0.5,AND(F613&gt;=550,F613&lt;575),((F613/D613)*60)*0.75,AND(F613&gt;=575,F613&lt;600),((F613/D613)*60)*0.9,AND(F613=600),((F613/D613)*60)*1,AND(F613&gt;=601,F613&lt;=625),((F613/D613)*60)*1.2,AND(F613&gt;=626,F613&lt;=650),((F613/D613)*60)*1.5,F613&gt;=651,((F613/D613)*60)*1.8)</f>
        <v>454.01785714285711</v>
      </c>
      <c r="AU613">
        <f t="shared" si="176"/>
        <v>-14.000000000000004</v>
      </c>
      <c r="AV613">
        <f t="shared" si="174"/>
        <v>182.66428571428571</v>
      </c>
      <c r="AW613">
        <f t="shared" si="177"/>
        <v>11.200000000000001</v>
      </c>
      <c r="AX613" t="str">
        <f t="shared" si="172"/>
        <v>Mar-2024</v>
      </c>
      <c r="AY613">
        <f>ROUNDUP(Table2[[#This Row],[Month]]/3,0)</f>
        <v>1</v>
      </c>
    </row>
    <row r="614" spans="1:51" x14ac:dyDescent="0.2">
      <c r="A614">
        <v>613</v>
      </c>
      <c r="B614">
        <f t="shared" si="161"/>
        <v>13</v>
      </c>
      <c r="C614" s="22">
        <v>45379</v>
      </c>
      <c r="D614">
        <f>SUM(Table2[[#This Row],[Gray Min]:[Red Min]])</f>
        <v>62</v>
      </c>
      <c r="E614">
        <v>15</v>
      </c>
      <c r="F614">
        <v>705</v>
      </c>
      <c r="G614">
        <v>129</v>
      </c>
      <c r="H614">
        <v>166</v>
      </c>
      <c r="I614">
        <v>10</v>
      </c>
      <c r="J614">
        <v>15</v>
      </c>
      <c r="K614">
        <v>22</v>
      </c>
      <c r="L614">
        <v>14</v>
      </c>
      <c r="M614">
        <v>1</v>
      </c>
      <c r="N614" t="s">
        <v>125</v>
      </c>
      <c r="O614" t="s">
        <v>127</v>
      </c>
      <c r="P614" t="s">
        <v>207</v>
      </c>
      <c r="Q614">
        <f t="shared" si="173"/>
        <v>2</v>
      </c>
      <c r="R614" t="str">
        <f t="shared" si="162"/>
        <v>3-2024</v>
      </c>
      <c r="S614" t="s">
        <v>104</v>
      </c>
      <c r="T614" t="str">
        <f t="shared" si="163"/>
        <v>Thursday</v>
      </c>
      <c r="U614">
        <f t="shared" si="164"/>
        <v>1</v>
      </c>
      <c r="V614" s="24">
        <f>IFERROR(Table2[[#This Row],[Gray Min]]/Table2[[#This Row],[ClassLength]],"")</f>
        <v>0.16129032258064516</v>
      </c>
      <c r="W614" s="24">
        <f>IFERROR(Table2[[#This Row],[Blue Min]]/Table2[[#This Row],[ClassLength]],"")</f>
        <v>0.24193548387096775</v>
      </c>
      <c r="X614" s="24">
        <f>IFERROR(Table2[[#This Row],[Green Min]]/Table2[[#This Row],[ClassLength]],"")</f>
        <v>0.35483870967741937</v>
      </c>
      <c r="Y614" s="24">
        <f>IFERROR(Table2[[#This Row],[Orange Min]]/Table2[[#This Row],[ClassLength]],"")</f>
        <v>0.22580645161290322</v>
      </c>
      <c r="Z614" s="24">
        <f>IFERROR(Table2[[#This Row],[Red Min]]/Table2[[#This Row],[ClassLength]],"")</f>
        <v>1.6129032258064516E-2</v>
      </c>
      <c r="AA614" s="25">
        <v>232.14</v>
      </c>
      <c r="AB614" s="25">
        <f t="shared" si="175"/>
        <v>17.856923076923074</v>
      </c>
      <c r="AC614" s="26">
        <f t="shared" si="165"/>
        <v>629.30769230769226</v>
      </c>
      <c r="AD614" s="26">
        <f t="shared" si="166"/>
        <v>13</v>
      </c>
      <c r="AE614">
        <f t="shared" si="167"/>
        <v>2024</v>
      </c>
      <c r="AG614">
        <v>12</v>
      </c>
      <c r="AH614" s="26">
        <f t="shared" si="168"/>
        <v>11.370967741935484</v>
      </c>
      <c r="AI614" t="str">
        <f t="shared" si="169"/>
        <v>PM</v>
      </c>
      <c r="AJ614" t="str">
        <f t="shared" si="170"/>
        <v>3-2024-5</v>
      </c>
      <c r="AK614">
        <f t="shared" si="171"/>
        <v>3</v>
      </c>
      <c r="AL614" s="26">
        <f>IFERROR(Table2[[#This Row],[Calories]]/Table2[[#This Row],[Splat]],"")</f>
        <v>47</v>
      </c>
      <c r="AM614">
        <f>COUNTIF(N$2:$N$938,N614)</f>
        <v>258</v>
      </c>
      <c r="AN614" t="str">
        <f>VLOOKUP(N614,'Helpful Tables'!A:D,4,FALSE)</f>
        <v>Oregon</v>
      </c>
      <c r="AO614" s="24">
        <f>COUNTIF(AN:AN,Table2[[#This Row],[State]])/COUNTA(AN:AN)</f>
        <v>0.36140724946695096</v>
      </c>
      <c r="AP614">
        <f>VLOOKUP(N614,'Helpful Tables'!A:B,2,FALSE)</f>
        <v>45.534162000000002</v>
      </c>
      <c r="AQ614">
        <f>VLOOKUP(N614,'Helpful Tables'!A:C,3,FALSE)</f>
        <v>-122.69670000000001</v>
      </c>
      <c r="AR614">
        <f>COUNTIF(P$2:$P$938,P614)</f>
        <v>10</v>
      </c>
      <c r="AS614" cm="1">
        <f t="array" ref="AS614">_xlfn.IFS(E614&lt;6,((E614/D614)*60)*0.5,AND(E614&gt;=6,E614&lt;9),((E614/D614)*60)*0.75,AND(E614&gt;=9,E614&lt;=11),((E614/D614)*60)*0.9,AND(E614=12),((E614/D614)*60)*1,AND(E614&gt;=13,E614&lt;=15),((E614/D614)*60)*1.2,AND(E614&gt;=16,E614&lt;=19),((E614/D614)*60)*1.5,E614&gt;=20,((E614/D614)*60)*1.8)</f>
        <v>17.419354838709676</v>
      </c>
      <c r="AT614" cm="1">
        <f t="array" ref="AT614">_xlfn.IFS(F614&lt;550,((F614/D614)*60)*0.5,AND(F614&gt;=550,F614&lt;575),((F614/D614)*60)*0.75,AND(F614&gt;=575,F614&lt;600),((F614/D614)*60)*0.9,AND(F614=600),((F614/D614)*60)*1,AND(F614&gt;=601,F614&lt;=625),((F614/D614)*60)*1.2,AND(F614&gt;=626,F614&lt;=650),((F614/D614)*60)*1.5,F614&gt;=651,((F614/D614)*60)*1.8)</f>
        <v>1228.0645161290322</v>
      </c>
      <c r="AU614">
        <f t="shared" si="176"/>
        <v>17.599999999999998</v>
      </c>
      <c r="AV614">
        <f t="shared" si="174"/>
        <v>501.71354838709675</v>
      </c>
      <c r="AW614">
        <f t="shared" si="177"/>
        <v>79.900000000000006</v>
      </c>
      <c r="AX614" t="str">
        <f t="shared" si="172"/>
        <v>Mar-2024</v>
      </c>
      <c r="AY614">
        <f>ROUNDUP(Table2[[#This Row],[Month]]/3,0)</f>
        <v>1</v>
      </c>
    </row>
    <row r="615" spans="1:51" x14ac:dyDescent="0.2">
      <c r="A615">
        <v>614</v>
      </c>
      <c r="B615">
        <f t="shared" si="161"/>
        <v>13</v>
      </c>
      <c r="C615" s="22">
        <v>45380</v>
      </c>
      <c r="D615">
        <f>SUM(Table2[[#This Row],[Gray Min]:[Red Min]])</f>
        <v>58</v>
      </c>
      <c r="E615">
        <v>13</v>
      </c>
      <c r="F615">
        <v>668</v>
      </c>
      <c r="G615">
        <v>130</v>
      </c>
      <c r="H615">
        <v>167</v>
      </c>
      <c r="I615">
        <v>12</v>
      </c>
      <c r="J615">
        <v>11</v>
      </c>
      <c r="K615">
        <v>22</v>
      </c>
      <c r="L615">
        <v>11</v>
      </c>
      <c r="M615">
        <v>2</v>
      </c>
      <c r="N615" t="s">
        <v>208</v>
      </c>
      <c r="O615" t="s">
        <v>53</v>
      </c>
      <c r="P615" t="s">
        <v>209</v>
      </c>
      <c r="Q615">
        <f t="shared" si="173"/>
        <v>1</v>
      </c>
      <c r="R615" t="str">
        <f t="shared" si="162"/>
        <v>3-2024</v>
      </c>
      <c r="S615" t="s">
        <v>104</v>
      </c>
      <c r="T615" t="str">
        <f t="shared" si="163"/>
        <v>Friday</v>
      </c>
      <c r="U615">
        <f t="shared" si="164"/>
        <v>1</v>
      </c>
      <c r="V615" s="24">
        <f>IFERROR(Table2[[#This Row],[Gray Min]]/Table2[[#This Row],[ClassLength]],"")</f>
        <v>0.20689655172413793</v>
      </c>
      <c r="W615" s="24">
        <f>IFERROR(Table2[[#This Row],[Blue Min]]/Table2[[#This Row],[ClassLength]],"")</f>
        <v>0.18965517241379309</v>
      </c>
      <c r="X615" s="24">
        <f>IFERROR(Table2[[#This Row],[Green Min]]/Table2[[#This Row],[ClassLength]],"")</f>
        <v>0.37931034482758619</v>
      </c>
      <c r="Y615" s="24">
        <f>IFERROR(Table2[[#This Row],[Orange Min]]/Table2[[#This Row],[ClassLength]],"")</f>
        <v>0.18965517241379309</v>
      </c>
      <c r="Z615" s="24">
        <f>IFERROR(Table2[[#This Row],[Red Min]]/Table2[[#This Row],[ClassLength]],"")</f>
        <v>3.4482758620689655E-2</v>
      </c>
      <c r="AA615" s="25">
        <v>232.14</v>
      </c>
      <c r="AB615" s="25">
        <f t="shared" si="175"/>
        <v>17.856923076923074</v>
      </c>
      <c r="AC615" s="26">
        <f t="shared" si="165"/>
        <v>629.30769230769226</v>
      </c>
      <c r="AD615" s="26">
        <f t="shared" si="166"/>
        <v>13</v>
      </c>
      <c r="AE615">
        <f t="shared" si="167"/>
        <v>2024</v>
      </c>
      <c r="AG615">
        <v>12</v>
      </c>
      <c r="AH615" s="26">
        <f t="shared" si="168"/>
        <v>11.517241379310345</v>
      </c>
      <c r="AI615" t="str">
        <f t="shared" si="169"/>
        <v>PM</v>
      </c>
      <c r="AJ615" t="str">
        <f t="shared" si="170"/>
        <v>3-2024-5</v>
      </c>
      <c r="AK615">
        <f t="shared" si="171"/>
        <v>3</v>
      </c>
      <c r="AL615" s="26">
        <f>IFERROR(Table2[[#This Row],[Calories]]/Table2[[#This Row],[Splat]],"")</f>
        <v>51.384615384615387</v>
      </c>
      <c r="AM615">
        <f>COUNTIF(N$2:$N$938,N615)</f>
        <v>78</v>
      </c>
      <c r="AN615" t="str">
        <f>VLOOKUP(N615,'Helpful Tables'!A:D,4,FALSE)</f>
        <v>Oregon</v>
      </c>
      <c r="AO615" s="24">
        <f>COUNTIF(AN:AN,Table2[[#This Row],[State]])/COUNTA(AN:AN)</f>
        <v>0.36140724946695096</v>
      </c>
      <c r="AP615">
        <f>VLOOKUP(N615,'Helpful Tables'!A:B,2,FALSE)</f>
        <v>45.525092999999998</v>
      </c>
      <c r="AQ615">
        <f>VLOOKUP(N615,'Helpful Tables'!A:C,3,FALSE)</f>
        <v>-122.681383</v>
      </c>
      <c r="AR615">
        <f>COUNTIF(P$2:$P$938,P615)</f>
        <v>20</v>
      </c>
      <c r="AS615" cm="1">
        <f t="array" ref="AS615">_xlfn.IFS(E615&lt;6,((E615/D615)*60)*0.5,AND(E615&gt;=6,E615&lt;9),((E615/D615)*60)*0.75,AND(E615&gt;=9,E615&lt;=11),((E615/D615)*60)*0.9,AND(E615=12),((E615/D615)*60)*1,AND(E615&gt;=13,E615&lt;=15),((E615/D615)*60)*1.2,AND(E615&gt;=16,E615&lt;=19),((E615/D615)*60)*1.5,E615&gt;=20,((E615/D615)*60)*1.8)</f>
        <v>16.137931034482758</v>
      </c>
      <c r="AT615" cm="1">
        <f t="array" ref="AT615">_xlfn.IFS(F615&lt;550,((F615/D615)*60)*0.5,AND(F615&gt;=550,F615&lt;575),((F615/D615)*60)*0.75,AND(F615&gt;=575,F615&lt;600),((F615/D615)*60)*0.9,AND(F615=600),((F615/D615)*60)*1,AND(F615&gt;=601,F615&lt;=625),((F615/D615)*60)*1.2,AND(F615&gt;=626,F615&lt;=650),((F615/D615)*60)*1.5,F615&gt;=651,((F615/D615)*60)*1.8)</f>
        <v>1243.8620689655172</v>
      </c>
      <c r="AU615">
        <f t="shared" si="176"/>
        <v>17.2</v>
      </c>
      <c r="AV615">
        <f t="shared" si="174"/>
        <v>507.44</v>
      </c>
      <c r="AW615">
        <f t="shared" si="177"/>
        <v>84.1</v>
      </c>
      <c r="AX615" t="str">
        <f t="shared" si="172"/>
        <v>Mar-2024</v>
      </c>
      <c r="AY615">
        <f>ROUNDUP(Table2[[#This Row],[Month]]/3,0)</f>
        <v>1</v>
      </c>
    </row>
    <row r="616" spans="1:51" x14ac:dyDescent="0.2">
      <c r="A616">
        <v>615</v>
      </c>
      <c r="B616">
        <f t="shared" si="161"/>
        <v>13</v>
      </c>
      <c r="C616" s="22">
        <v>45384</v>
      </c>
      <c r="D616">
        <f>SUM(Table2[[#This Row],[Gray Min]:[Red Min]])</f>
        <v>54</v>
      </c>
      <c r="E616">
        <v>5</v>
      </c>
      <c r="F616">
        <v>528</v>
      </c>
      <c r="G616">
        <v>117</v>
      </c>
      <c r="H616">
        <v>160</v>
      </c>
      <c r="I616">
        <v>17</v>
      </c>
      <c r="J616">
        <v>18</v>
      </c>
      <c r="K616">
        <v>14</v>
      </c>
      <c r="L616">
        <v>5</v>
      </c>
      <c r="M616">
        <v>0</v>
      </c>
      <c r="N616" t="s">
        <v>125</v>
      </c>
      <c r="O616" t="s">
        <v>127</v>
      </c>
      <c r="P616" t="s">
        <v>126</v>
      </c>
      <c r="Q616">
        <f t="shared" si="173"/>
        <v>4</v>
      </c>
      <c r="R616" t="str">
        <f t="shared" si="162"/>
        <v>4-2024</v>
      </c>
      <c r="S616" t="s">
        <v>117</v>
      </c>
      <c r="T616" t="str">
        <f t="shared" si="163"/>
        <v>Tuesday</v>
      </c>
      <c r="U616">
        <f t="shared" si="164"/>
        <v>0</v>
      </c>
      <c r="V616" s="24">
        <f>IFERROR(Table2[[#This Row],[Gray Min]]/Table2[[#This Row],[ClassLength]],"")</f>
        <v>0.31481481481481483</v>
      </c>
      <c r="W616" s="24">
        <f>IFERROR(Table2[[#This Row],[Blue Min]]/Table2[[#This Row],[ClassLength]],"")</f>
        <v>0.33333333333333331</v>
      </c>
      <c r="X616" s="24">
        <f>IFERROR(Table2[[#This Row],[Green Min]]/Table2[[#This Row],[ClassLength]],"")</f>
        <v>0.25925925925925924</v>
      </c>
      <c r="Y616" s="24">
        <f>IFERROR(Table2[[#This Row],[Orange Min]]/Table2[[#This Row],[ClassLength]],"")</f>
        <v>9.2592592592592587E-2</v>
      </c>
      <c r="Z616" s="24">
        <f>IFERROR(Table2[[#This Row],[Red Min]]/Table2[[#This Row],[ClassLength]],"")</f>
        <v>0</v>
      </c>
      <c r="AA616" s="25">
        <v>100</v>
      </c>
      <c r="AB616" s="25">
        <f t="shared" si="175"/>
        <v>7.6923076923076925</v>
      </c>
      <c r="AC616" s="26">
        <f t="shared" si="165"/>
        <v>608.07692307692309</v>
      </c>
      <c r="AD616" s="26">
        <f t="shared" si="166"/>
        <v>13.461538461538462</v>
      </c>
      <c r="AE616">
        <f t="shared" si="167"/>
        <v>2024</v>
      </c>
      <c r="AG616">
        <v>12</v>
      </c>
      <c r="AH616" s="26">
        <f t="shared" si="168"/>
        <v>9.7777777777777786</v>
      </c>
      <c r="AI616" t="str">
        <f t="shared" si="169"/>
        <v>PM</v>
      </c>
      <c r="AJ616" t="str">
        <f t="shared" si="170"/>
        <v>4-2024-1</v>
      </c>
      <c r="AK616">
        <f t="shared" si="171"/>
        <v>4</v>
      </c>
      <c r="AL616" s="26">
        <f>IFERROR(Table2[[#This Row],[Calories]]/Table2[[#This Row],[Splat]],"")</f>
        <v>105.6</v>
      </c>
      <c r="AM616">
        <f>COUNTIF(N$2:$N$938,N616)</f>
        <v>258</v>
      </c>
      <c r="AN616" t="str">
        <f>VLOOKUP(N616,'Helpful Tables'!A:D,4,FALSE)</f>
        <v>Oregon</v>
      </c>
      <c r="AO616" s="24">
        <f>COUNTIF(AN:AN,Table2[[#This Row],[State]])/COUNTA(AN:AN)</f>
        <v>0.36140724946695096</v>
      </c>
      <c r="AP616">
        <f>VLOOKUP(N616,'Helpful Tables'!A:B,2,FALSE)</f>
        <v>45.534162000000002</v>
      </c>
      <c r="AQ616">
        <f>VLOOKUP(N616,'Helpful Tables'!A:C,3,FALSE)</f>
        <v>-122.69670000000001</v>
      </c>
      <c r="AR616">
        <f>COUNTIF(P$2:$P$938,P616)</f>
        <v>11</v>
      </c>
      <c r="AS616" cm="1">
        <f t="array" ref="AS616">_xlfn.IFS(E616&lt;6,((E616/D616)*60)*0.5,AND(E616&gt;=6,E616&lt;9),((E616/D616)*60)*0.75,AND(E616&gt;=9,E616&lt;=11),((E616/D616)*60)*0.9,AND(E616=12),((E616/D616)*60)*1,AND(E616&gt;=13,E616&lt;=15),((E616/D616)*60)*1.2,AND(E616&gt;=16,E616&lt;=19),((E616/D616)*60)*1.5,E616&gt;=20,((E616/D616)*60)*1.8)</f>
        <v>2.7777777777777777</v>
      </c>
      <c r="AT616" cm="1">
        <f t="array" ref="AT616">_xlfn.IFS(F616&lt;550,((F616/D616)*60)*0.5,AND(F616&gt;=550,F616&lt;575),((F616/D616)*60)*0.75,AND(F616&gt;=575,F616&lt;600),((F616/D616)*60)*0.9,AND(F616=600),((F616/D616)*60)*1,AND(F616&gt;=601,F616&lt;=625),((F616/D616)*60)*1.2,AND(F616&gt;=626,F616&lt;=650),((F616/D616)*60)*1.5,F616&gt;=651,((F616/D616)*60)*1.8)</f>
        <v>293.33333333333337</v>
      </c>
      <c r="AU616">
        <f t="shared" si="176"/>
        <v>-16.900000000000002</v>
      </c>
      <c r="AV616">
        <f t="shared" si="174"/>
        <v>115.06444444444448</v>
      </c>
      <c r="AW616">
        <f t="shared" si="177"/>
        <v>5.8000000000000007</v>
      </c>
      <c r="AX616" t="str">
        <f t="shared" si="172"/>
        <v>Apr-2024</v>
      </c>
      <c r="AY616">
        <f>ROUNDUP(Table2[[#This Row],[Month]]/3,0)</f>
        <v>2</v>
      </c>
    </row>
    <row r="617" spans="1:51" x14ac:dyDescent="0.2">
      <c r="A617">
        <v>616</v>
      </c>
      <c r="B617">
        <f t="shared" si="161"/>
        <v>13</v>
      </c>
      <c r="C617" s="22">
        <v>45386</v>
      </c>
      <c r="D617">
        <f>SUM(Table2[[#This Row],[Gray Min]:[Red Min]])</f>
        <v>56</v>
      </c>
      <c r="E617">
        <v>10</v>
      </c>
      <c r="F617">
        <v>566</v>
      </c>
      <c r="G617">
        <v>120</v>
      </c>
      <c r="H617">
        <v>168</v>
      </c>
      <c r="I617">
        <v>21</v>
      </c>
      <c r="J617">
        <v>10</v>
      </c>
      <c r="K617">
        <v>15</v>
      </c>
      <c r="L617">
        <v>9</v>
      </c>
      <c r="M617">
        <v>1</v>
      </c>
      <c r="N617" t="s">
        <v>125</v>
      </c>
      <c r="O617" t="s">
        <v>127</v>
      </c>
      <c r="P617" t="s">
        <v>207</v>
      </c>
      <c r="Q617">
        <f t="shared" si="173"/>
        <v>2</v>
      </c>
      <c r="R617" t="str">
        <f t="shared" si="162"/>
        <v>4-2024</v>
      </c>
      <c r="S617" t="s">
        <v>104</v>
      </c>
      <c r="T617" t="str">
        <f t="shared" si="163"/>
        <v>Thursday</v>
      </c>
      <c r="U617">
        <f t="shared" si="164"/>
        <v>0</v>
      </c>
      <c r="V617" s="24">
        <f>IFERROR(Table2[[#This Row],[Gray Min]]/Table2[[#This Row],[ClassLength]],"")</f>
        <v>0.375</v>
      </c>
      <c r="W617" s="24">
        <f>IFERROR(Table2[[#This Row],[Blue Min]]/Table2[[#This Row],[ClassLength]],"")</f>
        <v>0.17857142857142858</v>
      </c>
      <c r="X617" s="24">
        <f>IFERROR(Table2[[#This Row],[Green Min]]/Table2[[#This Row],[ClassLength]],"")</f>
        <v>0.26785714285714285</v>
      </c>
      <c r="Y617" s="24">
        <f>IFERROR(Table2[[#This Row],[Orange Min]]/Table2[[#This Row],[ClassLength]],"")</f>
        <v>0.16071428571428573</v>
      </c>
      <c r="Z617" s="24">
        <f>IFERROR(Table2[[#This Row],[Red Min]]/Table2[[#This Row],[ClassLength]],"")</f>
        <v>1.7857142857142856E-2</v>
      </c>
      <c r="AA617" s="25">
        <v>100</v>
      </c>
      <c r="AB617" s="25">
        <f t="shared" si="175"/>
        <v>7.6923076923076925</v>
      </c>
      <c r="AC617" s="26">
        <f t="shared" si="165"/>
        <v>608.07692307692309</v>
      </c>
      <c r="AD617" s="26">
        <f t="shared" si="166"/>
        <v>13.461538461538462</v>
      </c>
      <c r="AE617">
        <f t="shared" si="167"/>
        <v>2024</v>
      </c>
      <c r="AG617">
        <v>12</v>
      </c>
      <c r="AH617" s="26">
        <f t="shared" si="168"/>
        <v>10.107142857142858</v>
      </c>
      <c r="AI617" t="str">
        <f t="shared" si="169"/>
        <v>PM</v>
      </c>
      <c r="AJ617" t="str">
        <f t="shared" si="170"/>
        <v>4-2024-1</v>
      </c>
      <c r="AK617">
        <f t="shared" si="171"/>
        <v>4</v>
      </c>
      <c r="AL617" s="26">
        <f>IFERROR(Table2[[#This Row],[Calories]]/Table2[[#This Row],[Splat]],"")</f>
        <v>56.6</v>
      </c>
      <c r="AM617">
        <f>COUNTIF(N$2:$N$938,N617)</f>
        <v>258</v>
      </c>
      <c r="AN617" t="str">
        <f>VLOOKUP(N617,'Helpful Tables'!A:D,4,FALSE)</f>
        <v>Oregon</v>
      </c>
      <c r="AO617" s="24">
        <f>COUNTIF(AN:AN,Table2[[#This Row],[State]])/COUNTA(AN:AN)</f>
        <v>0.36140724946695096</v>
      </c>
      <c r="AP617">
        <f>VLOOKUP(N617,'Helpful Tables'!A:B,2,FALSE)</f>
        <v>45.534162000000002</v>
      </c>
      <c r="AQ617">
        <f>VLOOKUP(N617,'Helpful Tables'!A:C,3,FALSE)</f>
        <v>-122.69670000000001</v>
      </c>
      <c r="AR617">
        <f>COUNTIF(P$2:$P$938,P617)</f>
        <v>10</v>
      </c>
      <c r="AS617" cm="1">
        <f t="array" ref="AS617">_xlfn.IFS(E617&lt;6,((E617/D617)*60)*0.5,AND(E617&gt;=6,E617&lt;9),((E617/D617)*60)*0.75,AND(E617&gt;=9,E617&lt;=11),((E617/D617)*60)*0.9,AND(E617=12),((E617/D617)*60)*1,AND(E617&gt;=13,E617&lt;=15),((E617/D617)*60)*1.2,AND(E617&gt;=16,E617&lt;=19),((E617/D617)*60)*1.5,E617&gt;=20,((E617/D617)*60)*1.8)</f>
        <v>9.6428571428571441</v>
      </c>
      <c r="AT617" cm="1">
        <f t="array" ref="AT617">_xlfn.IFS(F617&lt;550,((F617/D617)*60)*0.5,AND(F617&gt;=550,F617&lt;575),((F617/D617)*60)*0.75,AND(F617&gt;=575,F617&lt;600),((F617/D617)*60)*0.9,AND(F617=600),((F617/D617)*60)*1,AND(F617&gt;=601,F617&lt;=625),((F617/D617)*60)*1.2,AND(F617&gt;=626,F617&lt;=650),((F617/D617)*60)*1.5,F617&gt;=651,((F617/D617)*60)*1.8)</f>
        <v>454.82142857142856</v>
      </c>
      <c r="AU617">
        <f t="shared" si="176"/>
        <v>-5.0000000000000018</v>
      </c>
      <c r="AV617">
        <f t="shared" si="174"/>
        <v>184.78571428571431</v>
      </c>
      <c r="AW617">
        <f t="shared" si="177"/>
        <v>11.700000000000001</v>
      </c>
      <c r="AX617" t="str">
        <f t="shared" si="172"/>
        <v>Apr-2024</v>
      </c>
      <c r="AY617">
        <f>ROUNDUP(Table2[[#This Row],[Month]]/3,0)</f>
        <v>2</v>
      </c>
    </row>
    <row r="618" spans="1:51" x14ac:dyDescent="0.2">
      <c r="A618">
        <v>617</v>
      </c>
      <c r="B618">
        <f t="shared" si="161"/>
        <v>13</v>
      </c>
      <c r="C618" s="22">
        <v>45388</v>
      </c>
      <c r="D618">
        <f>SUM(Table2[[#This Row],[Gray Min]:[Red Min]])</f>
        <v>59</v>
      </c>
      <c r="E618">
        <v>14</v>
      </c>
      <c r="F618">
        <v>615</v>
      </c>
      <c r="G618">
        <v>122</v>
      </c>
      <c r="H618">
        <v>169</v>
      </c>
      <c r="I618">
        <v>20</v>
      </c>
      <c r="J618">
        <v>16</v>
      </c>
      <c r="K618">
        <v>9</v>
      </c>
      <c r="L618">
        <v>11</v>
      </c>
      <c r="M618">
        <v>3</v>
      </c>
      <c r="N618" t="s">
        <v>125</v>
      </c>
      <c r="O618" t="s">
        <v>79</v>
      </c>
      <c r="P618" t="s">
        <v>210</v>
      </c>
      <c r="Q618">
        <f t="shared" si="173"/>
        <v>2</v>
      </c>
      <c r="R618" t="str">
        <f t="shared" si="162"/>
        <v>4-2024</v>
      </c>
      <c r="S618" t="s">
        <v>117</v>
      </c>
      <c r="T618" t="str">
        <f t="shared" si="163"/>
        <v>Saturday</v>
      </c>
      <c r="U618">
        <f t="shared" si="164"/>
        <v>1</v>
      </c>
      <c r="V618" s="24">
        <f>IFERROR(Table2[[#This Row],[Gray Min]]/Table2[[#This Row],[ClassLength]],"")</f>
        <v>0.33898305084745761</v>
      </c>
      <c r="W618" s="24">
        <f>IFERROR(Table2[[#This Row],[Blue Min]]/Table2[[#This Row],[ClassLength]],"")</f>
        <v>0.2711864406779661</v>
      </c>
      <c r="X618" s="24">
        <f>IFERROR(Table2[[#This Row],[Green Min]]/Table2[[#This Row],[ClassLength]],"")</f>
        <v>0.15254237288135594</v>
      </c>
      <c r="Y618" s="24">
        <f>IFERROR(Table2[[#This Row],[Orange Min]]/Table2[[#This Row],[ClassLength]],"")</f>
        <v>0.1864406779661017</v>
      </c>
      <c r="Z618" s="24">
        <f>IFERROR(Table2[[#This Row],[Red Min]]/Table2[[#This Row],[ClassLength]],"")</f>
        <v>5.0847457627118647E-2</v>
      </c>
      <c r="AA618" s="25">
        <v>100</v>
      </c>
      <c r="AB618" s="25">
        <f t="shared" si="175"/>
        <v>7.6923076923076925</v>
      </c>
      <c r="AC618" s="26">
        <f t="shared" si="165"/>
        <v>608.07692307692309</v>
      </c>
      <c r="AD618" s="26">
        <f t="shared" si="166"/>
        <v>13.461538461538462</v>
      </c>
      <c r="AE618">
        <f t="shared" si="167"/>
        <v>2024</v>
      </c>
      <c r="AG618">
        <v>12</v>
      </c>
      <c r="AH618" s="26">
        <f t="shared" si="168"/>
        <v>10.423728813559322</v>
      </c>
      <c r="AI618" t="str">
        <f t="shared" si="169"/>
        <v>AM</v>
      </c>
      <c r="AJ618" t="str">
        <f t="shared" si="170"/>
        <v>4-2024-1</v>
      </c>
      <c r="AK618">
        <f t="shared" si="171"/>
        <v>4</v>
      </c>
      <c r="AL618" s="26">
        <f>IFERROR(Table2[[#This Row],[Calories]]/Table2[[#This Row],[Splat]],"")</f>
        <v>43.928571428571431</v>
      </c>
      <c r="AM618">
        <f>COUNTIF(N$2:$N$938,N618)</f>
        <v>258</v>
      </c>
      <c r="AN618" t="str">
        <f>VLOOKUP(N618,'Helpful Tables'!A:D,4,FALSE)</f>
        <v>Oregon</v>
      </c>
      <c r="AO618" s="24">
        <f>COUNTIF(AN:AN,Table2[[#This Row],[State]])/COUNTA(AN:AN)</f>
        <v>0.36140724946695096</v>
      </c>
      <c r="AP618">
        <f>VLOOKUP(N618,'Helpful Tables'!A:B,2,FALSE)</f>
        <v>45.534162000000002</v>
      </c>
      <c r="AQ618">
        <f>VLOOKUP(N618,'Helpful Tables'!A:C,3,FALSE)</f>
        <v>-122.69670000000001</v>
      </c>
      <c r="AR618">
        <f>COUNTIF(P$2:$P$938,P618)</f>
        <v>16</v>
      </c>
      <c r="AS618" cm="1">
        <f t="array" ref="AS618">_xlfn.IFS(E618&lt;6,((E618/D618)*60)*0.5,AND(E618&gt;=6,E618&lt;9),((E618/D618)*60)*0.75,AND(E618&gt;=9,E618&lt;=11),((E618/D618)*60)*0.9,AND(E618=12),((E618/D618)*60)*1,AND(E618&gt;=13,E618&lt;=15),((E618/D618)*60)*1.2,AND(E618&gt;=16,E618&lt;=19),((E618/D618)*60)*1.5,E618&gt;=20,((E618/D618)*60)*1.8)</f>
        <v>17.084745762711865</v>
      </c>
      <c r="AT618" cm="1">
        <f t="array" ref="AT618">_xlfn.IFS(F618&lt;550,((F618/D618)*60)*0.5,AND(F618&gt;=550,F618&lt;575),((F618/D618)*60)*0.75,AND(F618&gt;=575,F618&lt;600),((F618/D618)*60)*0.9,AND(F618=600),((F618/D618)*60)*1,AND(F618&gt;=601,F618&lt;=625),((F618/D618)*60)*1.2,AND(F618&gt;=626,F618&lt;=650),((F618/D618)*60)*1.5,F618&gt;=651,((F618/D618)*60)*1.8)</f>
        <v>750.50847457627117</v>
      </c>
      <c r="AU618">
        <f t="shared" si="176"/>
        <v>-12.000000000000004</v>
      </c>
      <c r="AV618">
        <f t="shared" si="174"/>
        <v>304.63728813559322</v>
      </c>
      <c r="AW618">
        <f t="shared" si="177"/>
        <v>28.7</v>
      </c>
      <c r="AX618" t="str">
        <f t="shared" si="172"/>
        <v>Apr-2024</v>
      </c>
      <c r="AY618">
        <f>ROUNDUP(Table2[[#This Row],[Month]]/3,0)</f>
        <v>2</v>
      </c>
    </row>
    <row r="619" spans="1:51" x14ac:dyDescent="0.2">
      <c r="A619">
        <v>618</v>
      </c>
      <c r="B619">
        <f t="shared" si="161"/>
        <v>13</v>
      </c>
      <c r="C619" s="22">
        <v>45391</v>
      </c>
      <c r="D619">
        <f>SUM(Table2[[#This Row],[Gray Min]:[Red Min]])</f>
        <v>59</v>
      </c>
      <c r="E619">
        <v>13</v>
      </c>
      <c r="F619">
        <v>629</v>
      </c>
      <c r="G619">
        <v>124</v>
      </c>
      <c r="H619">
        <v>165</v>
      </c>
      <c r="I619">
        <v>17</v>
      </c>
      <c r="J619">
        <v>13</v>
      </c>
      <c r="K619">
        <v>16</v>
      </c>
      <c r="L619">
        <v>11</v>
      </c>
      <c r="M619">
        <v>2</v>
      </c>
      <c r="N619" t="s">
        <v>208</v>
      </c>
      <c r="O619" t="s">
        <v>53</v>
      </c>
      <c r="P619" t="s">
        <v>213</v>
      </c>
      <c r="Q619">
        <f t="shared" si="173"/>
        <v>3</v>
      </c>
      <c r="R619" t="str">
        <f t="shared" si="162"/>
        <v>4-2024</v>
      </c>
      <c r="S619" t="s">
        <v>104</v>
      </c>
      <c r="T619" t="str">
        <f t="shared" si="163"/>
        <v>Tuesday</v>
      </c>
      <c r="U619">
        <f t="shared" si="164"/>
        <v>1</v>
      </c>
      <c r="V619" s="24">
        <f>IFERROR(Table2[[#This Row],[Gray Min]]/Table2[[#This Row],[ClassLength]],"")</f>
        <v>0.28813559322033899</v>
      </c>
      <c r="W619" s="24">
        <f>IFERROR(Table2[[#This Row],[Blue Min]]/Table2[[#This Row],[ClassLength]],"")</f>
        <v>0.22033898305084745</v>
      </c>
      <c r="X619" s="24">
        <f>IFERROR(Table2[[#This Row],[Green Min]]/Table2[[#This Row],[ClassLength]],"")</f>
        <v>0.2711864406779661</v>
      </c>
      <c r="Y619" s="24">
        <f>IFERROR(Table2[[#This Row],[Orange Min]]/Table2[[#This Row],[ClassLength]],"")</f>
        <v>0.1864406779661017</v>
      </c>
      <c r="Z619" s="24">
        <f>IFERROR(Table2[[#This Row],[Red Min]]/Table2[[#This Row],[ClassLength]],"")</f>
        <v>3.3898305084745763E-2</v>
      </c>
      <c r="AA619" s="25">
        <v>100</v>
      </c>
      <c r="AB619" s="25">
        <f t="shared" si="175"/>
        <v>7.6923076923076925</v>
      </c>
      <c r="AC619" s="26">
        <f t="shared" si="165"/>
        <v>608.07692307692309</v>
      </c>
      <c r="AD619" s="26">
        <f t="shared" si="166"/>
        <v>13.461538461538462</v>
      </c>
      <c r="AE619">
        <f t="shared" si="167"/>
        <v>2024</v>
      </c>
      <c r="AG619">
        <v>12</v>
      </c>
      <c r="AH619" s="26">
        <f t="shared" si="168"/>
        <v>10.661016949152541</v>
      </c>
      <c r="AI619" t="str">
        <f t="shared" si="169"/>
        <v>PM</v>
      </c>
      <c r="AJ619" t="str">
        <f t="shared" si="170"/>
        <v>4-2024-2</v>
      </c>
      <c r="AK619">
        <f t="shared" si="171"/>
        <v>4</v>
      </c>
      <c r="AL619" s="26">
        <f>IFERROR(Table2[[#This Row],[Calories]]/Table2[[#This Row],[Splat]],"")</f>
        <v>48.384615384615387</v>
      </c>
      <c r="AM619">
        <f>COUNTIF(N$2:$N$938,N619)</f>
        <v>78</v>
      </c>
      <c r="AN619" t="str">
        <f>VLOOKUP(N619,'Helpful Tables'!A:D,4,FALSE)</f>
        <v>Oregon</v>
      </c>
      <c r="AO619" s="24">
        <f>COUNTIF(AN:AN,Table2[[#This Row],[State]])/COUNTA(AN:AN)</f>
        <v>0.36140724946695096</v>
      </c>
      <c r="AP619">
        <f>VLOOKUP(N619,'Helpful Tables'!A:B,2,FALSE)</f>
        <v>45.525092999999998</v>
      </c>
      <c r="AQ619">
        <f>VLOOKUP(N619,'Helpful Tables'!A:C,3,FALSE)</f>
        <v>-122.681383</v>
      </c>
      <c r="AR619">
        <f>COUNTIF(P$2:$P$938,P619)</f>
        <v>40</v>
      </c>
      <c r="AS619" cm="1">
        <f t="array" ref="AS619">_xlfn.IFS(E619&lt;6,((E619/D619)*60)*0.5,AND(E619&gt;=6,E619&lt;9),((E619/D619)*60)*0.75,AND(E619&gt;=9,E619&lt;=11),((E619/D619)*60)*0.9,AND(E619=12),((E619/D619)*60)*1,AND(E619&gt;=13,E619&lt;=15),((E619/D619)*60)*1.2,AND(E619&gt;=16,E619&lt;=19),((E619/D619)*60)*1.5,E619&gt;=20,((E619/D619)*60)*1.8)</f>
        <v>15.864406779661017</v>
      </c>
      <c r="AT619" cm="1">
        <f t="array" ref="AT619">_xlfn.IFS(F619&lt;550,((F619/D619)*60)*0.5,AND(F619&gt;=550,F619&lt;575),((F619/D619)*60)*0.75,AND(F619&gt;=575,F619&lt;600),((F619/D619)*60)*0.9,AND(F619=600),((F619/D619)*60)*1,AND(F619&gt;=601,F619&lt;=625),((F619/D619)*60)*1.2,AND(F619&gt;=626,F619&lt;=650),((F619/D619)*60)*1.5,F619&gt;=651,((F619/D619)*60)*1.8)</f>
        <v>959.49152542372872</v>
      </c>
      <c r="AU619">
        <f t="shared" si="176"/>
        <v>1.7999999999999972</v>
      </c>
      <c r="AV619">
        <f t="shared" si="174"/>
        <v>390.50237288135588</v>
      </c>
      <c r="AW619">
        <f t="shared" si="177"/>
        <v>48.5</v>
      </c>
      <c r="AX619" t="str">
        <f t="shared" si="172"/>
        <v>Apr-2024</v>
      </c>
      <c r="AY619">
        <f>ROUNDUP(Table2[[#This Row],[Month]]/3,0)</f>
        <v>2</v>
      </c>
    </row>
    <row r="620" spans="1:51" x14ac:dyDescent="0.2">
      <c r="A620">
        <v>619</v>
      </c>
      <c r="B620">
        <f t="shared" si="161"/>
        <v>13</v>
      </c>
      <c r="C620" s="22">
        <v>45394</v>
      </c>
      <c r="D620">
        <f>SUM(Table2[[#This Row],[Gray Min]:[Red Min]])</f>
        <v>61</v>
      </c>
      <c r="E620">
        <v>21</v>
      </c>
      <c r="F620">
        <v>696</v>
      </c>
      <c r="G620">
        <v>129</v>
      </c>
      <c r="H620">
        <v>168</v>
      </c>
      <c r="I620">
        <v>10</v>
      </c>
      <c r="J620">
        <v>19</v>
      </c>
      <c r="K620">
        <v>11</v>
      </c>
      <c r="L620">
        <v>20</v>
      </c>
      <c r="M620">
        <v>1</v>
      </c>
      <c r="N620" t="s">
        <v>125</v>
      </c>
      <c r="O620" t="s">
        <v>127</v>
      </c>
      <c r="P620" t="s">
        <v>212</v>
      </c>
      <c r="Q620">
        <f t="shared" si="173"/>
        <v>3</v>
      </c>
      <c r="R620" t="str">
        <f t="shared" si="162"/>
        <v>4-2024</v>
      </c>
      <c r="S620" t="s">
        <v>104</v>
      </c>
      <c r="T620" t="str">
        <f t="shared" si="163"/>
        <v>Friday</v>
      </c>
      <c r="U620">
        <f t="shared" si="164"/>
        <v>1</v>
      </c>
      <c r="V620" s="24">
        <f>IFERROR(Table2[[#This Row],[Gray Min]]/Table2[[#This Row],[ClassLength]],"")</f>
        <v>0.16393442622950818</v>
      </c>
      <c r="W620" s="24">
        <f>IFERROR(Table2[[#This Row],[Blue Min]]/Table2[[#This Row],[ClassLength]],"")</f>
        <v>0.31147540983606559</v>
      </c>
      <c r="X620" s="24">
        <f>IFERROR(Table2[[#This Row],[Green Min]]/Table2[[#This Row],[ClassLength]],"")</f>
        <v>0.18032786885245902</v>
      </c>
      <c r="Y620" s="24">
        <f>IFERROR(Table2[[#This Row],[Orange Min]]/Table2[[#This Row],[ClassLength]],"")</f>
        <v>0.32786885245901637</v>
      </c>
      <c r="Z620" s="24">
        <f>IFERROR(Table2[[#This Row],[Red Min]]/Table2[[#This Row],[ClassLength]],"")</f>
        <v>1.6393442622950821E-2</v>
      </c>
      <c r="AA620" s="25">
        <v>100</v>
      </c>
      <c r="AB620" s="25">
        <f t="shared" si="175"/>
        <v>7.6923076923076925</v>
      </c>
      <c r="AC620" s="26">
        <f t="shared" si="165"/>
        <v>608.07692307692309</v>
      </c>
      <c r="AD620" s="26">
        <f t="shared" si="166"/>
        <v>13.461538461538462</v>
      </c>
      <c r="AE620">
        <f t="shared" si="167"/>
        <v>2024</v>
      </c>
      <c r="AG620">
        <v>12</v>
      </c>
      <c r="AH620" s="26">
        <f t="shared" si="168"/>
        <v>11.409836065573771</v>
      </c>
      <c r="AI620" t="str">
        <f t="shared" si="169"/>
        <v>PM</v>
      </c>
      <c r="AJ620" t="str">
        <f t="shared" si="170"/>
        <v>4-2024-2</v>
      </c>
      <c r="AK620">
        <f t="shared" si="171"/>
        <v>4</v>
      </c>
      <c r="AL620" s="26">
        <f>IFERROR(Table2[[#This Row],[Calories]]/Table2[[#This Row],[Splat]],"")</f>
        <v>33.142857142857146</v>
      </c>
      <c r="AM620">
        <f>COUNTIF(N$2:$N$938,N620)</f>
        <v>258</v>
      </c>
      <c r="AN620" t="str">
        <f>VLOOKUP(N620,'Helpful Tables'!A:D,4,FALSE)</f>
        <v>Oregon</v>
      </c>
      <c r="AO620" s="24">
        <f>COUNTIF(AN:AN,Table2[[#This Row],[State]])/COUNTA(AN:AN)</f>
        <v>0.36140724946695096</v>
      </c>
      <c r="AP620">
        <f>VLOOKUP(N620,'Helpful Tables'!A:B,2,FALSE)</f>
        <v>45.534162000000002</v>
      </c>
      <c r="AQ620">
        <f>VLOOKUP(N620,'Helpful Tables'!A:C,3,FALSE)</f>
        <v>-122.69670000000001</v>
      </c>
      <c r="AR620">
        <f>COUNTIF(P$2:$P$938,P620)</f>
        <v>5</v>
      </c>
      <c r="AS620" cm="1">
        <f t="array" ref="AS620">_xlfn.IFS(E620&lt;6,((E620/D620)*60)*0.5,AND(E620&gt;=6,E620&lt;9),((E620/D620)*60)*0.75,AND(E620&gt;=9,E620&lt;=11),((E620/D620)*60)*0.9,AND(E620=12),((E620/D620)*60)*1,AND(E620&gt;=13,E620&lt;=15),((E620/D620)*60)*1.2,AND(E620&gt;=16,E620&lt;=19),((E620/D620)*60)*1.5,E620&gt;=20,((E620/D620)*60)*1.8)</f>
        <v>37.180327868852459</v>
      </c>
      <c r="AT620" cm="1">
        <f t="array" ref="AT620">_xlfn.IFS(F620&lt;550,((F620/D620)*60)*0.5,AND(F620&gt;=550,F620&lt;575),((F620/D620)*60)*0.75,AND(F620&gt;=575,F620&lt;600),((F620/D620)*60)*0.9,AND(F620=600),((F620/D620)*60)*1,AND(F620&gt;=601,F620&lt;=625),((F620/D620)*60)*1.2,AND(F620&gt;=626,F620&lt;=650),((F620/D620)*60)*1.5,F620&gt;=651,((F620/D620)*60)*1.8)</f>
        <v>1232.2622950819673</v>
      </c>
      <c r="AU620">
        <f t="shared" si="176"/>
        <v>7.7999999999999936</v>
      </c>
      <c r="AV620">
        <f t="shared" si="174"/>
        <v>509.33704918032794</v>
      </c>
      <c r="AW620">
        <f t="shared" si="177"/>
        <v>84.899999999999991</v>
      </c>
      <c r="AX620" t="str">
        <f t="shared" si="172"/>
        <v>Apr-2024</v>
      </c>
      <c r="AY620">
        <f>ROUNDUP(Table2[[#This Row],[Month]]/3,0)</f>
        <v>2</v>
      </c>
    </row>
    <row r="621" spans="1:51" x14ac:dyDescent="0.2">
      <c r="A621">
        <v>620</v>
      </c>
      <c r="B621">
        <f t="shared" si="161"/>
        <v>13</v>
      </c>
      <c r="C621" s="22">
        <v>45397</v>
      </c>
      <c r="D621">
        <f>SUM(Table2[[#This Row],[Gray Min]:[Red Min]])</f>
        <v>60</v>
      </c>
      <c r="E621">
        <v>7</v>
      </c>
      <c r="F621">
        <v>592</v>
      </c>
      <c r="G621">
        <v>119</v>
      </c>
      <c r="H621">
        <v>165</v>
      </c>
      <c r="I621">
        <v>22</v>
      </c>
      <c r="J621">
        <v>12</v>
      </c>
      <c r="K621">
        <v>19</v>
      </c>
      <c r="L621">
        <v>6</v>
      </c>
      <c r="M621">
        <v>1</v>
      </c>
      <c r="N621" t="s">
        <v>125</v>
      </c>
      <c r="O621" t="s">
        <v>215</v>
      </c>
      <c r="P621" t="s">
        <v>214</v>
      </c>
      <c r="Q621">
        <f t="shared" si="173"/>
        <v>3</v>
      </c>
      <c r="R621" t="str">
        <f t="shared" si="162"/>
        <v>4-2024</v>
      </c>
      <c r="S621" t="s">
        <v>117</v>
      </c>
      <c r="T621" t="str">
        <f t="shared" si="163"/>
        <v>Monday</v>
      </c>
      <c r="U621">
        <f t="shared" si="164"/>
        <v>0</v>
      </c>
      <c r="V621" s="24">
        <f>IFERROR(Table2[[#This Row],[Gray Min]]/Table2[[#This Row],[ClassLength]],"")</f>
        <v>0.36666666666666664</v>
      </c>
      <c r="W621" s="24">
        <f>IFERROR(Table2[[#This Row],[Blue Min]]/Table2[[#This Row],[ClassLength]],"")</f>
        <v>0.2</v>
      </c>
      <c r="X621" s="24">
        <f>IFERROR(Table2[[#This Row],[Green Min]]/Table2[[#This Row],[ClassLength]],"")</f>
        <v>0.31666666666666665</v>
      </c>
      <c r="Y621" s="24">
        <f>IFERROR(Table2[[#This Row],[Orange Min]]/Table2[[#This Row],[ClassLength]],"")</f>
        <v>0.1</v>
      </c>
      <c r="Z621" s="24">
        <f>IFERROR(Table2[[#This Row],[Red Min]]/Table2[[#This Row],[ClassLength]],"")</f>
        <v>1.6666666666666666E-2</v>
      </c>
      <c r="AA621" s="25">
        <v>100</v>
      </c>
      <c r="AB621" s="25">
        <f t="shared" si="175"/>
        <v>7.6923076923076925</v>
      </c>
      <c r="AC621" s="26">
        <f t="shared" si="165"/>
        <v>608.07692307692309</v>
      </c>
      <c r="AD621" s="26">
        <f t="shared" si="166"/>
        <v>13.461538461538462</v>
      </c>
      <c r="AE621">
        <f t="shared" si="167"/>
        <v>2024</v>
      </c>
      <c r="AG621">
        <v>12</v>
      </c>
      <c r="AH621" s="26">
        <f t="shared" si="168"/>
        <v>9.8666666666666671</v>
      </c>
      <c r="AI621" t="str">
        <f t="shared" si="169"/>
        <v>PM</v>
      </c>
      <c r="AJ621" t="str">
        <f t="shared" si="170"/>
        <v>4-2024-3</v>
      </c>
      <c r="AK621">
        <f t="shared" si="171"/>
        <v>4</v>
      </c>
      <c r="AL621" s="26">
        <f>IFERROR(Table2[[#This Row],[Calories]]/Table2[[#This Row],[Splat]],"")</f>
        <v>84.571428571428569</v>
      </c>
      <c r="AM621">
        <f>COUNTIF(N$2:$N$938,N621)</f>
        <v>258</v>
      </c>
      <c r="AN621" t="str">
        <f>VLOOKUP(N621,'Helpful Tables'!A:D,4,FALSE)</f>
        <v>Oregon</v>
      </c>
      <c r="AO621" s="24">
        <f>COUNTIF(AN:AN,Table2[[#This Row],[State]])/COUNTA(AN:AN)</f>
        <v>0.36140724946695096</v>
      </c>
      <c r="AP621">
        <f>VLOOKUP(N621,'Helpful Tables'!A:B,2,FALSE)</f>
        <v>45.534162000000002</v>
      </c>
      <c r="AQ621">
        <f>VLOOKUP(N621,'Helpful Tables'!A:C,3,FALSE)</f>
        <v>-122.69670000000001</v>
      </c>
      <c r="AR621">
        <f>COUNTIF(P$2:$P$938,P621)</f>
        <v>11</v>
      </c>
      <c r="AS621" cm="1">
        <f t="array" ref="AS621">_xlfn.IFS(E621&lt;6,((E621/D621)*60)*0.5,AND(E621&gt;=6,E621&lt;9),((E621/D621)*60)*0.75,AND(E621&gt;=9,E621&lt;=11),((E621/D621)*60)*0.9,AND(E621=12),((E621/D621)*60)*1,AND(E621&gt;=13,E621&lt;=15),((E621/D621)*60)*1.2,AND(E621&gt;=16,E621&lt;=19),((E621/D621)*60)*1.5,E621&gt;=20,((E621/D621)*60)*1.8)</f>
        <v>5.25</v>
      </c>
      <c r="AT621" cm="1">
        <f t="array" ref="AT621">_xlfn.IFS(F621&lt;550,((F621/D621)*60)*0.5,AND(F621&gt;=550,F621&lt;575),((F621/D621)*60)*0.75,AND(F621&gt;=575,F621&lt;600),((F621/D621)*60)*0.9,AND(F621=600),((F621/D621)*60)*1,AND(F621&gt;=601,F621&lt;=625),((F621/D621)*60)*1.2,AND(F621&gt;=626,F621&lt;=650),((F621/D621)*60)*1.5,F621&gt;=651,((F621/D621)*60)*1.8)</f>
        <v>532.80000000000007</v>
      </c>
      <c r="AU621">
        <f t="shared" si="176"/>
        <v>-7.5</v>
      </c>
      <c r="AV621">
        <f t="shared" si="174"/>
        <v>213.72000000000003</v>
      </c>
      <c r="AW621">
        <f t="shared" si="177"/>
        <v>14.899999999999999</v>
      </c>
      <c r="AX621" t="str">
        <f t="shared" si="172"/>
        <v>Apr-2024</v>
      </c>
      <c r="AY621">
        <f>ROUNDUP(Table2[[#This Row],[Month]]/3,0)</f>
        <v>2</v>
      </c>
    </row>
    <row r="622" spans="1:51" x14ac:dyDescent="0.2">
      <c r="A622">
        <v>621</v>
      </c>
      <c r="B622">
        <f t="shared" si="161"/>
        <v>13</v>
      </c>
      <c r="C622" s="22">
        <v>45398</v>
      </c>
      <c r="D622">
        <f>SUM(Table2[[#This Row],[Gray Min]:[Red Min]])</f>
        <v>59</v>
      </c>
      <c r="E622">
        <v>13</v>
      </c>
      <c r="F622">
        <v>638</v>
      </c>
      <c r="G622">
        <v>125</v>
      </c>
      <c r="H622">
        <v>161</v>
      </c>
      <c r="I622">
        <v>13</v>
      </c>
      <c r="J622">
        <v>19</v>
      </c>
      <c r="K622">
        <v>14</v>
      </c>
      <c r="L622">
        <v>13</v>
      </c>
      <c r="M622">
        <v>0</v>
      </c>
      <c r="N622" t="s">
        <v>125</v>
      </c>
      <c r="O622" t="s">
        <v>127</v>
      </c>
      <c r="P622" t="s">
        <v>216</v>
      </c>
      <c r="Q622">
        <f t="shared" si="173"/>
        <v>1</v>
      </c>
      <c r="R622" t="str">
        <f t="shared" si="162"/>
        <v>4-2024</v>
      </c>
      <c r="S622" t="s">
        <v>104</v>
      </c>
      <c r="T622" t="str">
        <f t="shared" si="163"/>
        <v>Tuesday</v>
      </c>
      <c r="U622">
        <f t="shared" si="164"/>
        <v>1</v>
      </c>
      <c r="V622" s="24">
        <f>IFERROR(Table2[[#This Row],[Gray Min]]/Table2[[#This Row],[ClassLength]],"")</f>
        <v>0.22033898305084745</v>
      </c>
      <c r="W622" s="24">
        <f>IFERROR(Table2[[#This Row],[Blue Min]]/Table2[[#This Row],[ClassLength]],"")</f>
        <v>0.32203389830508472</v>
      </c>
      <c r="X622" s="24">
        <f>IFERROR(Table2[[#This Row],[Green Min]]/Table2[[#This Row],[ClassLength]],"")</f>
        <v>0.23728813559322035</v>
      </c>
      <c r="Y622" s="24">
        <f>IFERROR(Table2[[#This Row],[Orange Min]]/Table2[[#This Row],[ClassLength]],"")</f>
        <v>0.22033898305084745</v>
      </c>
      <c r="Z622" s="24">
        <f>IFERROR(Table2[[#This Row],[Red Min]]/Table2[[#This Row],[ClassLength]],"")</f>
        <v>0</v>
      </c>
      <c r="AA622" s="25">
        <v>100</v>
      </c>
      <c r="AB622" s="25">
        <f t="shared" si="175"/>
        <v>7.6923076923076925</v>
      </c>
      <c r="AC622" s="26">
        <f t="shared" si="165"/>
        <v>608.07692307692309</v>
      </c>
      <c r="AD622" s="26">
        <f t="shared" si="166"/>
        <v>13.461538461538462</v>
      </c>
      <c r="AE622">
        <f t="shared" si="167"/>
        <v>2024</v>
      </c>
      <c r="AG622">
        <v>12</v>
      </c>
      <c r="AH622" s="26">
        <f t="shared" si="168"/>
        <v>10.813559322033898</v>
      </c>
      <c r="AI622" t="str">
        <f t="shared" si="169"/>
        <v>PM</v>
      </c>
      <c r="AJ622" t="str">
        <f t="shared" si="170"/>
        <v>4-2024-3</v>
      </c>
      <c r="AK622">
        <f t="shared" si="171"/>
        <v>4</v>
      </c>
      <c r="AL622" s="26">
        <f>IFERROR(Table2[[#This Row],[Calories]]/Table2[[#This Row],[Splat]],"")</f>
        <v>49.07692307692308</v>
      </c>
      <c r="AM622">
        <f>COUNTIF(N$2:$N$938,N622)</f>
        <v>258</v>
      </c>
      <c r="AN622" t="str">
        <f>VLOOKUP(N622,'Helpful Tables'!A:D,4,FALSE)</f>
        <v>Oregon</v>
      </c>
      <c r="AO622" s="24">
        <f>COUNTIF(AN:AN,Table2[[#This Row],[State]])/COUNTA(AN:AN)</f>
        <v>0.36140724946695096</v>
      </c>
      <c r="AP622">
        <f>VLOOKUP(N622,'Helpful Tables'!A:B,2,FALSE)</f>
        <v>45.534162000000002</v>
      </c>
      <c r="AQ622">
        <f>VLOOKUP(N622,'Helpful Tables'!A:C,3,FALSE)</f>
        <v>-122.69670000000001</v>
      </c>
      <c r="AR622">
        <f>COUNTIF(P$2:$P$938,P622)</f>
        <v>25</v>
      </c>
      <c r="AS622" cm="1">
        <f t="array" ref="AS622">_xlfn.IFS(E622&lt;6,((E622/D622)*60)*0.5,AND(E622&gt;=6,E622&lt;9),((E622/D622)*60)*0.75,AND(E622&gt;=9,E622&lt;=11),((E622/D622)*60)*0.9,AND(E622=12),((E622/D622)*60)*1,AND(E622&gt;=13,E622&lt;=15),((E622/D622)*60)*1.2,AND(E622&gt;=16,E622&lt;=19),((E622/D622)*60)*1.5,E622&gt;=20,((E622/D622)*60)*1.8)</f>
        <v>15.864406779661017</v>
      </c>
      <c r="AT622" cm="1">
        <f t="array" ref="AT622">_xlfn.IFS(F622&lt;550,((F622/D622)*60)*0.5,AND(F622&gt;=550,F622&lt;575),((F622/D622)*60)*0.75,AND(F622&gt;=575,F622&lt;600),((F622/D622)*60)*0.9,AND(F622=600),((F622/D622)*60)*1,AND(F622&gt;=601,F622&lt;=625),((F622/D622)*60)*1.2,AND(F622&gt;=626,F622&lt;=650),((F622/D622)*60)*1.5,F622&gt;=651,((F622/D622)*60)*1.8)</f>
        <v>973.22033898305074</v>
      </c>
      <c r="AU622">
        <f t="shared" si="176"/>
        <v>-2.7999999999999972</v>
      </c>
      <c r="AV622">
        <f t="shared" si="174"/>
        <v>395.0738983050847</v>
      </c>
      <c r="AW622">
        <f t="shared" si="177"/>
        <v>50.3</v>
      </c>
      <c r="AX622" t="str">
        <f t="shared" si="172"/>
        <v>Apr-2024</v>
      </c>
      <c r="AY622">
        <f>ROUNDUP(Table2[[#This Row],[Month]]/3,0)</f>
        <v>2</v>
      </c>
    </row>
    <row r="623" spans="1:51" x14ac:dyDescent="0.2">
      <c r="A623">
        <v>622</v>
      </c>
      <c r="B623">
        <f t="shared" si="161"/>
        <v>13</v>
      </c>
      <c r="C623" s="22">
        <v>45400</v>
      </c>
      <c r="D623">
        <f>SUM(Table2[[#This Row],[Gray Min]:[Red Min]])</f>
        <v>55</v>
      </c>
      <c r="E623">
        <v>17</v>
      </c>
      <c r="F623">
        <v>657</v>
      </c>
      <c r="G623">
        <v>129</v>
      </c>
      <c r="H623">
        <v>167</v>
      </c>
      <c r="I623">
        <v>10</v>
      </c>
      <c r="J623">
        <v>14</v>
      </c>
      <c r="K623">
        <v>15</v>
      </c>
      <c r="L623">
        <v>14</v>
      </c>
      <c r="M623">
        <v>2</v>
      </c>
      <c r="N623" t="s">
        <v>125</v>
      </c>
      <c r="O623" t="s">
        <v>127</v>
      </c>
      <c r="P623" t="s">
        <v>207</v>
      </c>
      <c r="Q623">
        <f t="shared" si="173"/>
        <v>2</v>
      </c>
      <c r="R623" t="str">
        <f t="shared" si="162"/>
        <v>4-2024</v>
      </c>
      <c r="S623" t="s">
        <v>104</v>
      </c>
      <c r="T623" t="str">
        <f t="shared" si="163"/>
        <v>Thursday</v>
      </c>
      <c r="U623">
        <f t="shared" si="164"/>
        <v>1</v>
      </c>
      <c r="V623" s="24">
        <f>IFERROR(Table2[[#This Row],[Gray Min]]/Table2[[#This Row],[ClassLength]],"")</f>
        <v>0.18181818181818182</v>
      </c>
      <c r="W623" s="24">
        <f>IFERROR(Table2[[#This Row],[Blue Min]]/Table2[[#This Row],[ClassLength]],"")</f>
        <v>0.25454545454545452</v>
      </c>
      <c r="X623" s="24">
        <f>IFERROR(Table2[[#This Row],[Green Min]]/Table2[[#This Row],[ClassLength]],"")</f>
        <v>0.27272727272727271</v>
      </c>
      <c r="Y623" s="24">
        <f>IFERROR(Table2[[#This Row],[Orange Min]]/Table2[[#This Row],[ClassLength]],"")</f>
        <v>0.25454545454545452</v>
      </c>
      <c r="Z623" s="24">
        <f>IFERROR(Table2[[#This Row],[Red Min]]/Table2[[#This Row],[ClassLength]],"")</f>
        <v>3.6363636363636362E-2</v>
      </c>
      <c r="AA623" s="25">
        <v>100</v>
      </c>
      <c r="AB623" s="25">
        <f t="shared" si="175"/>
        <v>7.6923076923076925</v>
      </c>
      <c r="AC623" s="26">
        <f t="shared" si="165"/>
        <v>608.07692307692309</v>
      </c>
      <c r="AD623" s="26">
        <f t="shared" si="166"/>
        <v>13.461538461538462</v>
      </c>
      <c r="AE623">
        <f t="shared" si="167"/>
        <v>2024</v>
      </c>
      <c r="AG623">
        <v>12</v>
      </c>
      <c r="AH623" s="26">
        <f t="shared" si="168"/>
        <v>11.945454545454545</v>
      </c>
      <c r="AI623" t="str">
        <f t="shared" si="169"/>
        <v>PM</v>
      </c>
      <c r="AJ623" t="str">
        <f t="shared" si="170"/>
        <v>4-2024-3</v>
      </c>
      <c r="AK623">
        <f t="shared" si="171"/>
        <v>4</v>
      </c>
      <c r="AL623" s="26">
        <f>IFERROR(Table2[[#This Row],[Calories]]/Table2[[#This Row],[Splat]],"")</f>
        <v>38.647058823529413</v>
      </c>
      <c r="AM623">
        <f>COUNTIF(N$2:$N$938,N623)</f>
        <v>258</v>
      </c>
      <c r="AN623" t="str">
        <f>VLOOKUP(N623,'Helpful Tables'!A:D,4,FALSE)</f>
        <v>Oregon</v>
      </c>
      <c r="AO623" s="24">
        <f>COUNTIF(AN:AN,Table2[[#This Row],[State]])/COUNTA(AN:AN)</f>
        <v>0.36140724946695096</v>
      </c>
      <c r="AP623">
        <f>VLOOKUP(N623,'Helpful Tables'!A:B,2,FALSE)</f>
        <v>45.534162000000002</v>
      </c>
      <c r="AQ623">
        <f>VLOOKUP(N623,'Helpful Tables'!A:C,3,FALSE)</f>
        <v>-122.69670000000001</v>
      </c>
      <c r="AR623">
        <f>COUNTIF(P$2:$P$938,P623)</f>
        <v>10</v>
      </c>
      <c r="AS623" cm="1">
        <f t="array" ref="AS623">_xlfn.IFS(E623&lt;6,((E623/D623)*60)*0.5,AND(E623&gt;=6,E623&lt;9),((E623/D623)*60)*0.75,AND(E623&gt;=9,E623&lt;=11),((E623/D623)*60)*0.9,AND(E623=12),((E623/D623)*60)*1,AND(E623&gt;=13,E623&lt;=15),((E623/D623)*60)*1.2,AND(E623&gt;=16,E623&lt;=19),((E623/D623)*60)*1.5,E623&gt;=20,((E623/D623)*60)*1.8)</f>
        <v>27.81818181818182</v>
      </c>
      <c r="AT623" cm="1">
        <f t="array" ref="AT623">_xlfn.IFS(F623&lt;550,((F623/D623)*60)*0.5,AND(F623&gt;=550,F623&lt;575),((F623/D623)*60)*0.75,AND(F623&gt;=575,F623&lt;600),((F623/D623)*60)*0.9,AND(F623=600),((F623/D623)*60)*1,AND(F623&gt;=601,F623&lt;=625),((F623/D623)*60)*1.2,AND(F623&gt;=626,F623&lt;=650),((F623/D623)*60)*1.5,F623&gt;=651,((F623/D623)*60)*1.8)</f>
        <v>1290.109090909091</v>
      </c>
      <c r="AU623">
        <f t="shared" si="176"/>
        <v>11.799999999999997</v>
      </c>
      <c r="AV623">
        <f t="shared" si="174"/>
        <v>529.53090909090918</v>
      </c>
      <c r="AW623">
        <f t="shared" si="177"/>
        <v>93.300000000000011</v>
      </c>
      <c r="AX623" t="str">
        <f t="shared" si="172"/>
        <v>Apr-2024</v>
      </c>
      <c r="AY623">
        <f>ROUNDUP(Table2[[#This Row],[Month]]/3,0)</f>
        <v>2</v>
      </c>
    </row>
    <row r="624" spans="1:51" x14ac:dyDescent="0.2">
      <c r="A624">
        <v>623</v>
      </c>
      <c r="B624">
        <f t="shared" si="161"/>
        <v>13</v>
      </c>
      <c r="C624" s="22">
        <v>45402</v>
      </c>
      <c r="D624">
        <f>SUM(Table2[[#This Row],[Gray Min]:[Red Min]])</f>
        <v>58</v>
      </c>
      <c r="E624">
        <v>16</v>
      </c>
      <c r="F624">
        <v>621</v>
      </c>
      <c r="G624">
        <v>125</v>
      </c>
      <c r="H624">
        <v>168</v>
      </c>
      <c r="I624">
        <v>18</v>
      </c>
      <c r="J624">
        <v>14</v>
      </c>
      <c r="K624">
        <v>10</v>
      </c>
      <c r="L624">
        <v>13</v>
      </c>
      <c r="M624">
        <v>3</v>
      </c>
      <c r="N624" t="s">
        <v>125</v>
      </c>
      <c r="O624" t="s">
        <v>159</v>
      </c>
      <c r="P624" t="s">
        <v>210</v>
      </c>
      <c r="Q624">
        <f t="shared" si="173"/>
        <v>2</v>
      </c>
      <c r="R624" t="str">
        <f t="shared" si="162"/>
        <v>4-2024</v>
      </c>
      <c r="S624" t="s">
        <v>117</v>
      </c>
      <c r="T624" t="str">
        <f t="shared" si="163"/>
        <v>Saturday</v>
      </c>
      <c r="U624">
        <f t="shared" si="164"/>
        <v>1</v>
      </c>
      <c r="V624" s="24">
        <f>IFERROR(Table2[[#This Row],[Gray Min]]/Table2[[#This Row],[ClassLength]],"")</f>
        <v>0.31034482758620691</v>
      </c>
      <c r="W624" s="24">
        <f>IFERROR(Table2[[#This Row],[Blue Min]]/Table2[[#This Row],[ClassLength]],"")</f>
        <v>0.2413793103448276</v>
      </c>
      <c r="X624" s="24">
        <f>IFERROR(Table2[[#This Row],[Green Min]]/Table2[[#This Row],[ClassLength]],"")</f>
        <v>0.17241379310344829</v>
      </c>
      <c r="Y624" s="24">
        <f>IFERROR(Table2[[#This Row],[Orange Min]]/Table2[[#This Row],[ClassLength]],"")</f>
        <v>0.22413793103448276</v>
      </c>
      <c r="Z624" s="24">
        <f>IFERROR(Table2[[#This Row],[Red Min]]/Table2[[#This Row],[ClassLength]],"")</f>
        <v>5.1724137931034482E-2</v>
      </c>
      <c r="AA624" s="25">
        <v>100</v>
      </c>
      <c r="AB624" s="25">
        <f t="shared" si="175"/>
        <v>7.6923076923076925</v>
      </c>
      <c r="AC624" s="26">
        <f t="shared" si="165"/>
        <v>608.07692307692309</v>
      </c>
      <c r="AD624" s="26">
        <f t="shared" si="166"/>
        <v>13.461538461538462</v>
      </c>
      <c r="AE624">
        <f t="shared" si="167"/>
        <v>2024</v>
      </c>
      <c r="AG624">
        <v>12</v>
      </c>
      <c r="AH624" s="26">
        <f t="shared" si="168"/>
        <v>10.706896551724139</v>
      </c>
      <c r="AI624" t="str">
        <f t="shared" si="169"/>
        <v>AM</v>
      </c>
      <c r="AJ624" t="str">
        <f t="shared" si="170"/>
        <v>4-2024-3</v>
      </c>
      <c r="AK624">
        <f t="shared" si="171"/>
        <v>4</v>
      </c>
      <c r="AL624" s="26">
        <f>IFERROR(Table2[[#This Row],[Calories]]/Table2[[#This Row],[Splat]],"")</f>
        <v>38.8125</v>
      </c>
      <c r="AM624">
        <f>COUNTIF(N$2:$N$938,N624)</f>
        <v>258</v>
      </c>
      <c r="AN624" t="str">
        <f>VLOOKUP(N624,'Helpful Tables'!A:D,4,FALSE)</f>
        <v>Oregon</v>
      </c>
      <c r="AO624" s="24">
        <f>COUNTIF(AN:AN,Table2[[#This Row],[State]])/COUNTA(AN:AN)</f>
        <v>0.36140724946695096</v>
      </c>
      <c r="AP624">
        <f>VLOOKUP(N624,'Helpful Tables'!A:B,2,FALSE)</f>
        <v>45.534162000000002</v>
      </c>
      <c r="AQ624">
        <f>VLOOKUP(N624,'Helpful Tables'!A:C,3,FALSE)</f>
        <v>-122.69670000000001</v>
      </c>
      <c r="AR624">
        <f>COUNTIF(P$2:$P$938,P624)</f>
        <v>16</v>
      </c>
      <c r="AS624" cm="1">
        <f t="array" ref="AS624">_xlfn.IFS(E624&lt;6,((E624/D624)*60)*0.5,AND(E624&gt;=6,E624&lt;9),((E624/D624)*60)*0.75,AND(E624&gt;=9,E624&lt;=11),((E624/D624)*60)*0.9,AND(E624=12),((E624/D624)*60)*1,AND(E624&gt;=13,E624&lt;=15),((E624/D624)*60)*1.2,AND(E624&gt;=16,E624&lt;=19),((E624/D624)*60)*1.5,E624&gt;=20,((E624/D624)*60)*1.8)</f>
        <v>24.827586206896555</v>
      </c>
      <c r="AT624" cm="1">
        <f t="array" ref="AT624">_xlfn.IFS(F624&lt;550,((F624/D624)*60)*0.5,AND(F624&gt;=550,F624&lt;575),((F624/D624)*60)*0.75,AND(F624&gt;=575,F624&lt;600),((F624/D624)*60)*0.9,AND(F624=600),((F624/D624)*60)*1,AND(F624&gt;=601,F624&lt;=625),((F624/D624)*60)*1.2,AND(F624&gt;=626,F624&lt;=650),((F624/D624)*60)*1.5,F624&gt;=651,((F624/D624)*60)*1.8)</f>
        <v>770.89655172413802</v>
      </c>
      <c r="AU624">
        <f t="shared" si="176"/>
        <v>-3.5999999999999979</v>
      </c>
      <c r="AV624">
        <f t="shared" si="174"/>
        <v>317.56965517241383</v>
      </c>
      <c r="AW624">
        <f t="shared" si="177"/>
        <v>35.6</v>
      </c>
      <c r="AX624" t="str">
        <f t="shared" si="172"/>
        <v>Apr-2024</v>
      </c>
      <c r="AY624">
        <f>ROUNDUP(Table2[[#This Row],[Month]]/3,0)</f>
        <v>2</v>
      </c>
    </row>
    <row r="625" spans="1:51" x14ac:dyDescent="0.2">
      <c r="A625">
        <v>624</v>
      </c>
      <c r="B625">
        <f t="shared" si="161"/>
        <v>13</v>
      </c>
      <c r="C625" s="22">
        <v>45404</v>
      </c>
      <c r="D625">
        <f>SUM(Table2[[#This Row],[Gray Min]:[Red Min]])</f>
        <v>56</v>
      </c>
      <c r="E625">
        <v>12</v>
      </c>
      <c r="F625">
        <v>549</v>
      </c>
      <c r="G625">
        <v>118</v>
      </c>
      <c r="H625">
        <v>165</v>
      </c>
      <c r="I625">
        <v>22</v>
      </c>
      <c r="J625">
        <v>14</v>
      </c>
      <c r="K625">
        <v>8</v>
      </c>
      <c r="L625">
        <v>11</v>
      </c>
      <c r="M625">
        <v>1</v>
      </c>
      <c r="N625" t="s">
        <v>125</v>
      </c>
      <c r="O625" t="s">
        <v>127</v>
      </c>
      <c r="P625" t="s">
        <v>217</v>
      </c>
      <c r="Q625">
        <f t="shared" si="173"/>
        <v>2</v>
      </c>
      <c r="R625" t="str">
        <f t="shared" si="162"/>
        <v>4-2024</v>
      </c>
      <c r="S625" t="s">
        <v>104</v>
      </c>
      <c r="T625" t="str">
        <f t="shared" si="163"/>
        <v>Monday</v>
      </c>
      <c r="U625">
        <f t="shared" si="164"/>
        <v>1</v>
      </c>
      <c r="V625" s="24">
        <f>IFERROR(Table2[[#This Row],[Gray Min]]/Table2[[#This Row],[ClassLength]],"")</f>
        <v>0.39285714285714285</v>
      </c>
      <c r="W625" s="24">
        <f>IFERROR(Table2[[#This Row],[Blue Min]]/Table2[[#This Row],[ClassLength]],"")</f>
        <v>0.25</v>
      </c>
      <c r="X625" s="24">
        <f>IFERROR(Table2[[#This Row],[Green Min]]/Table2[[#This Row],[ClassLength]],"")</f>
        <v>0.14285714285714285</v>
      </c>
      <c r="Y625" s="24">
        <f>IFERROR(Table2[[#This Row],[Orange Min]]/Table2[[#This Row],[ClassLength]],"")</f>
        <v>0.19642857142857142</v>
      </c>
      <c r="Z625" s="24">
        <f>IFERROR(Table2[[#This Row],[Red Min]]/Table2[[#This Row],[ClassLength]],"")</f>
        <v>1.7857142857142856E-2</v>
      </c>
      <c r="AA625" s="25">
        <v>100</v>
      </c>
      <c r="AB625" s="25">
        <f t="shared" si="175"/>
        <v>7.6923076923076925</v>
      </c>
      <c r="AC625" s="26">
        <f t="shared" si="165"/>
        <v>608.07692307692309</v>
      </c>
      <c r="AD625" s="26">
        <f t="shared" si="166"/>
        <v>13.461538461538462</v>
      </c>
      <c r="AE625">
        <f t="shared" si="167"/>
        <v>2024</v>
      </c>
      <c r="AG625">
        <v>12</v>
      </c>
      <c r="AH625" s="26">
        <f t="shared" si="168"/>
        <v>9.8035714285714288</v>
      </c>
      <c r="AI625" t="str">
        <f t="shared" si="169"/>
        <v>PM</v>
      </c>
      <c r="AJ625" t="str">
        <f t="shared" si="170"/>
        <v>4-2024-4</v>
      </c>
      <c r="AK625">
        <f t="shared" si="171"/>
        <v>4</v>
      </c>
      <c r="AL625" s="26">
        <f>IFERROR(Table2[[#This Row],[Calories]]/Table2[[#This Row],[Splat]],"")</f>
        <v>45.75</v>
      </c>
      <c r="AM625">
        <f>COUNTIF(N$2:$N$938,N625)</f>
        <v>258</v>
      </c>
      <c r="AN625" t="str">
        <f>VLOOKUP(N625,'Helpful Tables'!A:D,4,FALSE)</f>
        <v>Oregon</v>
      </c>
      <c r="AO625" s="24">
        <f>COUNTIF(AN:AN,Table2[[#This Row],[State]])/COUNTA(AN:AN)</f>
        <v>0.36140724946695096</v>
      </c>
      <c r="AP625">
        <f>VLOOKUP(N625,'Helpful Tables'!A:B,2,FALSE)</f>
        <v>45.534162000000002</v>
      </c>
      <c r="AQ625">
        <f>VLOOKUP(N625,'Helpful Tables'!A:C,3,FALSE)</f>
        <v>-122.69670000000001</v>
      </c>
      <c r="AR625">
        <f>COUNTIF(P$2:$P$938,P625)</f>
        <v>7</v>
      </c>
      <c r="AS625" cm="1">
        <f t="array" ref="AS625">_xlfn.IFS(E625&lt;6,((E625/D625)*60)*0.5,AND(E625&gt;=6,E625&lt;9),((E625/D625)*60)*0.75,AND(E625&gt;=9,E625&lt;=11),((E625/D625)*60)*0.9,AND(E625=12),((E625/D625)*60)*1,AND(E625&gt;=13,E625&lt;=15),((E625/D625)*60)*1.2,AND(E625&gt;=16,E625&lt;=19),((E625/D625)*60)*1.5,E625&gt;=20,((E625/D625)*60)*1.8)</f>
        <v>12.857142857142856</v>
      </c>
      <c r="AT625" cm="1">
        <f t="array" ref="AT625">_xlfn.IFS(F625&lt;550,((F625/D625)*60)*0.5,AND(F625&gt;=550,F625&lt;575),((F625/D625)*60)*0.75,AND(F625&gt;=575,F625&lt;600),((F625/D625)*60)*0.9,AND(F625=600),((F625/D625)*60)*1,AND(F625&gt;=601,F625&lt;=625),((F625/D625)*60)*1.2,AND(F625&gt;=626,F625&lt;=650),((F625/D625)*60)*1.5,F625&gt;=651,((F625/D625)*60)*1.8)</f>
        <v>294.10714285714289</v>
      </c>
      <c r="AU625">
        <f t="shared" si="176"/>
        <v>-16.399999999999995</v>
      </c>
      <c r="AV625">
        <f t="shared" si="174"/>
        <v>119.5057142857143</v>
      </c>
      <c r="AW625">
        <f t="shared" si="177"/>
        <v>6.8000000000000007</v>
      </c>
      <c r="AX625" t="str">
        <f t="shared" si="172"/>
        <v>Apr-2024</v>
      </c>
      <c r="AY625">
        <f>ROUNDUP(Table2[[#This Row],[Month]]/3,0)</f>
        <v>2</v>
      </c>
    </row>
    <row r="626" spans="1:51" x14ac:dyDescent="0.2">
      <c r="A626">
        <v>625</v>
      </c>
      <c r="B626">
        <f t="shared" si="161"/>
        <v>13</v>
      </c>
      <c r="C626" s="22">
        <v>45408</v>
      </c>
      <c r="D626">
        <f>SUM(Table2[[#This Row],[Gray Min]:[Red Min]])</f>
        <v>58</v>
      </c>
      <c r="E626">
        <v>17</v>
      </c>
      <c r="F626">
        <v>640</v>
      </c>
      <c r="G626">
        <v>126</v>
      </c>
      <c r="H626">
        <v>160</v>
      </c>
      <c r="I626">
        <v>12</v>
      </c>
      <c r="J626">
        <v>19</v>
      </c>
      <c r="K626">
        <v>10</v>
      </c>
      <c r="L626">
        <v>17</v>
      </c>
      <c r="M626">
        <v>0</v>
      </c>
      <c r="N626" t="s">
        <v>208</v>
      </c>
      <c r="O626" t="s">
        <v>39</v>
      </c>
      <c r="P626" t="s">
        <v>209</v>
      </c>
      <c r="Q626">
        <f t="shared" si="173"/>
        <v>4</v>
      </c>
      <c r="R626" t="str">
        <f t="shared" si="162"/>
        <v>4-2024</v>
      </c>
      <c r="S626" t="s">
        <v>104</v>
      </c>
      <c r="T626" t="str">
        <f t="shared" si="163"/>
        <v>Friday</v>
      </c>
      <c r="U626">
        <f t="shared" si="164"/>
        <v>1</v>
      </c>
      <c r="V626" s="24">
        <f>IFERROR(Table2[[#This Row],[Gray Min]]/Table2[[#This Row],[ClassLength]],"")</f>
        <v>0.20689655172413793</v>
      </c>
      <c r="W626" s="24">
        <f>IFERROR(Table2[[#This Row],[Blue Min]]/Table2[[#This Row],[ClassLength]],"")</f>
        <v>0.32758620689655171</v>
      </c>
      <c r="X626" s="24">
        <f>IFERROR(Table2[[#This Row],[Green Min]]/Table2[[#This Row],[ClassLength]],"")</f>
        <v>0.17241379310344829</v>
      </c>
      <c r="Y626" s="24">
        <f>IFERROR(Table2[[#This Row],[Orange Min]]/Table2[[#This Row],[ClassLength]],"")</f>
        <v>0.29310344827586204</v>
      </c>
      <c r="Z626" s="24">
        <f>IFERROR(Table2[[#This Row],[Red Min]]/Table2[[#This Row],[ClassLength]],"")</f>
        <v>0</v>
      </c>
      <c r="AA626" s="25">
        <v>100</v>
      </c>
      <c r="AB626" s="25">
        <f t="shared" si="175"/>
        <v>7.6923076923076925</v>
      </c>
      <c r="AC626" s="26">
        <f t="shared" si="165"/>
        <v>608.07692307692309</v>
      </c>
      <c r="AD626" s="26">
        <f t="shared" si="166"/>
        <v>13.461538461538462</v>
      </c>
      <c r="AE626">
        <f t="shared" si="167"/>
        <v>2024</v>
      </c>
      <c r="AG626">
        <v>12</v>
      </c>
      <c r="AH626" s="26">
        <f t="shared" si="168"/>
        <v>11.03448275862069</v>
      </c>
      <c r="AI626" t="str">
        <f t="shared" si="169"/>
        <v>PM</v>
      </c>
      <c r="AJ626" t="str">
        <f t="shared" si="170"/>
        <v>4-2024-4</v>
      </c>
      <c r="AK626">
        <f t="shared" si="171"/>
        <v>4</v>
      </c>
      <c r="AL626" s="26">
        <f>IFERROR(Table2[[#This Row],[Calories]]/Table2[[#This Row],[Splat]],"")</f>
        <v>37.647058823529413</v>
      </c>
      <c r="AM626">
        <f>COUNTIF(N$2:$N$938,N626)</f>
        <v>78</v>
      </c>
      <c r="AN626" t="str">
        <f>VLOOKUP(N626,'Helpful Tables'!A:D,4,FALSE)</f>
        <v>Oregon</v>
      </c>
      <c r="AO626" s="24">
        <f>COUNTIF(AN:AN,Table2[[#This Row],[State]])/COUNTA(AN:AN)</f>
        <v>0.36140724946695096</v>
      </c>
      <c r="AP626">
        <f>VLOOKUP(N626,'Helpful Tables'!A:B,2,FALSE)</f>
        <v>45.525092999999998</v>
      </c>
      <c r="AQ626">
        <f>VLOOKUP(N626,'Helpful Tables'!A:C,3,FALSE)</f>
        <v>-122.681383</v>
      </c>
      <c r="AR626">
        <f>COUNTIF(P$2:$P$938,P626)</f>
        <v>20</v>
      </c>
      <c r="AS626" cm="1">
        <f t="array" ref="AS626">_xlfn.IFS(E626&lt;6,((E626/D626)*60)*0.5,AND(E626&gt;=6,E626&lt;9),((E626/D626)*60)*0.75,AND(E626&gt;=9,E626&lt;=11),((E626/D626)*60)*0.9,AND(E626=12),((E626/D626)*60)*1,AND(E626&gt;=13,E626&lt;=15),((E626/D626)*60)*1.2,AND(E626&gt;=16,E626&lt;=19),((E626/D626)*60)*1.5,E626&gt;=20,((E626/D626)*60)*1.8)</f>
        <v>26.379310344827584</v>
      </c>
      <c r="AT626" cm="1">
        <f t="array" ref="AT626">_xlfn.IFS(F626&lt;550,((F626/D626)*60)*0.5,AND(F626&gt;=550,F626&lt;575),((F626/D626)*60)*0.75,AND(F626&gt;=575,F626&lt;600),((F626/D626)*60)*0.9,AND(F626=600),((F626/D626)*60)*1,AND(F626&gt;=601,F626&lt;=625),((F626/D626)*60)*1.2,AND(F626&gt;=626,F626&lt;=650),((F626/D626)*60)*1.5,F626&gt;=651,((F626/D626)*60)*1.8)</f>
        <v>993.10344827586209</v>
      </c>
      <c r="AU626">
        <f t="shared" si="176"/>
        <v>-1.1999999999999957</v>
      </c>
      <c r="AV626">
        <f t="shared" si="174"/>
        <v>407.55310344827592</v>
      </c>
      <c r="AW626">
        <f t="shared" si="177"/>
        <v>57.4</v>
      </c>
      <c r="AX626" t="str">
        <f t="shared" si="172"/>
        <v>Apr-2024</v>
      </c>
      <c r="AY626">
        <f>ROUNDUP(Table2[[#This Row],[Month]]/3,0)</f>
        <v>2</v>
      </c>
    </row>
    <row r="627" spans="1:51" x14ac:dyDescent="0.2">
      <c r="A627">
        <v>626</v>
      </c>
      <c r="B627">
        <f t="shared" si="161"/>
        <v>13</v>
      </c>
      <c r="C627" s="22">
        <v>45410</v>
      </c>
      <c r="D627">
        <f>SUM(Table2[[#This Row],[Gray Min]:[Red Min]])</f>
        <v>54</v>
      </c>
      <c r="E627">
        <v>12</v>
      </c>
      <c r="F627">
        <v>511</v>
      </c>
      <c r="G627">
        <v>115</v>
      </c>
      <c r="H627">
        <v>168</v>
      </c>
      <c r="I627">
        <v>27</v>
      </c>
      <c r="J627">
        <v>11</v>
      </c>
      <c r="K627">
        <v>4</v>
      </c>
      <c r="L627">
        <v>10</v>
      </c>
      <c r="M627">
        <v>2</v>
      </c>
      <c r="N627" t="s">
        <v>125</v>
      </c>
      <c r="O627" t="s">
        <v>159</v>
      </c>
      <c r="P627" t="s">
        <v>210</v>
      </c>
      <c r="Q627">
        <f t="shared" si="173"/>
        <v>2</v>
      </c>
      <c r="R627" t="str">
        <f t="shared" si="162"/>
        <v>4-2024</v>
      </c>
      <c r="S627" t="s">
        <v>117</v>
      </c>
      <c r="T627" t="str">
        <f t="shared" si="163"/>
        <v>Sunday</v>
      </c>
      <c r="U627">
        <f t="shared" si="164"/>
        <v>1</v>
      </c>
      <c r="V627" s="24">
        <f>IFERROR(Table2[[#This Row],[Gray Min]]/Table2[[#This Row],[ClassLength]],"")</f>
        <v>0.5</v>
      </c>
      <c r="W627" s="24">
        <f>IFERROR(Table2[[#This Row],[Blue Min]]/Table2[[#This Row],[ClassLength]],"")</f>
        <v>0.20370370370370369</v>
      </c>
      <c r="X627" s="24">
        <f>IFERROR(Table2[[#This Row],[Green Min]]/Table2[[#This Row],[ClassLength]],"")</f>
        <v>7.407407407407407E-2</v>
      </c>
      <c r="Y627" s="24">
        <f>IFERROR(Table2[[#This Row],[Orange Min]]/Table2[[#This Row],[ClassLength]],"")</f>
        <v>0.18518518518518517</v>
      </c>
      <c r="Z627" s="24">
        <f>IFERROR(Table2[[#This Row],[Red Min]]/Table2[[#This Row],[ClassLength]],"")</f>
        <v>3.7037037037037035E-2</v>
      </c>
      <c r="AA627" s="25">
        <v>100</v>
      </c>
      <c r="AB627" s="25">
        <f t="shared" si="175"/>
        <v>7.6923076923076925</v>
      </c>
      <c r="AC627" s="26">
        <f t="shared" si="165"/>
        <v>608.07692307692309</v>
      </c>
      <c r="AD627" s="26">
        <f t="shared" si="166"/>
        <v>13.461538461538462</v>
      </c>
      <c r="AE627">
        <f t="shared" si="167"/>
        <v>2024</v>
      </c>
      <c r="AG627">
        <v>12</v>
      </c>
      <c r="AH627" s="26">
        <f t="shared" si="168"/>
        <v>9.4629629629629637</v>
      </c>
      <c r="AI627" t="str">
        <f t="shared" si="169"/>
        <v>AM</v>
      </c>
      <c r="AJ627" t="str">
        <f t="shared" si="170"/>
        <v>4-2024-5</v>
      </c>
      <c r="AK627">
        <f t="shared" si="171"/>
        <v>4</v>
      </c>
      <c r="AL627" s="26">
        <f>IFERROR(Table2[[#This Row],[Calories]]/Table2[[#This Row],[Splat]],"")</f>
        <v>42.583333333333336</v>
      </c>
      <c r="AM627">
        <f>COUNTIF(N$2:$N$938,N627)</f>
        <v>258</v>
      </c>
      <c r="AN627" t="str">
        <f>VLOOKUP(N627,'Helpful Tables'!A:D,4,FALSE)</f>
        <v>Oregon</v>
      </c>
      <c r="AO627" s="24">
        <f>COUNTIF(AN:AN,Table2[[#This Row],[State]])/COUNTA(AN:AN)</f>
        <v>0.36140724946695096</v>
      </c>
      <c r="AP627">
        <f>VLOOKUP(N627,'Helpful Tables'!A:B,2,FALSE)</f>
        <v>45.534162000000002</v>
      </c>
      <c r="AQ627">
        <f>VLOOKUP(N627,'Helpful Tables'!A:C,3,FALSE)</f>
        <v>-122.69670000000001</v>
      </c>
      <c r="AR627">
        <f>COUNTIF(P$2:$P$938,P627)</f>
        <v>16</v>
      </c>
      <c r="AS627" cm="1">
        <f t="array" ref="AS627">_xlfn.IFS(E627&lt;6,((E627/D627)*60)*0.5,AND(E627&gt;=6,E627&lt;9),((E627/D627)*60)*0.75,AND(E627&gt;=9,E627&lt;=11),((E627/D627)*60)*0.9,AND(E627=12),((E627/D627)*60)*1,AND(E627&gt;=13,E627&lt;=15),((E627/D627)*60)*1.2,AND(E627&gt;=16,E627&lt;=19),((E627/D627)*60)*1.5,E627&gt;=20,((E627/D627)*60)*1.8)</f>
        <v>13.333333333333332</v>
      </c>
      <c r="AT627" cm="1">
        <f t="array" ref="AT627">_xlfn.IFS(F627&lt;550,((F627/D627)*60)*0.5,AND(F627&gt;=550,F627&lt;575),((F627/D627)*60)*0.75,AND(F627&gt;=575,F627&lt;600),((F627/D627)*60)*0.9,AND(F627=600),((F627/D627)*60)*1,AND(F627&gt;=601,F627&lt;=625),((F627/D627)*60)*1.2,AND(F627&gt;=626,F627&lt;=650),((F627/D627)*60)*1.5,F627&gt;=651,((F627/D627)*60)*1.8)</f>
        <v>283.88888888888891</v>
      </c>
      <c r="AU627">
        <f t="shared" si="176"/>
        <v>-23.700000000000003</v>
      </c>
      <c r="AV627">
        <f t="shared" si="174"/>
        <v>114.14888888888891</v>
      </c>
      <c r="AW627">
        <f t="shared" si="177"/>
        <v>5.3</v>
      </c>
      <c r="AX627" t="str">
        <f t="shared" si="172"/>
        <v>Apr-2024</v>
      </c>
      <c r="AY627">
        <f>ROUNDUP(Table2[[#This Row],[Month]]/3,0)</f>
        <v>2</v>
      </c>
    </row>
    <row r="628" spans="1:51" x14ac:dyDescent="0.2">
      <c r="A628">
        <v>627</v>
      </c>
      <c r="B628">
        <f t="shared" si="161"/>
        <v>13</v>
      </c>
      <c r="C628" s="22">
        <v>45412</v>
      </c>
      <c r="D628">
        <f>SUM(Table2[[#This Row],[Gray Min]:[Red Min]])</f>
        <v>59</v>
      </c>
      <c r="E628">
        <v>18</v>
      </c>
      <c r="F628">
        <v>663</v>
      </c>
      <c r="G628">
        <v>128</v>
      </c>
      <c r="H628">
        <v>168</v>
      </c>
      <c r="I628">
        <v>15</v>
      </c>
      <c r="J628">
        <v>15</v>
      </c>
      <c r="K628">
        <v>11</v>
      </c>
      <c r="L628">
        <v>13</v>
      </c>
      <c r="M628">
        <v>5</v>
      </c>
      <c r="N628" t="s">
        <v>125</v>
      </c>
      <c r="O628" t="s">
        <v>127</v>
      </c>
      <c r="P628" t="s">
        <v>216</v>
      </c>
      <c r="Q628">
        <f t="shared" si="173"/>
        <v>2</v>
      </c>
      <c r="R628" t="str">
        <f t="shared" si="162"/>
        <v>4-2024</v>
      </c>
      <c r="S628" t="s">
        <v>104</v>
      </c>
      <c r="T628" t="str">
        <f t="shared" si="163"/>
        <v>Tuesday</v>
      </c>
      <c r="U628">
        <f t="shared" si="164"/>
        <v>1</v>
      </c>
      <c r="V628" s="24">
        <f>IFERROR(Table2[[#This Row],[Gray Min]]/Table2[[#This Row],[ClassLength]],"")</f>
        <v>0.25423728813559321</v>
      </c>
      <c r="W628" s="24">
        <f>IFERROR(Table2[[#This Row],[Blue Min]]/Table2[[#This Row],[ClassLength]],"")</f>
        <v>0.25423728813559321</v>
      </c>
      <c r="X628" s="24">
        <f>IFERROR(Table2[[#This Row],[Green Min]]/Table2[[#This Row],[ClassLength]],"")</f>
        <v>0.1864406779661017</v>
      </c>
      <c r="Y628" s="24">
        <f>IFERROR(Table2[[#This Row],[Orange Min]]/Table2[[#This Row],[ClassLength]],"")</f>
        <v>0.22033898305084745</v>
      </c>
      <c r="Z628" s="24">
        <f>IFERROR(Table2[[#This Row],[Red Min]]/Table2[[#This Row],[ClassLength]],"")</f>
        <v>8.4745762711864403E-2</v>
      </c>
      <c r="AA628" s="25">
        <v>100</v>
      </c>
      <c r="AB628" s="25">
        <f t="shared" si="175"/>
        <v>7.6923076923076925</v>
      </c>
      <c r="AC628" s="26">
        <f t="shared" si="165"/>
        <v>608.07692307692309</v>
      </c>
      <c r="AD628" s="26">
        <f t="shared" si="166"/>
        <v>13.461538461538462</v>
      </c>
      <c r="AE628">
        <f t="shared" si="167"/>
        <v>2024</v>
      </c>
      <c r="AG628">
        <v>12</v>
      </c>
      <c r="AH628" s="26">
        <f t="shared" si="168"/>
        <v>11.23728813559322</v>
      </c>
      <c r="AI628" t="str">
        <f t="shared" si="169"/>
        <v>PM</v>
      </c>
      <c r="AJ628" t="str">
        <f t="shared" si="170"/>
        <v>4-2024-5</v>
      </c>
      <c r="AK628">
        <f t="shared" si="171"/>
        <v>4</v>
      </c>
      <c r="AL628" s="26">
        <f>IFERROR(Table2[[#This Row],[Calories]]/Table2[[#This Row],[Splat]],"")</f>
        <v>36.833333333333336</v>
      </c>
      <c r="AM628">
        <f>COUNTIF(N$2:$N$938,N628)</f>
        <v>258</v>
      </c>
      <c r="AN628" t="str">
        <f>VLOOKUP(N628,'Helpful Tables'!A:D,4,FALSE)</f>
        <v>Oregon</v>
      </c>
      <c r="AO628" s="24">
        <f>COUNTIF(AN:AN,Table2[[#This Row],[State]])/COUNTA(AN:AN)</f>
        <v>0.36140724946695096</v>
      </c>
      <c r="AP628">
        <f>VLOOKUP(N628,'Helpful Tables'!A:B,2,FALSE)</f>
        <v>45.534162000000002</v>
      </c>
      <c r="AQ628">
        <f>VLOOKUP(N628,'Helpful Tables'!A:C,3,FALSE)</f>
        <v>-122.69670000000001</v>
      </c>
      <c r="AR628">
        <f>COUNTIF(P$2:$P$938,P628)</f>
        <v>25</v>
      </c>
      <c r="AS628" cm="1">
        <f t="array" ref="AS628">_xlfn.IFS(E628&lt;6,((E628/D628)*60)*0.5,AND(E628&gt;=6,E628&lt;9),((E628/D628)*60)*0.75,AND(E628&gt;=9,E628&lt;=11),((E628/D628)*60)*0.9,AND(E628=12),((E628/D628)*60)*1,AND(E628&gt;=13,E628&lt;=15),((E628/D628)*60)*1.2,AND(E628&gt;=16,E628&lt;=19),((E628/D628)*60)*1.5,E628&gt;=20,((E628/D628)*60)*1.8)</f>
        <v>27.457627118644069</v>
      </c>
      <c r="AT628" cm="1">
        <f t="array" ref="AT628">_xlfn.IFS(F628&lt;550,((F628/D628)*60)*0.5,AND(F628&gt;=550,F628&lt;575),((F628/D628)*60)*0.75,AND(F628&gt;=575,F628&lt;600),((F628/D628)*60)*0.9,AND(F628=600),((F628/D628)*60)*1,AND(F628&gt;=601,F628&lt;=625),((F628/D628)*60)*1.2,AND(F628&gt;=626,F628&lt;=650),((F628/D628)*60)*1.5,F628&gt;=651,((F628/D628)*60)*1.8)</f>
        <v>1213.6271186440679</v>
      </c>
      <c r="AU628">
        <f t="shared" si="176"/>
        <v>3.1000000000000014</v>
      </c>
      <c r="AV628">
        <f t="shared" si="174"/>
        <v>497.05389830508477</v>
      </c>
      <c r="AW628">
        <f t="shared" si="177"/>
        <v>77</v>
      </c>
      <c r="AX628" t="str">
        <f t="shared" si="172"/>
        <v>Apr-2024</v>
      </c>
      <c r="AY628">
        <f>ROUNDUP(Table2[[#This Row],[Month]]/3,0)</f>
        <v>2</v>
      </c>
    </row>
    <row r="629" spans="1:51" x14ac:dyDescent="0.2">
      <c r="A629">
        <v>628</v>
      </c>
      <c r="B629">
        <f t="shared" si="161"/>
        <v>14</v>
      </c>
      <c r="C629" s="22">
        <v>45414</v>
      </c>
      <c r="D629">
        <f>SUM(Table2[[#This Row],[Gray Min]:[Red Min]])</f>
        <v>53</v>
      </c>
      <c r="E629">
        <v>17</v>
      </c>
      <c r="F629">
        <v>621</v>
      </c>
      <c r="G629">
        <v>129</v>
      </c>
      <c r="H629">
        <v>165</v>
      </c>
      <c r="I629">
        <v>8</v>
      </c>
      <c r="J629">
        <v>15</v>
      </c>
      <c r="K629">
        <v>13</v>
      </c>
      <c r="L629">
        <v>15</v>
      </c>
      <c r="M629">
        <v>2</v>
      </c>
      <c r="N629" t="s">
        <v>125</v>
      </c>
      <c r="O629" t="s">
        <v>127</v>
      </c>
      <c r="P629" t="s">
        <v>207</v>
      </c>
      <c r="Q629">
        <f t="shared" si="173"/>
        <v>2</v>
      </c>
      <c r="R629" t="str">
        <f t="shared" si="162"/>
        <v>5-2024</v>
      </c>
      <c r="S629" t="s">
        <v>104</v>
      </c>
      <c r="T629" t="str">
        <f t="shared" si="163"/>
        <v>Thursday</v>
      </c>
      <c r="U629">
        <f t="shared" si="164"/>
        <v>1</v>
      </c>
      <c r="V629" s="24">
        <f>IFERROR(Table2[[#This Row],[Gray Min]]/Table2[[#This Row],[ClassLength]],"")</f>
        <v>0.15094339622641509</v>
      </c>
      <c r="W629" s="24">
        <f>IFERROR(Table2[[#This Row],[Blue Min]]/Table2[[#This Row],[ClassLength]],"")</f>
        <v>0.28301886792452829</v>
      </c>
      <c r="X629" s="24">
        <f>IFERROR(Table2[[#This Row],[Green Min]]/Table2[[#This Row],[ClassLength]],"")</f>
        <v>0.24528301886792453</v>
      </c>
      <c r="Y629" s="24">
        <f>IFERROR(Table2[[#This Row],[Orange Min]]/Table2[[#This Row],[ClassLength]],"")</f>
        <v>0.28301886792452829</v>
      </c>
      <c r="Z629" s="24">
        <f>IFERROR(Table2[[#This Row],[Red Min]]/Table2[[#This Row],[ClassLength]],"")</f>
        <v>3.7735849056603772E-2</v>
      </c>
      <c r="AA629" s="25">
        <v>169</v>
      </c>
      <c r="AB629" s="25">
        <f t="shared" si="175"/>
        <v>12.071428571428571</v>
      </c>
      <c r="AC629" s="26">
        <f t="shared" si="165"/>
        <v>615.85714285714289</v>
      </c>
      <c r="AD629" s="26">
        <f t="shared" si="166"/>
        <v>13.5</v>
      </c>
      <c r="AE629">
        <f t="shared" si="167"/>
        <v>2024</v>
      </c>
      <c r="AG629">
        <v>12</v>
      </c>
      <c r="AH629" s="26">
        <f t="shared" si="168"/>
        <v>11.716981132075471</v>
      </c>
      <c r="AI629" t="str">
        <f t="shared" si="169"/>
        <v>PM</v>
      </c>
      <c r="AJ629" t="str">
        <f t="shared" si="170"/>
        <v>5-2024-1</v>
      </c>
      <c r="AK629">
        <f t="shared" si="171"/>
        <v>5</v>
      </c>
      <c r="AL629" s="26">
        <f>IFERROR(Table2[[#This Row],[Calories]]/Table2[[#This Row],[Splat]],"")</f>
        <v>36.529411764705884</v>
      </c>
      <c r="AM629">
        <f>COUNTIF(N$2:$N$938,N629)</f>
        <v>258</v>
      </c>
      <c r="AN629" t="str">
        <f>VLOOKUP(N629,'Helpful Tables'!A:D,4,FALSE)</f>
        <v>Oregon</v>
      </c>
      <c r="AO629" s="24">
        <f>COUNTIF(AN:AN,Table2[[#This Row],[State]])/COUNTA(AN:AN)</f>
        <v>0.36140724946695096</v>
      </c>
      <c r="AP629">
        <f>VLOOKUP(N629,'Helpful Tables'!A:B,2,FALSE)</f>
        <v>45.534162000000002</v>
      </c>
      <c r="AQ629">
        <f>VLOOKUP(N629,'Helpful Tables'!A:C,3,FALSE)</f>
        <v>-122.69670000000001</v>
      </c>
      <c r="AR629">
        <f>COUNTIF(P$2:$P$938,P629)</f>
        <v>10</v>
      </c>
      <c r="AS629" cm="1">
        <f t="array" ref="AS629">_xlfn.IFS(E629&lt;6,((E629/D629)*60)*0.5,AND(E629&gt;=6,E629&lt;9),((E629/D629)*60)*0.75,AND(E629&gt;=9,E629&lt;=11),((E629/D629)*60)*0.9,AND(E629=12),((E629/D629)*60)*1,AND(E629&gt;=13,E629&lt;=15),((E629/D629)*60)*1.2,AND(E629&gt;=16,E629&lt;=19),((E629/D629)*60)*1.5,E629&gt;=20,((E629/D629)*60)*1.8)</f>
        <v>28.867924528301884</v>
      </c>
      <c r="AT629" cm="1">
        <f t="array" ref="AT629">_xlfn.IFS(F629&lt;550,((F629/D629)*60)*0.5,AND(F629&gt;=550,F629&lt;575),((F629/D629)*60)*0.75,AND(F629&gt;=575,F629&lt;600),((F629/D629)*60)*0.9,AND(F629=600),((F629/D629)*60)*1,AND(F629&gt;=601,F629&lt;=625),((F629/D629)*60)*1.2,AND(F629&gt;=626,F629&lt;=650),((F629/D629)*60)*1.5,F629&gt;=651,((F629/D629)*60)*1.8)</f>
        <v>843.62264150943395</v>
      </c>
      <c r="AU629">
        <f t="shared" si="176"/>
        <v>11.999999999999998</v>
      </c>
      <c r="AV629">
        <f t="shared" si="174"/>
        <v>351.39622641509436</v>
      </c>
      <c r="AW629">
        <f t="shared" si="177"/>
        <v>42.5</v>
      </c>
      <c r="AX629" t="str">
        <f t="shared" si="172"/>
        <v>May-2024</v>
      </c>
      <c r="AY629">
        <f>ROUNDUP(Table2[[#This Row],[Month]]/3,0)</f>
        <v>2</v>
      </c>
    </row>
    <row r="630" spans="1:51" x14ac:dyDescent="0.2">
      <c r="A630">
        <v>629</v>
      </c>
      <c r="B630">
        <f t="shared" si="161"/>
        <v>14</v>
      </c>
      <c r="C630" s="22">
        <v>45417</v>
      </c>
      <c r="D630">
        <f>SUM(Table2[[#This Row],[Gray Min]:[Red Min]])</f>
        <v>56</v>
      </c>
      <c r="E630">
        <v>14</v>
      </c>
      <c r="F630">
        <v>610</v>
      </c>
      <c r="G630">
        <v>126</v>
      </c>
      <c r="H630">
        <v>168</v>
      </c>
      <c r="I630">
        <v>15</v>
      </c>
      <c r="J630">
        <v>13</v>
      </c>
      <c r="K630">
        <v>14</v>
      </c>
      <c r="L630">
        <v>12</v>
      </c>
      <c r="M630">
        <v>2</v>
      </c>
      <c r="N630" t="s">
        <v>125</v>
      </c>
      <c r="O630" t="s">
        <v>159</v>
      </c>
      <c r="P630" t="s">
        <v>126</v>
      </c>
      <c r="Q630">
        <f t="shared" si="173"/>
        <v>3</v>
      </c>
      <c r="R630" t="str">
        <f t="shared" si="162"/>
        <v>5-2024</v>
      </c>
      <c r="S630" t="s">
        <v>117</v>
      </c>
      <c r="T630" t="str">
        <f t="shared" si="163"/>
        <v>Sunday</v>
      </c>
      <c r="U630">
        <f t="shared" si="164"/>
        <v>1</v>
      </c>
      <c r="V630" s="24">
        <f>IFERROR(Table2[[#This Row],[Gray Min]]/Table2[[#This Row],[ClassLength]],"")</f>
        <v>0.26785714285714285</v>
      </c>
      <c r="W630" s="24">
        <f>IFERROR(Table2[[#This Row],[Blue Min]]/Table2[[#This Row],[ClassLength]],"")</f>
        <v>0.23214285714285715</v>
      </c>
      <c r="X630" s="24">
        <f>IFERROR(Table2[[#This Row],[Green Min]]/Table2[[#This Row],[ClassLength]],"")</f>
        <v>0.25</v>
      </c>
      <c r="Y630" s="24">
        <f>IFERROR(Table2[[#This Row],[Orange Min]]/Table2[[#This Row],[ClassLength]],"")</f>
        <v>0.21428571428571427</v>
      </c>
      <c r="Z630" s="24">
        <f>IFERROR(Table2[[#This Row],[Red Min]]/Table2[[#This Row],[ClassLength]],"")</f>
        <v>3.5714285714285712E-2</v>
      </c>
      <c r="AA630" s="25">
        <v>169</v>
      </c>
      <c r="AB630" s="25">
        <f t="shared" si="175"/>
        <v>12.071428571428571</v>
      </c>
      <c r="AC630" s="26">
        <f t="shared" si="165"/>
        <v>615.85714285714289</v>
      </c>
      <c r="AD630" s="26">
        <f t="shared" si="166"/>
        <v>13.5</v>
      </c>
      <c r="AE630">
        <f t="shared" si="167"/>
        <v>2024</v>
      </c>
      <c r="AG630">
        <v>12</v>
      </c>
      <c r="AH630" s="26">
        <f t="shared" si="168"/>
        <v>10.892857142857142</v>
      </c>
      <c r="AI630" t="str">
        <f t="shared" si="169"/>
        <v>AM</v>
      </c>
      <c r="AJ630" t="str">
        <f t="shared" si="170"/>
        <v>5-2024-2</v>
      </c>
      <c r="AK630">
        <f t="shared" si="171"/>
        <v>5</v>
      </c>
      <c r="AL630" s="26">
        <f>IFERROR(Table2[[#This Row],[Calories]]/Table2[[#This Row],[Splat]],"")</f>
        <v>43.571428571428569</v>
      </c>
      <c r="AM630">
        <f>COUNTIF(N$2:$N$938,N630)</f>
        <v>258</v>
      </c>
      <c r="AN630" t="str">
        <f>VLOOKUP(N630,'Helpful Tables'!A:D,4,FALSE)</f>
        <v>Oregon</v>
      </c>
      <c r="AO630" s="24">
        <f>COUNTIF(AN:AN,Table2[[#This Row],[State]])/COUNTA(AN:AN)</f>
        <v>0.36140724946695096</v>
      </c>
      <c r="AP630">
        <f>VLOOKUP(N630,'Helpful Tables'!A:B,2,FALSE)</f>
        <v>45.534162000000002</v>
      </c>
      <c r="AQ630">
        <f>VLOOKUP(N630,'Helpful Tables'!A:C,3,FALSE)</f>
        <v>-122.69670000000001</v>
      </c>
      <c r="AR630">
        <f>COUNTIF(P$2:$P$938,P630)</f>
        <v>11</v>
      </c>
      <c r="AS630" cm="1">
        <f t="array" ref="AS630">_xlfn.IFS(E630&lt;6,((E630/D630)*60)*0.5,AND(E630&gt;=6,E630&lt;9),((E630/D630)*60)*0.75,AND(E630&gt;=9,E630&lt;=11),((E630/D630)*60)*0.9,AND(E630=12),((E630/D630)*60)*1,AND(E630&gt;=13,E630&lt;=15),((E630/D630)*60)*1.2,AND(E630&gt;=16,E630&lt;=19),((E630/D630)*60)*1.5,E630&gt;=20,((E630/D630)*60)*1.8)</f>
        <v>18</v>
      </c>
      <c r="AT630" cm="1">
        <f t="array" ref="AT630">_xlfn.IFS(F630&lt;550,((F630/D630)*60)*0.5,AND(F630&gt;=550,F630&lt;575),((F630/D630)*60)*0.75,AND(F630&gt;=575,F630&lt;600),((F630/D630)*60)*0.9,AND(F630=600),((F630/D630)*60)*1,AND(F630&gt;=601,F630&lt;=625),((F630/D630)*60)*1.2,AND(F630&gt;=626,F630&lt;=650),((F630/D630)*60)*1.5,F630&gt;=651,((F630/D630)*60)*1.8)</f>
        <v>784.28571428571422</v>
      </c>
      <c r="AU630">
        <f t="shared" si="176"/>
        <v>3.100000000000005</v>
      </c>
      <c r="AV630">
        <f t="shared" si="174"/>
        <v>321.53428571428572</v>
      </c>
      <c r="AW630">
        <f t="shared" si="177"/>
        <v>37.5</v>
      </c>
      <c r="AX630" t="str">
        <f t="shared" si="172"/>
        <v>May-2024</v>
      </c>
      <c r="AY630">
        <f>ROUNDUP(Table2[[#This Row],[Month]]/3,0)</f>
        <v>2</v>
      </c>
    </row>
    <row r="631" spans="1:51" x14ac:dyDescent="0.2">
      <c r="A631">
        <v>630</v>
      </c>
      <c r="B631">
        <f t="shared" si="161"/>
        <v>14</v>
      </c>
      <c r="C631" s="22">
        <v>45419</v>
      </c>
      <c r="D631">
        <f>SUM(Table2[[#This Row],[Gray Min]:[Red Min]])</f>
        <v>60</v>
      </c>
      <c r="E631">
        <v>14</v>
      </c>
      <c r="F631">
        <v>688</v>
      </c>
      <c r="G631">
        <v>129</v>
      </c>
      <c r="H631">
        <v>168</v>
      </c>
      <c r="I631">
        <v>8</v>
      </c>
      <c r="J631">
        <v>14</v>
      </c>
      <c r="K631">
        <v>24</v>
      </c>
      <c r="L631">
        <v>11</v>
      </c>
      <c r="M631">
        <v>3</v>
      </c>
      <c r="N631" t="s">
        <v>125</v>
      </c>
      <c r="O631" t="s">
        <v>127</v>
      </c>
      <c r="P631" t="s">
        <v>216</v>
      </c>
      <c r="Q631">
        <f t="shared" si="173"/>
        <v>2</v>
      </c>
      <c r="R631" t="str">
        <f t="shared" si="162"/>
        <v>5-2024</v>
      </c>
      <c r="S631" t="s">
        <v>117</v>
      </c>
      <c r="T631" t="str">
        <f t="shared" si="163"/>
        <v>Tuesday</v>
      </c>
      <c r="U631">
        <f t="shared" si="164"/>
        <v>1</v>
      </c>
      <c r="V631" s="24">
        <f>IFERROR(Table2[[#This Row],[Gray Min]]/Table2[[#This Row],[ClassLength]],"")</f>
        <v>0.13333333333333333</v>
      </c>
      <c r="W631" s="24">
        <f>IFERROR(Table2[[#This Row],[Blue Min]]/Table2[[#This Row],[ClassLength]],"")</f>
        <v>0.23333333333333334</v>
      </c>
      <c r="X631" s="24">
        <f>IFERROR(Table2[[#This Row],[Green Min]]/Table2[[#This Row],[ClassLength]],"")</f>
        <v>0.4</v>
      </c>
      <c r="Y631" s="24">
        <f>IFERROR(Table2[[#This Row],[Orange Min]]/Table2[[#This Row],[ClassLength]],"")</f>
        <v>0.18333333333333332</v>
      </c>
      <c r="Z631" s="24">
        <f>IFERROR(Table2[[#This Row],[Red Min]]/Table2[[#This Row],[ClassLength]],"")</f>
        <v>0.05</v>
      </c>
      <c r="AA631" s="25">
        <v>169</v>
      </c>
      <c r="AB631" s="25">
        <f t="shared" si="175"/>
        <v>12.071428571428571</v>
      </c>
      <c r="AC631" s="26">
        <f t="shared" si="165"/>
        <v>615.85714285714289</v>
      </c>
      <c r="AD631" s="26">
        <f t="shared" si="166"/>
        <v>13.5</v>
      </c>
      <c r="AE631">
        <f t="shared" si="167"/>
        <v>2024</v>
      </c>
      <c r="AG631">
        <v>12</v>
      </c>
      <c r="AH631" s="26">
        <f t="shared" si="168"/>
        <v>11.466666666666667</v>
      </c>
      <c r="AI631" t="str">
        <f t="shared" si="169"/>
        <v>PM</v>
      </c>
      <c r="AJ631" t="str">
        <f t="shared" si="170"/>
        <v>5-2024-2</v>
      </c>
      <c r="AK631">
        <f t="shared" si="171"/>
        <v>5</v>
      </c>
      <c r="AL631" s="26">
        <f>IFERROR(Table2[[#This Row],[Calories]]/Table2[[#This Row],[Splat]],"")</f>
        <v>49.142857142857146</v>
      </c>
      <c r="AM631">
        <f>COUNTIF(N$2:$N$938,N631)</f>
        <v>258</v>
      </c>
      <c r="AN631" t="str">
        <f>VLOOKUP(N631,'Helpful Tables'!A:D,4,FALSE)</f>
        <v>Oregon</v>
      </c>
      <c r="AO631" s="24">
        <f>COUNTIF(AN:AN,Table2[[#This Row],[State]])/COUNTA(AN:AN)</f>
        <v>0.36140724946695096</v>
      </c>
      <c r="AP631">
        <f>VLOOKUP(N631,'Helpful Tables'!A:B,2,FALSE)</f>
        <v>45.534162000000002</v>
      </c>
      <c r="AQ631">
        <f>VLOOKUP(N631,'Helpful Tables'!A:C,3,FALSE)</f>
        <v>-122.69670000000001</v>
      </c>
      <c r="AR631">
        <f>COUNTIF(P$2:$P$938,P631)</f>
        <v>25</v>
      </c>
      <c r="AS631" cm="1">
        <f t="array" ref="AS631">_xlfn.IFS(E631&lt;6,((E631/D631)*60)*0.5,AND(E631&gt;=6,E631&lt;9),((E631/D631)*60)*0.75,AND(E631&gt;=9,E631&lt;=11),((E631/D631)*60)*0.9,AND(E631=12),((E631/D631)*60)*1,AND(E631&gt;=13,E631&lt;=15),((E631/D631)*60)*1.2,AND(E631&gt;=16,E631&lt;=19),((E631/D631)*60)*1.5,E631&gt;=20,((E631/D631)*60)*1.8)</f>
        <v>16.8</v>
      </c>
      <c r="AT631" cm="1">
        <f t="array" ref="AT631">_xlfn.IFS(F631&lt;550,((F631/D631)*60)*0.5,AND(F631&gt;=550,F631&lt;575),((F631/D631)*60)*0.75,AND(F631&gt;=575,F631&lt;600),((F631/D631)*60)*0.9,AND(F631=600),((F631/D631)*60)*1,AND(F631&gt;=601,F631&lt;=625),((F631/D631)*60)*1.2,AND(F631&gt;=626,F631&lt;=650),((F631/D631)*60)*1.5,F631&gt;=651,((F631/D631)*60)*1.8)</f>
        <v>1238.4000000000001</v>
      </c>
      <c r="AU631">
        <f t="shared" si="176"/>
        <v>22.599999999999998</v>
      </c>
      <c r="AV631">
        <f t="shared" si="174"/>
        <v>506.60000000000008</v>
      </c>
      <c r="AW631">
        <f t="shared" si="177"/>
        <v>83.399999999999991</v>
      </c>
      <c r="AX631" t="str">
        <f t="shared" si="172"/>
        <v>May-2024</v>
      </c>
      <c r="AY631">
        <f>ROUNDUP(Table2[[#This Row],[Month]]/3,0)</f>
        <v>2</v>
      </c>
    </row>
    <row r="632" spans="1:51" x14ac:dyDescent="0.2">
      <c r="A632">
        <v>631</v>
      </c>
      <c r="B632">
        <f t="shared" si="161"/>
        <v>14</v>
      </c>
      <c r="C632" s="22">
        <v>45420</v>
      </c>
      <c r="D632">
        <f>SUM(Table2[[#This Row],[Gray Min]:[Red Min]])</f>
        <v>56</v>
      </c>
      <c r="E632">
        <v>8</v>
      </c>
      <c r="F632">
        <v>568</v>
      </c>
      <c r="G632">
        <v>119</v>
      </c>
      <c r="H632">
        <v>174</v>
      </c>
      <c r="I632">
        <v>23</v>
      </c>
      <c r="J632">
        <v>13</v>
      </c>
      <c r="K632">
        <v>12</v>
      </c>
      <c r="L632">
        <v>5</v>
      </c>
      <c r="M632">
        <v>3</v>
      </c>
      <c r="N632" t="s">
        <v>125</v>
      </c>
      <c r="O632" t="s">
        <v>127</v>
      </c>
      <c r="P632" t="s">
        <v>210</v>
      </c>
      <c r="Q632">
        <f t="shared" si="173"/>
        <v>1</v>
      </c>
      <c r="R632" t="str">
        <f t="shared" si="162"/>
        <v>5-2024</v>
      </c>
      <c r="S632" t="s">
        <v>104</v>
      </c>
      <c r="T632" t="str">
        <f t="shared" si="163"/>
        <v>Wednesday</v>
      </c>
      <c r="U632">
        <f t="shared" si="164"/>
        <v>0</v>
      </c>
      <c r="V632" s="24">
        <f>IFERROR(Table2[[#This Row],[Gray Min]]/Table2[[#This Row],[ClassLength]],"")</f>
        <v>0.4107142857142857</v>
      </c>
      <c r="W632" s="24">
        <f>IFERROR(Table2[[#This Row],[Blue Min]]/Table2[[#This Row],[ClassLength]],"")</f>
        <v>0.23214285714285715</v>
      </c>
      <c r="X632" s="24">
        <f>IFERROR(Table2[[#This Row],[Green Min]]/Table2[[#This Row],[ClassLength]],"")</f>
        <v>0.21428571428571427</v>
      </c>
      <c r="Y632" s="24">
        <f>IFERROR(Table2[[#This Row],[Orange Min]]/Table2[[#This Row],[ClassLength]],"")</f>
        <v>8.9285714285714288E-2</v>
      </c>
      <c r="Z632" s="24">
        <f>IFERROR(Table2[[#This Row],[Red Min]]/Table2[[#This Row],[ClassLength]],"")</f>
        <v>5.3571428571428568E-2</v>
      </c>
      <c r="AA632" s="25">
        <v>169</v>
      </c>
      <c r="AB632" s="25">
        <f t="shared" si="175"/>
        <v>12.071428571428571</v>
      </c>
      <c r="AC632" s="26">
        <f t="shared" si="165"/>
        <v>615.85714285714289</v>
      </c>
      <c r="AD632" s="26">
        <f t="shared" si="166"/>
        <v>13.5</v>
      </c>
      <c r="AE632">
        <f t="shared" si="167"/>
        <v>2024</v>
      </c>
      <c r="AG632">
        <v>12</v>
      </c>
      <c r="AH632" s="26">
        <f t="shared" si="168"/>
        <v>10.142857142857142</v>
      </c>
      <c r="AI632" t="str">
        <f t="shared" si="169"/>
        <v>PM</v>
      </c>
      <c r="AJ632" t="str">
        <f t="shared" si="170"/>
        <v>5-2024-2</v>
      </c>
      <c r="AK632">
        <f t="shared" si="171"/>
        <v>5</v>
      </c>
      <c r="AL632" s="26">
        <f>IFERROR(Table2[[#This Row],[Calories]]/Table2[[#This Row],[Splat]],"")</f>
        <v>71</v>
      </c>
      <c r="AM632">
        <f>COUNTIF(N$2:$N$938,N632)</f>
        <v>258</v>
      </c>
      <c r="AN632" t="str">
        <f>VLOOKUP(N632,'Helpful Tables'!A:D,4,FALSE)</f>
        <v>Oregon</v>
      </c>
      <c r="AO632" s="24">
        <f>COUNTIF(AN:AN,Table2[[#This Row],[State]])/COUNTA(AN:AN)</f>
        <v>0.36140724946695096</v>
      </c>
      <c r="AP632">
        <f>VLOOKUP(N632,'Helpful Tables'!A:B,2,FALSE)</f>
        <v>45.534162000000002</v>
      </c>
      <c r="AQ632">
        <f>VLOOKUP(N632,'Helpful Tables'!A:C,3,FALSE)</f>
        <v>-122.69670000000001</v>
      </c>
      <c r="AR632">
        <f>COUNTIF(P$2:$P$938,P632)</f>
        <v>16</v>
      </c>
      <c r="AS632" cm="1">
        <f t="array" ref="AS632">_xlfn.IFS(E632&lt;6,((E632/D632)*60)*0.5,AND(E632&gt;=6,E632&lt;9),((E632/D632)*60)*0.75,AND(E632&gt;=9,E632&lt;=11),((E632/D632)*60)*0.9,AND(E632=12),((E632/D632)*60)*1,AND(E632&gt;=13,E632&lt;=15),((E632/D632)*60)*1.2,AND(E632&gt;=16,E632&lt;=19),((E632/D632)*60)*1.5,E632&gt;=20,((E632/D632)*60)*1.8)</f>
        <v>6.4285714285714288</v>
      </c>
      <c r="AT632" cm="1">
        <f t="array" ref="AT632">_xlfn.IFS(F632&lt;550,((F632/D632)*60)*0.5,AND(F632&gt;=550,F632&lt;575),((F632/D632)*60)*0.75,AND(F632&gt;=575,F632&lt;600),((F632/D632)*60)*0.9,AND(F632=600),((F632/D632)*60)*1,AND(F632&gt;=601,F632&lt;=625),((F632/D632)*60)*1.2,AND(F632&gt;=626,F632&lt;=650),((F632/D632)*60)*1.5,F632&gt;=651,((F632/D632)*60)*1.8)</f>
        <v>456.42857142857144</v>
      </c>
      <c r="AU632">
        <f t="shared" si="176"/>
        <v>-16.5</v>
      </c>
      <c r="AV632">
        <f t="shared" si="174"/>
        <v>181.84285714285716</v>
      </c>
      <c r="AW632">
        <f t="shared" si="177"/>
        <v>10.9</v>
      </c>
      <c r="AX632" t="str">
        <f t="shared" si="172"/>
        <v>May-2024</v>
      </c>
      <c r="AY632">
        <f>ROUNDUP(Table2[[#This Row],[Month]]/3,0)</f>
        <v>2</v>
      </c>
    </row>
    <row r="633" spans="1:51" x14ac:dyDescent="0.2">
      <c r="A633">
        <v>632</v>
      </c>
      <c r="B633">
        <f t="shared" si="161"/>
        <v>14</v>
      </c>
      <c r="C633" s="22">
        <v>45425</v>
      </c>
      <c r="D633">
        <f>SUM(Table2[[#This Row],[Gray Min]:[Red Min]])</f>
        <v>62</v>
      </c>
      <c r="E633">
        <v>15</v>
      </c>
      <c r="F633">
        <v>652</v>
      </c>
      <c r="G633">
        <v>123</v>
      </c>
      <c r="H633">
        <v>168</v>
      </c>
      <c r="I633">
        <v>18</v>
      </c>
      <c r="J633">
        <v>18</v>
      </c>
      <c r="K633">
        <v>11</v>
      </c>
      <c r="L633">
        <v>14</v>
      </c>
      <c r="M633">
        <v>1</v>
      </c>
      <c r="N633" t="s">
        <v>125</v>
      </c>
      <c r="O633" t="s">
        <v>127</v>
      </c>
      <c r="P633" t="s">
        <v>216</v>
      </c>
      <c r="Q633">
        <f t="shared" si="173"/>
        <v>5</v>
      </c>
      <c r="R633" t="str">
        <f t="shared" si="162"/>
        <v>5-2024</v>
      </c>
      <c r="S633" t="s">
        <v>104</v>
      </c>
      <c r="T633" t="str">
        <f t="shared" si="163"/>
        <v>Monday</v>
      </c>
      <c r="U633">
        <f t="shared" si="164"/>
        <v>1</v>
      </c>
      <c r="V633" s="24">
        <f>IFERROR(Table2[[#This Row],[Gray Min]]/Table2[[#This Row],[ClassLength]],"")</f>
        <v>0.29032258064516131</v>
      </c>
      <c r="W633" s="24">
        <f>IFERROR(Table2[[#This Row],[Blue Min]]/Table2[[#This Row],[ClassLength]],"")</f>
        <v>0.29032258064516131</v>
      </c>
      <c r="X633" s="24">
        <f>IFERROR(Table2[[#This Row],[Green Min]]/Table2[[#This Row],[ClassLength]],"")</f>
        <v>0.17741935483870969</v>
      </c>
      <c r="Y633" s="24">
        <f>IFERROR(Table2[[#This Row],[Orange Min]]/Table2[[#This Row],[ClassLength]],"")</f>
        <v>0.22580645161290322</v>
      </c>
      <c r="Z633" s="24">
        <f>IFERROR(Table2[[#This Row],[Red Min]]/Table2[[#This Row],[ClassLength]],"")</f>
        <v>1.6129032258064516E-2</v>
      </c>
      <c r="AA633" s="25">
        <v>169</v>
      </c>
      <c r="AB633" s="25">
        <f t="shared" si="175"/>
        <v>12.071428571428571</v>
      </c>
      <c r="AC633" s="26">
        <f t="shared" si="165"/>
        <v>615.85714285714289</v>
      </c>
      <c r="AD633" s="26">
        <f t="shared" si="166"/>
        <v>13.5</v>
      </c>
      <c r="AE633">
        <f t="shared" si="167"/>
        <v>2024</v>
      </c>
      <c r="AG633">
        <v>12</v>
      </c>
      <c r="AH633" s="26">
        <f t="shared" si="168"/>
        <v>10.516129032258064</v>
      </c>
      <c r="AI633" t="str">
        <f t="shared" si="169"/>
        <v>PM</v>
      </c>
      <c r="AJ633" t="str">
        <f t="shared" si="170"/>
        <v>5-2024-3</v>
      </c>
      <c r="AK633">
        <f t="shared" si="171"/>
        <v>5</v>
      </c>
      <c r="AL633" s="26">
        <f>IFERROR(Table2[[#This Row],[Calories]]/Table2[[#This Row],[Splat]],"")</f>
        <v>43.466666666666669</v>
      </c>
      <c r="AM633">
        <f>COUNTIF(N$2:$N$938,N633)</f>
        <v>258</v>
      </c>
      <c r="AN633" t="str">
        <f>VLOOKUP(N633,'Helpful Tables'!A:D,4,FALSE)</f>
        <v>Oregon</v>
      </c>
      <c r="AO633" s="24">
        <f>COUNTIF(AN:AN,Table2[[#This Row],[State]])/COUNTA(AN:AN)</f>
        <v>0.36140724946695096</v>
      </c>
      <c r="AP633">
        <f>VLOOKUP(N633,'Helpful Tables'!A:B,2,FALSE)</f>
        <v>45.534162000000002</v>
      </c>
      <c r="AQ633">
        <f>VLOOKUP(N633,'Helpful Tables'!A:C,3,FALSE)</f>
        <v>-122.69670000000001</v>
      </c>
      <c r="AR633">
        <f>COUNTIF(P$2:$P$938,P633)</f>
        <v>25</v>
      </c>
      <c r="AS633" cm="1">
        <f t="array" ref="AS633">_xlfn.IFS(E633&lt;6,((E633/D633)*60)*0.5,AND(E633&gt;=6,E633&lt;9),((E633/D633)*60)*0.75,AND(E633&gt;=9,E633&lt;=11),((E633/D633)*60)*0.9,AND(E633=12),((E633/D633)*60)*1,AND(E633&gt;=13,E633&lt;=15),((E633/D633)*60)*1.2,AND(E633&gt;=16,E633&lt;=19),((E633/D633)*60)*1.5,E633&gt;=20,((E633/D633)*60)*1.8)</f>
        <v>17.419354838709676</v>
      </c>
      <c r="AT633" cm="1">
        <f t="array" ref="AT633">_xlfn.IFS(F633&lt;550,((F633/D633)*60)*0.5,AND(F633&gt;=550,F633&lt;575),((F633/D633)*60)*0.75,AND(F633&gt;=575,F633&lt;600),((F633/D633)*60)*0.9,AND(F633=600),((F633/D633)*60)*1,AND(F633&gt;=601,F633&lt;=625),((F633/D633)*60)*1.2,AND(F633&gt;=626,F633&lt;=650),((F633/D633)*60)*1.5,F633&gt;=651,((F633/D633)*60)*1.8)</f>
        <v>1135.741935483871</v>
      </c>
      <c r="AU633">
        <f t="shared" si="176"/>
        <v>-8.5</v>
      </c>
      <c r="AV633">
        <f t="shared" si="174"/>
        <v>459.56451612903226</v>
      </c>
      <c r="AW633">
        <f t="shared" si="177"/>
        <v>66.100000000000009</v>
      </c>
      <c r="AX633" t="str">
        <f t="shared" si="172"/>
        <v>May-2024</v>
      </c>
      <c r="AY633">
        <f>ROUNDUP(Table2[[#This Row],[Month]]/3,0)</f>
        <v>2</v>
      </c>
    </row>
    <row r="634" spans="1:51" x14ac:dyDescent="0.2">
      <c r="A634">
        <v>633</v>
      </c>
      <c r="B634">
        <f t="shared" si="161"/>
        <v>14</v>
      </c>
      <c r="C634" s="22">
        <v>45426</v>
      </c>
      <c r="D634">
        <f>SUM(Table2[[#This Row],[Gray Min]:[Red Min]])</f>
        <v>61</v>
      </c>
      <c r="E634">
        <v>5</v>
      </c>
      <c r="F634">
        <v>507</v>
      </c>
      <c r="G634">
        <v>109</v>
      </c>
      <c r="H634">
        <v>156</v>
      </c>
      <c r="I634">
        <v>35</v>
      </c>
      <c r="J634">
        <v>7</v>
      </c>
      <c r="K634">
        <v>14</v>
      </c>
      <c r="L634">
        <v>5</v>
      </c>
      <c r="M634">
        <v>0</v>
      </c>
      <c r="N634" t="s">
        <v>125</v>
      </c>
      <c r="O634" t="s">
        <v>127</v>
      </c>
      <c r="P634" t="s">
        <v>216</v>
      </c>
      <c r="Q634">
        <f t="shared" si="173"/>
        <v>1</v>
      </c>
      <c r="R634" t="str">
        <f t="shared" si="162"/>
        <v>5-2024</v>
      </c>
      <c r="S634" t="s">
        <v>104</v>
      </c>
      <c r="T634" t="str">
        <f t="shared" si="163"/>
        <v>Tuesday</v>
      </c>
      <c r="U634">
        <f t="shared" si="164"/>
        <v>0</v>
      </c>
      <c r="V634" s="24">
        <f>IFERROR(Table2[[#This Row],[Gray Min]]/Table2[[#This Row],[ClassLength]],"")</f>
        <v>0.57377049180327866</v>
      </c>
      <c r="W634" s="24">
        <f>IFERROR(Table2[[#This Row],[Blue Min]]/Table2[[#This Row],[ClassLength]],"")</f>
        <v>0.11475409836065574</v>
      </c>
      <c r="X634" s="24">
        <f>IFERROR(Table2[[#This Row],[Green Min]]/Table2[[#This Row],[ClassLength]],"")</f>
        <v>0.22950819672131148</v>
      </c>
      <c r="Y634" s="24">
        <f>IFERROR(Table2[[#This Row],[Orange Min]]/Table2[[#This Row],[ClassLength]],"")</f>
        <v>8.1967213114754092E-2</v>
      </c>
      <c r="Z634" s="24">
        <f>IFERROR(Table2[[#This Row],[Red Min]]/Table2[[#This Row],[ClassLength]],"")</f>
        <v>0</v>
      </c>
      <c r="AA634" s="25">
        <v>169</v>
      </c>
      <c r="AB634" s="25">
        <f t="shared" si="175"/>
        <v>12.071428571428571</v>
      </c>
      <c r="AC634" s="26">
        <f t="shared" si="165"/>
        <v>615.85714285714289</v>
      </c>
      <c r="AD634" s="26">
        <f t="shared" si="166"/>
        <v>13.5</v>
      </c>
      <c r="AE634">
        <f t="shared" si="167"/>
        <v>2024</v>
      </c>
      <c r="AG634">
        <v>12</v>
      </c>
      <c r="AH634" s="26">
        <f t="shared" si="168"/>
        <v>8.3114754098360653</v>
      </c>
      <c r="AI634" t="str">
        <f t="shared" si="169"/>
        <v>PM</v>
      </c>
      <c r="AJ634" t="str">
        <f t="shared" si="170"/>
        <v>5-2024-3</v>
      </c>
      <c r="AK634">
        <f t="shared" si="171"/>
        <v>5</v>
      </c>
      <c r="AL634" s="26">
        <f>IFERROR(Table2[[#This Row],[Calories]]/Table2[[#This Row],[Splat]],"")</f>
        <v>101.4</v>
      </c>
      <c r="AM634">
        <f>COUNTIF(N$2:$N$938,N634)</f>
        <v>258</v>
      </c>
      <c r="AN634" t="str">
        <f>VLOOKUP(N634,'Helpful Tables'!A:D,4,FALSE)</f>
        <v>Oregon</v>
      </c>
      <c r="AO634" s="24">
        <f>COUNTIF(AN:AN,Table2[[#This Row],[State]])/COUNTA(AN:AN)</f>
        <v>0.36140724946695096</v>
      </c>
      <c r="AP634">
        <f>VLOOKUP(N634,'Helpful Tables'!A:B,2,FALSE)</f>
        <v>45.534162000000002</v>
      </c>
      <c r="AQ634">
        <f>VLOOKUP(N634,'Helpful Tables'!A:C,3,FALSE)</f>
        <v>-122.69670000000001</v>
      </c>
      <c r="AR634">
        <f>COUNTIF(P$2:$P$938,P634)</f>
        <v>25</v>
      </c>
      <c r="AS634" cm="1">
        <f t="array" ref="AS634">_xlfn.IFS(E634&lt;6,((E634/D634)*60)*0.5,AND(E634&gt;=6,E634&lt;9),((E634/D634)*60)*0.75,AND(E634&gt;=9,E634&lt;=11),((E634/D634)*60)*0.9,AND(E634=12),((E634/D634)*60)*1,AND(E634&gt;=13,E634&lt;=15),((E634/D634)*60)*1.2,AND(E634&gt;=16,E634&lt;=19),((E634/D634)*60)*1.5,E634&gt;=20,((E634/D634)*60)*1.8)</f>
        <v>2.4590163934426226</v>
      </c>
      <c r="AT634" cm="1">
        <f t="array" ref="AT634">_xlfn.IFS(F634&lt;550,((F634/D634)*60)*0.5,AND(F634&gt;=550,F634&lt;575),((F634/D634)*60)*0.75,AND(F634&gt;=575,F634&lt;600),((F634/D634)*60)*0.9,AND(F634=600),((F634/D634)*60)*1,AND(F634&gt;=601,F634&lt;=625),((F634/D634)*60)*1.2,AND(F634&gt;=626,F634&lt;=650),((F634/D634)*60)*1.5,F634&gt;=651,((F634/D634)*60)*1.8)</f>
        <v>249.34426229508196</v>
      </c>
      <c r="AU634">
        <f t="shared" si="176"/>
        <v>-26.400000000000006</v>
      </c>
      <c r="AV634">
        <f t="shared" si="174"/>
        <v>95.441311475409833</v>
      </c>
      <c r="AW634">
        <f t="shared" si="177"/>
        <v>0.5</v>
      </c>
      <c r="AX634" t="str">
        <f t="shared" si="172"/>
        <v>May-2024</v>
      </c>
      <c r="AY634">
        <f>ROUNDUP(Table2[[#This Row],[Month]]/3,0)</f>
        <v>2</v>
      </c>
    </row>
    <row r="635" spans="1:51" x14ac:dyDescent="0.2">
      <c r="A635">
        <v>634</v>
      </c>
      <c r="B635">
        <f t="shared" si="161"/>
        <v>14</v>
      </c>
      <c r="C635" s="22">
        <v>45428</v>
      </c>
      <c r="D635">
        <f>SUM(Table2[[#This Row],[Gray Min]:[Red Min]])</f>
        <v>60</v>
      </c>
      <c r="E635">
        <v>22</v>
      </c>
      <c r="F635">
        <v>625</v>
      </c>
      <c r="G635">
        <v>122</v>
      </c>
      <c r="H635">
        <v>174</v>
      </c>
      <c r="I635">
        <v>27</v>
      </c>
      <c r="J635">
        <v>8</v>
      </c>
      <c r="K635">
        <v>3</v>
      </c>
      <c r="L635">
        <v>14</v>
      </c>
      <c r="M635">
        <v>8</v>
      </c>
      <c r="N635" t="s">
        <v>125</v>
      </c>
      <c r="O635" t="s">
        <v>127</v>
      </c>
      <c r="P635" t="s">
        <v>207</v>
      </c>
      <c r="Q635">
        <f t="shared" si="173"/>
        <v>2</v>
      </c>
      <c r="R635" t="str">
        <f t="shared" si="162"/>
        <v>5-2024</v>
      </c>
      <c r="S635" t="s">
        <v>104</v>
      </c>
      <c r="T635" t="str">
        <f t="shared" si="163"/>
        <v>Thursday</v>
      </c>
      <c r="U635">
        <f t="shared" si="164"/>
        <v>1</v>
      </c>
      <c r="V635" s="24">
        <f>IFERROR(Table2[[#This Row],[Gray Min]]/Table2[[#This Row],[ClassLength]],"")</f>
        <v>0.45</v>
      </c>
      <c r="W635" s="24">
        <f>IFERROR(Table2[[#This Row],[Blue Min]]/Table2[[#This Row],[ClassLength]],"")</f>
        <v>0.13333333333333333</v>
      </c>
      <c r="X635" s="24">
        <f>IFERROR(Table2[[#This Row],[Green Min]]/Table2[[#This Row],[ClassLength]],"")</f>
        <v>0.05</v>
      </c>
      <c r="Y635" s="24">
        <f>IFERROR(Table2[[#This Row],[Orange Min]]/Table2[[#This Row],[ClassLength]],"")</f>
        <v>0.23333333333333334</v>
      </c>
      <c r="Z635" s="24">
        <f>IFERROR(Table2[[#This Row],[Red Min]]/Table2[[#This Row],[ClassLength]],"")</f>
        <v>0.13333333333333333</v>
      </c>
      <c r="AA635" s="25">
        <v>169</v>
      </c>
      <c r="AB635" s="25">
        <f t="shared" si="175"/>
        <v>12.071428571428571</v>
      </c>
      <c r="AC635" s="26">
        <f t="shared" si="165"/>
        <v>615.85714285714289</v>
      </c>
      <c r="AD635" s="26">
        <f t="shared" si="166"/>
        <v>13.5</v>
      </c>
      <c r="AE635">
        <f t="shared" si="167"/>
        <v>2024</v>
      </c>
      <c r="AG635">
        <v>12</v>
      </c>
      <c r="AH635" s="26">
        <f t="shared" si="168"/>
        <v>10.416666666666666</v>
      </c>
      <c r="AI635" t="str">
        <f t="shared" si="169"/>
        <v>PM</v>
      </c>
      <c r="AJ635" t="str">
        <f t="shared" si="170"/>
        <v>5-2024-3</v>
      </c>
      <c r="AK635">
        <f t="shared" si="171"/>
        <v>5</v>
      </c>
      <c r="AL635" s="26">
        <f>IFERROR(Table2[[#This Row],[Calories]]/Table2[[#This Row],[Splat]],"")</f>
        <v>28.40909090909091</v>
      </c>
      <c r="AM635">
        <f>COUNTIF(N$2:$N$938,N635)</f>
        <v>258</v>
      </c>
      <c r="AN635" t="str">
        <f>VLOOKUP(N635,'Helpful Tables'!A:D,4,FALSE)</f>
        <v>Oregon</v>
      </c>
      <c r="AO635" s="24">
        <f>COUNTIF(AN:AN,Table2[[#This Row],[State]])/COUNTA(AN:AN)</f>
        <v>0.36140724946695096</v>
      </c>
      <c r="AP635">
        <f>VLOOKUP(N635,'Helpful Tables'!A:B,2,FALSE)</f>
        <v>45.534162000000002</v>
      </c>
      <c r="AQ635">
        <f>VLOOKUP(N635,'Helpful Tables'!A:C,3,FALSE)</f>
        <v>-122.69670000000001</v>
      </c>
      <c r="AR635">
        <f>COUNTIF(P$2:$P$938,P635)</f>
        <v>10</v>
      </c>
      <c r="AS635" cm="1">
        <f t="array" ref="AS635">_xlfn.IFS(E635&lt;6,((E635/D635)*60)*0.5,AND(E635&gt;=6,E635&lt;9),((E635/D635)*60)*0.75,AND(E635&gt;=9,E635&lt;=11),((E635/D635)*60)*0.9,AND(E635=12),((E635/D635)*60)*1,AND(E635&gt;=13,E635&lt;=15),((E635/D635)*60)*1.2,AND(E635&gt;=16,E635&lt;=19),((E635/D635)*60)*1.5,E635&gt;=20,((E635/D635)*60)*1.8)</f>
        <v>39.6</v>
      </c>
      <c r="AT635" cm="1">
        <f t="array" ref="AT635">_xlfn.IFS(F635&lt;550,((F635/D635)*60)*0.5,AND(F635&gt;=550,F635&lt;575),((F635/D635)*60)*0.75,AND(F635&gt;=575,F635&lt;600),((F635/D635)*60)*0.9,AND(F635=600),((F635/D635)*60)*1,AND(F635&gt;=601,F635&lt;=625),((F635/D635)*60)*1.2,AND(F635&gt;=626,F635&lt;=650),((F635/D635)*60)*1.5,F635&gt;=651,((F635/D635)*60)*1.8)</f>
        <v>750</v>
      </c>
      <c r="AU635">
        <f t="shared" si="176"/>
        <v>-7.4000000000000021</v>
      </c>
      <c r="AV635">
        <f t="shared" si="174"/>
        <v>314.35999999999996</v>
      </c>
      <c r="AW635">
        <f t="shared" si="177"/>
        <v>33.4</v>
      </c>
      <c r="AX635" t="str">
        <f t="shared" si="172"/>
        <v>May-2024</v>
      </c>
      <c r="AY635">
        <f>ROUNDUP(Table2[[#This Row],[Month]]/3,0)</f>
        <v>2</v>
      </c>
    </row>
    <row r="636" spans="1:51" x14ac:dyDescent="0.2">
      <c r="A636">
        <v>635</v>
      </c>
      <c r="B636">
        <f t="shared" si="161"/>
        <v>14</v>
      </c>
      <c r="C636" s="22">
        <v>45431</v>
      </c>
      <c r="D636">
        <f>SUM(Table2[[#This Row],[Gray Min]:[Red Min]])</f>
        <v>59</v>
      </c>
      <c r="E636">
        <v>16</v>
      </c>
      <c r="F636">
        <v>673</v>
      </c>
      <c r="G636">
        <v>127</v>
      </c>
      <c r="H636">
        <v>166</v>
      </c>
      <c r="I636">
        <v>16</v>
      </c>
      <c r="J636">
        <v>12</v>
      </c>
      <c r="K636">
        <v>15</v>
      </c>
      <c r="L636">
        <v>13</v>
      </c>
      <c r="M636">
        <v>3</v>
      </c>
      <c r="N636" t="s">
        <v>125</v>
      </c>
      <c r="O636" t="s">
        <v>159</v>
      </c>
      <c r="P636" t="s">
        <v>217</v>
      </c>
      <c r="Q636">
        <f t="shared" si="173"/>
        <v>3</v>
      </c>
      <c r="R636" t="str">
        <f t="shared" si="162"/>
        <v>5-2024</v>
      </c>
      <c r="S636" t="s">
        <v>104</v>
      </c>
      <c r="T636" t="str">
        <f t="shared" si="163"/>
        <v>Sunday</v>
      </c>
      <c r="U636">
        <f t="shared" si="164"/>
        <v>1</v>
      </c>
      <c r="V636" s="24">
        <f>IFERROR(Table2[[#This Row],[Gray Min]]/Table2[[#This Row],[ClassLength]],"")</f>
        <v>0.2711864406779661</v>
      </c>
      <c r="W636" s="24">
        <f>IFERROR(Table2[[#This Row],[Blue Min]]/Table2[[#This Row],[ClassLength]],"")</f>
        <v>0.20338983050847459</v>
      </c>
      <c r="X636" s="24">
        <f>IFERROR(Table2[[#This Row],[Green Min]]/Table2[[#This Row],[ClassLength]],"")</f>
        <v>0.25423728813559321</v>
      </c>
      <c r="Y636" s="24">
        <f>IFERROR(Table2[[#This Row],[Orange Min]]/Table2[[#This Row],[ClassLength]],"")</f>
        <v>0.22033898305084745</v>
      </c>
      <c r="Z636" s="24">
        <f>IFERROR(Table2[[#This Row],[Red Min]]/Table2[[#This Row],[ClassLength]],"")</f>
        <v>5.0847457627118647E-2</v>
      </c>
      <c r="AA636" s="25">
        <v>169</v>
      </c>
      <c r="AB636" s="25">
        <f t="shared" si="175"/>
        <v>12.071428571428571</v>
      </c>
      <c r="AC636" s="26">
        <f t="shared" si="165"/>
        <v>615.85714285714289</v>
      </c>
      <c r="AD636" s="26">
        <f t="shared" si="166"/>
        <v>13.5</v>
      </c>
      <c r="AE636">
        <f t="shared" si="167"/>
        <v>2024</v>
      </c>
      <c r="AG636">
        <v>12</v>
      </c>
      <c r="AH636" s="26">
        <f t="shared" si="168"/>
        <v>11.40677966101695</v>
      </c>
      <c r="AI636" t="str">
        <f t="shared" si="169"/>
        <v>AM</v>
      </c>
      <c r="AJ636" t="str">
        <f t="shared" si="170"/>
        <v>5-2024-4</v>
      </c>
      <c r="AK636">
        <f t="shared" si="171"/>
        <v>5</v>
      </c>
      <c r="AL636" s="26">
        <f>IFERROR(Table2[[#This Row],[Calories]]/Table2[[#This Row],[Splat]],"")</f>
        <v>42.0625</v>
      </c>
      <c r="AM636">
        <f>COUNTIF(N$2:$N$938,N636)</f>
        <v>258</v>
      </c>
      <c r="AN636" t="str">
        <f>VLOOKUP(N636,'Helpful Tables'!A:D,4,FALSE)</f>
        <v>Oregon</v>
      </c>
      <c r="AO636" s="24">
        <f>COUNTIF(AN:AN,Table2[[#This Row],[State]])/COUNTA(AN:AN)</f>
        <v>0.36140724946695096</v>
      </c>
      <c r="AP636">
        <f>VLOOKUP(N636,'Helpful Tables'!A:B,2,FALSE)</f>
        <v>45.534162000000002</v>
      </c>
      <c r="AQ636">
        <f>VLOOKUP(N636,'Helpful Tables'!A:C,3,FALSE)</f>
        <v>-122.69670000000001</v>
      </c>
      <c r="AR636">
        <f>COUNTIF(P$2:$P$938,P636)</f>
        <v>7</v>
      </c>
      <c r="AS636" cm="1">
        <f t="array" ref="AS636">_xlfn.IFS(E636&lt;6,((E636/D636)*60)*0.5,AND(E636&gt;=6,E636&lt;9),((E636/D636)*60)*0.75,AND(E636&gt;=9,E636&lt;=11),((E636/D636)*60)*0.9,AND(E636=12),((E636/D636)*60)*1,AND(E636&gt;=13,E636&lt;=15),((E636/D636)*60)*1.2,AND(E636&gt;=16,E636&lt;=19),((E636/D636)*60)*1.5,E636&gt;=20,((E636/D636)*60)*1.8)</f>
        <v>24.406779661016948</v>
      </c>
      <c r="AT636" cm="1">
        <f t="array" ref="AT636">_xlfn.IFS(F636&lt;550,((F636/D636)*60)*0.5,AND(F636&gt;=550,F636&lt;575),((F636/D636)*60)*0.75,AND(F636&gt;=575,F636&lt;600),((F636/D636)*60)*0.9,AND(F636=600),((F636/D636)*60)*1,AND(F636&gt;=601,F636&lt;=625),((F636/D636)*60)*1.2,AND(F636&gt;=626,F636&lt;=650),((F636/D636)*60)*1.5,F636&gt;=651,((F636/D636)*60)*1.8)</f>
        <v>1231.9322033898306</v>
      </c>
      <c r="AU636">
        <f t="shared" si="176"/>
        <v>7.0000000000000036</v>
      </c>
      <c r="AV636">
        <f t="shared" si="174"/>
        <v>503.935593220339</v>
      </c>
      <c r="AW636">
        <f t="shared" si="177"/>
        <v>81.5</v>
      </c>
      <c r="AX636" t="str">
        <f t="shared" si="172"/>
        <v>May-2024</v>
      </c>
      <c r="AY636">
        <f>ROUNDUP(Table2[[#This Row],[Month]]/3,0)</f>
        <v>2</v>
      </c>
    </row>
    <row r="637" spans="1:51" x14ac:dyDescent="0.2">
      <c r="A637">
        <v>636</v>
      </c>
      <c r="B637">
        <f t="shared" si="161"/>
        <v>14</v>
      </c>
      <c r="C637" s="22">
        <v>45433</v>
      </c>
      <c r="D637">
        <f>SUM(Table2[[#This Row],[Gray Min]:[Red Min]])</f>
        <v>56</v>
      </c>
      <c r="E637">
        <v>7</v>
      </c>
      <c r="F637">
        <v>554</v>
      </c>
      <c r="G637">
        <v>117</v>
      </c>
      <c r="H637">
        <v>156</v>
      </c>
      <c r="I637">
        <v>18</v>
      </c>
      <c r="J637">
        <v>13</v>
      </c>
      <c r="K637">
        <v>18</v>
      </c>
      <c r="L637">
        <v>7</v>
      </c>
      <c r="M637">
        <v>0</v>
      </c>
      <c r="N637" t="s">
        <v>208</v>
      </c>
      <c r="O637" t="s">
        <v>53</v>
      </c>
      <c r="P637" t="s">
        <v>213</v>
      </c>
      <c r="Q637">
        <f t="shared" si="173"/>
        <v>2</v>
      </c>
      <c r="R637" t="str">
        <f t="shared" si="162"/>
        <v>5-2024</v>
      </c>
      <c r="S637" t="s">
        <v>104</v>
      </c>
      <c r="T637" t="str">
        <f t="shared" si="163"/>
        <v>Tuesday</v>
      </c>
      <c r="U637">
        <f t="shared" si="164"/>
        <v>0</v>
      </c>
      <c r="V637" s="24">
        <f>IFERROR(Table2[[#This Row],[Gray Min]]/Table2[[#This Row],[ClassLength]],"")</f>
        <v>0.32142857142857145</v>
      </c>
      <c r="W637" s="24">
        <f>IFERROR(Table2[[#This Row],[Blue Min]]/Table2[[#This Row],[ClassLength]],"")</f>
        <v>0.23214285714285715</v>
      </c>
      <c r="X637" s="24">
        <f>IFERROR(Table2[[#This Row],[Green Min]]/Table2[[#This Row],[ClassLength]],"")</f>
        <v>0.32142857142857145</v>
      </c>
      <c r="Y637" s="24">
        <f>IFERROR(Table2[[#This Row],[Orange Min]]/Table2[[#This Row],[ClassLength]],"")</f>
        <v>0.125</v>
      </c>
      <c r="Z637" s="24">
        <f>IFERROR(Table2[[#This Row],[Red Min]]/Table2[[#This Row],[ClassLength]],"")</f>
        <v>0</v>
      </c>
      <c r="AA637" s="25">
        <v>169</v>
      </c>
      <c r="AB637" s="25">
        <f t="shared" si="175"/>
        <v>12.071428571428571</v>
      </c>
      <c r="AC637" s="26">
        <f t="shared" si="165"/>
        <v>615.85714285714289</v>
      </c>
      <c r="AD637" s="26">
        <f t="shared" si="166"/>
        <v>13.5</v>
      </c>
      <c r="AE637">
        <f t="shared" si="167"/>
        <v>2024</v>
      </c>
      <c r="AG637">
        <v>12</v>
      </c>
      <c r="AH637" s="26">
        <f t="shared" si="168"/>
        <v>9.8928571428571423</v>
      </c>
      <c r="AI637" t="str">
        <f t="shared" si="169"/>
        <v>PM</v>
      </c>
      <c r="AJ637" t="str">
        <f t="shared" si="170"/>
        <v>5-2024-4</v>
      </c>
      <c r="AK637">
        <f t="shared" si="171"/>
        <v>5</v>
      </c>
      <c r="AL637" s="26">
        <f>IFERROR(Table2[[#This Row],[Calories]]/Table2[[#This Row],[Splat]],"")</f>
        <v>79.142857142857139</v>
      </c>
      <c r="AM637">
        <f>COUNTIF(N$2:$N$938,N637)</f>
        <v>78</v>
      </c>
      <c r="AN637" t="str">
        <f>VLOOKUP(N637,'Helpful Tables'!A:D,4,FALSE)</f>
        <v>Oregon</v>
      </c>
      <c r="AO637" s="24">
        <f>COUNTIF(AN:AN,Table2[[#This Row],[State]])/COUNTA(AN:AN)</f>
        <v>0.36140724946695096</v>
      </c>
      <c r="AP637">
        <f>VLOOKUP(N637,'Helpful Tables'!A:B,2,FALSE)</f>
        <v>45.525092999999998</v>
      </c>
      <c r="AQ637">
        <f>VLOOKUP(N637,'Helpful Tables'!A:C,3,FALSE)</f>
        <v>-122.681383</v>
      </c>
      <c r="AR637">
        <f>COUNTIF(P$2:$P$938,P637)</f>
        <v>40</v>
      </c>
      <c r="AS637" cm="1">
        <f t="array" ref="AS637">_xlfn.IFS(E637&lt;6,((E637/D637)*60)*0.5,AND(E637&gt;=6,E637&lt;9),((E637/D637)*60)*0.75,AND(E637&gt;=9,E637&lt;=11),((E637/D637)*60)*0.9,AND(E637=12),((E637/D637)*60)*1,AND(E637&gt;=13,E637&lt;=15),((E637/D637)*60)*1.2,AND(E637&gt;=16,E637&lt;=19),((E637/D637)*60)*1.5,E637&gt;=20,((E637/D637)*60)*1.8)</f>
        <v>5.625</v>
      </c>
      <c r="AT637" cm="1">
        <f t="array" ref="AT637">_xlfn.IFS(F637&lt;550,((F637/D637)*60)*0.5,AND(F637&gt;=550,F637&lt;575),((F637/D637)*60)*0.75,AND(F637&gt;=575,F637&lt;600),((F637/D637)*60)*0.9,AND(F637=600),((F637/D637)*60)*1,AND(F637&gt;=601,F637&lt;=625),((F637/D637)*60)*1.2,AND(F637&gt;=626,F637&lt;=650),((F637/D637)*60)*1.5,F637&gt;=651,((F637/D637)*60)*1.8)</f>
        <v>445.17857142857144</v>
      </c>
      <c r="AU637">
        <f t="shared" si="176"/>
        <v>-5.2000000000000011</v>
      </c>
      <c r="AV637">
        <f t="shared" si="174"/>
        <v>179.28142857142859</v>
      </c>
      <c r="AW637">
        <f t="shared" si="177"/>
        <v>10.5</v>
      </c>
      <c r="AX637" t="str">
        <f t="shared" si="172"/>
        <v>May-2024</v>
      </c>
      <c r="AY637">
        <f>ROUNDUP(Table2[[#This Row],[Month]]/3,0)</f>
        <v>2</v>
      </c>
    </row>
    <row r="638" spans="1:51" x14ac:dyDescent="0.2">
      <c r="A638">
        <v>637</v>
      </c>
      <c r="B638">
        <f t="shared" si="161"/>
        <v>14</v>
      </c>
      <c r="C638" s="22">
        <v>45435</v>
      </c>
      <c r="D638">
        <f>SUM(Table2[[#This Row],[Gray Min]:[Red Min]])</f>
        <v>57</v>
      </c>
      <c r="E638">
        <v>13</v>
      </c>
      <c r="F638">
        <v>638</v>
      </c>
      <c r="G638">
        <v>126</v>
      </c>
      <c r="H638">
        <v>165</v>
      </c>
      <c r="I638">
        <v>13</v>
      </c>
      <c r="J638">
        <v>14</v>
      </c>
      <c r="K638">
        <v>17</v>
      </c>
      <c r="L638">
        <v>12</v>
      </c>
      <c r="M638">
        <v>1</v>
      </c>
      <c r="N638" t="s">
        <v>125</v>
      </c>
      <c r="O638" t="s">
        <v>127</v>
      </c>
      <c r="P638" t="s">
        <v>207</v>
      </c>
      <c r="Q638">
        <f t="shared" si="173"/>
        <v>2</v>
      </c>
      <c r="R638" t="str">
        <f t="shared" si="162"/>
        <v>5-2024</v>
      </c>
      <c r="S638" t="s">
        <v>104</v>
      </c>
      <c r="T638" t="str">
        <f t="shared" si="163"/>
        <v>Thursday</v>
      </c>
      <c r="U638">
        <f t="shared" si="164"/>
        <v>1</v>
      </c>
      <c r="V638" s="24">
        <f>IFERROR(Table2[[#This Row],[Gray Min]]/Table2[[#This Row],[ClassLength]],"")</f>
        <v>0.22807017543859648</v>
      </c>
      <c r="W638" s="24">
        <f>IFERROR(Table2[[#This Row],[Blue Min]]/Table2[[#This Row],[ClassLength]],"")</f>
        <v>0.24561403508771928</v>
      </c>
      <c r="X638" s="24">
        <f>IFERROR(Table2[[#This Row],[Green Min]]/Table2[[#This Row],[ClassLength]],"")</f>
        <v>0.2982456140350877</v>
      </c>
      <c r="Y638" s="24">
        <f>IFERROR(Table2[[#This Row],[Orange Min]]/Table2[[#This Row],[ClassLength]],"")</f>
        <v>0.21052631578947367</v>
      </c>
      <c r="Z638" s="24">
        <f>IFERROR(Table2[[#This Row],[Red Min]]/Table2[[#This Row],[ClassLength]],"")</f>
        <v>1.7543859649122806E-2</v>
      </c>
      <c r="AA638" s="25">
        <v>169</v>
      </c>
      <c r="AB638" s="25">
        <f t="shared" si="175"/>
        <v>12.071428571428571</v>
      </c>
      <c r="AC638" s="26">
        <f t="shared" si="165"/>
        <v>615.85714285714289</v>
      </c>
      <c r="AD638" s="26">
        <f t="shared" si="166"/>
        <v>13.5</v>
      </c>
      <c r="AE638">
        <f t="shared" si="167"/>
        <v>2024</v>
      </c>
      <c r="AG638">
        <v>12</v>
      </c>
      <c r="AH638" s="26">
        <f t="shared" si="168"/>
        <v>11.192982456140351</v>
      </c>
      <c r="AI638" t="str">
        <f t="shared" si="169"/>
        <v>PM</v>
      </c>
      <c r="AJ638" t="str">
        <f t="shared" si="170"/>
        <v>5-2024-4</v>
      </c>
      <c r="AK638">
        <f t="shared" si="171"/>
        <v>5</v>
      </c>
      <c r="AL638" s="26">
        <f>IFERROR(Table2[[#This Row],[Calories]]/Table2[[#This Row],[Splat]],"")</f>
        <v>49.07692307692308</v>
      </c>
      <c r="AM638">
        <f>COUNTIF(N$2:$N$938,N638)</f>
        <v>258</v>
      </c>
      <c r="AN638" t="str">
        <f>VLOOKUP(N638,'Helpful Tables'!A:D,4,FALSE)</f>
        <v>Oregon</v>
      </c>
      <c r="AO638" s="24">
        <f>COUNTIF(AN:AN,Table2[[#This Row],[State]])/COUNTA(AN:AN)</f>
        <v>0.36140724946695096</v>
      </c>
      <c r="AP638">
        <f>VLOOKUP(N638,'Helpful Tables'!A:B,2,FALSE)</f>
        <v>45.534162000000002</v>
      </c>
      <c r="AQ638">
        <f>VLOOKUP(N638,'Helpful Tables'!A:C,3,FALSE)</f>
        <v>-122.69670000000001</v>
      </c>
      <c r="AR638">
        <f>COUNTIF(P$2:$P$938,P638)</f>
        <v>10</v>
      </c>
      <c r="AS638" cm="1">
        <f t="array" ref="AS638">_xlfn.IFS(E638&lt;6,((E638/D638)*60)*0.5,AND(E638&gt;=6,E638&lt;9),((E638/D638)*60)*0.75,AND(E638&gt;=9,E638&lt;=11),((E638/D638)*60)*0.9,AND(E638=12),((E638/D638)*60)*1,AND(E638&gt;=13,E638&lt;=15),((E638/D638)*60)*1.2,AND(E638&gt;=16,E638&lt;=19),((E638/D638)*60)*1.5,E638&gt;=20,((E638/D638)*60)*1.8)</f>
        <v>16.421052631578945</v>
      </c>
      <c r="AT638" cm="1">
        <f t="array" ref="AT638">_xlfn.IFS(F638&lt;550,((F638/D638)*60)*0.5,AND(F638&gt;=550,F638&lt;575),((F638/D638)*60)*0.75,AND(F638&gt;=575,F638&lt;600),((F638/D638)*60)*0.9,AND(F638=600),((F638/D638)*60)*1,AND(F638&gt;=601,F638&lt;=625),((F638/D638)*60)*1.2,AND(F638&gt;=626,F638&lt;=650),((F638/D638)*60)*1.5,F638&gt;=651,((F638/D638)*60)*1.8)</f>
        <v>1007.3684210526316</v>
      </c>
      <c r="AU638">
        <f t="shared" si="176"/>
        <v>6.5</v>
      </c>
      <c r="AV638">
        <f t="shared" si="174"/>
        <v>410.81578947368422</v>
      </c>
      <c r="AW638">
        <f t="shared" si="177"/>
        <v>58.599999999999994</v>
      </c>
      <c r="AX638" t="str">
        <f t="shared" si="172"/>
        <v>May-2024</v>
      </c>
      <c r="AY638">
        <f>ROUNDUP(Table2[[#This Row],[Month]]/3,0)</f>
        <v>2</v>
      </c>
    </row>
    <row r="639" spans="1:51" x14ac:dyDescent="0.2">
      <c r="A639">
        <v>638</v>
      </c>
      <c r="B639">
        <f t="shared" si="161"/>
        <v>14</v>
      </c>
      <c r="C639" s="22">
        <v>45437</v>
      </c>
      <c r="D639">
        <f>SUM(Table2[[#This Row],[Gray Min]:[Red Min]])</f>
        <v>61</v>
      </c>
      <c r="E639">
        <v>17</v>
      </c>
      <c r="F639">
        <v>656</v>
      </c>
      <c r="G639">
        <v>124</v>
      </c>
      <c r="H639">
        <v>166</v>
      </c>
      <c r="I639">
        <v>17</v>
      </c>
      <c r="J639">
        <v>17</v>
      </c>
      <c r="K639">
        <v>10</v>
      </c>
      <c r="L639">
        <v>14</v>
      </c>
      <c r="M639">
        <v>3</v>
      </c>
      <c r="N639" t="s">
        <v>125</v>
      </c>
      <c r="O639" t="s">
        <v>159</v>
      </c>
      <c r="P639" t="s">
        <v>216</v>
      </c>
      <c r="Q639">
        <f t="shared" si="173"/>
        <v>2</v>
      </c>
      <c r="R639" t="str">
        <f t="shared" si="162"/>
        <v>5-2024</v>
      </c>
      <c r="S639" t="s">
        <v>117</v>
      </c>
      <c r="T639" t="str">
        <f t="shared" si="163"/>
        <v>Saturday</v>
      </c>
      <c r="U639">
        <f t="shared" si="164"/>
        <v>1</v>
      </c>
      <c r="V639" s="24">
        <f>IFERROR(Table2[[#This Row],[Gray Min]]/Table2[[#This Row],[ClassLength]],"")</f>
        <v>0.27868852459016391</v>
      </c>
      <c r="W639" s="24">
        <f>IFERROR(Table2[[#This Row],[Blue Min]]/Table2[[#This Row],[ClassLength]],"")</f>
        <v>0.27868852459016391</v>
      </c>
      <c r="X639" s="24">
        <f>IFERROR(Table2[[#This Row],[Green Min]]/Table2[[#This Row],[ClassLength]],"")</f>
        <v>0.16393442622950818</v>
      </c>
      <c r="Y639" s="24">
        <f>IFERROR(Table2[[#This Row],[Orange Min]]/Table2[[#This Row],[ClassLength]],"")</f>
        <v>0.22950819672131148</v>
      </c>
      <c r="Z639" s="24">
        <f>IFERROR(Table2[[#This Row],[Red Min]]/Table2[[#This Row],[ClassLength]],"")</f>
        <v>4.9180327868852458E-2</v>
      </c>
      <c r="AA639" s="25">
        <v>169</v>
      </c>
      <c r="AB639" s="25">
        <f t="shared" si="175"/>
        <v>12.071428571428571</v>
      </c>
      <c r="AC639" s="26">
        <f t="shared" si="165"/>
        <v>615.85714285714289</v>
      </c>
      <c r="AD639" s="26">
        <f t="shared" si="166"/>
        <v>13.5</v>
      </c>
      <c r="AE639">
        <f t="shared" si="167"/>
        <v>2024</v>
      </c>
      <c r="AG639">
        <v>12</v>
      </c>
      <c r="AH639" s="26">
        <f t="shared" si="168"/>
        <v>10.754098360655737</v>
      </c>
      <c r="AI639" t="str">
        <f t="shared" si="169"/>
        <v>AM</v>
      </c>
      <c r="AJ639" t="str">
        <f t="shared" si="170"/>
        <v>5-2024-4</v>
      </c>
      <c r="AK639">
        <f t="shared" si="171"/>
        <v>5</v>
      </c>
      <c r="AL639" s="26">
        <f>IFERROR(Table2[[#This Row],[Calories]]/Table2[[#This Row],[Splat]],"")</f>
        <v>38.588235294117645</v>
      </c>
      <c r="AM639">
        <f>COUNTIF(N$2:$N$938,N639)</f>
        <v>258</v>
      </c>
      <c r="AN639" t="str">
        <f>VLOOKUP(N639,'Helpful Tables'!A:D,4,FALSE)</f>
        <v>Oregon</v>
      </c>
      <c r="AO639" s="24">
        <f>COUNTIF(AN:AN,Table2[[#This Row],[State]])/COUNTA(AN:AN)</f>
        <v>0.36140724946695096</v>
      </c>
      <c r="AP639">
        <f>VLOOKUP(N639,'Helpful Tables'!A:B,2,FALSE)</f>
        <v>45.534162000000002</v>
      </c>
      <c r="AQ639">
        <f>VLOOKUP(N639,'Helpful Tables'!A:C,3,FALSE)</f>
        <v>-122.69670000000001</v>
      </c>
      <c r="AR639">
        <f>COUNTIF(P$2:$P$938,P639)</f>
        <v>25</v>
      </c>
      <c r="AS639" cm="1">
        <f t="array" ref="AS639">_xlfn.IFS(E639&lt;6,((E639/D639)*60)*0.5,AND(E639&gt;=6,E639&lt;9),((E639/D639)*60)*0.75,AND(E639&gt;=9,E639&lt;=11),((E639/D639)*60)*0.9,AND(E639=12),((E639/D639)*60)*1,AND(E639&gt;=13,E639&lt;=15),((E639/D639)*60)*1.2,AND(E639&gt;=16,E639&lt;=19),((E639/D639)*60)*1.5,E639&gt;=20,((E639/D639)*60)*1.8)</f>
        <v>25.081967213114751</v>
      </c>
      <c r="AT639" cm="1">
        <f t="array" ref="AT639">_xlfn.IFS(F639&lt;550,((F639/D639)*60)*0.5,AND(F639&gt;=550,F639&lt;575),((F639/D639)*60)*0.75,AND(F639&gt;=575,F639&lt;600),((F639/D639)*60)*0.9,AND(F639=600),((F639/D639)*60)*1,AND(F639&gt;=601,F639&lt;=625),((F639/D639)*60)*1.2,AND(F639&gt;=626,F639&lt;=650),((F639/D639)*60)*1.5,F639&gt;=651,((F639/D639)*60)*1.8)</f>
        <v>1161.4426229508197</v>
      </c>
      <c r="AU639">
        <f t="shared" si="176"/>
        <v>-4.4000000000000021</v>
      </c>
      <c r="AV639">
        <f t="shared" si="174"/>
        <v>473.72983606557381</v>
      </c>
      <c r="AW639">
        <f t="shared" si="177"/>
        <v>68.5</v>
      </c>
      <c r="AX639" t="str">
        <f t="shared" si="172"/>
        <v>May-2024</v>
      </c>
      <c r="AY639">
        <f>ROUNDUP(Table2[[#This Row],[Month]]/3,0)</f>
        <v>2</v>
      </c>
    </row>
    <row r="640" spans="1:51" x14ac:dyDescent="0.2">
      <c r="A640">
        <v>639</v>
      </c>
      <c r="B640">
        <f t="shared" si="161"/>
        <v>14</v>
      </c>
      <c r="C640" s="22">
        <v>45438</v>
      </c>
      <c r="D640">
        <f>SUM(Table2[[#This Row],[Gray Min]:[Red Min]])</f>
        <v>61</v>
      </c>
      <c r="E640">
        <v>8</v>
      </c>
      <c r="F640">
        <v>592</v>
      </c>
      <c r="G640">
        <v>118</v>
      </c>
      <c r="H640">
        <v>160</v>
      </c>
      <c r="I640">
        <v>24</v>
      </c>
      <c r="J640">
        <v>10</v>
      </c>
      <c r="K640">
        <v>19</v>
      </c>
      <c r="L640">
        <v>8</v>
      </c>
      <c r="M640">
        <v>0</v>
      </c>
      <c r="N640" t="s">
        <v>125</v>
      </c>
      <c r="O640" t="s">
        <v>159</v>
      </c>
      <c r="P640" t="s">
        <v>218</v>
      </c>
      <c r="Q640">
        <f t="shared" si="173"/>
        <v>1</v>
      </c>
      <c r="R640" t="str">
        <f t="shared" si="162"/>
        <v>5-2024</v>
      </c>
      <c r="S640" t="s">
        <v>117</v>
      </c>
      <c r="T640" t="str">
        <f t="shared" si="163"/>
        <v>Sunday</v>
      </c>
      <c r="U640">
        <f t="shared" si="164"/>
        <v>0</v>
      </c>
      <c r="V640" s="24">
        <f>IFERROR(Table2[[#This Row],[Gray Min]]/Table2[[#This Row],[ClassLength]],"")</f>
        <v>0.39344262295081966</v>
      </c>
      <c r="W640" s="24">
        <f>IFERROR(Table2[[#This Row],[Blue Min]]/Table2[[#This Row],[ClassLength]],"")</f>
        <v>0.16393442622950818</v>
      </c>
      <c r="X640" s="24">
        <f>IFERROR(Table2[[#This Row],[Green Min]]/Table2[[#This Row],[ClassLength]],"")</f>
        <v>0.31147540983606559</v>
      </c>
      <c r="Y640" s="24">
        <f>IFERROR(Table2[[#This Row],[Orange Min]]/Table2[[#This Row],[ClassLength]],"")</f>
        <v>0.13114754098360656</v>
      </c>
      <c r="Z640" s="24">
        <f>IFERROR(Table2[[#This Row],[Red Min]]/Table2[[#This Row],[ClassLength]],"")</f>
        <v>0</v>
      </c>
      <c r="AA640" s="25">
        <v>169</v>
      </c>
      <c r="AB640" s="25">
        <f t="shared" si="175"/>
        <v>12.071428571428571</v>
      </c>
      <c r="AC640" s="26">
        <f t="shared" si="165"/>
        <v>615.85714285714289</v>
      </c>
      <c r="AD640" s="26">
        <f t="shared" si="166"/>
        <v>13.5</v>
      </c>
      <c r="AE640">
        <f t="shared" si="167"/>
        <v>2024</v>
      </c>
      <c r="AG640">
        <v>12</v>
      </c>
      <c r="AH640" s="26">
        <f t="shared" si="168"/>
        <v>9.7049180327868854</v>
      </c>
      <c r="AI640" t="str">
        <f t="shared" si="169"/>
        <v>AM</v>
      </c>
      <c r="AJ640" t="str">
        <f t="shared" si="170"/>
        <v>5-2024-5</v>
      </c>
      <c r="AK640">
        <f t="shared" si="171"/>
        <v>5</v>
      </c>
      <c r="AL640" s="26">
        <f>IFERROR(Table2[[#This Row],[Calories]]/Table2[[#This Row],[Splat]],"")</f>
        <v>74</v>
      </c>
      <c r="AM640">
        <f>COUNTIF(N$2:$N$938,N640)</f>
        <v>258</v>
      </c>
      <c r="AN640" t="str">
        <f>VLOOKUP(N640,'Helpful Tables'!A:D,4,FALSE)</f>
        <v>Oregon</v>
      </c>
      <c r="AO640" s="24">
        <f>COUNTIF(AN:AN,Table2[[#This Row],[State]])/COUNTA(AN:AN)</f>
        <v>0.36140724946695096</v>
      </c>
      <c r="AP640">
        <f>VLOOKUP(N640,'Helpful Tables'!A:B,2,FALSE)</f>
        <v>45.534162000000002</v>
      </c>
      <c r="AQ640">
        <f>VLOOKUP(N640,'Helpful Tables'!A:C,3,FALSE)</f>
        <v>-122.69670000000001</v>
      </c>
      <c r="AR640">
        <f>COUNTIF(P$2:$P$938,P640)</f>
        <v>9</v>
      </c>
      <c r="AS640" cm="1">
        <f t="array" ref="AS640">_xlfn.IFS(E640&lt;6,((E640/D640)*60)*0.5,AND(E640&gt;=6,E640&lt;9),((E640/D640)*60)*0.75,AND(E640&gt;=9,E640&lt;=11),((E640/D640)*60)*0.9,AND(E640=12),((E640/D640)*60)*1,AND(E640&gt;=13,E640&lt;=15),((E640/D640)*60)*1.2,AND(E640&gt;=16,E640&lt;=19),((E640/D640)*60)*1.5,E640&gt;=20,((E640/D640)*60)*1.8)</f>
        <v>5.9016393442622954</v>
      </c>
      <c r="AT640" cm="1">
        <f t="array" ref="AT640">_xlfn.IFS(F640&lt;550,((F640/D640)*60)*0.5,AND(F640&gt;=550,F640&lt;575),((F640/D640)*60)*0.75,AND(F640&gt;=575,F640&lt;600),((F640/D640)*60)*0.9,AND(F640=600),((F640/D640)*60)*1,AND(F640&gt;=601,F640&lt;=625),((F640/D640)*60)*1.2,AND(F640&gt;=626,F640&lt;=650),((F640/D640)*60)*1.5,F640&gt;=651,((F640/D640)*60)*1.8)</f>
        <v>524.06557377049182</v>
      </c>
      <c r="AU640">
        <f t="shared" si="176"/>
        <v>-6.5999999999999961</v>
      </c>
      <c r="AV640">
        <f t="shared" si="174"/>
        <v>210.66688524590165</v>
      </c>
      <c r="AW640">
        <f t="shared" si="177"/>
        <v>14.099999999999998</v>
      </c>
      <c r="AX640" t="str">
        <f t="shared" si="172"/>
        <v>May-2024</v>
      </c>
      <c r="AY640">
        <f>ROUNDUP(Table2[[#This Row],[Month]]/3,0)</f>
        <v>2</v>
      </c>
    </row>
    <row r="641" spans="1:51" x14ac:dyDescent="0.2">
      <c r="A641">
        <v>640</v>
      </c>
      <c r="B641">
        <f t="shared" si="161"/>
        <v>14</v>
      </c>
      <c r="C641" s="22">
        <v>45440</v>
      </c>
      <c r="D641">
        <f>SUM(Table2[[#This Row],[Gray Min]:[Red Min]])</f>
        <v>57</v>
      </c>
      <c r="E641">
        <v>12</v>
      </c>
      <c r="F641">
        <v>620</v>
      </c>
      <c r="G641">
        <v>123</v>
      </c>
      <c r="H641">
        <v>157</v>
      </c>
      <c r="I641">
        <v>14</v>
      </c>
      <c r="J641">
        <v>15</v>
      </c>
      <c r="K641">
        <v>16</v>
      </c>
      <c r="L641">
        <v>12</v>
      </c>
      <c r="M641">
        <v>0</v>
      </c>
      <c r="N641" t="s">
        <v>208</v>
      </c>
      <c r="O641" t="s">
        <v>53</v>
      </c>
      <c r="P641" t="s">
        <v>213</v>
      </c>
      <c r="Q641">
        <f t="shared" si="173"/>
        <v>2</v>
      </c>
      <c r="R641" t="str">
        <f t="shared" si="162"/>
        <v>5-2024</v>
      </c>
      <c r="S641" t="s">
        <v>104</v>
      </c>
      <c r="T641" t="str">
        <f t="shared" si="163"/>
        <v>Tuesday</v>
      </c>
      <c r="U641">
        <f t="shared" si="164"/>
        <v>1</v>
      </c>
      <c r="V641" s="24">
        <f>IFERROR(Table2[[#This Row],[Gray Min]]/Table2[[#This Row],[ClassLength]],"")</f>
        <v>0.24561403508771928</v>
      </c>
      <c r="W641" s="24">
        <f>IFERROR(Table2[[#This Row],[Blue Min]]/Table2[[#This Row],[ClassLength]],"")</f>
        <v>0.26315789473684209</v>
      </c>
      <c r="X641" s="24">
        <f>IFERROR(Table2[[#This Row],[Green Min]]/Table2[[#This Row],[ClassLength]],"")</f>
        <v>0.2807017543859649</v>
      </c>
      <c r="Y641" s="24">
        <f>IFERROR(Table2[[#This Row],[Orange Min]]/Table2[[#This Row],[ClassLength]],"")</f>
        <v>0.21052631578947367</v>
      </c>
      <c r="Z641" s="24">
        <f>IFERROR(Table2[[#This Row],[Red Min]]/Table2[[#This Row],[ClassLength]],"")</f>
        <v>0</v>
      </c>
      <c r="AA641" s="25">
        <v>169</v>
      </c>
      <c r="AB641" s="25">
        <f t="shared" si="175"/>
        <v>12.071428571428571</v>
      </c>
      <c r="AC641" s="26">
        <f t="shared" si="165"/>
        <v>615.85714285714289</v>
      </c>
      <c r="AD641" s="26">
        <f t="shared" si="166"/>
        <v>13.5</v>
      </c>
      <c r="AE641">
        <f t="shared" si="167"/>
        <v>2024</v>
      </c>
      <c r="AG641">
        <v>12</v>
      </c>
      <c r="AH641" s="26">
        <f t="shared" si="168"/>
        <v>10.87719298245614</v>
      </c>
      <c r="AI641" t="str">
        <f t="shared" si="169"/>
        <v>PM</v>
      </c>
      <c r="AJ641" t="str">
        <f t="shared" si="170"/>
        <v>5-2024-5</v>
      </c>
      <c r="AK641">
        <f t="shared" si="171"/>
        <v>5</v>
      </c>
      <c r="AL641" s="26">
        <f>IFERROR(Table2[[#This Row],[Calories]]/Table2[[#This Row],[Splat]],"")</f>
        <v>51.666666666666664</v>
      </c>
      <c r="AM641">
        <f>COUNTIF(N$2:$N$938,N641)</f>
        <v>78</v>
      </c>
      <c r="AN641" t="str">
        <f>VLOOKUP(N641,'Helpful Tables'!A:D,4,FALSE)</f>
        <v>Oregon</v>
      </c>
      <c r="AO641" s="24">
        <f>COUNTIF(AN:AN,Table2[[#This Row],[State]])/COUNTA(AN:AN)</f>
        <v>0.36140724946695096</v>
      </c>
      <c r="AP641">
        <f>VLOOKUP(N641,'Helpful Tables'!A:B,2,FALSE)</f>
        <v>45.525092999999998</v>
      </c>
      <c r="AQ641">
        <f>VLOOKUP(N641,'Helpful Tables'!A:C,3,FALSE)</f>
        <v>-122.681383</v>
      </c>
      <c r="AR641">
        <f>COUNTIF(P$2:$P$938,P641)</f>
        <v>40</v>
      </c>
      <c r="AS641" cm="1">
        <f t="array" ref="AS641">_xlfn.IFS(E641&lt;6,((E641/D641)*60)*0.5,AND(E641&gt;=6,E641&lt;9),((E641/D641)*60)*0.75,AND(E641&gt;=9,E641&lt;=11),((E641/D641)*60)*0.9,AND(E641=12),((E641/D641)*60)*1,AND(E641&gt;=13,E641&lt;=15),((E641/D641)*60)*1.2,AND(E641&gt;=16,E641&lt;=19),((E641/D641)*60)*1.5,E641&gt;=20,((E641/D641)*60)*1.8)</f>
        <v>12.631578947368421</v>
      </c>
      <c r="AT641" cm="1">
        <f t="array" ref="AT641">_xlfn.IFS(F641&lt;550,((F641/D641)*60)*0.5,AND(F641&gt;=550,F641&lt;575),((F641/D641)*60)*0.75,AND(F641&gt;=575,F641&lt;600),((F641/D641)*60)*0.9,AND(F641=600),((F641/D641)*60)*1,AND(F641&gt;=601,F641&lt;=625),((F641/D641)*60)*1.2,AND(F641&gt;=626,F641&lt;=650),((F641/D641)*60)*1.5,F641&gt;=651,((F641/D641)*60)*1.8)</f>
        <v>783.15789473684208</v>
      </c>
      <c r="AU641">
        <f t="shared" si="176"/>
        <v>1.5000000000000036</v>
      </c>
      <c r="AV641">
        <f t="shared" si="174"/>
        <v>318.61578947368423</v>
      </c>
      <c r="AW641">
        <f t="shared" si="177"/>
        <v>36.299999999999997</v>
      </c>
      <c r="AX641" t="str">
        <f t="shared" si="172"/>
        <v>May-2024</v>
      </c>
      <c r="AY641">
        <f>ROUNDUP(Table2[[#This Row],[Month]]/3,0)</f>
        <v>2</v>
      </c>
    </row>
    <row r="642" spans="1:51" x14ac:dyDescent="0.2">
      <c r="A642">
        <v>641</v>
      </c>
      <c r="B642">
        <f t="shared" ref="B642:B705" si="178">COUNTIF(R:R,R642)</f>
        <v>14</v>
      </c>
      <c r="C642" s="22">
        <v>45442</v>
      </c>
      <c r="D642">
        <f>SUM(Table2[[#This Row],[Gray Min]:[Red Min]])</f>
        <v>56</v>
      </c>
      <c r="E642">
        <v>21</v>
      </c>
      <c r="F642">
        <v>618</v>
      </c>
      <c r="G642">
        <v>125</v>
      </c>
      <c r="H642">
        <v>172</v>
      </c>
      <c r="I642">
        <v>20</v>
      </c>
      <c r="J642">
        <v>10</v>
      </c>
      <c r="K642">
        <v>5</v>
      </c>
      <c r="L642">
        <v>13</v>
      </c>
      <c r="M642">
        <v>8</v>
      </c>
      <c r="N642" t="s">
        <v>125</v>
      </c>
      <c r="O642" t="s">
        <v>127</v>
      </c>
      <c r="P642" t="s">
        <v>219</v>
      </c>
      <c r="Q642">
        <f t="shared" si="173"/>
        <v>2</v>
      </c>
      <c r="R642" t="str">
        <f t="shared" ref="R642:R705" si="179">MONTH(C642)&amp;"-"&amp;YEAR(C642)</f>
        <v>5-2024</v>
      </c>
      <c r="S642" t="s">
        <v>104</v>
      </c>
      <c r="T642" t="str">
        <f t="shared" ref="T642:T705" si="180">IF(WEEKDAY(C642)=1,"Sunday",IF(WEEKDAY(C642)=2,"Monday",IF(WEEKDAY(C642)=3,"Tuesday",IF(WEEKDAY(C642)=4,"Wednesday",IF(WEEKDAY(C642)=5,"Thursday",IF(WEEKDAY(C642)=6,"Friday","Saturday"))))))</f>
        <v>Thursday</v>
      </c>
      <c r="U642">
        <f t="shared" ref="U642:U705" si="181">IF(E642&gt;=12,1,0)</f>
        <v>1</v>
      </c>
      <c r="V642" s="24">
        <f>IFERROR(Table2[[#This Row],[Gray Min]]/Table2[[#This Row],[ClassLength]],"")</f>
        <v>0.35714285714285715</v>
      </c>
      <c r="W642" s="24">
        <f>IFERROR(Table2[[#This Row],[Blue Min]]/Table2[[#This Row],[ClassLength]],"")</f>
        <v>0.17857142857142858</v>
      </c>
      <c r="X642" s="24">
        <f>IFERROR(Table2[[#This Row],[Green Min]]/Table2[[#This Row],[ClassLength]],"")</f>
        <v>8.9285714285714288E-2</v>
      </c>
      <c r="Y642" s="24">
        <f>IFERROR(Table2[[#This Row],[Orange Min]]/Table2[[#This Row],[ClassLength]],"")</f>
        <v>0.23214285714285715</v>
      </c>
      <c r="Z642" s="24">
        <f>IFERROR(Table2[[#This Row],[Red Min]]/Table2[[#This Row],[ClassLength]],"")</f>
        <v>0.14285714285714285</v>
      </c>
      <c r="AA642" s="25">
        <v>169</v>
      </c>
      <c r="AB642" s="25">
        <f t="shared" si="175"/>
        <v>12.071428571428571</v>
      </c>
      <c r="AC642" s="26">
        <f t="shared" ref="AC642:AC705" si="182">AVERAGEIF(R:R,R642,F:F)</f>
        <v>615.85714285714289</v>
      </c>
      <c r="AD642" s="26">
        <f t="shared" ref="AD642:AD705" si="183">AVERAGEIF(R:R,R642,E:E)</f>
        <v>13.5</v>
      </c>
      <c r="AE642">
        <f t="shared" ref="AE642:AE705" si="184">YEAR(C642)</f>
        <v>2024</v>
      </c>
      <c r="AG642">
        <v>12</v>
      </c>
      <c r="AH642" s="26">
        <f t="shared" ref="AH642:AH705" si="185">F642/D642</f>
        <v>11.035714285714286</v>
      </c>
      <c r="AI642" t="str">
        <f t="shared" ref="AI642:AI705" si="186">RIGHT(O642,2)</f>
        <v>PM</v>
      </c>
      <c r="AJ642" t="str">
        <f t="shared" ref="AJ642:AJ705" si="187">R642&amp;"-"&amp;WEEKNUM(C642,1)-WEEKNUM(DATE(YEAR(C642),MONTH(C642),1),1)+1</f>
        <v>5-2024-5</v>
      </c>
      <c r="AK642">
        <f t="shared" ref="AK642:AK705" si="188">MONTH(C642)</f>
        <v>5</v>
      </c>
      <c r="AL642" s="26">
        <f>IFERROR(Table2[[#This Row],[Calories]]/Table2[[#This Row],[Splat]],"")</f>
        <v>29.428571428571427</v>
      </c>
      <c r="AM642">
        <f>COUNTIF(N$2:$N$938,N642)</f>
        <v>258</v>
      </c>
      <c r="AN642" t="str">
        <f>VLOOKUP(N642,'Helpful Tables'!A:D,4,FALSE)</f>
        <v>Oregon</v>
      </c>
      <c r="AO642" s="24">
        <f>COUNTIF(AN:AN,Table2[[#This Row],[State]])/COUNTA(AN:AN)</f>
        <v>0.36140724946695096</v>
      </c>
      <c r="AP642">
        <f>VLOOKUP(N642,'Helpful Tables'!A:B,2,FALSE)</f>
        <v>45.534162000000002</v>
      </c>
      <c r="AQ642">
        <f>VLOOKUP(N642,'Helpful Tables'!A:C,3,FALSE)</f>
        <v>-122.69670000000001</v>
      </c>
      <c r="AR642">
        <f>COUNTIF(P$2:$P$938,P642)</f>
        <v>3</v>
      </c>
      <c r="AS642" cm="1">
        <f t="array" ref="AS642">_xlfn.IFS(E642&lt;6,((E642/D642)*60)*0.5,AND(E642&gt;=6,E642&lt;9),((E642/D642)*60)*0.75,AND(E642&gt;=9,E642&lt;=11),((E642/D642)*60)*0.9,AND(E642=12),((E642/D642)*60)*1,AND(E642&gt;=13,E642&lt;=15),((E642/D642)*60)*1.2,AND(E642&gt;=16,E642&lt;=19),((E642/D642)*60)*1.5,E642&gt;=20,((E642/D642)*60)*1.8)</f>
        <v>40.5</v>
      </c>
      <c r="AT642" cm="1">
        <f t="array" ref="AT642">_xlfn.IFS(F642&lt;550,((F642/D642)*60)*0.5,AND(F642&gt;=550,F642&lt;575),((F642/D642)*60)*0.75,AND(F642&gt;=575,F642&lt;600),((F642/D642)*60)*0.9,AND(F642=600),((F642/D642)*60)*1,AND(F642&gt;=601,F642&lt;=625),((F642/D642)*60)*1.2,AND(F642&gt;=626,F642&lt;=650),((F642/D642)*60)*1.5,F642&gt;=651,((F642/D642)*60)*1.8)</f>
        <v>794.57142857142867</v>
      </c>
      <c r="AU642">
        <f t="shared" si="176"/>
        <v>-9.9999999999997868E-2</v>
      </c>
      <c r="AV642">
        <f t="shared" si="174"/>
        <v>334.00857142857149</v>
      </c>
      <c r="AW642">
        <f t="shared" si="177"/>
        <v>41.6</v>
      </c>
      <c r="AX642" t="str">
        <f t="shared" ref="AX642:AX705" si="189">_xlfn.CONCAT(TEXT(C642,"mmm"),"-",AE642)</f>
        <v>May-2024</v>
      </c>
      <c r="AY642">
        <f>ROUNDUP(Table2[[#This Row],[Month]]/3,0)</f>
        <v>2</v>
      </c>
    </row>
    <row r="643" spans="1:51" x14ac:dyDescent="0.2">
      <c r="A643">
        <v>642</v>
      </c>
      <c r="B643">
        <f t="shared" si="178"/>
        <v>14</v>
      </c>
      <c r="C643" s="22">
        <v>45446</v>
      </c>
      <c r="D643">
        <f>SUM(Table2[[#This Row],[Gray Min]:[Red Min]])</f>
        <v>60</v>
      </c>
      <c r="E643">
        <v>9</v>
      </c>
      <c r="F643">
        <v>613</v>
      </c>
      <c r="G643">
        <v>121</v>
      </c>
      <c r="H643">
        <v>161</v>
      </c>
      <c r="I643">
        <v>17</v>
      </c>
      <c r="J643">
        <v>16</v>
      </c>
      <c r="K643">
        <v>18</v>
      </c>
      <c r="L643">
        <v>9</v>
      </c>
      <c r="M643">
        <v>0</v>
      </c>
      <c r="N643" t="s">
        <v>125</v>
      </c>
      <c r="O643" t="s">
        <v>127</v>
      </c>
      <c r="P643" t="s">
        <v>216</v>
      </c>
      <c r="Q643">
        <f t="shared" ref="Q643:Q706" si="190">C643-C642</f>
        <v>4</v>
      </c>
      <c r="R643" t="str">
        <f t="shared" si="179"/>
        <v>6-2024</v>
      </c>
      <c r="S643" t="s">
        <v>104</v>
      </c>
      <c r="T643" t="str">
        <f t="shared" si="180"/>
        <v>Monday</v>
      </c>
      <c r="U643">
        <f t="shared" si="181"/>
        <v>0</v>
      </c>
      <c r="V643" s="24">
        <f>IFERROR(Table2[[#This Row],[Gray Min]]/Table2[[#This Row],[ClassLength]],"")</f>
        <v>0.28333333333333333</v>
      </c>
      <c r="W643" s="24">
        <f>IFERROR(Table2[[#This Row],[Blue Min]]/Table2[[#This Row],[ClassLength]],"")</f>
        <v>0.26666666666666666</v>
      </c>
      <c r="X643" s="24">
        <f>IFERROR(Table2[[#This Row],[Green Min]]/Table2[[#This Row],[ClassLength]],"")</f>
        <v>0.3</v>
      </c>
      <c r="Y643" s="24">
        <f>IFERROR(Table2[[#This Row],[Orange Min]]/Table2[[#This Row],[ClassLength]],"")</f>
        <v>0.15</v>
      </c>
      <c r="Z643" s="24">
        <f>IFERROR(Table2[[#This Row],[Red Min]]/Table2[[#This Row],[ClassLength]],"")</f>
        <v>0</v>
      </c>
      <c r="AA643" s="25">
        <v>169</v>
      </c>
      <c r="AB643" s="25">
        <f t="shared" si="175"/>
        <v>12.071428571428571</v>
      </c>
      <c r="AC643" s="26">
        <f t="shared" si="182"/>
        <v>625.07142857142856</v>
      </c>
      <c r="AD643" s="26">
        <f t="shared" si="183"/>
        <v>12.428571428571429</v>
      </c>
      <c r="AE643">
        <f t="shared" si="184"/>
        <v>2024</v>
      </c>
      <c r="AG643">
        <v>12</v>
      </c>
      <c r="AH643" s="26">
        <f t="shared" si="185"/>
        <v>10.216666666666667</v>
      </c>
      <c r="AI643" t="str">
        <f t="shared" si="186"/>
        <v>PM</v>
      </c>
      <c r="AJ643" t="str">
        <f t="shared" si="187"/>
        <v>6-2024-2</v>
      </c>
      <c r="AK643">
        <f t="shared" si="188"/>
        <v>6</v>
      </c>
      <c r="AL643" s="26">
        <f>IFERROR(Table2[[#This Row],[Calories]]/Table2[[#This Row],[Splat]],"")</f>
        <v>68.111111111111114</v>
      </c>
      <c r="AM643">
        <f>COUNTIF(N$2:$N$938,N643)</f>
        <v>258</v>
      </c>
      <c r="AN643" t="str">
        <f>VLOOKUP(N643,'Helpful Tables'!A:D,4,FALSE)</f>
        <v>Oregon</v>
      </c>
      <c r="AO643" s="24">
        <f>COUNTIF(AN:AN,Table2[[#This Row],[State]])/COUNTA(AN:AN)</f>
        <v>0.36140724946695096</v>
      </c>
      <c r="AP643">
        <f>VLOOKUP(N643,'Helpful Tables'!A:B,2,FALSE)</f>
        <v>45.534162000000002</v>
      </c>
      <c r="AQ643">
        <f>VLOOKUP(N643,'Helpful Tables'!A:C,3,FALSE)</f>
        <v>-122.69670000000001</v>
      </c>
      <c r="AR643">
        <f>COUNTIF(P$2:$P$938,P643)</f>
        <v>25</v>
      </c>
      <c r="AS643" cm="1">
        <f t="array" ref="AS643">_xlfn.IFS(E643&lt;6,((E643/D643)*60)*0.5,AND(E643&gt;=6,E643&lt;9),((E643/D643)*60)*0.75,AND(E643&gt;=9,E643&lt;=11),((E643/D643)*60)*0.9,AND(E643=12),((E643/D643)*60)*1,AND(E643&gt;=13,E643&lt;=15),((E643/D643)*60)*1.2,AND(E643&gt;=16,E643&lt;=19),((E643/D643)*60)*1.5,E643&gt;=20,((E643/D643)*60)*1.8)</f>
        <v>8.1</v>
      </c>
      <c r="AT643" cm="1">
        <f t="array" ref="AT643">_xlfn.IFS(F643&lt;550,((F643/D643)*60)*0.5,AND(F643&gt;=550,F643&lt;575),((F643/D643)*60)*0.75,AND(F643&gt;=575,F643&lt;600),((F643/D643)*60)*0.9,AND(F643=600),((F643/D643)*60)*1,AND(F643&gt;=601,F643&lt;=625),((F643/D643)*60)*1.2,AND(F643&gt;=626,F643&lt;=650),((F643/D643)*60)*1.5,F643&gt;=651,((F643/D643)*60)*1.8)</f>
        <v>735.6</v>
      </c>
      <c r="AU643">
        <f t="shared" si="176"/>
        <v>-4.7000000000000011</v>
      </c>
      <c r="AV643">
        <f t="shared" ref="AV643:AV706" si="191">(AS643*0.4)+(AT643*0.4)+(AU643*0.2)</f>
        <v>296.54000000000002</v>
      </c>
      <c r="AW643">
        <f t="shared" si="177"/>
        <v>25.8</v>
      </c>
      <c r="AX643" t="str">
        <f t="shared" si="189"/>
        <v>Jun-2024</v>
      </c>
      <c r="AY643">
        <f>ROUNDUP(Table2[[#This Row],[Month]]/3,0)</f>
        <v>2</v>
      </c>
    </row>
    <row r="644" spans="1:51" x14ac:dyDescent="0.2">
      <c r="A644">
        <v>643</v>
      </c>
      <c r="B644">
        <f t="shared" si="178"/>
        <v>14</v>
      </c>
      <c r="C644" s="22">
        <v>45448</v>
      </c>
      <c r="D644">
        <f>SUM(Table2[[#This Row],[Gray Min]:[Red Min]])</f>
        <v>59</v>
      </c>
      <c r="E644">
        <v>13</v>
      </c>
      <c r="F644">
        <v>658</v>
      </c>
      <c r="G644">
        <v>126</v>
      </c>
      <c r="H644">
        <v>162</v>
      </c>
      <c r="I644">
        <v>12</v>
      </c>
      <c r="J644">
        <v>17</v>
      </c>
      <c r="K644">
        <v>17</v>
      </c>
      <c r="L644">
        <v>13</v>
      </c>
      <c r="M644">
        <v>0</v>
      </c>
      <c r="N644" t="s">
        <v>125</v>
      </c>
      <c r="O644" t="s">
        <v>127</v>
      </c>
      <c r="P644" t="s">
        <v>214</v>
      </c>
      <c r="Q644">
        <f t="shared" si="190"/>
        <v>2</v>
      </c>
      <c r="R644" t="str">
        <f t="shared" si="179"/>
        <v>6-2024</v>
      </c>
      <c r="S644" t="s">
        <v>104</v>
      </c>
      <c r="T644" t="str">
        <f t="shared" si="180"/>
        <v>Wednesday</v>
      </c>
      <c r="U644">
        <f t="shared" si="181"/>
        <v>1</v>
      </c>
      <c r="V644" s="24">
        <f>IFERROR(Table2[[#This Row],[Gray Min]]/Table2[[#This Row],[ClassLength]],"")</f>
        <v>0.20338983050847459</v>
      </c>
      <c r="W644" s="24">
        <f>IFERROR(Table2[[#This Row],[Blue Min]]/Table2[[#This Row],[ClassLength]],"")</f>
        <v>0.28813559322033899</v>
      </c>
      <c r="X644" s="24">
        <f>IFERROR(Table2[[#This Row],[Green Min]]/Table2[[#This Row],[ClassLength]],"")</f>
        <v>0.28813559322033899</v>
      </c>
      <c r="Y644" s="24">
        <f>IFERROR(Table2[[#This Row],[Orange Min]]/Table2[[#This Row],[ClassLength]],"")</f>
        <v>0.22033898305084745</v>
      </c>
      <c r="Z644" s="24">
        <f>IFERROR(Table2[[#This Row],[Red Min]]/Table2[[#This Row],[ClassLength]],"")</f>
        <v>0</v>
      </c>
      <c r="AA644" s="25">
        <v>169</v>
      </c>
      <c r="AB644" s="25">
        <f t="shared" si="175"/>
        <v>12.071428571428571</v>
      </c>
      <c r="AC644" s="26">
        <f t="shared" si="182"/>
        <v>625.07142857142856</v>
      </c>
      <c r="AD644" s="26">
        <f t="shared" si="183"/>
        <v>12.428571428571429</v>
      </c>
      <c r="AE644">
        <f t="shared" si="184"/>
        <v>2024</v>
      </c>
      <c r="AG644">
        <v>12</v>
      </c>
      <c r="AH644" s="26">
        <f t="shared" si="185"/>
        <v>11.152542372881356</v>
      </c>
      <c r="AI644" t="str">
        <f t="shared" si="186"/>
        <v>PM</v>
      </c>
      <c r="AJ644" t="str">
        <f t="shared" si="187"/>
        <v>6-2024-2</v>
      </c>
      <c r="AK644">
        <f t="shared" si="188"/>
        <v>6</v>
      </c>
      <c r="AL644" s="26">
        <f>IFERROR(Table2[[#This Row],[Calories]]/Table2[[#This Row],[Splat]],"")</f>
        <v>50.615384615384613</v>
      </c>
      <c r="AM644">
        <f>COUNTIF(N$2:$N$938,N644)</f>
        <v>258</v>
      </c>
      <c r="AN644" t="str">
        <f>VLOOKUP(N644,'Helpful Tables'!A:D,4,FALSE)</f>
        <v>Oregon</v>
      </c>
      <c r="AO644" s="24">
        <f>COUNTIF(AN:AN,Table2[[#This Row],[State]])/COUNTA(AN:AN)</f>
        <v>0.36140724946695096</v>
      </c>
      <c r="AP644">
        <f>VLOOKUP(N644,'Helpful Tables'!A:B,2,FALSE)</f>
        <v>45.534162000000002</v>
      </c>
      <c r="AQ644">
        <f>VLOOKUP(N644,'Helpful Tables'!A:C,3,FALSE)</f>
        <v>-122.69670000000001</v>
      </c>
      <c r="AR644">
        <f>COUNTIF(P$2:$P$938,P644)</f>
        <v>11</v>
      </c>
      <c r="AS644" cm="1">
        <f t="array" ref="AS644">_xlfn.IFS(E644&lt;6,((E644/D644)*60)*0.5,AND(E644&gt;=6,E644&lt;9),((E644/D644)*60)*0.75,AND(E644&gt;=9,E644&lt;=11),((E644/D644)*60)*0.9,AND(E644=12),((E644/D644)*60)*1,AND(E644&gt;=13,E644&lt;=15),((E644/D644)*60)*1.2,AND(E644&gt;=16,E644&lt;=19),((E644/D644)*60)*1.5,E644&gt;=20,((E644/D644)*60)*1.8)</f>
        <v>15.864406779661017</v>
      </c>
      <c r="AT644" cm="1">
        <f t="array" ref="AT644">_xlfn.IFS(F644&lt;550,((F644/D644)*60)*0.5,AND(F644&gt;=550,F644&lt;575),((F644/D644)*60)*0.75,AND(F644&gt;=575,F644&lt;600),((F644/D644)*60)*0.9,AND(F644=600),((F644/D644)*60)*1,AND(F644&gt;=601,F644&lt;=625),((F644/D644)*60)*1.2,AND(F644&gt;=626,F644&lt;=650),((F644/D644)*60)*1.5,F644&gt;=651,((F644/D644)*60)*1.8)</f>
        <v>1204.4745762711866</v>
      </c>
      <c r="AU644">
        <f t="shared" si="176"/>
        <v>4.1999999999999993</v>
      </c>
      <c r="AV644">
        <f t="shared" si="191"/>
        <v>488.97559322033902</v>
      </c>
      <c r="AW644">
        <f t="shared" si="177"/>
        <v>73.2</v>
      </c>
      <c r="AX644" t="str">
        <f t="shared" si="189"/>
        <v>Jun-2024</v>
      </c>
      <c r="AY644">
        <f>ROUNDUP(Table2[[#This Row],[Month]]/3,0)</f>
        <v>2</v>
      </c>
    </row>
    <row r="645" spans="1:51" x14ac:dyDescent="0.2">
      <c r="A645">
        <v>644</v>
      </c>
      <c r="B645">
        <f t="shared" si="178"/>
        <v>14</v>
      </c>
      <c r="C645" s="22">
        <v>45450</v>
      </c>
      <c r="D645">
        <f>SUM(Table2[[#This Row],[Gray Min]:[Red Min]])</f>
        <v>59</v>
      </c>
      <c r="E645">
        <v>13</v>
      </c>
      <c r="F645">
        <v>613</v>
      </c>
      <c r="G645">
        <v>122</v>
      </c>
      <c r="H645">
        <v>166</v>
      </c>
      <c r="I645">
        <v>20</v>
      </c>
      <c r="J645">
        <v>15</v>
      </c>
      <c r="K645">
        <v>11</v>
      </c>
      <c r="L645">
        <v>11</v>
      </c>
      <c r="M645">
        <v>2</v>
      </c>
      <c r="N645" t="s">
        <v>208</v>
      </c>
      <c r="O645" t="s">
        <v>83</v>
      </c>
      <c r="P645" t="s">
        <v>209</v>
      </c>
      <c r="Q645">
        <f t="shared" si="190"/>
        <v>2</v>
      </c>
      <c r="R645" t="str">
        <f t="shared" si="179"/>
        <v>6-2024</v>
      </c>
      <c r="S645" t="s">
        <v>104</v>
      </c>
      <c r="T645" t="str">
        <f t="shared" si="180"/>
        <v>Friday</v>
      </c>
      <c r="U645">
        <f t="shared" si="181"/>
        <v>1</v>
      </c>
      <c r="V645" s="24">
        <f>IFERROR(Table2[[#This Row],[Gray Min]]/Table2[[#This Row],[ClassLength]],"")</f>
        <v>0.33898305084745761</v>
      </c>
      <c r="W645" s="24">
        <f>IFERROR(Table2[[#This Row],[Blue Min]]/Table2[[#This Row],[ClassLength]],"")</f>
        <v>0.25423728813559321</v>
      </c>
      <c r="X645" s="24">
        <f>IFERROR(Table2[[#This Row],[Green Min]]/Table2[[#This Row],[ClassLength]],"")</f>
        <v>0.1864406779661017</v>
      </c>
      <c r="Y645" s="24">
        <f>IFERROR(Table2[[#This Row],[Orange Min]]/Table2[[#This Row],[ClassLength]],"")</f>
        <v>0.1864406779661017</v>
      </c>
      <c r="Z645" s="24">
        <f>IFERROR(Table2[[#This Row],[Red Min]]/Table2[[#This Row],[ClassLength]],"")</f>
        <v>3.3898305084745763E-2</v>
      </c>
      <c r="AA645" s="25">
        <v>169</v>
      </c>
      <c r="AB645" s="25">
        <f t="shared" si="175"/>
        <v>12.071428571428571</v>
      </c>
      <c r="AC645" s="26">
        <f t="shared" si="182"/>
        <v>625.07142857142856</v>
      </c>
      <c r="AD645" s="26">
        <f t="shared" si="183"/>
        <v>12.428571428571429</v>
      </c>
      <c r="AE645">
        <f t="shared" si="184"/>
        <v>2024</v>
      </c>
      <c r="AG645">
        <v>12</v>
      </c>
      <c r="AH645" s="26">
        <f t="shared" si="185"/>
        <v>10.389830508474576</v>
      </c>
      <c r="AI645" t="str">
        <f t="shared" si="186"/>
        <v>PM</v>
      </c>
      <c r="AJ645" t="str">
        <f t="shared" si="187"/>
        <v>6-2024-2</v>
      </c>
      <c r="AK645">
        <f t="shared" si="188"/>
        <v>6</v>
      </c>
      <c r="AL645" s="26">
        <f>IFERROR(Table2[[#This Row],[Calories]]/Table2[[#This Row],[Splat]],"")</f>
        <v>47.153846153846153</v>
      </c>
      <c r="AM645">
        <f>COUNTIF(N$2:$N$938,N645)</f>
        <v>78</v>
      </c>
      <c r="AN645" t="str">
        <f>VLOOKUP(N645,'Helpful Tables'!A:D,4,FALSE)</f>
        <v>Oregon</v>
      </c>
      <c r="AO645" s="24">
        <f>COUNTIF(AN:AN,Table2[[#This Row],[State]])/COUNTA(AN:AN)</f>
        <v>0.36140724946695096</v>
      </c>
      <c r="AP645">
        <f>VLOOKUP(N645,'Helpful Tables'!A:B,2,FALSE)</f>
        <v>45.525092999999998</v>
      </c>
      <c r="AQ645">
        <f>VLOOKUP(N645,'Helpful Tables'!A:C,3,FALSE)</f>
        <v>-122.681383</v>
      </c>
      <c r="AR645">
        <f>COUNTIF(P$2:$P$938,P645)</f>
        <v>20</v>
      </c>
      <c r="AS645" cm="1">
        <f t="array" ref="AS645">_xlfn.IFS(E645&lt;6,((E645/D645)*60)*0.5,AND(E645&gt;=6,E645&lt;9),((E645/D645)*60)*0.75,AND(E645&gt;=9,E645&lt;=11),((E645/D645)*60)*0.9,AND(E645=12),((E645/D645)*60)*1,AND(E645&gt;=13,E645&lt;=15),((E645/D645)*60)*1.2,AND(E645&gt;=16,E645&lt;=19),((E645/D645)*60)*1.5,E645&gt;=20,((E645/D645)*60)*1.8)</f>
        <v>15.864406779661017</v>
      </c>
      <c r="AT645" cm="1">
        <f t="array" ref="AT645">_xlfn.IFS(F645&lt;550,((F645/D645)*60)*0.5,AND(F645&gt;=550,F645&lt;575),((F645/D645)*60)*0.75,AND(F645&gt;=575,F645&lt;600),((F645/D645)*60)*0.9,AND(F645=600),((F645/D645)*60)*1,AND(F645&gt;=601,F645&lt;=625),((F645/D645)*60)*1.2,AND(F645&gt;=626,F645&lt;=650),((F645/D645)*60)*1.5,F645&gt;=651,((F645/D645)*60)*1.8)</f>
        <v>748.06779661016947</v>
      </c>
      <c r="AU645">
        <f t="shared" si="176"/>
        <v>-10</v>
      </c>
      <c r="AV645">
        <f t="shared" si="191"/>
        <v>303.57288135593217</v>
      </c>
      <c r="AW645">
        <f t="shared" si="177"/>
        <v>28.000000000000004</v>
      </c>
      <c r="AX645" t="str">
        <f t="shared" si="189"/>
        <v>Jun-2024</v>
      </c>
      <c r="AY645">
        <f>ROUNDUP(Table2[[#This Row],[Month]]/3,0)</f>
        <v>2</v>
      </c>
    </row>
    <row r="646" spans="1:51" x14ac:dyDescent="0.2">
      <c r="A646">
        <v>645</v>
      </c>
      <c r="B646">
        <f t="shared" si="178"/>
        <v>14</v>
      </c>
      <c r="C646" s="22">
        <v>45452</v>
      </c>
      <c r="D646">
        <f>SUM(Table2[[#This Row],[Gray Min]:[Red Min]])</f>
        <v>61</v>
      </c>
      <c r="E646">
        <v>7</v>
      </c>
      <c r="F646">
        <v>584</v>
      </c>
      <c r="G646">
        <v>116</v>
      </c>
      <c r="H646">
        <v>158</v>
      </c>
      <c r="I646">
        <v>23</v>
      </c>
      <c r="J646">
        <v>19</v>
      </c>
      <c r="K646">
        <v>12</v>
      </c>
      <c r="L646">
        <v>7</v>
      </c>
      <c r="M646">
        <v>0</v>
      </c>
      <c r="N646" t="s">
        <v>125</v>
      </c>
      <c r="O646" t="s">
        <v>159</v>
      </c>
      <c r="P646" t="s">
        <v>214</v>
      </c>
      <c r="Q646">
        <f t="shared" si="190"/>
        <v>2</v>
      </c>
      <c r="R646" t="str">
        <f t="shared" si="179"/>
        <v>6-2024</v>
      </c>
      <c r="S646" t="s">
        <v>117</v>
      </c>
      <c r="T646" t="str">
        <f t="shared" si="180"/>
        <v>Sunday</v>
      </c>
      <c r="U646">
        <f t="shared" si="181"/>
        <v>0</v>
      </c>
      <c r="V646" s="24">
        <f>IFERROR(Table2[[#This Row],[Gray Min]]/Table2[[#This Row],[ClassLength]],"")</f>
        <v>0.37704918032786883</v>
      </c>
      <c r="W646" s="24">
        <f>IFERROR(Table2[[#This Row],[Blue Min]]/Table2[[#This Row],[ClassLength]],"")</f>
        <v>0.31147540983606559</v>
      </c>
      <c r="X646" s="24">
        <f>IFERROR(Table2[[#This Row],[Green Min]]/Table2[[#This Row],[ClassLength]],"")</f>
        <v>0.19672131147540983</v>
      </c>
      <c r="Y646" s="24">
        <f>IFERROR(Table2[[#This Row],[Orange Min]]/Table2[[#This Row],[ClassLength]],"")</f>
        <v>0.11475409836065574</v>
      </c>
      <c r="Z646" s="24">
        <f>IFERROR(Table2[[#This Row],[Red Min]]/Table2[[#This Row],[ClassLength]],"")</f>
        <v>0</v>
      </c>
      <c r="AA646" s="25">
        <v>169</v>
      </c>
      <c r="AB646" s="25">
        <f t="shared" si="175"/>
        <v>12.071428571428571</v>
      </c>
      <c r="AC646" s="26">
        <f t="shared" si="182"/>
        <v>625.07142857142856</v>
      </c>
      <c r="AD646" s="26">
        <f t="shared" si="183"/>
        <v>12.428571428571429</v>
      </c>
      <c r="AE646">
        <f t="shared" si="184"/>
        <v>2024</v>
      </c>
      <c r="AG646">
        <v>12</v>
      </c>
      <c r="AH646" s="26">
        <f t="shared" si="185"/>
        <v>9.5737704918032787</v>
      </c>
      <c r="AI646" t="str">
        <f t="shared" si="186"/>
        <v>AM</v>
      </c>
      <c r="AJ646" t="str">
        <f t="shared" si="187"/>
        <v>6-2024-3</v>
      </c>
      <c r="AK646">
        <f t="shared" si="188"/>
        <v>6</v>
      </c>
      <c r="AL646" s="26">
        <f>IFERROR(Table2[[#This Row],[Calories]]/Table2[[#This Row],[Splat]],"")</f>
        <v>83.428571428571431</v>
      </c>
      <c r="AM646">
        <f>COUNTIF(N$2:$N$938,N646)</f>
        <v>258</v>
      </c>
      <c r="AN646" t="str">
        <f>VLOOKUP(N646,'Helpful Tables'!A:D,4,FALSE)</f>
        <v>Oregon</v>
      </c>
      <c r="AO646" s="24">
        <f>COUNTIF(AN:AN,Table2[[#This Row],[State]])/COUNTA(AN:AN)</f>
        <v>0.36140724946695096</v>
      </c>
      <c r="AP646">
        <f>VLOOKUP(N646,'Helpful Tables'!A:B,2,FALSE)</f>
        <v>45.534162000000002</v>
      </c>
      <c r="AQ646">
        <f>VLOOKUP(N646,'Helpful Tables'!A:C,3,FALSE)</f>
        <v>-122.69670000000001</v>
      </c>
      <c r="AR646">
        <f>COUNTIF(P$2:$P$938,P646)</f>
        <v>11</v>
      </c>
      <c r="AS646" cm="1">
        <f t="array" ref="AS646">_xlfn.IFS(E646&lt;6,((E646/D646)*60)*0.5,AND(E646&gt;=6,E646&lt;9),((E646/D646)*60)*0.75,AND(E646&gt;=9,E646&lt;=11),((E646/D646)*60)*0.9,AND(E646=12),((E646/D646)*60)*1,AND(E646&gt;=13,E646&lt;=15),((E646/D646)*60)*1.2,AND(E646&gt;=16,E646&lt;=19),((E646/D646)*60)*1.5,E646&gt;=20,((E646/D646)*60)*1.8)</f>
        <v>5.1639344262295088</v>
      </c>
      <c r="AT646" cm="1">
        <f t="array" ref="AT646">_xlfn.IFS(F646&lt;550,((F646/D646)*60)*0.5,AND(F646&gt;=550,F646&lt;575),((F646/D646)*60)*0.75,AND(F646&gt;=575,F646&lt;600),((F646/D646)*60)*0.9,AND(F646=600),((F646/D646)*60)*1,AND(F646&gt;=601,F646&lt;=625),((F646/D646)*60)*1.2,AND(F646&gt;=626,F646&lt;=650),((F646/D646)*60)*1.5,F646&gt;=651,((F646/D646)*60)*1.8)</f>
        <v>516.98360655737702</v>
      </c>
      <c r="AU646">
        <f t="shared" si="176"/>
        <v>-25</v>
      </c>
      <c r="AV646">
        <f t="shared" si="191"/>
        <v>203.8590163934426</v>
      </c>
      <c r="AW646">
        <f t="shared" si="177"/>
        <v>13.3</v>
      </c>
      <c r="AX646" t="str">
        <f t="shared" si="189"/>
        <v>Jun-2024</v>
      </c>
      <c r="AY646">
        <f>ROUNDUP(Table2[[#This Row],[Month]]/3,0)</f>
        <v>2</v>
      </c>
    </row>
    <row r="647" spans="1:51" x14ac:dyDescent="0.2">
      <c r="A647">
        <v>646</v>
      </c>
      <c r="B647">
        <f t="shared" si="178"/>
        <v>14</v>
      </c>
      <c r="C647" s="22">
        <v>45453</v>
      </c>
      <c r="D647">
        <f>SUM(Table2[[#This Row],[Gray Min]:[Red Min]])</f>
        <v>61</v>
      </c>
      <c r="E647">
        <v>13</v>
      </c>
      <c r="F647">
        <v>617</v>
      </c>
      <c r="G647">
        <v>120</v>
      </c>
      <c r="H647">
        <v>166</v>
      </c>
      <c r="I647">
        <v>21</v>
      </c>
      <c r="J647">
        <v>15</v>
      </c>
      <c r="K647">
        <v>12</v>
      </c>
      <c r="L647">
        <v>12</v>
      </c>
      <c r="M647">
        <v>1</v>
      </c>
      <c r="N647" t="s">
        <v>125</v>
      </c>
      <c r="O647" t="s">
        <v>127</v>
      </c>
      <c r="P647" t="s">
        <v>216</v>
      </c>
      <c r="Q647">
        <f t="shared" si="190"/>
        <v>1</v>
      </c>
      <c r="R647" t="str">
        <f t="shared" si="179"/>
        <v>6-2024</v>
      </c>
      <c r="S647" t="s">
        <v>104</v>
      </c>
      <c r="T647" t="str">
        <f t="shared" si="180"/>
        <v>Monday</v>
      </c>
      <c r="U647">
        <f t="shared" si="181"/>
        <v>1</v>
      </c>
      <c r="V647" s="24">
        <f>IFERROR(Table2[[#This Row],[Gray Min]]/Table2[[#This Row],[ClassLength]],"")</f>
        <v>0.34426229508196721</v>
      </c>
      <c r="W647" s="24">
        <f>IFERROR(Table2[[#This Row],[Blue Min]]/Table2[[#This Row],[ClassLength]],"")</f>
        <v>0.24590163934426229</v>
      </c>
      <c r="X647" s="24">
        <f>IFERROR(Table2[[#This Row],[Green Min]]/Table2[[#This Row],[ClassLength]],"")</f>
        <v>0.19672131147540983</v>
      </c>
      <c r="Y647" s="24">
        <f>IFERROR(Table2[[#This Row],[Orange Min]]/Table2[[#This Row],[ClassLength]],"")</f>
        <v>0.19672131147540983</v>
      </c>
      <c r="Z647" s="24">
        <f>IFERROR(Table2[[#This Row],[Red Min]]/Table2[[#This Row],[ClassLength]],"")</f>
        <v>1.6393442622950821E-2</v>
      </c>
      <c r="AA647" s="25">
        <v>169</v>
      </c>
      <c r="AB647" s="25">
        <f t="shared" si="175"/>
        <v>12.071428571428571</v>
      </c>
      <c r="AC647" s="26">
        <f t="shared" si="182"/>
        <v>625.07142857142856</v>
      </c>
      <c r="AD647" s="26">
        <f t="shared" si="183"/>
        <v>12.428571428571429</v>
      </c>
      <c r="AE647">
        <f t="shared" si="184"/>
        <v>2024</v>
      </c>
      <c r="AG647">
        <v>12</v>
      </c>
      <c r="AH647" s="26">
        <f t="shared" si="185"/>
        <v>10.114754098360656</v>
      </c>
      <c r="AI647" t="str">
        <f t="shared" si="186"/>
        <v>PM</v>
      </c>
      <c r="AJ647" t="str">
        <f t="shared" si="187"/>
        <v>6-2024-3</v>
      </c>
      <c r="AK647">
        <f t="shared" si="188"/>
        <v>6</v>
      </c>
      <c r="AL647" s="26">
        <f>IFERROR(Table2[[#This Row],[Calories]]/Table2[[#This Row],[Splat]],"")</f>
        <v>47.46153846153846</v>
      </c>
      <c r="AM647">
        <f>COUNTIF(N$2:$N$938,N647)</f>
        <v>258</v>
      </c>
      <c r="AN647" t="str">
        <f>VLOOKUP(N647,'Helpful Tables'!A:D,4,FALSE)</f>
        <v>Oregon</v>
      </c>
      <c r="AO647" s="24">
        <f>COUNTIF(AN:AN,Table2[[#This Row],[State]])/COUNTA(AN:AN)</f>
        <v>0.36140724946695096</v>
      </c>
      <c r="AP647">
        <f>VLOOKUP(N647,'Helpful Tables'!A:B,2,FALSE)</f>
        <v>45.534162000000002</v>
      </c>
      <c r="AQ647">
        <f>VLOOKUP(N647,'Helpful Tables'!A:C,3,FALSE)</f>
        <v>-122.69670000000001</v>
      </c>
      <c r="AR647">
        <f>COUNTIF(P$2:$P$938,P647)</f>
        <v>25</v>
      </c>
      <c r="AS647" cm="1">
        <f t="array" ref="AS647">_xlfn.IFS(E647&lt;6,((E647/D647)*60)*0.5,AND(E647&gt;=6,E647&lt;9),((E647/D647)*60)*0.75,AND(E647&gt;=9,E647&lt;=11),((E647/D647)*60)*0.9,AND(E647=12),((E647/D647)*60)*1,AND(E647&gt;=13,E647&lt;=15),((E647/D647)*60)*1.2,AND(E647&gt;=16,E647&lt;=19),((E647/D647)*60)*1.5,E647&gt;=20,((E647/D647)*60)*1.8)</f>
        <v>15.344262295081965</v>
      </c>
      <c r="AT647" cm="1">
        <f t="array" ref="AT647">_xlfn.IFS(F647&lt;550,((F647/D647)*60)*0.5,AND(F647&gt;=550,F647&lt;575),((F647/D647)*60)*0.75,AND(F647&gt;=575,F647&lt;600),((F647/D647)*60)*0.9,AND(F647=600),((F647/D647)*60)*1,AND(F647&gt;=601,F647&lt;=625),((F647/D647)*60)*1.2,AND(F647&gt;=626,F647&lt;=650),((F647/D647)*60)*1.5,F647&gt;=651,((F647/D647)*60)*1.8)</f>
        <v>728.26229508196718</v>
      </c>
      <c r="AU647">
        <f t="shared" si="176"/>
        <v>-10.200000000000003</v>
      </c>
      <c r="AV647">
        <f t="shared" si="191"/>
        <v>295.40262295081965</v>
      </c>
      <c r="AW647">
        <f t="shared" si="177"/>
        <v>25.4</v>
      </c>
      <c r="AX647" t="str">
        <f t="shared" si="189"/>
        <v>Jun-2024</v>
      </c>
      <c r="AY647">
        <f>ROUNDUP(Table2[[#This Row],[Month]]/3,0)</f>
        <v>2</v>
      </c>
    </row>
    <row r="648" spans="1:51" x14ac:dyDescent="0.2">
      <c r="A648">
        <v>647</v>
      </c>
      <c r="B648">
        <f t="shared" si="178"/>
        <v>14</v>
      </c>
      <c r="C648" s="22">
        <v>45457</v>
      </c>
      <c r="D648">
        <f>SUM(Table2[[#This Row],[Gray Min]:[Red Min]])</f>
        <v>62</v>
      </c>
      <c r="E648">
        <v>15</v>
      </c>
      <c r="F648">
        <v>666</v>
      </c>
      <c r="G648">
        <v>125</v>
      </c>
      <c r="H648">
        <v>167</v>
      </c>
      <c r="I648">
        <v>19</v>
      </c>
      <c r="J648">
        <v>8</v>
      </c>
      <c r="K648">
        <v>20</v>
      </c>
      <c r="L648">
        <v>14</v>
      </c>
      <c r="M648">
        <v>1</v>
      </c>
      <c r="N648" t="s">
        <v>208</v>
      </c>
      <c r="O648" t="s">
        <v>83</v>
      </c>
      <c r="P648" t="s">
        <v>213</v>
      </c>
      <c r="Q648">
        <f t="shared" si="190"/>
        <v>4</v>
      </c>
      <c r="R648" t="str">
        <f t="shared" si="179"/>
        <v>6-2024</v>
      </c>
      <c r="S648" t="s">
        <v>117</v>
      </c>
      <c r="T648" t="str">
        <f t="shared" si="180"/>
        <v>Friday</v>
      </c>
      <c r="U648">
        <f t="shared" si="181"/>
        <v>1</v>
      </c>
      <c r="V648" s="24">
        <f>IFERROR(Table2[[#This Row],[Gray Min]]/Table2[[#This Row],[ClassLength]],"")</f>
        <v>0.30645161290322581</v>
      </c>
      <c r="W648" s="24">
        <f>IFERROR(Table2[[#This Row],[Blue Min]]/Table2[[#This Row],[ClassLength]],"")</f>
        <v>0.12903225806451613</v>
      </c>
      <c r="X648" s="24">
        <f>IFERROR(Table2[[#This Row],[Green Min]]/Table2[[#This Row],[ClassLength]],"")</f>
        <v>0.32258064516129031</v>
      </c>
      <c r="Y648" s="24">
        <f>IFERROR(Table2[[#This Row],[Orange Min]]/Table2[[#This Row],[ClassLength]],"")</f>
        <v>0.22580645161290322</v>
      </c>
      <c r="Z648" s="24">
        <f>IFERROR(Table2[[#This Row],[Red Min]]/Table2[[#This Row],[ClassLength]],"")</f>
        <v>1.6129032258064516E-2</v>
      </c>
      <c r="AA648" s="25">
        <v>169</v>
      </c>
      <c r="AB648" s="25">
        <f t="shared" si="175"/>
        <v>12.071428571428571</v>
      </c>
      <c r="AC648" s="26">
        <f t="shared" si="182"/>
        <v>625.07142857142856</v>
      </c>
      <c r="AD648" s="26">
        <f t="shared" si="183"/>
        <v>12.428571428571429</v>
      </c>
      <c r="AE648">
        <f t="shared" si="184"/>
        <v>2024</v>
      </c>
      <c r="AG648">
        <v>12</v>
      </c>
      <c r="AH648" s="26">
        <f t="shared" si="185"/>
        <v>10.741935483870968</v>
      </c>
      <c r="AI648" t="str">
        <f t="shared" si="186"/>
        <v>PM</v>
      </c>
      <c r="AJ648" t="str">
        <f t="shared" si="187"/>
        <v>6-2024-3</v>
      </c>
      <c r="AK648">
        <f t="shared" si="188"/>
        <v>6</v>
      </c>
      <c r="AL648" s="26">
        <f>IFERROR(Table2[[#This Row],[Calories]]/Table2[[#This Row],[Splat]],"")</f>
        <v>44.4</v>
      </c>
      <c r="AM648">
        <f>COUNTIF(N$2:$N$938,N648)</f>
        <v>78</v>
      </c>
      <c r="AN648" t="str">
        <f>VLOOKUP(N648,'Helpful Tables'!A:D,4,FALSE)</f>
        <v>Oregon</v>
      </c>
      <c r="AO648" s="24">
        <f>COUNTIF(AN:AN,Table2[[#This Row],[State]])/COUNTA(AN:AN)</f>
        <v>0.36140724946695096</v>
      </c>
      <c r="AP648">
        <f>VLOOKUP(N648,'Helpful Tables'!A:B,2,FALSE)</f>
        <v>45.525092999999998</v>
      </c>
      <c r="AQ648">
        <f>VLOOKUP(N648,'Helpful Tables'!A:C,3,FALSE)</f>
        <v>-122.681383</v>
      </c>
      <c r="AR648">
        <f>COUNTIF(P$2:$P$938,P648)</f>
        <v>40</v>
      </c>
      <c r="AS648" cm="1">
        <f t="array" ref="AS648">_xlfn.IFS(E648&lt;6,((E648/D648)*60)*0.5,AND(E648&gt;=6,E648&lt;9),((E648/D648)*60)*0.75,AND(E648&gt;=9,E648&lt;=11),((E648/D648)*60)*0.9,AND(E648=12),((E648/D648)*60)*1,AND(E648&gt;=13,E648&lt;=15),((E648/D648)*60)*1.2,AND(E648&gt;=16,E648&lt;=19),((E648/D648)*60)*1.5,E648&gt;=20,((E648/D648)*60)*1.8)</f>
        <v>17.419354838709676</v>
      </c>
      <c r="AT648" cm="1">
        <f t="array" ref="AT648">_xlfn.IFS(F648&lt;550,((F648/D648)*60)*0.5,AND(F648&gt;=550,F648&lt;575),((F648/D648)*60)*0.75,AND(F648&gt;=575,F648&lt;600),((F648/D648)*60)*0.9,AND(F648=600),((F648/D648)*60)*1,AND(F648&gt;=601,F648&lt;=625),((F648/D648)*60)*1.2,AND(F648&gt;=626,F648&lt;=650),((F648/D648)*60)*1.5,F648&gt;=651,((F648/D648)*60)*1.8)</f>
        <v>1160.1290322580646</v>
      </c>
      <c r="AU648">
        <f t="shared" si="176"/>
        <v>12.099999999999998</v>
      </c>
      <c r="AV648">
        <f t="shared" si="191"/>
        <v>473.43935483870973</v>
      </c>
      <c r="AW648">
        <f t="shared" si="177"/>
        <v>68.400000000000006</v>
      </c>
      <c r="AX648" t="str">
        <f t="shared" si="189"/>
        <v>Jun-2024</v>
      </c>
      <c r="AY648">
        <f>ROUNDUP(Table2[[#This Row],[Month]]/3,0)</f>
        <v>2</v>
      </c>
    </row>
    <row r="649" spans="1:51" x14ac:dyDescent="0.2">
      <c r="A649">
        <v>648</v>
      </c>
      <c r="B649">
        <f t="shared" si="178"/>
        <v>14</v>
      </c>
      <c r="C649" s="22">
        <v>45458</v>
      </c>
      <c r="D649">
        <f>SUM(Table2[[#This Row],[Gray Min]:[Red Min]])</f>
        <v>60</v>
      </c>
      <c r="E649">
        <v>16</v>
      </c>
      <c r="F649">
        <v>618</v>
      </c>
      <c r="G649">
        <v>120</v>
      </c>
      <c r="H649">
        <v>170</v>
      </c>
      <c r="I649">
        <v>22</v>
      </c>
      <c r="J649">
        <v>15</v>
      </c>
      <c r="K649">
        <v>7</v>
      </c>
      <c r="L649">
        <v>13</v>
      </c>
      <c r="M649">
        <v>3</v>
      </c>
      <c r="N649" t="s">
        <v>125</v>
      </c>
      <c r="O649" t="s">
        <v>159</v>
      </c>
      <c r="P649" t="s">
        <v>218</v>
      </c>
      <c r="Q649">
        <f t="shared" si="190"/>
        <v>1</v>
      </c>
      <c r="R649" t="str">
        <f t="shared" si="179"/>
        <v>6-2024</v>
      </c>
      <c r="S649" t="s">
        <v>117</v>
      </c>
      <c r="T649" t="str">
        <f t="shared" si="180"/>
        <v>Saturday</v>
      </c>
      <c r="U649">
        <f t="shared" si="181"/>
        <v>1</v>
      </c>
      <c r="V649" s="24">
        <f>IFERROR(Table2[[#This Row],[Gray Min]]/Table2[[#This Row],[ClassLength]],"")</f>
        <v>0.36666666666666664</v>
      </c>
      <c r="W649" s="24">
        <f>IFERROR(Table2[[#This Row],[Blue Min]]/Table2[[#This Row],[ClassLength]],"")</f>
        <v>0.25</v>
      </c>
      <c r="X649" s="24">
        <f>IFERROR(Table2[[#This Row],[Green Min]]/Table2[[#This Row],[ClassLength]],"")</f>
        <v>0.11666666666666667</v>
      </c>
      <c r="Y649" s="24">
        <f>IFERROR(Table2[[#This Row],[Orange Min]]/Table2[[#This Row],[ClassLength]],"")</f>
        <v>0.21666666666666667</v>
      </c>
      <c r="Z649" s="24">
        <f>IFERROR(Table2[[#This Row],[Red Min]]/Table2[[#This Row],[ClassLength]],"")</f>
        <v>0.05</v>
      </c>
      <c r="AA649" s="25">
        <v>169</v>
      </c>
      <c r="AB649" s="25">
        <f t="shared" si="175"/>
        <v>12.071428571428571</v>
      </c>
      <c r="AC649" s="26">
        <f t="shared" si="182"/>
        <v>625.07142857142856</v>
      </c>
      <c r="AD649" s="26">
        <f t="shared" si="183"/>
        <v>12.428571428571429</v>
      </c>
      <c r="AE649">
        <f t="shared" si="184"/>
        <v>2024</v>
      </c>
      <c r="AG649">
        <v>12</v>
      </c>
      <c r="AH649" s="26">
        <f t="shared" si="185"/>
        <v>10.3</v>
      </c>
      <c r="AI649" t="str">
        <f t="shared" si="186"/>
        <v>AM</v>
      </c>
      <c r="AJ649" t="str">
        <f t="shared" si="187"/>
        <v>6-2024-3</v>
      </c>
      <c r="AK649">
        <f t="shared" si="188"/>
        <v>6</v>
      </c>
      <c r="AL649" s="26">
        <f>IFERROR(Table2[[#This Row],[Calories]]/Table2[[#This Row],[Splat]],"")</f>
        <v>38.625</v>
      </c>
      <c r="AM649">
        <f>COUNTIF(N$2:$N$938,N649)</f>
        <v>258</v>
      </c>
      <c r="AN649" t="str">
        <f>VLOOKUP(N649,'Helpful Tables'!A:D,4,FALSE)</f>
        <v>Oregon</v>
      </c>
      <c r="AO649" s="24">
        <f>COUNTIF(AN:AN,Table2[[#This Row],[State]])/COUNTA(AN:AN)</f>
        <v>0.36140724946695096</v>
      </c>
      <c r="AP649">
        <f>VLOOKUP(N649,'Helpful Tables'!A:B,2,FALSE)</f>
        <v>45.534162000000002</v>
      </c>
      <c r="AQ649">
        <f>VLOOKUP(N649,'Helpful Tables'!A:C,3,FALSE)</f>
        <v>-122.69670000000001</v>
      </c>
      <c r="AR649">
        <f>COUNTIF(P$2:$P$938,P649)</f>
        <v>9</v>
      </c>
      <c r="AS649" cm="1">
        <f t="array" ref="AS649">_xlfn.IFS(E649&lt;6,((E649/D649)*60)*0.5,AND(E649&gt;=6,E649&lt;9),((E649/D649)*60)*0.75,AND(E649&gt;=9,E649&lt;=11),((E649/D649)*60)*0.9,AND(E649=12),((E649/D649)*60)*1,AND(E649&gt;=13,E649&lt;=15),((E649/D649)*60)*1.2,AND(E649&gt;=16,E649&lt;=19),((E649/D649)*60)*1.5,E649&gt;=20,((E649/D649)*60)*1.8)</f>
        <v>24</v>
      </c>
      <c r="AT649" cm="1">
        <f t="array" ref="AT649">_xlfn.IFS(F649&lt;550,((F649/D649)*60)*0.5,AND(F649&gt;=550,F649&lt;575),((F649/D649)*60)*0.75,AND(F649&gt;=575,F649&lt;600),((F649/D649)*60)*0.9,AND(F649=600),((F649/D649)*60)*1,AND(F649&gt;=601,F649&lt;=625),((F649/D649)*60)*1.2,AND(F649&gt;=626,F649&lt;=650),((F649/D649)*60)*1.5,F649&gt;=651,((F649/D649)*60)*1.8)</f>
        <v>741.6</v>
      </c>
      <c r="AU649">
        <f t="shared" si="176"/>
        <v>-13.099999999999998</v>
      </c>
      <c r="AV649">
        <f t="shared" si="191"/>
        <v>303.62000000000006</v>
      </c>
      <c r="AW649">
        <f t="shared" si="177"/>
        <v>28.1</v>
      </c>
      <c r="AX649" t="str">
        <f t="shared" si="189"/>
        <v>Jun-2024</v>
      </c>
      <c r="AY649">
        <f>ROUNDUP(Table2[[#This Row],[Month]]/3,0)</f>
        <v>2</v>
      </c>
    </row>
    <row r="650" spans="1:51" x14ac:dyDescent="0.2">
      <c r="A650">
        <v>649</v>
      </c>
      <c r="B650">
        <f t="shared" si="178"/>
        <v>14</v>
      </c>
      <c r="C650" s="22">
        <v>45460</v>
      </c>
      <c r="D650">
        <f>SUM(Table2[[#This Row],[Gray Min]:[Red Min]])</f>
        <v>58</v>
      </c>
      <c r="E650">
        <v>15</v>
      </c>
      <c r="F650">
        <v>620</v>
      </c>
      <c r="G650">
        <v>124</v>
      </c>
      <c r="H650">
        <v>157</v>
      </c>
      <c r="I650">
        <v>17</v>
      </c>
      <c r="J650">
        <v>14</v>
      </c>
      <c r="K650">
        <v>12</v>
      </c>
      <c r="L650">
        <v>15</v>
      </c>
      <c r="M650">
        <v>0</v>
      </c>
      <c r="N650" t="s">
        <v>125</v>
      </c>
      <c r="O650" t="s">
        <v>127</v>
      </c>
      <c r="P650" t="s">
        <v>216</v>
      </c>
      <c r="Q650">
        <f t="shared" si="190"/>
        <v>2</v>
      </c>
      <c r="R650" t="str">
        <f t="shared" si="179"/>
        <v>6-2024</v>
      </c>
      <c r="S650" t="s">
        <v>104</v>
      </c>
      <c r="T650" t="str">
        <f t="shared" si="180"/>
        <v>Monday</v>
      </c>
      <c r="U650">
        <f t="shared" si="181"/>
        <v>1</v>
      </c>
      <c r="V650" s="24">
        <f>IFERROR(Table2[[#This Row],[Gray Min]]/Table2[[#This Row],[ClassLength]],"")</f>
        <v>0.29310344827586204</v>
      </c>
      <c r="W650" s="24">
        <f>IFERROR(Table2[[#This Row],[Blue Min]]/Table2[[#This Row],[ClassLength]],"")</f>
        <v>0.2413793103448276</v>
      </c>
      <c r="X650" s="24">
        <f>IFERROR(Table2[[#This Row],[Green Min]]/Table2[[#This Row],[ClassLength]],"")</f>
        <v>0.20689655172413793</v>
      </c>
      <c r="Y650" s="24">
        <f>IFERROR(Table2[[#This Row],[Orange Min]]/Table2[[#This Row],[ClassLength]],"")</f>
        <v>0.25862068965517243</v>
      </c>
      <c r="Z650" s="24">
        <f>IFERROR(Table2[[#This Row],[Red Min]]/Table2[[#This Row],[ClassLength]],"")</f>
        <v>0</v>
      </c>
      <c r="AA650" s="25">
        <v>169</v>
      </c>
      <c r="AB650" s="25">
        <f t="shared" si="175"/>
        <v>12.071428571428571</v>
      </c>
      <c r="AC650" s="26">
        <f t="shared" si="182"/>
        <v>625.07142857142856</v>
      </c>
      <c r="AD650" s="26">
        <f t="shared" si="183"/>
        <v>12.428571428571429</v>
      </c>
      <c r="AE650">
        <f t="shared" si="184"/>
        <v>2024</v>
      </c>
      <c r="AG650">
        <v>12</v>
      </c>
      <c r="AH650" s="26">
        <f t="shared" si="185"/>
        <v>10.689655172413794</v>
      </c>
      <c r="AI650" t="str">
        <f t="shared" si="186"/>
        <v>PM</v>
      </c>
      <c r="AJ650" t="str">
        <f t="shared" si="187"/>
        <v>6-2024-4</v>
      </c>
      <c r="AK650">
        <f t="shared" si="188"/>
        <v>6</v>
      </c>
      <c r="AL650" s="26">
        <f>IFERROR(Table2[[#This Row],[Calories]]/Table2[[#This Row],[Splat]],"")</f>
        <v>41.333333333333336</v>
      </c>
      <c r="AM650">
        <f>COUNTIF(N$2:$N$938,N650)</f>
        <v>258</v>
      </c>
      <c r="AN650" t="str">
        <f>VLOOKUP(N650,'Helpful Tables'!A:D,4,FALSE)</f>
        <v>Oregon</v>
      </c>
      <c r="AO650" s="24">
        <f>COUNTIF(AN:AN,Table2[[#This Row],[State]])/COUNTA(AN:AN)</f>
        <v>0.36140724946695096</v>
      </c>
      <c r="AP650">
        <f>VLOOKUP(N650,'Helpful Tables'!A:B,2,FALSE)</f>
        <v>45.534162000000002</v>
      </c>
      <c r="AQ650">
        <f>VLOOKUP(N650,'Helpful Tables'!A:C,3,FALSE)</f>
        <v>-122.69670000000001</v>
      </c>
      <c r="AR650">
        <f>COUNTIF(P$2:$P$938,P650)</f>
        <v>25</v>
      </c>
      <c r="AS650" cm="1">
        <f t="array" ref="AS650">_xlfn.IFS(E650&lt;6,((E650/D650)*60)*0.5,AND(E650&gt;=6,E650&lt;9),((E650/D650)*60)*0.75,AND(E650&gt;=9,E650&lt;=11),((E650/D650)*60)*0.9,AND(E650=12),((E650/D650)*60)*1,AND(E650&gt;=13,E650&lt;=15),((E650/D650)*60)*1.2,AND(E650&gt;=16,E650&lt;=19),((E650/D650)*60)*1.5,E650&gt;=20,((E650/D650)*60)*1.8)</f>
        <v>18.620689655172413</v>
      </c>
      <c r="AT650" cm="1">
        <f t="array" ref="AT650">_xlfn.IFS(F650&lt;550,((F650/D650)*60)*0.5,AND(F650&gt;=550,F650&lt;575),((F650/D650)*60)*0.75,AND(F650&gt;=575,F650&lt;600),((F650/D650)*60)*0.9,AND(F650=600),((F650/D650)*60)*1,AND(F650&gt;=601,F650&lt;=625),((F650/D650)*60)*1.2,AND(F650&gt;=626,F650&lt;=650),((F650/D650)*60)*1.5,F650&gt;=651,((F650/D650)*60)*1.8)</f>
        <v>769.65517241379314</v>
      </c>
      <c r="AU650">
        <f t="shared" si="176"/>
        <v>-1.8999999999999986</v>
      </c>
      <c r="AV650">
        <f t="shared" si="191"/>
        <v>314.93034482758623</v>
      </c>
      <c r="AW650">
        <f t="shared" si="177"/>
        <v>33.900000000000006</v>
      </c>
      <c r="AX650" t="str">
        <f t="shared" si="189"/>
        <v>Jun-2024</v>
      </c>
      <c r="AY650">
        <f>ROUNDUP(Table2[[#This Row],[Month]]/3,0)</f>
        <v>2</v>
      </c>
    </row>
    <row r="651" spans="1:51" x14ac:dyDescent="0.2">
      <c r="A651">
        <v>650</v>
      </c>
      <c r="B651">
        <f t="shared" si="178"/>
        <v>14</v>
      </c>
      <c r="C651" s="22">
        <v>45462</v>
      </c>
      <c r="D651">
        <f>SUM(Table2[[#This Row],[Gray Min]:[Red Min]])</f>
        <v>60</v>
      </c>
      <c r="E651">
        <v>6</v>
      </c>
      <c r="F651">
        <v>570</v>
      </c>
      <c r="G651">
        <v>115</v>
      </c>
      <c r="H651">
        <v>161</v>
      </c>
      <c r="I651">
        <v>22</v>
      </c>
      <c r="J651">
        <v>20</v>
      </c>
      <c r="K651">
        <v>12</v>
      </c>
      <c r="L651">
        <v>6</v>
      </c>
      <c r="M651">
        <v>0</v>
      </c>
      <c r="N651" t="s">
        <v>125</v>
      </c>
      <c r="O651" t="s">
        <v>159</v>
      </c>
      <c r="P651" t="s">
        <v>216</v>
      </c>
      <c r="Q651">
        <f t="shared" si="190"/>
        <v>2</v>
      </c>
      <c r="R651" t="str">
        <f t="shared" si="179"/>
        <v>6-2024</v>
      </c>
      <c r="S651" t="s">
        <v>117</v>
      </c>
      <c r="T651" t="str">
        <f t="shared" si="180"/>
        <v>Wednesday</v>
      </c>
      <c r="U651">
        <f t="shared" si="181"/>
        <v>0</v>
      </c>
      <c r="V651" s="24">
        <f>IFERROR(Table2[[#This Row],[Gray Min]]/Table2[[#This Row],[ClassLength]],"")</f>
        <v>0.36666666666666664</v>
      </c>
      <c r="W651" s="24">
        <f>IFERROR(Table2[[#This Row],[Blue Min]]/Table2[[#This Row],[ClassLength]],"")</f>
        <v>0.33333333333333331</v>
      </c>
      <c r="X651" s="24">
        <f>IFERROR(Table2[[#This Row],[Green Min]]/Table2[[#This Row],[ClassLength]],"")</f>
        <v>0.2</v>
      </c>
      <c r="Y651" s="24">
        <f>IFERROR(Table2[[#This Row],[Orange Min]]/Table2[[#This Row],[ClassLength]],"")</f>
        <v>0.1</v>
      </c>
      <c r="Z651" s="24">
        <f>IFERROR(Table2[[#This Row],[Red Min]]/Table2[[#This Row],[ClassLength]],"")</f>
        <v>0</v>
      </c>
      <c r="AA651" s="25">
        <v>169</v>
      </c>
      <c r="AB651" s="25">
        <f t="shared" si="175"/>
        <v>12.071428571428571</v>
      </c>
      <c r="AC651" s="26">
        <f t="shared" si="182"/>
        <v>625.07142857142856</v>
      </c>
      <c r="AD651" s="26">
        <f t="shared" si="183"/>
        <v>12.428571428571429</v>
      </c>
      <c r="AE651">
        <f t="shared" si="184"/>
        <v>2024</v>
      </c>
      <c r="AG651">
        <v>12</v>
      </c>
      <c r="AH651" s="26">
        <f t="shared" si="185"/>
        <v>9.5</v>
      </c>
      <c r="AI651" t="str">
        <f t="shared" si="186"/>
        <v>AM</v>
      </c>
      <c r="AJ651" t="str">
        <f t="shared" si="187"/>
        <v>6-2024-4</v>
      </c>
      <c r="AK651">
        <f t="shared" si="188"/>
        <v>6</v>
      </c>
      <c r="AL651" s="26">
        <f>IFERROR(Table2[[#This Row],[Calories]]/Table2[[#This Row],[Splat]],"")</f>
        <v>95</v>
      </c>
      <c r="AM651">
        <f>COUNTIF(N$2:$N$938,N651)</f>
        <v>258</v>
      </c>
      <c r="AN651" t="str">
        <f>VLOOKUP(N651,'Helpful Tables'!A:D,4,FALSE)</f>
        <v>Oregon</v>
      </c>
      <c r="AO651" s="24">
        <f>COUNTIF(AN:AN,Table2[[#This Row],[State]])/COUNTA(AN:AN)</f>
        <v>0.36140724946695096</v>
      </c>
      <c r="AP651">
        <f>VLOOKUP(N651,'Helpful Tables'!A:B,2,FALSE)</f>
        <v>45.534162000000002</v>
      </c>
      <c r="AQ651">
        <f>VLOOKUP(N651,'Helpful Tables'!A:C,3,FALSE)</f>
        <v>-122.69670000000001</v>
      </c>
      <c r="AR651">
        <f>COUNTIF(P$2:$P$938,P651)</f>
        <v>25</v>
      </c>
      <c r="AS651" cm="1">
        <f t="array" ref="AS651">_xlfn.IFS(E651&lt;6,((E651/D651)*60)*0.5,AND(E651&gt;=6,E651&lt;9),((E651/D651)*60)*0.75,AND(E651&gt;=9,E651&lt;=11),((E651/D651)*60)*0.9,AND(E651=12),((E651/D651)*60)*1,AND(E651&gt;=13,E651&lt;=15),((E651/D651)*60)*1.2,AND(E651&gt;=16,E651&lt;=19),((E651/D651)*60)*1.5,E651&gt;=20,((E651/D651)*60)*1.8)</f>
        <v>4.5</v>
      </c>
      <c r="AT651" cm="1">
        <f t="array" ref="AT651">_xlfn.IFS(F651&lt;550,((F651/D651)*60)*0.5,AND(F651&gt;=550,F651&lt;575),((F651/D651)*60)*0.75,AND(F651&gt;=575,F651&lt;600),((F651/D651)*60)*0.9,AND(F651=600),((F651/D651)*60)*1,AND(F651&gt;=601,F651&lt;=625),((F651/D651)*60)*1.2,AND(F651&gt;=626,F651&lt;=650),((F651/D651)*60)*1.5,F651&gt;=651,((F651/D651)*60)*1.8)</f>
        <v>427.5</v>
      </c>
      <c r="AU651">
        <f t="shared" si="176"/>
        <v>-26.2</v>
      </c>
      <c r="AV651">
        <f t="shared" si="191"/>
        <v>167.56</v>
      </c>
      <c r="AW651">
        <f t="shared" si="177"/>
        <v>7.9</v>
      </c>
      <c r="AX651" t="str">
        <f t="shared" si="189"/>
        <v>Jun-2024</v>
      </c>
      <c r="AY651">
        <f>ROUNDUP(Table2[[#This Row],[Month]]/3,0)</f>
        <v>2</v>
      </c>
    </row>
    <row r="652" spans="1:51" x14ac:dyDescent="0.2">
      <c r="A652">
        <v>651</v>
      </c>
      <c r="B652">
        <f t="shared" si="178"/>
        <v>14</v>
      </c>
      <c r="C652" s="22">
        <v>45464</v>
      </c>
      <c r="D652">
        <f>SUM(Table2[[#This Row],[Gray Min]:[Red Min]])</f>
        <v>60</v>
      </c>
      <c r="E652">
        <v>17</v>
      </c>
      <c r="F652">
        <v>680</v>
      </c>
      <c r="G652">
        <v>128</v>
      </c>
      <c r="H652">
        <v>166</v>
      </c>
      <c r="I652">
        <v>13</v>
      </c>
      <c r="J652">
        <v>15</v>
      </c>
      <c r="K652">
        <v>15</v>
      </c>
      <c r="L652">
        <v>15</v>
      </c>
      <c r="M652">
        <v>2</v>
      </c>
      <c r="N652" t="s">
        <v>208</v>
      </c>
      <c r="O652" t="s">
        <v>83</v>
      </c>
      <c r="P652" t="s">
        <v>209</v>
      </c>
      <c r="Q652">
        <f t="shared" si="190"/>
        <v>2</v>
      </c>
      <c r="R652" t="str">
        <f t="shared" si="179"/>
        <v>6-2024</v>
      </c>
      <c r="S652" t="s">
        <v>104</v>
      </c>
      <c r="T652" t="str">
        <f t="shared" si="180"/>
        <v>Friday</v>
      </c>
      <c r="U652">
        <f t="shared" si="181"/>
        <v>1</v>
      </c>
      <c r="V652" s="24">
        <f>IFERROR(Table2[[#This Row],[Gray Min]]/Table2[[#This Row],[ClassLength]],"")</f>
        <v>0.21666666666666667</v>
      </c>
      <c r="W652" s="24">
        <f>IFERROR(Table2[[#This Row],[Blue Min]]/Table2[[#This Row],[ClassLength]],"")</f>
        <v>0.25</v>
      </c>
      <c r="X652" s="24">
        <f>IFERROR(Table2[[#This Row],[Green Min]]/Table2[[#This Row],[ClassLength]],"")</f>
        <v>0.25</v>
      </c>
      <c r="Y652" s="24">
        <f>IFERROR(Table2[[#This Row],[Orange Min]]/Table2[[#This Row],[ClassLength]],"")</f>
        <v>0.25</v>
      </c>
      <c r="Z652" s="24">
        <f>IFERROR(Table2[[#This Row],[Red Min]]/Table2[[#This Row],[ClassLength]],"")</f>
        <v>3.3333333333333333E-2</v>
      </c>
      <c r="AA652" s="25">
        <v>169</v>
      </c>
      <c r="AB652" s="25">
        <f t="shared" si="175"/>
        <v>12.071428571428571</v>
      </c>
      <c r="AC652" s="26">
        <f t="shared" si="182"/>
        <v>625.07142857142856</v>
      </c>
      <c r="AD652" s="26">
        <f t="shared" si="183"/>
        <v>12.428571428571429</v>
      </c>
      <c r="AE652">
        <f t="shared" si="184"/>
        <v>2024</v>
      </c>
      <c r="AG652">
        <v>12</v>
      </c>
      <c r="AH652" s="26">
        <f t="shared" si="185"/>
        <v>11.333333333333334</v>
      </c>
      <c r="AI652" t="str">
        <f t="shared" si="186"/>
        <v>PM</v>
      </c>
      <c r="AJ652" t="str">
        <f t="shared" si="187"/>
        <v>6-2024-4</v>
      </c>
      <c r="AK652">
        <f t="shared" si="188"/>
        <v>6</v>
      </c>
      <c r="AL652" s="26">
        <f>IFERROR(Table2[[#This Row],[Calories]]/Table2[[#This Row],[Splat]],"")</f>
        <v>40</v>
      </c>
      <c r="AM652">
        <f>COUNTIF(N$2:$N$938,N652)</f>
        <v>78</v>
      </c>
      <c r="AN652" t="str">
        <f>VLOOKUP(N652,'Helpful Tables'!A:D,4,FALSE)</f>
        <v>Oregon</v>
      </c>
      <c r="AO652" s="24">
        <f>COUNTIF(AN:AN,Table2[[#This Row],[State]])/COUNTA(AN:AN)</f>
        <v>0.36140724946695096</v>
      </c>
      <c r="AP652">
        <f>VLOOKUP(N652,'Helpful Tables'!A:B,2,FALSE)</f>
        <v>45.525092999999998</v>
      </c>
      <c r="AQ652">
        <f>VLOOKUP(N652,'Helpful Tables'!A:C,3,FALSE)</f>
        <v>-122.681383</v>
      </c>
      <c r="AR652">
        <f>COUNTIF(P$2:$P$938,P652)</f>
        <v>20</v>
      </c>
      <c r="AS652" cm="1">
        <f t="array" ref="AS652">_xlfn.IFS(E652&lt;6,((E652/D652)*60)*0.5,AND(E652&gt;=6,E652&lt;9),((E652/D652)*60)*0.75,AND(E652&gt;=9,E652&lt;=11),((E652/D652)*60)*0.9,AND(E652=12),((E652/D652)*60)*1,AND(E652&gt;=13,E652&lt;=15),((E652/D652)*60)*1.2,AND(E652&gt;=16,E652&lt;=19),((E652/D652)*60)*1.5,E652&gt;=20,((E652/D652)*60)*1.8)</f>
        <v>25.5</v>
      </c>
      <c r="AT652" cm="1">
        <f t="array" ref="AT652">_xlfn.IFS(F652&lt;550,((F652/D652)*60)*0.5,AND(F652&gt;=550,F652&lt;575),((F652/D652)*60)*0.75,AND(F652&gt;=575,F652&lt;600),((F652/D652)*60)*0.9,AND(F652=600),((F652/D652)*60)*1,AND(F652&gt;=601,F652&lt;=625),((F652/D652)*60)*1.2,AND(F652&gt;=626,F652&lt;=650),((F652/D652)*60)*1.5,F652&gt;=651,((F652/D652)*60)*1.8)</f>
        <v>1224</v>
      </c>
      <c r="AU652">
        <f t="shared" si="176"/>
        <v>8.3999999999999986</v>
      </c>
      <c r="AV652">
        <f t="shared" si="191"/>
        <v>501.48</v>
      </c>
      <c r="AW652">
        <f t="shared" si="177"/>
        <v>79.5</v>
      </c>
      <c r="AX652" t="str">
        <f t="shared" si="189"/>
        <v>Jun-2024</v>
      </c>
      <c r="AY652">
        <f>ROUNDUP(Table2[[#This Row],[Month]]/3,0)</f>
        <v>2</v>
      </c>
    </row>
    <row r="653" spans="1:51" x14ac:dyDescent="0.2">
      <c r="A653">
        <v>652</v>
      </c>
      <c r="B653">
        <f t="shared" si="178"/>
        <v>14</v>
      </c>
      <c r="C653" s="22">
        <v>45465</v>
      </c>
      <c r="D653">
        <f>SUM(Table2[[#This Row],[Gray Min]:[Red Min]])</f>
        <v>60</v>
      </c>
      <c r="E653">
        <v>6</v>
      </c>
      <c r="F653">
        <v>531</v>
      </c>
      <c r="G653">
        <v>111</v>
      </c>
      <c r="H653">
        <v>157</v>
      </c>
      <c r="I653">
        <v>29</v>
      </c>
      <c r="J653">
        <v>7</v>
      </c>
      <c r="K653">
        <v>18</v>
      </c>
      <c r="L653">
        <v>6</v>
      </c>
      <c r="M653">
        <v>0</v>
      </c>
      <c r="N653" t="s">
        <v>125</v>
      </c>
      <c r="O653" t="s">
        <v>159</v>
      </c>
      <c r="P653" t="s">
        <v>218</v>
      </c>
      <c r="Q653">
        <f t="shared" si="190"/>
        <v>1</v>
      </c>
      <c r="R653" t="str">
        <f t="shared" si="179"/>
        <v>6-2024</v>
      </c>
      <c r="S653" t="s">
        <v>117</v>
      </c>
      <c r="T653" t="str">
        <f t="shared" si="180"/>
        <v>Saturday</v>
      </c>
      <c r="U653">
        <f t="shared" si="181"/>
        <v>0</v>
      </c>
      <c r="V653" s="24">
        <f>IFERROR(Table2[[#This Row],[Gray Min]]/Table2[[#This Row],[ClassLength]],"")</f>
        <v>0.48333333333333334</v>
      </c>
      <c r="W653" s="24">
        <f>IFERROR(Table2[[#This Row],[Blue Min]]/Table2[[#This Row],[ClassLength]],"")</f>
        <v>0.11666666666666667</v>
      </c>
      <c r="X653" s="24">
        <f>IFERROR(Table2[[#This Row],[Green Min]]/Table2[[#This Row],[ClassLength]],"")</f>
        <v>0.3</v>
      </c>
      <c r="Y653" s="24">
        <f>IFERROR(Table2[[#This Row],[Orange Min]]/Table2[[#This Row],[ClassLength]],"")</f>
        <v>0.1</v>
      </c>
      <c r="Z653" s="24">
        <f>IFERROR(Table2[[#This Row],[Red Min]]/Table2[[#This Row],[ClassLength]],"")</f>
        <v>0</v>
      </c>
      <c r="AA653" s="25">
        <v>169</v>
      </c>
      <c r="AB653" s="25">
        <f t="shared" si="175"/>
        <v>12.071428571428571</v>
      </c>
      <c r="AC653" s="26">
        <f t="shared" si="182"/>
        <v>625.07142857142856</v>
      </c>
      <c r="AD653" s="26">
        <f t="shared" si="183"/>
        <v>12.428571428571429</v>
      </c>
      <c r="AE653">
        <f t="shared" si="184"/>
        <v>2024</v>
      </c>
      <c r="AG653">
        <v>12</v>
      </c>
      <c r="AH653" s="26">
        <f t="shared" si="185"/>
        <v>8.85</v>
      </c>
      <c r="AI653" t="str">
        <f t="shared" si="186"/>
        <v>AM</v>
      </c>
      <c r="AJ653" t="str">
        <f t="shared" si="187"/>
        <v>6-2024-4</v>
      </c>
      <c r="AK653">
        <f t="shared" si="188"/>
        <v>6</v>
      </c>
      <c r="AL653" s="26">
        <f>IFERROR(Table2[[#This Row],[Calories]]/Table2[[#This Row],[Splat]],"")</f>
        <v>88.5</v>
      </c>
      <c r="AM653">
        <f>COUNTIF(N$2:$N$938,N653)</f>
        <v>258</v>
      </c>
      <c r="AN653" t="str">
        <f>VLOOKUP(N653,'Helpful Tables'!A:D,4,FALSE)</f>
        <v>Oregon</v>
      </c>
      <c r="AO653" s="24">
        <f>COUNTIF(AN:AN,Table2[[#This Row],[State]])/COUNTA(AN:AN)</f>
        <v>0.36140724946695096</v>
      </c>
      <c r="AP653">
        <f>VLOOKUP(N653,'Helpful Tables'!A:B,2,FALSE)</f>
        <v>45.534162000000002</v>
      </c>
      <c r="AQ653">
        <f>VLOOKUP(N653,'Helpful Tables'!A:C,3,FALSE)</f>
        <v>-122.69670000000001</v>
      </c>
      <c r="AR653">
        <f>COUNTIF(P$2:$P$938,P653)</f>
        <v>9</v>
      </c>
      <c r="AS653" cm="1">
        <f t="array" ref="AS653">_xlfn.IFS(E653&lt;6,((E653/D653)*60)*0.5,AND(E653&gt;=6,E653&lt;9),((E653/D653)*60)*0.75,AND(E653&gt;=9,E653&lt;=11),((E653/D653)*60)*0.9,AND(E653=12),((E653/D653)*60)*1,AND(E653&gt;=13,E653&lt;=15),((E653/D653)*60)*1.2,AND(E653&gt;=16,E653&lt;=19),((E653/D653)*60)*1.5,E653&gt;=20,((E653/D653)*60)*1.8)</f>
        <v>4.5</v>
      </c>
      <c r="AT653" cm="1">
        <f t="array" ref="AT653">_xlfn.IFS(F653&lt;550,((F653/D653)*60)*0.5,AND(F653&gt;=550,F653&lt;575),((F653/D653)*60)*0.75,AND(F653&gt;=575,F653&lt;600),((F653/D653)*60)*0.9,AND(F653=600),((F653/D653)*60)*1,AND(F653&gt;=601,F653&lt;=625),((F653/D653)*60)*1.2,AND(F653&gt;=626,F653&lt;=650),((F653/D653)*60)*1.5,F653&gt;=651,((F653/D653)*60)*1.8)</f>
        <v>265.5</v>
      </c>
      <c r="AU653">
        <f t="shared" si="176"/>
        <v>-13.100000000000001</v>
      </c>
      <c r="AV653">
        <f t="shared" si="191"/>
        <v>105.38</v>
      </c>
      <c r="AW653">
        <f t="shared" si="177"/>
        <v>2.2999999999999998</v>
      </c>
      <c r="AX653" t="str">
        <f t="shared" si="189"/>
        <v>Jun-2024</v>
      </c>
      <c r="AY653">
        <f>ROUNDUP(Table2[[#This Row],[Month]]/3,0)</f>
        <v>2</v>
      </c>
    </row>
    <row r="654" spans="1:51" x14ac:dyDescent="0.2">
      <c r="A654">
        <v>653</v>
      </c>
      <c r="B654">
        <f t="shared" si="178"/>
        <v>14</v>
      </c>
      <c r="C654" s="22">
        <v>45467</v>
      </c>
      <c r="D654">
        <f>SUM(Table2[[#This Row],[Gray Min]:[Red Min]])</f>
        <v>63</v>
      </c>
      <c r="E654">
        <v>19</v>
      </c>
      <c r="F654">
        <v>669</v>
      </c>
      <c r="G654">
        <v>122</v>
      </c>
      <c r="H654">
        <v>167</v>
      </c>
      <c r="I654">
        <v>21</v>
      </c>
      <c r="J654">
        <v>15</v>
      </c>
      <c r="K654">
        <v>8</v>
      </c>
      <c r="L654">
        <v>18</v>
      </c>
      <c r="M654">
        <v>1</v>
      </c>
      <c r="N654" t="s">
        <v>125</v>
      </c>
      <c r="O654" t="s">
        <v>127</v>
      </c>
      <c r="P654" t="s">
        <v>216</v>
      </c>
      <c r="Q654">
        <f t="shared" si="190"/>
        <v>2</v>
      </c>
      <c r="R654" t="str">
        <f t="shared" si="179"/>
        <v>6-2024</v>
      </c>
      <c r="S654" t="s">
        <v>104</v>
      </c>
      <c r="T654" t="str">
        <f t="shared" si="180"/>
        <v>Monday</v>
      </c>
      <c r="U654">
        <f t="shared" si="181"/>
        <v>1</v>
      </c>
      <c r="V654" s="24">
        <f>IFERROR(Table2[[#This Row],[Gray Min]]/Table2[[#This Row],[ClassLength]],"")</f>
        <v>0.33333333333333331</v>
      </c>
      <c r="W654" s="24">
        <f>IFERROR(Table2[[#This Row],[Blue Min]]/Table2[[#This Row],[ClassLength]],"")</f>
        <v>0.23809523809523808</v>
      </c>
      <c r="X654" s="24">
        <f>IFERROR(Table2[[#This Row],[Green Min]]/Table2[[#This Row],[ClassLength]],"")</f>
        <v>0.12698412698412698</v>
      </c>
      <c r="Y654" s="24">
        <f>IFERROR(Table2[[#This Row],[Orange Min]]/Table2[[#This Row],[ClassLength]],"")</f>
        <v>0.2857142857142857</v>
      </c>
      <c r="Z654" s="24">
        <f>IFERROR(Table2[[#This Row],[Red Min]]/Table2[[#This Row],[ClassLength]],"")</f>
        <v>1.5873015873015872E-2</v>
      </c>
      <c r="AA654" s="25">
        <v>169</v>
      </c>
      <c r="AB654" s="25">
        <f t="shared" si="175"/>
        <v>12.071428571428571</v>
      </c>
      <c r="AC654" s="26">
        <f t="shared" si="182"/>
        <v>625.07142857142856</v>
      </c>
      <c r="AD654" s="26">
        <f t="shared" si="183"/>
        <v>12.428571428571429</v>
      </c>
      <c r="AE654">
        <f t="shared" si="184"/>
        <v>2024</v>
      </c>
      <c r="AG654">
        <v>12</v>
      </c>
      <c r="AH654" s="26">
        <f t="shared" si="185"/>
        <v>10.619047619047619</v>
      </c>
      <c r="AI654" t="str">
        <f t="shared" si="186"/>
        <v>PM</v>
      </c>
      <c r="AJ654" t="str">
        <f t="shared" si="187"/>
        <v>6-2024-5</v>
      </c>
      <c r="AK654">
        <f t="shared" si="188"/>
        <v>6</v>
      </c>
      <c r="AL654" s="26">
        <f>IFERROR(Table2[[#This Row],[Calories]]/Table2[[#This Row],[Splat]],"")</f>
        <v>35.210526315789473</v>
      </c>
      <c r="AM654">
        <f>COUNTIF(N$2:$N$938,N654)</f>
        <v>258</v>
      </c>
      <c r="AN654" t="str">
        <f>VLOOKUP(N654,'Helpful Tables'!A:D,4,FALSE)</f>
        <v>Oregon</v>
      </c>
      <c r="AO654" s="24">
        <f>COUNTIF(AN:AN,Table2[[#This Row],[State]])/COUNTA(AN:AN)</f>
        <v>0.36140724946695096</v>
      </c>
      <c r="AP654">
        <f>VLOOKUP(N654,'Helpful Tables'!A:B,2,FALSE)</f>
        <v>45.534162000000002</v>
      </c>
      <c r="AQ654">
        <f>VLOOKUP(N654,'Helpful Tables'!A:C,3,FALSE)</f>
        <v>-122.69670000000001</v>
      </c>
      <c r="AR654">
        <f>COUNTIF(P$2:$P$938,P654)</f>
        <v>25</v>
      </c>
      <c r="AS654" cm="1">
        <f t="array" ref="AS654">_xlfn.IFS(E654&lt;6,((E654/D654)*60)*0.5,AND(E654&gt;=6,E654&lt;9),((E654/D654)*60)*0.75,AND(E654&gt;=9,E654&lt;=11),((E654/D654)*60)*0.9,AND(E654=12),((E654/D654)*60)*1,AND(E654&gt;=13,E654&lt;=15),((E654/D654)*60)*1.2,AND(E654&gt;=16,E654&lt;=19),((E654/D654)*60)*1.5,E654&gt;=20,((E654/D654)*60)*1.8)</f>
        <v>27.142857142857142</v>
      </c>
      <c r="AT654" cm="1">
        <f t="array" ref="AT654">_xlfn.IFS(F654&lt;550,((F654/D654)*60)*0.5,AND(F654&gt;=550,F654&lt;575),((F654/D654)*60)*0.75,AND(F654&gt;=575,F654&lt;600),((F654/D654)*60)*0.9,AND(F654=600),((F654/D654)*60)*1,AND(F654&gt;=601,F654&lt;=625),((F654/D654)*60)*1.2,AND(F654&gt;=626,F654&lt;=650),((F654/D654)*60)*1.5,F654&gt;=651,((F654/D654)*60)*1.8)</f>
        <v>1146.8571428571429</v>
      </c>
      <c r="AU654">
        <f t="shared" si="176"/>
        <v>-7.1999999999999993</v>
      </c>
      <c r="AV654">
        <f t="shared" si="191"/>
        <v>468.16</v>
      </c>
      <c r="AW654">
        <f t="shared" si="177"/>
        <v>67.2</v>
      </c>
      <c r="AX654" t="str">
        <f t="shared" si="189"/>
        <v>Jun-2024</v>
      </c>
      <c r="AY654">
        <f>ROUNDUP(Table2[[#This Row],[Month]]/3,0)</f>
        <v>2</v>
      </c>
    </row>
    <row r="655" spans="1:51" x14ac:dyDescent="0.2">
      <c r="A655">
        <v>654</v>
      </c>
      <c r="B655">
        <f t="shared" si="178"/>
        <v>14</v>
      </c>
      <c r="C655" s="22">
        <v>45470</v>
      </c>
      <c r="D655">
        <f>SUM(Table2[[#This Row],[Gray Min]:[Red Min]])</f>
        <v>60</v>
      </c>
      <c r="E655">
        <v>13</v>
      </c>
      <c r="F655">
        <v>665</v>
      </c>
      <c r="G655">
        <v>126</v>
      </c>
      <c r="H655">
        <v>169</v>
      </c>
      <c r="I655">
        <v>11</v>
      </c>
      <c r="J655">
        <v>21</v>
      </c>
      <c r="K655">
        <v>15</v>
      </c>
      <c r="L655">
        <v>11</v>
      </c>
      <c r="M655">
        <v>2</v>
      </c>
      <c r="N655" t="s">
        <v>125</v>
      </c>
      <c r="O655" t="s">
        <v>127</v>
      </c>
      <c r="P655" t="s">
        <v>214</v>
      </c>
      <c r="Q655">
        <f t="shared" si="190"/>
        <v>3</v>
      </c>
      <c r="R655" t="str">
        <f t="shared" si="179"/>
        <v>6-2024</v>
      </c>
      <c r="S655" t="s">
        <v>104</v>
      </c>
      <c r="T655" t="str">
        <f t="shared" si="180"/>
        <v>Thursday</v>
      </c>
      <c r="U655">
        <f t="shared" si="181"/>
        <v>1</v>
      </c>
      <c r="V655" s="24">
        <f>IFERROR(Table2[[#This Row],[Gray Min]]/Table2[[#This Row],[ClassLength]],"")</f>
        <v>0.18333333333333332</v>
      </c>
      <c r="W655" s="24">
        <f>IFERROR(Table2[[#This Row],[Blue Min]]/Table2[[#This Row],[ClassLength]],"")</f>
        <v>0.35</v>
      </c>
      <c r="X655" s="24">
        <f>IFERROR(Table2[[#This Row],[Green Min]]/Table2[[#This Row],[ClassLength]],"")</f>
        <v>0.25</v>
      </c>
      <c r="Y655" s="24">
        <f>IFERROR(Table2[[#This Row],[Orange Min]]/Table2[[#This Row],[ClassLength]],"")</f>
        <v>0.18333333333333332</v>
      </c>
      <c r="Z655" s="24">
        <f>IFERROR(Table2[[#This Row],[Red Min]]/Table2[[#This Row],[ClassLength]],"")</f>
        <v>3.3333333333333333E-2</v>
      </c>
      <c r="AA655" s="25">
        <v>169</v>
      </c>
      <c r="AB655" s="25">
        <f t="shared" si="175"/>
        <v>12.071428571428571</v>
      </c>
      <c r="AC655" s="26">
        <f t="shared" si="182"/>
        <v>625.07142857142856</v>
      </c>
      <c r="AD655" s="26">
        <f t="shared" si="183"/>
        <v>12.428571428571429</v>
      </c>
      <c r="AE655">
        <f t="shared" si="184"/>
        <v>2024</v>
      </c>
      <c r="AG655">
        <v>12</v>
      </c>
      <c r="AH655" s="26">
        <f t="shared" si="185"/>
        <v>11.083333333333334</v>
      </c>
      <c r="AI655" t="str">
        <f t="shared" si="186"/>
        <v>PM</v>
      </c>
      <c r="AJ655" t="str">
        <f t="shared" si="187"/>
        <v>6-2024-5</v>
      </c>
      <c r="AK655">
        <f t="shared" si="188"/>
        <v>6</v>
      </c>
      <c r="AL655" s="26">
        <f>IFERROR(Table2[[#This Row],[Calories]]/Table2[[#This Row],[Splat]],"")</f>
        <v>51.153846153846153</v>
      </c>
      <c r="AM655">
        <f>COUNTIF(N$2:$N$938,N655)</f>
        <v>258</v>
      </c>
      <c r="AN655" t="str">
        <f>VLOOKUP(N655,'Helpful Tables'!A:D,4,FALSE)</f>
        <v>Oregon</v>
      </c>
      <c r="AO655" s="24">
        <f>COUNTIF(AN:AN,Table2[[#This Row],[State]])/COUNTA(AN:AN)</f>
        <v>0.36140724946695096</v>
      </c>
      <c r="AP655">
        <f>VLOOKUP(N655,'Helpful Tables'!A:B,2,FALSE)</f>
        <v>45.534162000000002</v>
      </c>
      <c r="AQ655">
        <f>VLOOKUP(N655,'Helpful Tables'!A:C,3,FALSE)</f>
        <v>-122.69670000000001</v>
      </c>
      <c r="AR655">
        <f>COUNTIF(P$2:$P$938,P655)</f>
        <v>11</v>
      </c>
      <c r="AS655" cm="1">
        <f t="array" ref="AS655">_xlfn.IFS(E655&lt;6,((E655/D655)*60)*0.5,AND(E655&gt;=6,E655&lt;9),((E655/D655)*60)*0.75,AND(E655&gt;=9,E655&lt;=11),((E655/D655)*60)*0.9,AND(E655=12),((E655/D655)*60)*1,AND(E655&gt;=13,E655&lt;=15),((E655/D655)*60)*1.2,AND(E655&gt;=16,E655&lt;=19),((E655/D655)*60)*1.5,E655&gt;=20,((E655/D655)*60)*1.8)</f>
        <v>15.6</v>
      </c>
      <c r="AT655" cm="1">
        <f t="array" ref="AT655">_xlfn.IFS(F655&lt;550,((F655/D655)*60)*0.5,AND(F655&gt;=550,F655&lt;575),((F655/D655)*60)*0.75,AND(F655&gt;=575,F655&lt;600),((F655/D655)*60)*0.9,AND(F655=600),((F655/D655)*60)*1,AND(F655&gt;=601,F655&lt;=625),((F655/D655)*60)*1.2,AND(F655&gt;=626,F655&lt;=650),((F655/D655)*60)*1.5,F655&gt;=651,((F655/D655)*60)*1.8)</f>
        <v>1197</v>
      </c>
      <c r="AU655">
        <f t="shared" si="176"/>
        <v>-0.99999999999999645</v>
      </c>
      <c r="AV655">
        <f t="shared" si="191"/>
        <v>484.84000000000003</v>
      </c>
      <c r="AW655">
        <f t="shared" si="177"/>
        <v>71.2</v>
      </c>
      <c r="AX655" t="str">
        <f t="shared" si="189"/>
        <v>Jun-2024</v>
      </c>
      <c r="AY655">
        <f>ROUNDUP(Table2[[#This Row],[Month]]/3,0)</f>
        <v>2</v>
      </c>
    </row>
    <row r="656" spans="1:51" x14ac:dyDescent="0.2">
      <c r="A656">
        <v>655</v>
      </c>
      <c r="B656">
        <f t="shared" si="178"/>
        <v>14</v>
      </c>
      <c r="C656" s="22">
        <v>45472</v>
      </c>
      <c r="D656">
        <f>SUM(Table2[[#This Row],[Gray Min]:[Red Min]])</f>
        <v>57</v>
      </c>
      <c r="E656">
        <v>12</v>
      </c>
      <c r="F656">
        <v>647</v>
      </c>
      <c r="G656">
        <v>128</v>
      </c>
      <c r="H656">
        <v>168</v>
      </c>
      <c r="I656">
        <v>9</v>
      </c>
      <c r="J656">
        <v>15</v>
      </c>
      <c r="K656">
        <v>21</v>
      </c>
      <c r="L656">
        <v>9</v>
      </c>
      <c r="M656">
        <v>3</v>
      </c>
      <c r="N656" t="s">
        <v>208</v>
      </c>
      <c r="O656" t="s">
        <v>76</v>
      </c>
      <c r="P656" t="s">
        <v>213</v>
      </c>
      <c r="Q656">
        <f t="shared" si="190"/>
        <v>2</v>
      </c>
      <c r="R656" t="str">
        <f t="shared" si="179"/>
        <v>6-2024</v>
      </c>
      <c r="S656" t="s">
        <v>104</v>
      </c>
      <c r="T656" t="str">
        <f t="shared" si="180"/>
        <v>Saturday</v>
      </c>
      <c r="U656">
        <f t="shared" si="181"/>
        <v>1</v>
      </c>
      <c r="V656" s="24">
        <f>IFERROR(Table2[[#This Row],[Gray Min]]/Table2[[#This Row],[ClassLength]],"")</f>
        <v>0.15789473684210525</v>
      </c>
      <c r="W656" s="24">
        <f>IFERROR(Table2[[#This Row],[Blue Min]]/Table2[[#This Row],[ClassLength]],"")</f>
        <v>0.26315789473684209</v>
      </c>
      <c r="X656" s="24">
        <f>IFERROR(Table2[[#This Row],[Green Min]]/Table2[[#This Row],[ClassLength]],"")</f>
        <v>0.36842105263157893</v>
      </c>
      <c r="Y656" s="24">
        <f>IFERROR(Table2[[#This Row],[Orange Min]]/Table2[[#This Row],[ClassLength]],"")</f>
        <v>0.15789473684210525</v>
      </c>
      <c r="Z656" s="24">
        <f>IFERROR(Table2[[#This Row],[Red Min]]/Table2[[#This Row],[ClassLength]],"")</f>
        <v>5.2631578947368418E-2</v>
      </c>
      <c r="AA656" s="25">
        <v>169</v>
      </c>
      <c r="AB656" s="25">
        <f t="shared" ref="AB656:AB719" si="192">AA656/B656</f>
        <v>12.071428571428571</v>
      </c>
      <c r="AC656" s="26">
        <f t="shared" si="182"/>
        <v>625.07142857142856</v>
      </c>
      <c r="AD656" s="26">
        <f t="shared" si="183"/>
        <v>12.428571428571429</v>
      </c>
      <c r="AE656">
        <f t="shared" si="184"/>
        <v>2024</v>
      </c>
      <c r="AG656">
        <v>12</v>
      </c>
      <c r="AH656" s="26">
        <f t="shared" si="185"/>
        <v>11.350877192982455</v>
      </c>
      <c r="AI656" t="str">
        <f t="shared" si="186"/>
        <v>AM</v>
      </c>
      <c r="AJ656" t="str">
        <f t="shared" si="187"/>
        <v>6-2024-5</v>
      </c>
      <c r="AK656">
        <f t="shared" si="188"/>
        <v>6</v>
      </c>
      <c r="AL656" s="26">
        <f>IFERROR(Table2[[#This Row],[Calories]]/Table2[[#This Row],[Splat]],"")</f>
        <v>53.916666666666664</v>
      </c>
      <c r="AM656">
        <f>COUNTIF(N$2:$N$938,N656)</f>
        <v>78</v>
      </c>
      <c r="AN656" t="str">
        <f>VLOOKUP(N656,'Helpful Tables'!A:D,4,FALSE)</f>
        <v>Oregon</v>
      </c>
      <c r="AO656" s="24">
        <f>COUNTIF(AN:AN,Table2[[#This Row],[State]])/COUNTA(AN:AN)</f>
        <v>0.36140724946695096</v>
      </c>
      <c r="AP656">
        <f>VLOOKUP(N656,'Helpful Tables'!A:B,2,FALSE)</f>
        <v>45.525092999999998</v>
      </c>
      <c r="AQ656">
        <f>VLOOKUP(N656,'Helpful Tables'!A:C,3,FALSE)</f>
        <v>-122.681383</v>
      </c>
      <c r="AR656">
        <f>COUNTIF(P$2:$P$938,P656)</f>
        <v>40</v>
      </c>
      <c r="AS656" cm="1">
        <f t="array" ref="AS656">_xlfn.IFS(E656&lt;6,((E656/D656)*60)*0.5,AND(E656&gt;=6,E656&lt;9),((E656/D656)*60)*0.75,AND(E656&gt;=9,E656&lt;=11),((E656/D656)*60)*0.9,AND(E656=12),((E656/D656)*60)*1,AND(E656&gt;=13,E656&lt;=15),((E656/D656)*60)*1.2,AND(E656&gt;=16,E656&lt;=19),((E656/D656)*60)*1.5,E656&gt;=20,((E656/D656)*60)*1.8)</f>
        <v>12.631578947368421</v>
      </c>
      <c r="AT656" cm="1">
        <f t="array" ref="AT656">_xlfn.IFS(F656&lt;550,((F656/D656)*60)*0.5,AND(F656&gt;=550,F656&lt;575),((F656/D656)*60)*0.75,AND(F656&gt;=575,F656&lt;600),((F656/D656)*60)*0.9,AND(F656=600),((F656/D656)*60)*1,AND(F656&gt;=601,F656&lt;=625),((F656/D656)*60)*1.2,AND(F656&gt;=626,F656&lt;=650),((F656/D656)*60)*1.5,F656&gt;=651,((F656/D656)*60)*1.8)</f>
        <v>1021.5789473684209</v>
      </c>
      <c r="AU656">
        <f t="shared" si="176"/>
        <v>14.100000000000003</v>
      </c>
      <c r="AV656">
        <f t="shared" si="191"/>
        <v>416.50421052631572</v>
      </c>
      <c r="AW656">
        <f t="shared" si="177"/>
        <v>60.6</v>
      </c>
      <c r="AX656" t="str">
        <f t="shared" si="189"/>
        <v>Jun-2024</v>
      </c>
      <c r="AY656">
        <f>ROUNDUP(Table2[[#This Row],[Month]]/3,0)</f>
        <v>2</v>
      </c>
    </row>
    <row r="657" spans="1:51" x14ac:dyDescent="0.2">
      <c r="A657">
        <v>656</v>
      </c>
      <c r="B657">
        <f t="shared" si="178"/>
        <v>15</v>
      </c>
      <c r="C657" s="22">
        <v>45474</v>
      </c>
      <c r="D657">
        <f>SUM(Table2[[#This Row],[Gray Min]:[Red Min]])</f>
        <v>59</v>
      </c>
      <c r="E657">
        <v>15</v>
      </c>
      <c r="F657">
        <v>649</v>
      </c>
      <c r="G657">
        <v>126</v>
      </c>
      <c r="H657">
        <v>167</v>
      </c>
      <c r="I657">
        <v>13</v>
      </c>
      <c r="J657">
        <v>20</v>
      </c>
      <c r="K657">
        <v>11</v>
      </c>
      <c r="L657">
        <v>13</v>
      </c>
      <c r="M657">
        <v>2</v>
      </c>
      <c r="N657" t="s">
        <v>125</v>
      </c>
      <c r="O657" t="s">
        <v>127</v>
      </c>
      <c r="P657" t="s">
        <v>216</v>
      </c>
      <c r="Q657">
        <f t="shared" si="190"/>
        <v>2</v>
      </c>
      <c r="R657" t="str">
        <f t="shared" si="179"/>
        <v>7-2024</v>
      </c>
      <c r="S657" t="s">
        <v>104</v>
      </c>
      <c r="T657" t="str">
        <f t="shared" si="180"/>
        <v>Monday</v>
      </c>
      <c r="U657">
        <f t="shared" si="181"/>
        <v>1</v>
      </c>
      <c r="V657" s="24">
        <f>IFERROR(Table2[[#This Row],[Gray Min]]/Table2[[#This Row],[ClassLength]],"")</f>
        <v>0.22033898305084745</v>
      </c>
      <c r="W657" s="24">
        <f>IFERROR(Table2[[#This Row],[Blue Min]]/Table2[[#This Row],[ClassLength]],"")</f>
        <v>0.33898305084745761</v>
      </c>
      <c r="X657" s="24">
        <f>IFERROR(Table2[[#This Row],[Green Min]]/Table2[[#This Row],[ClassLength]],"")</f>
        <v>0.1864406779661017</v>
      </c>
      <c r="Y657" s="24">
        <f>IFERROR(Table2[[#This Row],[Orange Min]]/Table2[[#This Row],[ClassLength]],"")</f>
        <v>0.22033898305084745</v>
      </c>
      <c r="Z657" s="24">
        <f>IFERROR(Table2[[#This Row],[Red Min]]/Table2[[#This Row],[ClassLength]],"")</f>
        <v>3.3898305084745763E-2</v>
      </c>
      <c r="AA657" s="25">
        <v>169</v>
      </c>
      <c r="AB657" s="25">
        <f t="shared" si="192"/>
        <v>11.266666666666667</v>
      </c>
      <c r="AC657" s="26">
        <f t="shared" si="182"/>
        <v>627</v>
      </c>
      <c r="AD657" s="26">
        <f t="shared" si="183"/>
        <v>14.8</v>
      </c>
      <c r="AE657">
        <f t="shared" si="184"/>
        <v>2024</v>
      </c>
      <c r="AG657">
        <v>12</v>
      </c>
      <c r="AH657" s="26">
        <f t="shared" si="185"/>
        <v>11</v>
      </c>
      <c r="AI657" t="str">
        <f t="shared" si="186"/>
        <v>PM</v>
      </c>
      <c r="AJ657" t="str">
        <f t="shared" si="187"/>
        <v>7-2024-1</v>
      </c>
      <c r="AK657">
        <f t="shared" si="188"/>
        <v>7</v>
      </c>
      <c r="AL657" s="26">
        <f>IFERROR(Table2[[#This Row],[Calories]]/Table2[[#This Row],[Splat]],"")</f>
        <v>43.266666666666666</v>
      </c>
      <c r="AM657">
        <f>COUNTIF(N$2:$N$938,N657)</f>
        <v>258</v>
      </c>
      <c r="AN657" t="str">
        <f>VLOOKUP(N657,'Helpful Tables'!A:D,4,FALSE)</f>
        <v>Oregon</v>
      </c>
      <c r="AO657" s="24">
        <f>COUNTIF(AN:AN,Table2[[#This Row],[State]])/COUNTA(AN:AN)</f>
        <v>0.36140724946695096</v>
      </c>
      <c r="AP657">
        <f>VLOOKUP(N657,'Helpful Tables'!A:B,2,FALSE)</f>
        <v>45.534162000000002</v>
      </c>
      <c r="AQ657">
        <f>VLOOKUP(N657,'Helpful Tables'!A:C,3,FALSE)</f>
        <v>-122.69670000000001</v>
      </c>
      <c r="AR657">
        <f>COUNTIF(P$2:$P$938,P657)</f>
        <v>25</v>
      </c>
      <c r="AS657" cm="1">
        <f t="array" ref="AS657">_xlfn.IFS(E657&lt;6,((E657/D657)*60)*0.5,AND(E657&gt;=6,E657&lt;9),((E657/D657)*60)*0.75,AND(E657&gt;=9,E657&lt;=11),((E657/D657)*60)*0.9,AND(E657=12),((E657/D657)*60)*1,AND(E657&gt;=13,E657&lt;=15),((E657/D657)*60)*1.2,AND(E657&gt;=16,E657&lt;=19),((E657/D657)*60)*1.5,E657&gt;=20,((E657/D657)*60)*1.8)</f>
        <v>18.305084745762709</v>
      </c>
      <c r="AT657" cm="1">
        <f t="array" ref="AT657">_xlfn.IFS(F657&lt;550,((F657/D657)*60)*0.5,AND(F657&gt;=550,F657&lt;575),((F657/D657)*60)*0.75,AND(F657&gt;=575,F657&lt;600),((F657/D657)*60)*0.9,AND(F657=600),((F657/D657)*60)*1,AND(F657&gt;=601,F657&lt;=625),((F657/D657)*60)*1.2,AND(F657&gt;=626,F657&lt;=650),((F657/D657)*60)*1.5,F657&gt;=651,((F657/D657)*60)*1.8)</f>
        <v>990</v>
      </c>
      <c r="AU657">
        <f t="shared" si="176"/>
        <v>-4.5</v>
      </c>
      <c r="AV657">
        <f t="shared" si="191"/>
        <v>402.42203389830513</v>
      </c>
      <c r="AW657">
        <f t="shared" si="177"/>
        <v>54.300000000000004</v>
      </c>
      <c r="AX657" t="str">
        <f t="shared" si="189"/>
        <v>Jul-2024</v>
      </c>
      <c r="AY657">
        <f>ROUNDUP(Table2[[#This Row],[Month]]/3,0)</f>
        <v>3</v>
      </c>
    </row>
    <row r="658" spans="1:51" x14ac:dyDescent="0.2">
      <c r="A658">
        <v>657</v>
      </c>
      <c r="B658">
        <f t="shared" si="178"/>
        <v>15</v>
      </c>
      <c r="C658" s="22">
        <v>45477</v>
      </c>
      <c r="D658">
        <f>SUM(Table2[[#This Row],[Gray Min]:[Red Min]])</f>
        <v>58</v>
      </c>
      <c r="E658">
        <v>12</v>
      </c>
      <c r="F658">
        <v>616</v>
      </c>
      <c r="G658">
        <v>123</v>
      </c>
      <c r="H658">
        <v>154</v>
      </c>
      <c r="I658">
        <v>15</v>
      </c>
      <c r="J658">
        <v>15</v>
      </c>
      <c r="K658">
        <v>16</v>
      </c>
      <c r="L658">
        <v>12</v>
      </c>
      <c r="M658">
        <v>0</v>
      </c>
      <c r="N658" t="s">
        <v>125</v>
      </c>
      <c r="O658" t="s">
        <v>159</v>
      </c>
      <c r="P658" t="s">
        <v>126</v>
      </c>
      <c r="Q658">
        <f t="shared" si="190"/>
        <v>3</v>
      </c>
      <c r="R658" t="str">
        <f t="shared" si="179"/>
        <v>7-2024</v>
      </c>
      <c r="S658" t="s">
        <v>117</v>
      </c>
      <c r="T658" t="str">
        <f t="shared" si="180"/>
        <v>Thursday</v>
      </c>
      <c r="U658">
        <f t="shared" si="181"/>
        <v>1</v>
      </c>
      <c r="V658" s="24">
        <f>IFERROR(Table2[[#This Row],[Gray Min]]/Table2[[#This Row],[ClassLength]],"")</f>
        <v>0.25862068965517243</v>
      </c>
      <c r="W658" s="24">
        <f>IFERROR(Table2[[#This Row],[Blue Min]]/Table2[[#This Row],[ClassLength]],"")</f>
        <v>0.25862068965517243</v>
      </c>
      <c r="X658" s="24">
        <f>IFERROR(Table2[[#This Row],[Green Min]]/Table2[[#This Row],[ClassLength]],"")</f>
        <v>0.27586206896551724</v>
      </c>
      <c r="Y658" s="24">
        <f>IFERROR(Table2[[#This Row],[Orange Min]]/Table2[[#This Row],[ClassLength]],"")</f>
        <v>0.20689655172413793</v>
      </c>
      <c r="Z658" s="24">
        <f>IFERROR(Table2[[#This Row],[Red Min]]/Table2[[#This Row],[ClassLength]],"")</f>
        <v>0</v>
      </c>
      <c r="AA658" s="25">
        <v>169</v>
      </c>
      <c r="AB658" s="25">
        <f t="shared" si="192"/>
        <v>11.266666666666667</v>
      </c>
      <c r="AC658" s="26">
        <f t="shared" si="182"/>
        <v>627</v>
      </c>
      <c r="AD658" s="26">
        <f t="shared" si="183"/>
        <v>14.8</v>
      </c>
      <c r="AE658">
        <f t="shared" si="184"/>
        <v>2024</v>
      </c>
      <c r="AG658">
        <v>12</v>
      </c>
      <c r="AH658" s="26">
        <f t="shared" si="185"/>
        <v>10.620689655172415</v>
      </c>
      <c r="AI658" t="str">
        <f t="shared" si="186"/>
        <v>AM</v>
      </c>
      <c r="AJ658" t="str">
        <f t="shared" si="187"/>
        <v>7-2024-1</v>
      </c>
      <c r="AK658">
        <f t="shared" si="188"/>
        <v>7</v>
      </c>
      <c r="AL658" s="26">
        <f>IFERROR(Table2[[#This Row],[Calories]]/Table2[[#This Row],[Splat]],"")</f>
        <v>51.333333333333336</v>
      </c>
      <c r="AM658">
        <f>COUNTIF(N$2:$N$938,N658)</f>
        <v>258</v>
      </c>
      <c r="AN658" t="str">
        <f>VLOOKUP(N658,'Helpful Tables'!A:D,4,FALSE)</f>
        <v>Oregon</v>
      </c>
      <c r="AO658" s="24">
        <f>COUNTIF(AN:AN,Table2[[#This Row],[State]])/COUNTA(AN:AN)</f>
        <v>0.36140724946695096</v>
      </c>
      <c r="AP658">
        <f>VLOOKUP(N658,'Helpful Tables'!A:B,2,FALSE)</f>
        <v>45.534162000000002</v>
      </c>
      <c r="AQ658">
        <f>VLOOKUP(N658,'Helpful Tables'!A:C,3,FALSE)</f>
        <v>-122.69670000000001</v>
      </c>
      <c r="AR658">
        <f>COUNTIF(P$2:$P$938,P658)</f>
        <v>11</v>
      </c>
      <c r="AS658" cm="1">
        <f t="array" ref="AS658">_xlfn.IFS(E658&lt;6,((E658/D658)*60)*0.5,AND(E658&gt;=6,E658&lt;9),((E658/D658)*60)*0.75,AND(E658&gt;=9,E658&lt;=11),((E658/D658)*60)*0.9,AND(E658=12),((E658/D658)*60)*1,AND(E658&gt;=13,E658&lt;=15),((E658/D658)*60)*1.2,AND(E658&gt;=16,E658&lt;=19),((E658/D658)*60)*1.5,E658&gt;=20,((E658/D658)*60)*1.8)</f>
        <v>12.413793103448276</v>
      </c>
      <c r="AT658" cm="1">
        <f t="array" ref="AT658">_xlfn.IFS(F658&lt;550,((F658/D658)*60)*0.5,AND(F658&gt;=550,F658&lt;575),((F658/D658)*60)*0.75,AND(F658&gt;=575,F658&lt;600),((F658/D658)*60)*0.9,AND(F658=600),((F658/D658)*60)*1,AND(F658&gt;=601,F658&lt;=625),((F658/D658)*60)*1.2,AND(F658&gt;=626,F658&lt;=650),((F658/D658)*60)*1.5,F658&gt;=651,((F658/D658)*60)*1.8)</f>
        <v>764.68965517241384</v>
      </c>
      <c r="AU658">
        <f t="shared" si="176"/>
        <v>0.30000000000000071</v>
      </c>
      <c r="AV658">
        <f t="shared" si="191"/>
        <v>310.90137931034485</v>
      </c>
      <c r="AW658">
        <f t="shared" si="177"/>
        <v>31.7</v>
      </c>
      <c r="AX658" t="str">
        <f t="shared" si="189"/>
        <v>Jul-2024</v>
      </c>
      <c r="AY658">
        <f>ROUNDUP(Table2[[#This Row],[Month]]/3,0)</f>
        <v>3</v>
      </c>
    </row>
    <row r="659" spans="1:51" x14ac:dyDescent="0.2">
      <c r="A659">
        <v>658</v>
      </c>
      <c r="B659">
        <f t="shared" si="178"/>
        <v>15</v>
      </c>
      <c r="C659" s="22">
        <v>45479</v>
      </c>
      <c r="D659">
        <f>SUM(Table2[[#This Row],[Gray Min]:[Red Min]])</f>
        <v>60</v>
      </c>
      <c r="E659">
        <v>3</v>
      </c>
      <c r="F659">
        <v>506</v>
      </c>
      <c r="G659">
        <v>108</v>
      </c>
      <c r="H659">
        <v>159</v>
      </c>
      <c r="I659">
        <v>34</v>
      </c>
      <c r="J659">
        <v>11</v>
      </c>
      <c r="K659">
        <v>12</v>
      </c>
      <c r="L659">
        <v>3</v>
      </c>
      <c r="M659">
        <v>0</v>
      </c>
      <c r="N659" t="s">
        <v>125</v>
      </c>
      <c r="O659" t="s">
        <v>159</v>
      </c>
      <c r="P659" t="s">
        <v>218</v>
      </c>
      <c r="Q659">
        <f t="shared" si="190"/>
        <v>2</v>
      </c>
      <c r="R659" t="str">
        <f t="shared" si="179"/>
        <v>7-2024</v>
      </c>
      <c r="S659" t="s">
        <v>117</v>
      </c>
      <c r="T659" t="str">
        <f t="shared" si="180"/>
        <v>Saturday</v>
      </c>
      <c r="U659">
        <f t="shared" si="181"/>
        <v>0</v>
      </c>
      <c r="V659" s="24">
        <f>IFERROR(Table2[[#This Row],[Gray Min]]/Table2[[#This Row],[ClassLength]],"")</f>
        <v>0.56666666666666665</v>
      </c>
      <c r="W659" s="24">
        <f>IFERROR(Table2[[#This Row],[Blue Min]]/Table2[[#This Row],[ClassLength]],"")</f>
        <v>0.18333333333333332</v>
      </c>
      <c r="X659" s="24">
        <f>IFERROR(Table2[[#This Row],[Green Min]]/Table2[[#This Row],[ClassLength]],"")</f>
        <v>0.2</v>
      </c>
      <c r="Y659" s="24">
        <f>IFERROR(Table2[[#This Row],[Orange Min]]/Table2[[#This Row],[ClassLength]],"")</f>
        <v>0.05</v>
      </c>
      <c r="Z659" s="24">
        <f>IFERROR(Table2[[#This Row],[Red Min]]/Table2[[#This Row],[ClassLength]],"")</f>
        <v>0</v>
      </c>
      <c r="AA659" s="25">
        <v>169</v>
      </c>
      <c r="AB659" s="25">
        <f t="shared" si="192"/>
        <v>11.266666666666667</v>
      </c>
      <c r="AC659" s="26">
        <f t="shared" si="182"/>
        <v>627</v>
      </c>
      <c r="AD659" s="26">
        <f t="shared" si="183"/>
        <v>14.8</v>
      </c>
      <c r="AE659">
        <f t="shared" si="184"/>
        <v>2024</v>
      </c>
      <c r="AG659">
        <v>12</v>
      </c>
      <c r="AH659" s="26">
        <f t="shared" si="185"/>
        <v>8.4333333333333336</v>
      </c>
      <c r="AI659" t="str">
        <f t="shared" si="186"/>
        <v>AM</v>
      </c>
      <c r="AJ659" t="str">
        <f t="shared" si="187"/>
        <v>7-2024-1</v>
      </c>
      <c r="AK659">
        <f t="shared" si="188"/>
        <v>7</v>
      </c>
      <c r="AL659" s="26">
        <f>IFERROR(Table2[[#This Row],[Calories]]/Table2[[#This Row],[Splat]],"")</f>
        <v>168.66666666666666</v>
      </c>
      <c r="AM659">
        <f>COUNTIF(N$2:$N$938,N659)</f>
        <v>258</v>
      </c>
      <c r="AN659" t="str">
        <f>VLOOKUP(N659,'Helpful Tables'!A:D,4,FALSE)</f>
        <v>Oregon</v>
      </c>
      <c r="AO659" s="24">
        <f>COUNTIF(AN:AN,Table2[[#This Row],[State]])/COUNTA(AN:AN)</f>
        <v>0.36140724946695096</v>
      </c>
      <c r="AP659">
        <f>VLOOKUP(N659,'Helpful Tables'!A:B,2,FALSE)</f>
        <v>45.534162000000002</v>
      </c>
      <c r="AQ659">
        <f>VLOOKUP(N659,'Helpful Tables'!A:C,3,FALSE)</f>
        <v>-122.69670000000001</v>
      </c>
      <c r="AR659">
        <f>COUNTIF(P$2:$P$938,P659)</f>
        <v>9</v>
      </c>
      <c r="AS659" cm="1">
        <f t="array" ref="AS659">_xlfn.IFS(E659&lt;6,((E659/D659)*60)*0.5,AND(E659&gt;=6,E659&lt;9),((E659/D659)*60)*0.75,AND(E659&gt;=9,E659&lt;=11),((E659/D659)*60)*0.9,AND(E659=12),((E659/D659)*60)*1,AND(E659&gt;=13,E659&lt;=15),((E659/D659)*60)*1.2,AND(E659&gt;=16,E659&lt;=19),((E659/D659)*60)*1.5,E659&gt;=20,((E659/D659)*60)*1.8)</f>
        <v>1.5</v>
      </c>
      <c r="AT659" cm="1">
        <f t="array" ref="AT659">_xlfn.IFS(F659&lt;550,((F659/D659)*60)*0.5,AND(F659&gt;=550,F659&lt;575),((F659/D659)*60)*0.75,AND(F659&gt;=575,F659&lt;600),((F659/D659)*60)*0.9,AND(F659=600),((F659/D659)*60)*1,AND(F659&gt;=601,F659&lt;=625),((F659/D659)*60)*1.2,AND(F659&gt;=626,F659&lt;=650),((F659/D659)*60)*1.5,F659&gt;=651,((F659/D659)*60)*1.8)</f>
        <v>253</v>
      </c>
      <c r="AU659">
        <f t="shared" si="176"/>
        <v>-34.6</v>
      </c>
      <c r="AV659">
        <f t="shared" si="191"/>
        <v>94.88</v>
      </c>
      <c r="AW659">
        <f t="shared" si="177"/>
        <v>0.4</v>
      </c>
      <c r="AX659" t="str">
        <f t="shared" si="189"/>
        <v>Jul-2024</v>
      </c>
      <c r="AY659">
        <f>ROUNDUP(Table2[[#This Row],[Month]]/3,0)</f>
        <v>3</v>
      </c>
    </row>
    <row r="660" spans="1:51" x14ac:dyDescent="0.2">
      <c r="A660">
        <v>659</v>
      </c>
      <c r="B660">
        <f t="shared" si="178"/>
        <v>15</v>
      </c>
      <c r="C660" s="22">
        <v>45480</v>
      </c>
      <c r="D660">
        <f>SUM(Table2[[#This Row],[Gray Min]:[Red Min]])</f>
        <v>60</v>
      </c>
      <c r="E660">
        <v>20</v>
      </c>
      <c r="F660">
        <v>678</v>
      </c>
      <c r="G660">
        <v>129</v>
      </c>
      <c r="H660">
        <v>166</v>
      </c>
      <c r="I660">
        <v>16</v>
      </c>
      <c r="J660">
        <v>11</v>
      </c>
      <c r="K660">
        <v>13</v>
      </c>
      <c r="L660">
        <v>18</v>
      </c>
      <c r="M660">
        <v>2</v>
      </c>
      <c r="N660" t="s">
        <v>208</v>
      </c>
      <c r="O660" t="s">
        <v>76</v>
      </c>
      <c r="P660" t="s">
        <v>213</v>
      </c>
      <c r="Q660">
        <f t="shared" si="190"/>
        <v>1</v>
      </c>
      <c r="R660" t="str">
        <f t="shared" si="179"/>
        <v>7-2024</v>
      </c>
      <c r="S660" t="s">
        <v>104</v>
      </c>
      <c r="T660" t="str">
        <f t="shared" si="180"/>
        <v>Sunday</v>
      </c>
      <c r="U660">
        <f t="shared" si="181"/>
        <v>1</v>
      </c>
      <c r="V660" s="24">
        <f>IFERROR(Table2[[#This Row],[Gray Min]]/Table2[[#This Row],[ClassLength]],"")</f>
        <v>0.26666666666666666</v>
      </c>
      <c r="W660" s="24">
        <f>IFERROR(Table2[[#This Row],[Blue Min]]/Table2[[#This Row],[ClassLength]],"")</f>
        <v>0.18333333333333332</v>
      </c>
      <c r="X660" s="24">
        <f>IFERROR(Table2[[#This Row],[Green Min]]/Table2[[#This Row],[ClassLength]],"")</f>
        <v>0.21666666666666667</v>
      </c>
      <c r="Y660" s="24">
        <f>IFERROR(Table2[[#This Row],[Orange Min]]/Table2[[#This Row],[ClassLength]],"")</f>
        <v>0.3</v>
      </c>
      <c r="Z660" s="24">
        <f>IFERROR(Table2[[#This Row],[Red Min]]/Table2[[#This Row],[ClassLength]],"")</f>
        <v>3.3333333333333333E-2</v>
      </c>
      <c r="AA660" s="25">
        <v>169</v>
      </c>
      <c r="AB660" s="25">
        <f t="shared" si="192"/>
        <v>11.266666666666667</v>
      </c>
      <c r="AC660" s="26">
        <f t="shared" si="182"/>
        <v>627</v>
      </c>
      <c r="AD660" s="26">
        <f t="shared" si="183"/>
        <v>14.8</v>
      </c>
      <c r="AE660">
        <f t="shared" si="184"/>
        <v>2024</v>
      </c>
      <c r="AG660">
        <v>12</v>
      </c>
      <c r="AH660" s="26">
        <f t="shared" si="185"/>
        <v>11.3</v>
      </c>
      <c r="AI660" t="str">
        <f t="shared" si="186"/>
        <v>AM</v>
      </c>
      <c r="AJ660" t="str">
        <f t="shared" si="187"/>
        <v>7-2024-2</v>
      </c>
      <c r="AK660">
        <f t="shared" si="188"/>
        <v>7</v>
      </c>
      <c r="AL660" s="26">
        <f>IFERROR(Table2[[#This Row],[Calories]]/Table2[[#This Row],[Splat]],"")</f>
        <v>33.9</v>
      </c>
      <c r="AM660">
        <f>COUNTIF(N$2:$N$938,N660)</f>
        <v>78</v>
      </c>
      <c r="AN660" t="str">
        <f>VLOOKUP(N660,'Helpful Tables'!A:D,4,FALSE)</f>
        <v>Oregon</v>
      </c>
      <c r="AO660" s="24">
        <f>COUNTIF(AN:AN,Table2[[#This Row],[State]])/COUNTA(AN:AN)</f>
        <v>0.36140724946695096</v>
      </c>
      <c r="AP660">
        <f>VLOOKUP(N660,'Helpful Tables'!A:B,2,FALSE)</f>
        <v>45.525092999999998</v>
      </c>
      <c r="AQ660">
        <f>VLOOKUP(N660,'Helpful Tables'!A:C,3,FALSE)</f>
        <v>-122.681383</v>
      </c>
      <c r="AR660">
        <f>COUNTIF(P$2:$P$938,P660)</f>
        <v>40</v>
      </c>
      <c r="AS660" cm="1">
        <f t="array" ref="AS660">_xlfn.IFS(E660&lt;6,((E660/D660)*60)*0.5,AND(E660&gt;=6,E660&lt;9),((E660/D660)*60)*0.75,AND(E660&gt;=9,E660&lt;=11),((E660/D660)*60)*0.9,AND(E660=12),((E660/D660)*60)*1,AND(E660&gt;=13,E660&lt;=15),((E660/D660)*60)*1.2,AND(E660&gt;=16,E660&lt;=19),((E660/D660)*60)*1.5,E660&gt;=20,((E660/D660)*60)*1.8)</f>
        <v>36</v>
      </c>
      <c r="AT660" cm="1">
        <f t="array" ref="AT660">_xlfn.IFS(F660&lt;550,((F660/D660)*60)*0.5,AND(F660&gt;=550,F660&lt;575),((F660/D660)*60)*0.75,AND(F660&gt;=575,F660&lt;600),((F660/D660)*60)*0.9,AND(F660=600),((F660/D660)*60)*1,AND(F660&gt;=601,F660&lt;=625),((F660/D660)*60)*1.2,AND(F660&gt;=626,F660&lt;=650),((F660/D660)*60)*1.5,F660&gt;=651,((F660/D660)*60)*1.8)</f>
        <v>1220.4000000000001</v>
      </c>
      <c r="AU660">
        <f t="shared" si="176"/>
        <v>10.700000000000001</v>
      </c>
      <c r="AV660">
        <f t="shared" si="191"/>
        <v>504.70000000000005</v>
      </c>
      <c r="AW660">
        <f t="shared" si="177"/>
        <v>82.1</v>
      </c>
      <c r="AX660" t="str">
        <f t="shared" si="189"/>
        <v>Jul-2024</v>
      </c>
      <c r="AY660">
        <f>ROUNDUP(Table2[[#This Row],[Month]]/3,0)</f>
        <v>3</v>
      </c>
    </row>
    <row r="661" spans="1:51" x14ac:dyDescent="0.2">
      <c r="A661">
        <v>660</v>
      </c>
      <c r="B661">
        <f t="shared" si="178"/>
        <v>15</v>
      </c>
      <c r="C661" s="22">
        <v>45482</v>
      </c>
      <c r="D661">
        <f>SUM(Table2[[#This Row],[Gray Min]:[Red Min]])</f>
        <v>64</v>
      </c>
      <c r="E661">
        <v>19</v>
      </c>
      <c r="F661">
        <v>646</v>
      </c>
      <c r="G661">
        <v>121</v>
      </c>
      <c r="H661">
        <v>169</v>
      </c>
      <c r="I661">
        <v>25</v>
      </c>
      <c r="J661">
        <v>8</v>
      </c>
      <c r="K661">
        <v>12</v>
      </c>
      <c r="L661">
        <v>15</v>
      </c>
      <c r="M661">
        <v>4</v>
      </c>
      <c r="N661" t="s">
        <v>125</v>
      </c>
      <c r="O661" t="s">
        <v>127</v>
      </c>
      <c r="P661" t="s">
        <v>220</v>
      </c>
      <c r="Q661">
        <f t="shared" si="190"/>
        <v>2</v>
      </c>
      <c r="R661" t="str">
        <f t="shared" si="179"/>
        <v>7-2024</v>
      </c>
      <c r="S661" t="s">
        <v>104</v>
      </c>
      <c r="T661" t="str">
        <f t="shared" si="180"/>
        <v>Tuesday</v>
      </c>
      <c r="U661">
        <f t="shared" si="181"/>
        <v>1</v>
      </c>
      <c r="V661" s="24">
        <f>IFERROR(Table2[[#This Row],[Gray Min]]/Table2[[#This Row],[ClassLength]],"")</f>
        <v>0.390625</v>
      </c>
      <c r="W661" s="24">
        <f>IFERROR(Table2[[#This Row],[Blue Min]]/Table2[[#This Row],[ClassLength]],"")</f>
        <v>0.125</v>
      </c>
      <c r="X661" s="24">
        <f>IFERROR(Table2[[#This Row],[Green Min]]/Table2[[#This Row],[ClassLength]],"")</f>
        <v>0.1875</v>
      </c>
      <c r="Y661" s="24">
        <f>IFERROR(Table2[[#This Row],[Orange Min]]/Table2[[#This Row],[ClassLength]],"")</f>
        <v>0.234375</v>
      </c>
      <c r="Z661" s="24">
        <f>IFERROR(Table2[[#This Row],[Red Min]]/Table2[[#This Row],[ClassLength]],"")</f>
        <v>6.25E-2</v>
      </c>
      <c r="AA661" s="25">
        <v>169</v>
      </c>
      <c r="AB661" s="25">
        <f t="shared" si="192"/>
        <v>11.266666666666667</v>
      </c>
      <c r="AC661" s="26">
        <f t="shared" si="182"/>
        <v>627</v>
      </c>
      <c r="AD661" s="26">
        <f t="shared" si="183"/>
        <v>14.8</v>
      </c>
      <c r="AE661">
        <f t="shared" si="184"/>
        <v>2024</v>
      </c>
      <c r="AG661">
        <v>12</v>
      </c>
      <c r="AH661" s="26">
        <f t="shared" si="185"/>
        <v>10.09375</v>
      </c>
      <c r="AI661" t="str">
        <f t="shared" si="186"/>
        <v>PM</v>
      </c>
      <c r="AJ661" t="str">
        <f t="shared" si="187"/>
        <v>7-2024-2</v>
      </c>
      <c r="AK661">
        <f t="shared" si="188"/>
        <v>7</v>
      </c>
      <c r="AL661" s="26">
        <f>IFERROR(Table2[[#This Row],[Calories]]/Table2[[#This Row],[Splat]],"")</f>
        <v>34</v>
      </c>
      <c r="AM661">
        <f>COUNTIF(N$2:$N$938,N661)</f>
        <v>258</v>
      </c>
      <c r="AN661" t="str">
        <f>VLOOKUP(N661,'Helpful Tables'!A:D,4,FALSE)</f>
        <v>Oregon</v>
      </c>
      <c r="AO661" s="24">
        <f>COUNTIF(AN:AN,Table2[[#This Row],[State]])/COUNTA(AN:AN)</f>
        <v>0.36140724946695096</v>
      </c>
      <c r="AP661">
        <f>VLOOKUP(N661,'Helpful Tables'!A:B,2,FALSE)</f>
        <v>45.534162000000002</v>
      </c>
      <c r="AQ661">
        <f>VLOOKUP(N661,'Helpful Tables'!A:C,3,FALSE)</f>
        <v>-122.69670000000001</v>
      </c>
      <c r="AR661">
        <f>COUNTIF(P$2:$P$938,P661)</f>
        <v>43</v>
      </c>
      <c r="AS661" cm="1">
        <f t="array" ref="AS661">_xlfn.IFS(E661&lt;6,((E661/D661)*60)*0.5,AND(E661&gt;=6,E661&lt;9),((E661/D661)*60)*0.75,AND(E661&gt;=9,E661&lt;=11),((E661/D661)*60)*0.9,AND(E661=12),((E661/D661)*60)*1,AND(E661&gt;=13,E661&lt;=15),((E661/D661)*60)*1.2,AND(E661&gt;=16,E661&lt;=19),((E661/D661)*60)*1.5,E661&gt;=20,((E661/D661)*60)*1.8)</f>
        <v>26.71875</v>
      </c>
      <c r="AT661" cm="1">
        <f t="array" ref="AT661">_xlfn.IFS(F661&lt;550,((F661/D661)*60)*0.5,AND(F661&gt;=550,F661&lt;575),((F661/D661)*60)*0.75,AND(F661&gt;=575,F661&lt;600),((F661/D661)*60)*0.9,AND(F661=600),((F661/D661)*60)*1,AND(F661&gt;=601,F661&lt;=625),((F661/D661)*60)*1.2,AND(F661&gt;=626,F661&lt;=650),((F661/D661)*60)*1.5,F661&gt;=651,((F661/D661)*60)*1.8)</f>
        <v>908.4375</v>
      </c>
      <c r="AU661">
        <f t="shared" si="176"/>
        <v>1.1000000000000014</v>
      </c>
      <c r="AV661">
        <f t="shared" si="191"/>
        <v>374.28250000000003</v>
      </c>
      <c r="AW661">
        <f t="shared" si="177"/>
        <v>43.7</v>
      </c>
      <c r="AX661" t="str">
        <f t="shared" si="189"/>
        <v>Jul-2024</v>
      </c>
      <c r="AY661">
        <f>ROUNDUP(Table2[[#This Row],[Month]]/3,0)</f>
        <v>3</v>
      </c>
    </row>
    <row r="662" spans="1:51" x14ac:dyDescent="0.2">
      <c r="A662">
        <v>661</v>
      </c>
      <c r="B662">
        <f t="shared" si="178"/>
        <v>15</v>
      </c>
      <c r="C662" s="22">
        <v>45484</v>
      </c>
      <c r="D662">
        <f>SUM(Table2[[#This Row],[Gray Min]:[Red Min]])</f>
        <v>61</v>
      </c>
      <c r="E662">
        <v>21</v>
      </c>
      <c r="F662">
        <v>657</v>
      </c>
      <c r="G662">
        <v>122</v>
      </c>
      <c r="H662">
        <v>166</v>
      </c>
      <c r="I662">
        <v>25</v>
      </c>
      <c r="J662">
        <v>10</v>
      </c>
      <c r="K662">
        <v>5</v>
      </c>
      <c r="L662">
        <v>19</v>
      </c>
      <c r="M662">
        <v>2</v>
      </c>
      <c r="N662" t="s">
        <v>125</v>
      </c>
      <c r="O662" t="s">
        <v>127</v>
      </c>
      <c r="P662" t="s">
        <v>220</v>
      </c>
      <c r="Q662">
        <f t="shared" si="190"/>
        <v>2</v>
      </c>
      <c r="R662" t="str">
        <f t="shared" si="179"/>
        <v>7-2024</v>
      </c>
      <c r="S662" t="s">
        <v>104</v>
      </c>
      <c r="T662" t="str">
        <f t="shared" si="180"/>
        <v>Thursday</v>
      </c>
      <c r="U662">
        <f t="shared" si="181"/>
        <v>1</v>
      </c>
      <c r="V662" s="24">
        <f>IFERROR(Table2[[#This Row],[Gray Min]]/Table2[[#This Row],[ClassLength]],"")</f>
        <v>0.4098360655737705</v>
      </c>
      <c r="W662" s="24">
        <f>IFERROR(Table2[[#This Row],[Blue Min]]/Table2[[#This Row],[ClassLength]],"")</f>
        <v>0.16393442622950818</v>
      </c>
      <c r="X662" s="24">
        <f>IFERROR(Table2[[#This Row],[Green Min]]/Table2[[#This Row],[ClassLength]],"")</f>
        <v>8.1967213114754092E-2</v>
      </c>
      <c r="Y662" s="24">
        <f>IFERROR(Table2[[#This Row],[Orange Min]]/Table2[[#This Row],[ClassLength]],"")</f>
        <v>0.31147540983606559</v>
      </c>
      <c r="Z662" s="24">
        <f>IFERROR(Table2[[#This Row],[Red Min]]/Table2[[#This Row],[ClassLength]],"")</f>
        <v>3.2786885245901641E-2</v>
      </c>
      <c r="AA662" s="25">
        <v>169</v>
      </c>
      <c r="AB662" s="25">
        <f t="shared" si="192"/>
        <v>11.266666666666667</v>
      </c>
      <c r="AC662" s="26">
        <f t="shared" si="182"/>
        <v>627</v>
      </c>
      <c r="AD662" s="26">
        <f t="shared" si="183"/>
        <v>14.8</v>
      </c>
      <c r="AE662">
        <f t="shared" si="184"/>
        <v>2024</v>
      </c>
      <c r="AG662">
        <v>12</v>
      </c>
      <c r="AH662" s="26">
        <f t="shared" si="185"/>
        <v>10.770491803278688</v>
      </c>
      <c r="AI662" t="str">
        <f t="shared" si="186"/>
        <v>PM</v>
      </c>
      <c r="AJ662" t="str">
        <f t="shared" si="187"/>
        <v>7-2024-2</v>
      </c>
      <c r="AK662">
        <f t="shared" si="188"/>
        <v>7</v>
      </c>
      <c r="AL662" s="26">
        <f>IFERROR(Table2[[#This Row],[Calories]]/Table2[[#This Row],[Splat]],"")</f>
        <v>31.285714285714285</v>
      </c>
      <c r="AM662">
        <f>COUNTIF(N$2:$N$938,N662)</f>
        <v>258</v>
      </c>
      <c r="AN662" t="str">
        <f>VLOOKUP(N662,'Helpful Tables'!A:D,4,FALSE)</f>
        <v>Oregon</v>
      </c>
      <c r="AO662" s="24">
        <f>COUNTIF(AN:AN,Table2[[#This Row],[State]])/COUNTA(AN:AN)</f>
        <v>0.36140724946695096</v>
      </c>
      <c r="AP662">
        <f>VLOOKUP(N662,'Helpful Tables'!A:B,2,FALSE)</f>
        <v>45.534162000000002</v>
      </c>
      <c r="AQ662">
        <f>VLOOKUP(N662,'Helpful Tables'!A:C,3,FALSE)</f>
        <v>-122.69670000000001</v>
      </c>
      <c r="AR662">
        <f>COUNTIF(P$2:$P$938,P662)</f>
        <v>43</v>
      </c>
      <c r="AS662" cm="1">
        <f t="array" ref="AS662">_xlfn.IFS(E662&lt;6,((E662/D662)*60)*0.5,AND(E662&gt;=6,E662&lt;9),((E662/D662)*60)*0.75,AND(E662&gt;=9,E662&lt;=11),((E662/D662)*60)*0.9,AND(E662=12),((E662/D662)*60)*1,AND(E662&gt;=13,E662&lt;=15),((E662/D662)*60)*1.2,AND(E662&gt;=16,E662&lt;=19),((E662/D662)*60)*1.5,E662&gt;=20,((E662/D662)*60)*1.8)</f>
        <v>37.180327868852459</v>
      </c>
      <c r="AT662" cm="1">
        <f t="array" ref="AT662">_xlfn.IFS(F662&lt;550,((F662/D662)*60)*0.5,AND(F662&gt;=550,F662&lt;575),((F662/D662)*60)*0.75,AND(F662&gt;=575,F662&lt;600),((F662/D662)*60)*0.9,AND(F662=600),((F662/D662)*60)*1,AND(F662&gt;=601,F662&lt;=625),((F662/D662)*60)*1.2,AND(F662&gt;=626,F662&lt;=650),((F662/D662)*60)*1.5,F662&gt;=651,((F662/D662)*60)*1.8)</f>
        <v>1163.2131147540983</v>
      </c>
      <c r="AU662">
        <f t="shared" si="176"/>
        <v>-7.3000000000000007</v>
      </c>
      <c r="AV662">
        <f t="shared" si="191"/>
        <v>478.69737704918037</v>
      </c>
      <c r="AW662">
        <f t="shared" si="177"/>
        <v>69.399999999999991</v>
      </c>
      <c r="AX662" t="str">
        <f t="shared" si="189"/>
        <v>Jul-2024</v>
      </c>
      <c r="AY662">
        <f>ROUNDUP(Table2[[#This Row],[Month]]/3,0)</f>
        <v>3</v>
      </c>
    </row>
    <row r="663" spans="1:51" x14ac:dyDescent="0.2">
      <c r="A663">
        <v>662</v>
      </c>
      <c r="B663">
        <f t="shared" si="178"/>
        <v>15</v>
      </c>
      <c r="C663" s="22">
        <v>45485</v>
      </c>
      <c r="D663">
        <f>SUM(Table2[[#This Row],[Gray Min]:[Red Min]])</f>
        <v>60</v>
      </c>
      <c r="E663">
        <v>14</v>
      </c>
      <c r="F663">
        <v>616</v>
      </c>
      <c r="G663">
        <v>120</v>
      </c>
      <c r="H663">
        <v>167</v>
      </c>
      <c r="I663">
        <v>22</v>
      </c>
      <c r="J663">
        <v>11</v>
      </c>
      <c r="K663">
        <v>13</v>
      </c>
      <c r="L663">
        <v>13</v>
      </c>
      <c r="M663">
        <v>1</v>
      </c>
      <c r="N663" t="s">
        <v>125</v>
      </c>
      <c r="O663" t="s">
        <v>127</v>
      </c>
      <c r="P663" t="s">
        <v>220</v>
      </c>
      <c r="Q663">
        <f t="shared" si="190"/>
        <v>1</v>
      </c>
      <c r="R663" t="str">
        <f t="shared" si="179"/>
        <v>7-2024</v>
      </c>
      <c r="S663" t="s">
        <v>117</v>
      </c>
      <c r="T663" t="str">
        <f t="shared" si="180"/>
        <v>Friday</v>
      </c>
      <c r="U663">
        <f t="shared" si="181"/>
        <v>1</v>
      </c>
      <c r="V663" s="24">
        <f>IFERROR(Table2[[#This Row],[Gray Min]]/Table2[[#This Row],[ClassLength]],"")</f>
        <v>0.36666666666666664</v>
      </c>
      <c r="W663" s="24">
        <f>IFERROR(Table2[[#This Row],[Blue Min]]/Table2[[#This Row],[ClassLength]],"")</f>
        <v>0.18333333333333332</v>
      </c>
      <c r="X663" s="24">
        <f>IFERROR(Table2[[#This Row],[Green Min]]/Table2[[#This Row],[ClassLength]],"")</f>
        <v>0.21666666666666667</v>
      </c>
      <c r="Y663" s="24">
        <f>IFERROR(Table2[[#This Row],[Orange Min]]/Table2[[#This Row],[ClassLength]],"")</f>
        <v>0.21666666666666667</v>
      </c>
      <c r="Z663" s="24">
        <f>IFERROR(Table2[[#This Row],[Red Min]]/Table2[[#This Row],[ClassLength]],"")</f>
        <v>1.6666666666666666E-2</v>
      </c>
      <c r="AA663" s="25">
        <v>169</v>
      </c>
      <c r="AB663" s="25">
        <f t="shared" si="192"/>
        <v>11.266666666666667</v>
      </c>
      <c r="AC663" s="26">
        <f t="shared" si="182"/>
        <v>627</v>
      </c>
      <c r="AD663" s="26">
        <f t="shared" si="183"/>
        <v>14.8</v>
      </c>
      <c r="AE663">
        <f t="shared" si="184"/>
        <v>2024</v>
      </c>
      <c r="AG663">
        <v>12</v>
      </c>
      <c r="AH663" s="26">
        <f t="shared" si="185"/>
        <v>10.266666666666667</v>
      </c>
      <c r="AI663" t="str">
        <f t="shared" si="186"/>
        <v>PM</v>
      </c>
      <c r="AJ663" t="str">
        <f t="shared" si="187"/>
        <v>7-2024-2</v>
      </c>
      <c r="AK663">
        <f t="shared" si="188"/>
        <v>7</v>
      </c>
      <c r="AL663" s="26">
        <f>IFERROR(Table2[[#This Row],[Calories]]/Table2[[#This Row],[Splat]],"")</f>
        <v>44</v>
      </c>
      <c r="AM663">
        <f>COUNTIF(N$2:$N$938,N663)</f>
        <v>258</v>
      </c>
      <c r="AN663" t="str">
        <f>VLOOKUP(N663,'Helpful Tables'!A:D,4,FALSE)</f>
        <v>Oregon</v>
      </c>
      <c r="AO663" s="24">
        <f>COUNTIF(AN:AN,Table2[[#This Row],[State]])/COUNTA(AN:AN)</f>
        <v>0.36140724946695096</v>
      </c>
      <c r="AP663">
        <f>VLOOKUP(N663,'Helpful Tables'!A:B,2,FALSE)</f>
        <v>45.534162000000002</v>
      </c>
      <c r="AQ663">
        <f>VLOOKUP(N663,'Helpful Tables'!A:C,3,FALSE)</f>
        <v>-122.69670000000001</v>
      </c>
      <c r="AR663">
        <f>COUNTIF(P$2:$P$938,P663)</f>
        <v>43</v>
      </c>
      <c r="AS663" cm="1">
        <f t="array" ref="AS663">_xlfn.IFS(E663&lt;6,((E663/D663)*60)*0.5,AND(E663&gt;=6,E663&lt;9),((E663/D663)*60)*0.75,AND(E663&gt;=9,E663&lt;=11),((E663/D663)*60)*0.9,AND(E663=12),((E663/D663)*60)*1,AND(E663&gt;=13,E663&lt;=15),((E663/D663)*60)*1.2,AND(E663&gt;=16,E663&lt;=19),((E663/D663)*60)*1.5,E663&gt;=20,((E663/D663)*60)*1.8)</f>
        <v>16.8</v>
      </c>
      <c r="AT663" cm="1">
        <f t="array" ref="AT663">_xlfn.IFS(F663&lt;550,((F663/D663)*60)*0.5,AND(F663&gt;=550,F663&lt;575),((F663/D663)*60)*0.75,AND(F663&gt;=575,F663&lt;600),((F663/D663)*60)*0.9,AND(F663=600),((F663/D663)*60)*1,AND(F663&gt;=601,F663&lt;=625),((F663/D663)*60)*1.2,AND(F663&gt;=626,F663&lt;=650),((F663/D663)*60)*1.5,F663&gt;=651,((F663/D663)*60)*1.8)</f>
        <v>739.19999999999993</v>
      </c>
      <c r="AU663">
        <f t="shared" si="176"/>
        <v>-4.4999999999999964</v>
      </c>
      <c r="AV663">
        <f t="shared" si="191"/>
        <v>301.50000000000006</v>
      </c>
      <c r="AW663">
        <f t="shared" si="177"/>
        <v>27.1</v>
      </c>
      <c r="AX663" t="str">
        <f t="shared" si="189"/>
        <v>Jul-2024</v>
      </c>
      <c r="AY663">
        <f>ROUNDUP(Table2[[#This Row],[Month]]/3,0)</f>
        <v>3</v>
      </c>
    </row>
    <row r="664" spans="1:51" x14ac:dyDescent="0.2">
      <c r="A664">
        <v>663</v>
      </c>
      <c r="B664">
        <f t="shared" si="178"/>
        <v>15</v>
      </c>
      <c r="C664" s="22">
        <v>45487</v>
      </c>
      <c r="D664">
        <f>SUM(Table2[[#This Row],[Gray Min]:[Red Min]])</f>
        <v>60</v>
      </c>
      <c r="E664">
        <v>12</v>
      </c>
      <c r="F664">
        <v>628</v>
      </c>
      <c r="G664">
        <v>123</v>
      </c>
      <c r="H664">
        <v>169</v>
      </c>
      <c r="I664">
        <v>16</v>
      </c>
      <c r="J664">
        <v>19</v>
      </c>
      <c r="K664">
        <v>13</v>
      </c>
      <c r="L664">
        <v>10</v>
      </c>
      <c r="M664">
        <v>2</v>
      </c>
      <c r="N664" t="s">
        <v>208</v>
      </c>
      <c r="O664" t="s">
        <v>183</v>
      </c>
      <c r="P664" t="s">
        <v>209</v>
      </c>
      <c r="Q664">
        <f t="shared" si="190"/>
        <v>2</v>
      </c>
      <c r="R664" t="str">
        <f t="shared" si="179"/>
        <v>7-2024</v>
      </c>
      <c r="S664" t="s">
        <v>104</v>
      </c>
      <c r="T664" t="str">
        <f t="shared" si="180"/>
        <v>Sunday</v>
      </c>
      <c r="U664">
        <f t="shared" si="181"/>
        <v>1</v>
      </c>
      <c r="V664" s="24">
        <f>IFERROR(Table2[[#This Row],[Gray Min]]/Table2[[#This Row],[ClassLength]],"")</f>
        <v>0.26666666666666666</v>
      </c>
      <c r="W664" s="24">
        <f>IFERROR(Table2[[#This Row],[Blue Min]]/Table2[[#This Row],[ClassLength]],"")</f>
        <v>0.31666666666666665</v>
      </c>
      <c r="X664" s="24">
        <f>IFERROR(Table2[[#This Row],[Green Min]]/Table2[[#This Row],[ClassLength]],"")</f>
        <v>0.21666666666666667</v>
      </c>
      <c r="Y664" s="24">
        <f>IFERROR(Table2[[#This Row],[Orange Min]]/Table2[[#This Row],[ClassLength]],"")</f>
        <v>0.16666666666666666</v>
      </c>
      <c r="Z664" s="24">
        <f>IFERROR(Table2[[#This Row],[Red Min]]/Table2[[#This Row],[ClassLength]],"")</f>
        <v>3.3333333333333333E-2</v>
      </c>
      <c r="AA664" s="25">
        <v>169</v>
      </c>
      <c r="AB664" s="25">
        <f t="shared" si="192"/>
        <v>11.266666666666667</v>
      </c>
      <c r="AC664" s="26">
        <f t="shared" si="182"/>
        <v>627</v>
      </c>
      <c r="AD664" s="26">
        <f t="shared" si="183"/>
        <v>14.8</v>
      </c>
      <c r="AE664">
        <f t="shared" si="184"/>
        <v>2024</v>
      </c>
      <c r="AG664">
        <v>12</v>
      </c>
      <c r="AH664" s="26">
        <f t="shared" si="185"/>
        <v>10.466666666666667</v>
      </c>
      <c r="AI664" t="str">
        <f t="shared" si="186"/>
        <v>AM</v>
      </c>
      <c r="AJ664" t="str">
        <f t="shared" si="187"/>
        <v>7-2024-3</v>
      </c>
      <c r="AK664">
        <f t="shared" si="188"/>
        <v>7</v>
      </c>
      <c r="AL664" s="26">
        <f>IFERROR(Table2[[#This Row],[Calories]]/Table2[[#This Row],[Splat]],"")</f>
        <v>52.333333333333336</v>
      </c>
      <c r="AM664">
        <f>COUNTIF(N$2:$N$938,N664)</f>
        <v>78</v>
      </c>
      <c r="AN664" t="str">
        <f>VLOOKUP(N664,'Helpful Tables'!A:D,4,FALSE)</f>
        <v>Oregon</v>
      </c>
      <c r="AO664" s="24">
        <f>COUNTIF(AN:AN,Table2[[#This Row],[State]])/COUNTA(AN:AN)</f>
        <v>0.36140724946695096</v>
      </c>
      <c r="AP664">
        <f>VLOOKUP(N664,'Helpful Tables'!A:B,2,FALSE)</f>
        <v>45.525092999999998</v>
      </c>
      <c r="AQ664">
        <f>VLOOKUP(N664,'Helpful Tables'!A:C,3,FALSE)</f>
        <v>-122.681383</v>
      </c>
      <c r="AR664">
        <f>COUNTIF(P$2:$P$938,P664)</f>
        <v>20</v>
      </c>
      <c r="AS664" cm="1">
        <f t="array" ref="AS664">_xlfn.IFS(E664&lt;6,((E664/D664)*60)*0.5,AND(E664&gt;=6,E664&lt;9),((E664/D664)*60)*0.75,AND(E664&gt;=9,E664&lt;=11),((E664/D664)*60)*0.9,AND(E664=12),((E664/D664)*60)*1,AND(E664&gt;=13,E664&lt;=15),((E664/D664)*60)*1.2,AND(E664&gt;=16,E664&lt;=19),((E664/D664)*60)*1.5,E664&gt;=20,((E664/D664)*60)*1.8)</f>
        <v>12</v>
      </c>
      <c r="AT664" cm="1">
        <f t="array" ref="AT664">_xlfn.IFS(F664&lt;550,((F664/D664)*60)*0.5,AND(F664&gt;=550,F664&lt;575),((F664/D664)*60)*0.75,AND(F664&gt;=575,F664&lt;600),((F664/D664)*60)*0.9,AND(F664=600),((F664/D664)*60)*1,AND(F664&gt;=601,F664&lt;=625),((F664/D664)*60)*1.2,AND(F664&gt;=626,F664&lt;=650),((F664/D664)*60)*1.5,F664&gt;=651,((F664/D664)*60)*1.8)</f>
        <v>942</v>
      </c>
      <c r="AU664">
        <f t="shared" si="176"/>
        <v>-8.5</v>
      </c>
      <c r="AV664">
        <f t="shared" si="191"/>
        <v>379.90000000000003</v>
      </c>
      <c r="AW664">
        <f t="shared" si="177"/>
        <v>45.4</v>
      </c>
      <c r="AX664" t="str">
        <f t="shared" si="189"/>
        <v>Jul-2024</v>
      </c>
      <c r="AY664">
        <f>ROUNDUP(Table2[[#This Row],[Month]]/3,0)</f>
        <v>3</v>
      </c>
    </row>
    <row r="665" spans="1:51" x14ac:dyDescent="0.2">
      <c r="A665">
        <v>664</v>
      </c>
      <c r="B665">
        <f t="shared" si="178"/>
        <v>15</v>
      </c>
      <c r="C665" s="22">
        <v>45489</v>
      </c>
      <c r="D665">
        <f>SUM(Table2[[#This Row],[Gray Min]:[Red Min]])</f>
        <v>61</v>
      </c>
      <c r="E665">
        <v>21</v>
      </c>
      <c r="F665">
        <v>669</v>
      </c>
      <c r="G665">
        <v>124</v>
      </c>
      <c r="H665">
        <v>167</v>
      </c>
      <c r="I665">
        <v>20</v>
      </c>
      <c r="J665">
        <v>13</v>
      </c>
      <c r="K665">
        <v>7</v>
      </c>
      <c r="L665">
        <v>19</v>
      </c>
      <c r="M665">
        <v>2</v>
      </c>
      <c r="N665" t="s">
        <v>125</v>
      </c>
      <c r="O665" t="s">
        <v>127</v>
      </c>
      <c r="P665" t="s">
        <v>216</v>
      </c>
      <c r="Q665">
        <f t="shared" si="190"/>
        <v>2</v>
      </c>
      <c r="R665" t="str">
        <f t="shared" si="179"/>
        <v>7-2024</v>
      </c>
      <c r="S665" t="s">
        <v>104</v>
      </c>
      <c r="T665" t="str">
        <f t="shared" si="180"/>
        <v>Tuesday</v>
      </c>
      <c r="U665">
        <f t="shared" si="181"/>
        <v>1</v>
      </c>
      <c r="V665" s="24">
        <f>IFERROR(Table2[[#This Row],[Gray Min]]/Table2[[#This Row],[ClassLength]],"")</f>
        <v>0.32786885245901637</v>
      </c>
      <c r="W665" s="24">
        <f>IFERROR(Table2[[#This Row],[Blue Min]]/Table2[[#This Row],[ClassLength]],"")</f>
        <v>0.21311475409836064</v>
      </c>
      <c r="X665" s="24">
        <f>IFERROR(Table2[[#This Row],[Green Min]]/Table2[[#This Row],[ClassLength]],"")</f>
        <v>0.11475409836065574</v>
      </c>
      <c r="Y665" s="24">
        <f>IFERROR(Table2[[#This Row],[Orange Min]]/Table2[[#This Row],[ClassLength]],"")</f>
        <v>0.31147540983606559</v>
      </c>
      <c r="Z665" s="24">
        <f>IFERROR(Table2[[#This Row],[Red Min]]/Table2[[#This Row],[ClassLength]],"")</f>
        <v>3.2786885245901641E-2</v>
      </c>
      <c r="AA665" s="25">
        <v>169</v>
      </c>
      <c r="AB665" s="25">
        <f t="shared" si="192"/>
        <v>11.266666666666667</v>
      </c>
      <c r="AC665" s="26">
        <f t="shared" si="182"/>
        <v>627</v>
      </c>
      <c r="AD665" s="26">
        <f t="shared" si="183"/>
        <v>14.8</v>
      </c>
      <c r="AE665">
        <f t="shared" si="184"/>
        <v>2024</v>
      </c>
      <c r="AG665">
        <v>12</v>
      </c>
      <c r="AH665" s="26">
        <f t="shared" si="185"/>
        <v>10.967213114754099</v>
      </c>
      <c r="AI665" t="str">
        <f t="shared" si="186"/>
        <v>PM</v>
      </c>
      <c r="AJ665" t="str">
        <f t="shared" si="187"/>
        <v>7-2024-3</v>
      </c>
      <c r="AK665">
        <f t="shared" si="188"/>
        <v>7</v>
      </c>
      <c r="AL665" s="26">
        <f>IFERROR(Table2[[#This Row],[Calories]]/Table2[[#This Row],[Splat]],"")</f>
        <v>31.857142857142858</v>
      </c>
      <c r="AM665">
        <f>COUNTIF(N$2:$N$938,N665)</f>
        <v>258</v>
      </c>
      <c r="AN665" t="str">
        <f>VLOOKUP(N665,'Helpful Tables'!A:D,4,FALSE)</f>
        <v>Oregon</v>
      </c>
      <c r="AO665" s="24">
        <f>COUNTIF(AN:AN,Table2[[#This Row],[State]])/COUNTA(AN:AN)</f>
        <v>0.36140724946695096</v>
      </c>
      <c r="AP665">
        <f>VLOOKUP(N665,'Helpful Tables'!A:B,2,FALSE)</f>
        <v>45.534162000000002</v>
      </c>
      <c r="AQ665">
        <f>VLOOKUP(N665,'Helpful Tables'!A:C,3,FALSE)</f>
        <v>-122.69670000000001</v>
      </c>
      <c r="AR665">
        <f>COUNTIF(P$2:$P$938,P665)</f>
        <v>25</v>
      </c>
      <c r="AS665" cm="1">
        <f t="array" ref="AS665">_xlfn.IFS(E665&lt;6,((E665/D665)*60)*0.5,AND(E665&gt;=6,E665&lt;9),((E665/D665)*60)*0.75,AND(E665&gt;=9,E665&lt;=11),((E665/D665)*60)*0.9,AND(E665=12),((E665/D665)*60)*1,AND(E665&gt;=13,E665&lt;=15),((E665/D665)*60)*1.2,AND(E665&gt;=16,E665&lt;=19),((E665/D665)*60)*1.5,E665&gt;=20,((E665/D665)*60)*1.8)</f>
        <v>37.180327868852459</v>
      </c>
      <c r="AT665" cm="1">
        <f t="array" ref="AT665">_xlfn.IFS(F665&lt;550,((F665/D665)*60)*0.5,AND(F665&gt;=550,F665&lt;575),((F665/D665)*60)*0.75,AND(F665&gt;=575,F665&lt;600),((F665/D665)*60)*0.9,AND(F665=600),((F665/D665)*60)*1,AND(F665&gt;=601,F665&lt;=625),((F665/D665)*60)*1.2,AND(F665&gt;=626,F665&lt;=650),((F665/D665)*60)*1.5,F665&gt;=651,((F665/D665)*60)*1.8)</f>
        <v>1184.4590163934429</v>
      </c>
      <c r="AU665">
        <f t="shared" si="176"/>
        <v>-2.1999999999999993</v>
      </c>
      <c r="AV665">
        <f t="shared" si="191"/>
        <v>488.21573770491818</v>
      </c>
      <c r="AW665">
        <f t="shared" si="177"/>
        <v>72.599999999999994</v>
      </c>
      <c r="AX665" t="str">
        <f t="shared" si="189"/>
        <v>Jul-2024</v>
      </c>
      <c r="AY665">
        <f>ROUNDUP(Table2[[#This Row],[Month]]/3,0)</f>
        <v>3</v>
      </c>
    </row>
    <row r="666" spans="1:51" x14ac:dyDescent="0.2">
      <c r="A666">
        <v>665</v>
      </c>
      <c r="B666">
        <f t="shared" si="178"/>
        <v>15</v>
      </c>
      <c r="C666" s="22">
        <v>45492</v>
      </c>
      <c r="D666">
        <f>SUM(Table2[[#This Row],[Gray Min]:[Red Min]])</f>
        <v>59</v>
      </c>
      <c r="E666">
        <v>20</v>
      </c>
      <c r="F666">
        <v>667</v>
      </c>
      <c r="G666">
        <v>128</v>
      </c>
      <c r="H666">
        <v>166</v>
      </c>
      <c r="I666">
        <v>16</v>
      </c>
      <c r="J666">
        <v>11</v>
      </c>
      <c r="K666">
        <v>12</v>
      </c>
      <c r="L666">
        <v>17</v>
      </c>
      <c r="M666">
        <v>3</v>
      </c>
      <c r="N666" t="s">
        <v>208</v>
      </c>
      <c r="O666" t="s">
        <v>83</v>
      </c>
      <c r="P666" t="s">
        <v>209</v>
      </c>
      <c r="Q666">
        <f t="shared" si="190"/>
        <v>3</v>
      </c>
      <c r="R666" t="str">
        <f t="shared" si="179"/>
        <v>7-2024</v>
      </c>
      <c r="S666" t="s">
        <v>104</v>
      </c>
      <c r="T666" t="str">
        <f t="shared" si="180"/>
        <v>Friday</v>
      </c>
      <c r="U666">
        <f t="shared" si="181"/>
        <v>1</v>
      </c>
      <c r="V666" s="24">
        <f>IFERROR(Table2[[#This Row],[Gray Min]]/Table2[[#This Row],[ClassLength]],"")</f>
        <v>0.2711864406779661</v>
      </c>
      <c r="W666" s="24">
        <f>IFERROR(Table2[[#This Row],[Blue Min]]/Table2[[#This Row],[ClassLength]],"")</f>
        <v>0.1864406779661017</v>
      </c>
      <c r="X666" s="24">
        <f>IFERROR(Table2[[#This Row],[Green Min]]/Table2[[#This Row],[ClassLength]],"")</f>
        <v>0.20338983050847459</v>
      </c>
      <c r="Y666" s="24">
        <f>IFERROR(Table2[[#This Row],[Orange Min]]/Table2[[#This Row],[ClassLength]],"")</f>
        <v>0.28813559322033899</v>
      </c>
      <c r="Z666" s="24">
        <f>IFERROR(Table2[[#This Row],[Red Min]]/Table2[[#This Row],[ClassLength]],"")</f>
        <v>5.0847457627118647E-2</v>
      </c>
      <c r="AA666" s="25">
        <v>169</v>
      </c>
      <c r="AB666" s="25">
        <f t="shared" si="192"/>
        <v>11.266666666666667</v>
      </c>
      <c r="AC666" s="26">
        <f t="shared" si="182"/>
        <v>627</v>
      </c>
      <c r="AD666" s="26">
        <f t="shared" si="183"/>
        <v>14.8</v>
      </c>
      <c r="AE666">
        <f t="shared" si="184"/>
        <v>2024</v>
      </c>
      <c r="AG666">
        <v>12</v>
      </c>
      <c r="AH666" s="26">
        <f t="shared" si="185"/>
        <v>11.305084745762711</v>
      </c>
      <c r="AI666" t="str">
        <f t="shared" si="186"/>
        <v>PM</v>
      </c>
      <c r="AJ666" t="str">
        <f t="shared" si="187"/>
        <v>7-2024-3</v>
      </c>
      <c r="AK666">
        <f t="shared" si="188"/>
        <v>7</v>
      </c>
      <c r="AL666" s="26">
        <f>IFERROR(Table2[[#This Row],[Calories]]/Table2[[#This Row],[Splat]],"")</f>
        <v>33.35</v>
      </c>
      <c r="AM666">
        <f>COUNTIF(N$2:$N$938,N666)</f>
        <v>78</v>
      </c>
      <c r="AN666" t="str">
        <f>VLOOKUP(N666,'Helpful Tables'!A:D,4,FALSE)</f>
        <v>Oregon</v>
      </c>
      <c r="AO666" s="24">
        <f>COUNTIF(AN:AN,Table2[[#This Row],[State]])/COUNTA(AN:AN)</f>
        <v>0.36140724946695096</v>
      </c>
      <c r="AP666">
        <f>VLOOKUP(N666,'Helpful Tables'!A:B,2,FALSE)</f>
        <v>45.525092999999998</v>
      </c>
      <c r="AQ666">
        <f>VLOOKUP(N666,'Helpful Tables'!A:C,3,FALSE)</f>
        <v>-122.681383</v>
      </c>
      <c r="AR666">
        <f>COUNTIF(P$2:$P$938,P666)</f>
        <v>20</v>
      </c>
      <c r="AS666" cm="1">
        <f t="array" ref="AS666">_xlfn.IFS(E666&lt;6,((E666/D666)*60)*0.5,AND(E666&gt;=6,E666&lt;9),((E666/D666)*60)*0.75,AND(E666&gt;=9,E666&lt;=11),((E666/D666)*60)*0.9,AND(E666=12),((E666/D666)*60)*1,AND(E666&gt;=13,E666&lt;=15),((E666/D666)*60)*1.2,AND(E666&gt;=16,E666&lt;=19),((E666/D666)*60)*1.5,E666&gt;=20,((E666/D666)*60)*1.8)</f>
        <v>36.610169491525426</v>
      </c>
      <c r="AT666" cm="1">
        <f t="array" ref="AT666">_xlfn.IFS(F666&lt;550,((F666/D666)*60)*0.5,AND(F666&gt;=550,F666&lt;575),((F666/D666)*60)*0.75,AND(F666&gt;=575,F666&lt;600),((F666/D666)*60)*0.9,AND(F666=600),((F666/D666)*60)*1,AND(F666&gt;=601,F666&lt;=625),((F666/D666)*60)*1.2,AND(F666&gt;=626,F666&lt;=650),((F666/D666)*60)*1.5,F666&gt;=651,((F666/D666)*60)*1.8)</f>
        <v>1220.9491525423728</v>
      </c>
      <c r="AU666">
        <f t="shared" si="176"/>
        <v>9.6999999999999993</v>
      </c>
      <c r="AV666">
        <f t="shared" si="191"/>
        <v>504.96372881355927</v>
      </c>
      <c r="AW666">
        <f t="shared" si="177"/>
        <v>82.5</v>
      </c>
      <c r="AX666" t="str">
        <f t="shared" si="189"/>
        <v>Jul-2024</v>
      </c>
      <c r="AY666">
        <f>ROUNDUP(Table2[[#This Row],[Month]]/3,0)</f>
        <v>3</v>
      </c>
    </row>
    <row r="667" spans="1:51" x14ac:dyDescent="0.2">
      <c r="A667">
        <v>666</v>
      </c>
      <c r="B667">
        <f t="shared" si="178"/>
        <v>15</v>
      </c>
      <c r="C667" s="22">
        <v>45493</v>
      </c>
      <c r="D667">
        <f>SUM(Table2[[#This Row],[Gray Min]:[Red Min]])</f>
        <v>59</v>
      </c>
      <c r="E667">
        <v>9</v>
      </c>
      <c r="F667">
        <v>562</v>
      </c>
      <c r="G667">
        <v>116</v>
      </c>
      <c r="H667">
        <v>159</v>
      </c>
      <c r="I667">
        <v>21</v>
      </c>
      <c r="J667">
        <v>16</v>
      </c>
      <c r="K667">
        <v>13</v>
      </c>
      <c r="L667">
        <v>9</v>
      </c>
      <c r="M667">
        <v>0</v>
      </c>
      <c r="N667" t="s">
        <v>125</v>
      </c>
      <c r="O667" t="s">
        <v>159</v>
      </c>
      <c r="P667" t="s">
        <v>221</v>
      </c>
      <c r="Q667">
        <f t="shared" si="190"/>
        <v>1</v>
      </c>
      <c r="R667" t="str">
        <f t="shared" si="179"/>
        <v>7-2024</v>
      </c>
      <c r="S667" t="s">
        <v>117</v>
      </c>
      <c r="T667" t="str">
        <f t="shared" si="180"/>
        <v>Saturday</v>
      </c>
      <c r="U667">
        <f t="shared" si="181"/>
        <v>0</v>
      </c>
      <c r="V667" s="24">
        <f>IFERROR(Table2[[#This Row],[Gray Min]]/Table2[[#This Row],[ClassLength]],"")</f>
        <v>0.3559322033898305</v>
      </c>
      <c r="W667" s="24">
        <f>IFERROR(Table2[[#This Row],[Blue Min]]/Table2[[#This Row],[ClassLength]],"")</f>
        <v>0.2711864406779661</v>
      </c>
      <c r="X667" s="24">
        <f>IFERROR(Table2[[#This Row],[Green Min]]/Table2[[#This Row],[ClassLength]],"")</f>
        <v>0.22033898305084745</v>
      </c>
      <c r="Y667" s="24">
        <f>IFERROR(Table2[[#This Row],[Orange Min]]/Table2[[#This Row],[ClassLength]],"")</f>
        <v>0.15254237288135594</v>
      </c>
      <c r="Z667" s="24">
        <f>IFERROR(Table2[[#This Row],[Red Min]]/Table2[[#This Row],[ClassLength]],"")</f>
        <v>0</v>
      </c>
      <c r="AA667" s="25">
        <v>169</v>
      </c>
      <c r="AB667" s="25">
        <f t="shared" si="192"/>
        <v>11.266666666666667</v>
      </c>
      <c r="AC667" s="26">
        <f t="shared" si="182"/>
        <v>627</v>
      </c>
      <c r="AD667" s="26">
        <f t="shared" si="183"/>
        <v>14.8</v>
      </c>
      <c r="AE667">
        <f t="shared" si="184"/>
        <v>2024</v>
      </c>
      <c r="AG667">
        <v>12</v>
      </c>
      <c r="AH667" s="26">
        <f t="shared" si="185"/>
        <v>9.5254237288135588</v>
      </c>
      <c r="AI667" t="str">
        <f t="shared" si="186"/>
        <v>AM</v>
      </c>
      <c r="AJ667" t="str">
        <f t="shared" si="187"/>
        <v>7-2024-3</v>
      </c>
      <c r="AK667">
        <f t="shared" si="188"/>
        <v>7</v>
      </c>
      <c r="AL667" s="26">
        <f>IFERROR(Table2[[#This Row],[Calories]]/Table2[[#This Row],[Splat]],"")</f>
        <v>62.444444444444443</v>
      </c>
      <c r="AM667">
        <f>COUNTIF(N$2:$N$938,N667)</f>
        <v>258</v>
      </c>
      <c r="AN667" t="str">
        <f>VLOOKUP(N667,'Helpful Tables'!A:D,4,FALSE)</f>
        <v>Oregon</v>
      </c>
      <c r="AO667" s="24">
        <f>COUNTIF(AN:AN,Table2[[#This Row],[State]])/COUNTA(AN:AN)</f>
        <v>0.36140724946695096</v>
      </c>
      <c r="AP667">
        <f>VLOOKUP(N667,'Helpful Tables'!A:B,2,FALSE)</f>
        <v>45.534162000000002</v>
      </c>
      <c r="AQ667">
        <f>VLOOKUP(N667,'Helpful Tables'!A:C,3,FALSE)</f>
        <v>-122.69670000000001</v>
      </c>
      <c r="AR667">
        <f>COUNTIF(P$2:$P$938,P667)</f>
        <v>1</v>
      </c>
      <c r="AS667" cm="1">
        <f t="array" ref="AS667">_xlfn.IFS(E667&lt;6,((E667/D667)*60)*0.5,AND(E667&gt;=6,E667&lt;9),((E667/D667)*60)*0.75,AND(E667&gt;=9,E667&lt;=11),((E667/D667)*60)*0.9,AND(E667=12),((E667/D667)*60)*1,AND(E667&gt;=13,E667&lt;=15),((E667/D667)*60)*1.2,AND(E667&gt;=16,E667&lt;=19),((E667/D667)*60)*1.5,E667&gt;=20,((E667/D667)*60)*1.8)</f>
        <v>8.2372881355932215</v>
      </c>
      <c r="AT667" cm="1">
        <f t="array" ref="AT667">_xlfn.IFS(F667&lt;550,((F667/D667)*60)*0.5,AND(F667&gt;=550,F667&lt;575),((F667/D667)*60)*0.75,AND(F667&gt;=575,F667&lt;600),((F667/D667)*60)*0.9,AND(F667=600),((F667/D667)*60)*1,AND(F667&gt;=601,F667&lt;=625),((F667/D667)*60)*1.2,AND(F667&gt;=626,F667&lt;=650),((F667/D667)*60)*1.5,F667&gt;=651,((F667/D667)*60)*1.8)</f>
        <v>428.6440677966101</v>
      </c>
      <c r="AU667">
        <f t="shared" si="176"/>
        <v>-15.499999999999995</v>
      </c>
      <c r="AV667">
        <f t="shared" si="191"/>
        <v>171.65254237288133</v>
      </c>
      <c r="AW667">
        <f t="shared" si="177"/>
        <v>8.3000000000000007</v>
      </c>
      <c r="AX667" t="str">
        <f t="shared" si="189"/>
        <v>Jul-2024</v>
      </c>
      <c r="AY667">
        <f>ROUNDUP(Table2[[#This Row],[Month]]/3,0)</f>
        <v>3</v>
      </c>
    </row>
    <row r="668" spans="1:51" x14ac:dyDescent="0.2">
      <c r="A668">
        <v>667</v>
      </c>
      <c r="B668">
        <f t="shared" si="178"/>
        <v>15</v>
      </c>
      <c r="C668" s="22">
        <v>45495</v>
      </c>
      <c r="D668">
        <f>SUM(Table2[[#This Row],[Gray Min]:[Red Min]])</f>
        <v>59</v>
      </c>
      <c r="E668">
        <v>12</v>
      </c>
      <c r="F668">
        <v>603</v>
      </c>
      <c r="G668">
        <v>122</v>
      </c>
      <c r="H668">
        <v>168</v>
      </c>
      <c r="I668">
        <v>19</v>
      </c>
      <c r="J668">
        <v>13</v>
      </c>
      <c r="K668">
        <v>15</v>
      </c>
      <c r="L668">
        <v>11</v>
      </c>
      <c r="M668">
        <v>1</v>
      </c>
      <c r="N668" t="s">
        <v>125</v>
      </c>
      <c r="O668" t="s">
        <v>127</v>
      </c>
      <c r="P668" t="s">
        <v>217</v>
      </c>
      <c r="Q668">
        <f t="shared" si="190"/>
        <v>2</v>
      </c>
      <c r="R668" t="str">
        <f t="shared" si="179"/>
        <v>7-2024</v>
      </c>
      <c r="S668" t="s">
        <v>104</v>
      </c>
      <c r="T668" t="str">
        <f t="shared" si="180"/>
        <v>Monday</v>
      </c>
      <c r="U668">
        <f t="shared" si="181"/>
        <v>1</v>
      </c>
      <c r="V668" s="24">
        <f>IFERROR(Table2[[#This Row],[Gray Min]]/Table2[[#This Row],[ClassLength]],"")</f>
        <v>0.32203389830508472</v>
      </c>
      <c r="W668" s="24">
        <f>IFERROR(Table2[[#This Row],[Blue Min]]/Table2[[#This Row],[ClassLength]],"")</f>
        <v>0.22033898305084745</v>
      </c>
      <c r="X668" s="24">
        <f>IFERROR(Table2[[#This Row],[Green Min]]/Table2[[#This Row],[ClassLength]],"")</f>
        <v>0.25423728813559321</v>
      </c>
      <c r="Y668" s="24">
        <f>IFERROR(Table2[[#This Row],[Orange Min]]/Table2[[#This Row],[ClassLength]],"")</f>
        <v>0.1864406779661017</v>
      </c>
      <c r="Z668" s="24">
        <f>IFERROR(Table2[[#This Row],[Red Min]]/Table2[[#This Row],[ClassLength]],"")</f>
        <v>1.6949152542372881E-2</v>
      </c>
      <c r="AA668" s="25">
        <v>169</v>
      </c>
      <c r="AB668" s="25">
        <f t="shared" si="192"/>
        <v>11.266666666666667</v>
      </c>
      <c r="AC668" s="26">
        <f t="shared" si="182"/>
        <v>627</v>
      </c>
      <c r="AD668" s="26">
        <f t="shared" si="183"/>
        <v>14.8</v>
      </c>
      <c r="AE668">
        <f t="shared" si="184"/>
        <v>2024</v>
      </c>
      <c r="AG668">
        <v>12</v>
      </c>
      <c r="AH668" s="26">
        <f t="shared" si="185"/>
        <v>10.220338983050848</v>
      </c>
      <c r="AI668" t="str">
        <f t="shared" si="186"/>
        <v>PM</v>
      </c>
      <c r="AJ668" t="str">
        <f t="shared" si="187"/>
        <v>7-2024-4</v>
      </c>
      <c r="AK668">
        <f t="shared" si="188"/>
        <v>7</v>
      </c>
      <c r="AL668" s="26">
        <f>IFERROR(Table2[[#This Row],[Calories]]/Table2[[#This Row],[Splat]],"")</f>
        <v>50.25</v>
      </c>
      <c r="AM668">
        <f>COUNTIF(N$2:$N$938,N668)</f>
        <v>258</v>
      </c>
      <c r="AN668" t="str">
        <f>VLOOKUP(N668,'Helpful Tables'!A:D,4,FALSE)</f>
        <v>Oregon</v>
      </c>
      <c r="AO668" s="24">
        <f>COUNTIF(AN:AN,Table2[[#This Row],[State]])/COUNTA(AN:AN)</f>
        <v>0.36140724946695096</v>
      </c>
      <c r="AP668">
        <f>VLOOKUP(N668,'Helpful Tables'!A:B,2,FALSE)</f>
        <v>45.534162000000002</v>
      </c>
      <c r="AQ668">
        <f>VLOOKUP(N668,'Helpful Tables'!A:C,3,FALSE)</f>
        <v>-122.69670000000001</v>
      </c>
      <c r="AR668">
        <f>COUNTIF(P$2:$P$938,P668)</f>
        <v>7</v>
      </c>
      <c r="AS668" cm="1">
        <f t="array" ref="AS668">_xlfn.IFS(E668&lt;6,((E668/D668)*60)*0.5,AND(E668&gt;=6,E668&lt;9),((E668/D668)*60)*0.75,AND(E668&gt;=9,E668&lt;=11),((E668/D668)*60)*0.9,AND(E668=12),((E668/D668)*60)*1,AND(E668&gt;=13,E668&lt;=15),((E668/D668)*60)*1.2,AND(E668&gt;=16,E668&lt;=19),((E668/D668)*60)*1.5,E668&gt;=20,((E668/D668)*60)*1.8)</f>
        <v>12.203389830508476</v>
      </c>
      <c r="AT668" cm="1">
        <f t="array" ref="AT668">_xlfn.IFS(F668&lt;550,((F668/D668)*60)*0.5,AND(F668&gt;=550,F668&lt;575),((F668/D668)*60)*0.75,AND(F668&gt;=575,F668&lt;600),((F668/D668)*60)*0.9,AND(F668=600),((F668/D668)*60)*1,AND(F668&gt;=601,F668&lt;=625),((F668/D668)*60)*1.2,AND(F668&gt;=626,F668&lt;=650),((F668/D668)*60)*1.5,F668&gt;=651,((F668/D668)*60)*1.8)</f>
        <v>735.86440677966095</v>
      </c>
      <c r="AU668">
        <f t="shared" si="176"/>
        <v>-3.3000000000000007</v>
      </c>
      <c r="AV668">
        <f t="shared" si="191"/>
        <v>298.56711864406776</v>
      </c>
      <c r="AW668">
        <f t="shared" si="177"/>
        <v>26.400000000000002</v>
      </c>
      <c r="AX668" t="str">
        <f t="shared" si="189"/>
        <v>Jul-2024</v>
      </c>
      <c r="AY668">
        <f>ROUNDUP(Table2[[#This Row],[Month]]/3,0)</f>
        <v>3</v>
      </c>
    </row>
    <row r="669" spans="1:51" x14ac:dyDescent="0.2">
      <c r="A669">
        <v>668</v>
      </c>
      <c r="B669">
        <f t="shared" si="178"/>
        <v>15</v>
      </c>
      <c r="C669" s="22">
        <v>45497</v>
      </c>
      <c r="D669">
        <f>SUM(Table2[[#This Row],[Gray Min]:[Red Min]])</f>
        <v>61</v>
      </c>
      <c r="E669">
        <v>16</v>
      </c>
      <c r="F669">
        <v>609</v>
      </c>
      <c r="G669">
        <v>120</v>
      </c>
      <c r="H669">
        <v>159</v>
      </c>
      <c r="I669">
        <v>21</v>
      </c>
      <c r="J669">
        <v>14</v>
      </c>
      <c r="K669">
        <v>10</v>
      </c>
      <c r="L669">
        <v>16</v>
      </c>
      <c r="M669">
        <v>0</v>
      </c>
      <c r="N669" t="s">
        <v>125</v>
      </c>
      <c r="O669" t="s">
        <v>127</v>
      </c>
      <c r="P669" t="s">
        <v>220</v>
      </c>
      <c r="Q669">
        <f t="shared" si="190"/>
        <v>2</v>
      </c>
      <c r="R669" t="str">
        <f t="shared" si="179"/>
        <v>7-2024</v>
      </c>
      <c r="S669" t="s">
        <v>104</v>
      </c>
      <c r="T669" t="str">
        <f t="shared" si="180"/>
        <v>Wednesday</v>
      </c>
      <c r="U669">
        <f t="shared" si="181"/>
        <v>1</v>
      </c>
      <c r="V669" s="24">
        <f>IFERROR(Table2[[#This Row],[Gray Min]]/Table2[[#This Row],[ClassLength]],"")</f>
        <v>0.34426229508196721</v>
      </c>
      <c r="W669" s="24">
        <f>IFERROR(Table2[[#This Row],[Blue Min]]/Table2[[#This Row],[ClassLength]],"")</f>
        <v>0.22950819672131148</v>
      </c>
      <c r="X669" s="24">
        <f>IFERROR(Table2[[#This Row],[Green Min]]/Table2[[#This Row],[ClassLength]],"")</f>
        <v>0.16393442622950818</v>
      </c>
      <c r="Y669" s="24">
        <f>IFERROR(Table2[[#This Row],[Orange Min]]/Table2[[#This Row],[ClassLength]],"")</f>
        <v>0.26229508196721313</v>
      </c>
      <c r="Z669" s="24">
        <f>IFERROR(Table2[[#This Row],[Red Min]]/Table2[[#This Row],[ClassLength]],"")</f>
        <v>0</v>
      </c>
      <c r="AA669" s="25">
        <v>169</v>
      </c>
      <c r="AB669" s="25">
        <f t="shared" si="192"/>
        <v>11.266666666666667</v>
      </c>
      <c r="AC669" s="26">
        <f t="shared" si="182"/>
        <v>627</v>
      </c>
      <c r="AD669" s="26">
        <f t="shared" si="183"/>
        <v>14.8</v>
      </c>
      <c r="AE669">
        <f t="shared" si="184"/>
        <v>2024</v>
      </c>
      <c r="AG669">
        <v>12</v>
      </c>
      <c r="AH669" s="26">
        <f t="shared" si="185"/>
        <v>9.9836065573770494</v>
      </c>
      <c r="AI669" t="str">
        <f t="shared" si="186"/>
        <v>PM</v>
      </c>
      <c r="AJ669" t="str">
        <f t="shared" si="187"/>
        <v>7-2024-4</v>
      </c>
      <c r="AK669">
        <f t="shared" si="188"/>
        <v>7</v>
      </c>
      <c r="AL669" s="26">
        <f>IFERROR(Table2[[#This Row],[Calories]]/Table2[[#This Row],[Splat]],"")</f>
        <v>38.0625</v>
      </c>
      <c r="AM669">
        <f>COUNTIF(N$2:$N$938,N669)</f>
        <v>258</v>
      </c>
      <c r="AN669" t="str">
        <f>VLOOKUP(N669,'Helpful Tables'!A:D,4,FALSE)</f>
        <v>Oregon</v>
      </c>
      <c r="AO669" s="24">
        <f>COUNTIF(AN:AN,Table2[[#This Row],[State]])/COUNTA(AN:AN)</f>
        <v>0.36140724946695096</v>
      </c>
      <c r="AP669">
        <f>VLOOKUP(N669,'Helpful Tables'!A:B,2,FALSE)</f>
        <v>45.534162000000002</v>
      </c>
      <c r="AQ669">
        <f>VLOOKUP(N669,'Helpful Tables'!A:C,3,FALSE)</f>
        <v>-122.69670000000001</v>
      </c>
      <c r="AR669">
        <f>COUNTIF(P$2:$P$938,P669)</f>
        <v>43</v>
      </c>
      <c r="AS669" cm="1">
        <f t="array" ref="AS669">_xlfn.IFS(E669&lt;6,((E669/D669)*60)*0.5,AND(E669&gt;=6,E669&lt;9),((E669/D669)*60)*0.75,AND(E669&gt;=9,E669&lt;=11),((E669/D669)*60)*0.9,AND(E669=12),((E669/D669)*60)*1,AND(E669&gt;=13,E669&lt;=15),((E669/D669)*60)*1.2,AND(E669&gt;=16,E669&lt;=19),((E669/D669)*60)*1.5,E669&gt;=20,((E669/D669)*60)*1.8)</f>
        <v>23.606557377049182</v>
      </c>
      <c r="AT669" cm="1">
        <f t="array" ref="AT669">_xlfn.IFS(F669&lt;550,((F669/D669)*60)*0.5,AND(F669&gt;=550,F669&lt;575),((F669/D669)*60)*0.75,AND(F669&gt;=575,F669&lt;600),((F669/D669)*60)*0.9,AND(F669=600),((F669/D669)*60)*1,AND(F669&gt;=601,F669&lt;=625),((F669/D669)*60)*1.2,AND(F669&gt;=626,F669&lt;=650),((F669/D669)*60)*1.5,F669&gt;=651,((F669/D669)*60)*1.8)</f>
        <v>718.81967213114751</v>
      </c>
      <c r="AU669">
        <f t="shared" si="176"/>
        <v>-7.8000000000000007</v>
      </c>
      <c r="AV669">
        <f t="shared" si="191"/>
        <v>295.41049180327866</v>
      </c>
      <c r="AW669">
        <f t="shared" si="177"/>
        <v>25.5</v>
      </c>
      <c r="AX669" t="str">
        <f t="shared" si="189"/>
        <v>Jul-2024</v>
      </c>
      <c r="AY669">
        <f>ROUNDUP(Table2[[#This Row],[Month]]/3,0)</f>
        <v>3</v>
      </c>
    </row>
    <row r="670" spans="1:51" x14ac:dyDescent="0.2">
      <c r="A670">
        <v>669</v>
      </c>
      <c r="B670">
        <f t="shared" si="178"/>
        <v>15</v>
      </c>
      <c r="C670" s="22">
        <v>45501</v>
      </c>
      <c r="D670">
        <f>SUM(Table2[[#This Row],[Gray Min]:[Red Min]])</f>
        <v>62</v>
      </c>
      <c r="E670">
        <v>13</v>
      </c>
      <c r="F670">
        <v>642</v>
      </c>
      <c r="G670">
        <v>123</v>
      </c>
      <c r="H670">
        <v>168</v>
      </c>
      <c r="I670">
        <v>17</v>
      </c>
      <c r="J670">
        <v>15</v>
      </c>
      <c r="K670">
        <v>17</v>
      </c>
      <c r="L670">
        <v>12</v>
      </c>
      <c r="M670">
        <v>1</v>
      </c>
      <c r="N670" t="s">
        <v>125</v>
      </c>
      <c r="O670" t="s">
        <v>159</v>
      </c>
      <c r="P670" t="s">
        <v>222</v>
      </c>
      <c r="Q670">
        <f t="shared" si="190"/>
        <v>4</v>
      </c>
      <c r="R670" t="str">
        <f t="shared" si="179"/>
        <v>7-2024</v>
      </c>
      <c r="S670" t="s">
        <v>117</v>
      </c>
      <c r="T670" t="str">
        <f t="shared" si="180"/>
        <v>Sunday</v>
      </c>
      <c r="U670">
        <f t="shared" si="181"/>
        <v>1</v>
      </c>
      <c r="V670" s="24">
        <f>IFERROR(Table2[[#This Row],[Gray Min]]/Table2[[#This Row],[ClassLength]],"")</f>
        <v>0.27419354838709675</v>
      </c>
      <c r="W670" s="24">
        <f>IFERROR(Table2[[#This Row],[Blue Min]]/Table2[[#This Row],[ClassLength]],"")</f>
        <v>0.24193548387096775</v>
      </c>
      <c r="X670" s="24">
        <f>IFERROR(Table2[[#This Row],[Green Min]]/Table2[[#This Row],[ClassLength]],"")</f>
        <v>0.27419354838709675</v>
      </c>
      <c r="Y670" s="24">
        <f>IFERROR(Table2[[#This Row],[Orange Min]]/Table2[[#This Row],[ClassLength]],"")</f>
        <v>0.19354838709677419</v>
      </c>
      <c r="Z670" s="24">
        <f>IFERROR(Table2[[#This Row],[Red Min]]/Table2[[#This Row],[ClassLength]],"")</f>
        <v>1.6129032258064516E-2</v>
      </c>
      <c r="AA670" s="25">
        <v>169</v>
      </c>
      <c r="AB670" s="25">
        <f t="shared" si="192"/>
        <v>11.266666666666667</v>
      </c>
      <c r="AC670" s="26">
        <f t="shared" si="182"/>
        <v>627</v>
      </c>
      <c r="AD670" s="26">
        <f t="shared" si="183"/>
        <v>14.8</v>
      </c>
      <c r="AE670">
        <f t="shared" si="184"/>
        <v>2024</v>
      </c>
      <c r="AG670">
        <v>12</v>
      </c>
      <c r="AH670" s="26">
        <f t="shared" si="185"/>
        <v>10.35483870967742</v>
      </c>
      <c r="AI670" t="str">
        <f t="shared" si="186"/>
        <v>AM</v>
      </c>
      <c r="AJ670" t="str">
        <f t="shared" si="187"/>
        <v>7-2024-5</v>
      </c>
      <c r="AK670">
        <f t="shared" si="188"/>
        <v>7</v>
      </c>
      <c r="AL670" s="26">
        <f>IFERROR(Table2[[#This Row],[Calories]]/Table2[[#This Row],[Splat]],"")</f>
        <v>49.384615384615387</v>
      </c>
      <c r="AM670">
        <f>COUNTIF(N$2:$N$938,N670)</f>
        <v>258</v>
      </c>
      <c r="AN670" t="str">
        <f>VLOOKUP(N670,'Helpful Tables'!A:D,4,FALSE)</f>
        <v>Oregon</v>
      </c>
      <c r="AO670" s="24">
        <f>COUNTIF(AN:AN,Table2[[#This Row],[State]])/COUNTA(AN:AN)</f>
        <v>0.36140724946695096</v>
      </c>
      <c r="AP670">
        <f>VLOOKUP(N670,'Helpful Tables'!A:B,2,FALSE)</f>
        <v>45.534162000000002</v>
      </c>
      <c r="AQ670">
        <f>VLOOKUP(N670,'Helpful Tables'!A:C,3,FALSE)</f>
        <v>-122.69670000000001</v>
      </c>
      <c r="AR670">
        <f>COUNTIF(P$2:$P$938,P670)</f>
        <v>32</v>
      </c>
      <c r="AS670" cm="1">
        <f t="array" ref="AS670">_xlfn.IFS(E670&lt;6,((E670/D670)*60)*0.5,AND(E670&gt;=6,E670&lt;9),((E670/D670)*60)*0.75,AND(E670&gt;=9,E670&lt;=11),((E670/D670)*60)*0.9,AND(E670=12),((E670/D670)*60)*1,AND(E670&gt;=13,E670&lt;=15),((E670/D670)*60)*1.2,AND(E670&gt;=16,E670&lt;=19),((E670/D670)*60)*1.5,E670&gt;=20,((E670/D670)*60)*1.8)</f>
        <v>15.096774193548388</v>
      </c>
      <c r="AT670" cm="1">
        <f t="array" ref="AT670">_xlfn.IFS(F670&lt;550,((F670/D670)*60)*0.5,AND(F670&gt;=550,F670&lt;575),((F670/D670)*60)*0.75,AND(F670&gt;=575,F670&lt;600),((F670/D670)*60)*0.9,AND(F670=600),((F670/D670)*60)*1,AND(F670&gt;=601,F670&lt;=625),((F670/D670)*60)*1.2,AND(F670&gt;=626,F670&lt;=650),((F670/D670)*60)*1.5,F670&gt;=651,((F670/D670)*60)*1.8)</f>
        <v>931.9354838709678</v>
      </c>
      <c r="AU670">
        <f t="shared" ref="AU670:AU733" si="193">(I670*-1.2)+(J670*-1.1)+(K670*1.2)+(L670*1.3)+(M670*1.5)</f>
        <v>0.60000000000000142</v>
      </c>
      <c r="AV670">
        <f t="shared" si="191"/>
        <v>378.93290322580651</v>
      </c>
      <c r="AW670">
        <f t="shared" ref="AW670:AW733" si="194">PERCENTRANK(AV:AV,AV670)*100</f>
        <v>44.7</v>
      </c>
      <c r="AX670" t="str">
        <f t="shared" si="189"/>
        <v>Jul-2024</v>
      </c>
      <c r="AY670">
        <f>ROUNDUP(Table2[[#This Row],[Month]]/3,0)</f>
        <v>3</v>
      </c>
    </row>
    <row r="671" spans="1:51" x14ac:dyDescent="0.2">
      <c r="A671">
        <v>670</v>
      </c>
      <c r="B671">
        <f t="shared" si="178"/>
        <v>15</v>
      </c>
      <c r="C671" s="22">
        <v>45502</v>
      </c>
      <c r="D671">
        <f>SUM(Table2[[#This Row],[Gray Min]:[Red Min]])</f>
        <v>60</v>
      </c>
      <c r="E671">
        <v>15</v>
      </c>
      <c r="F671">
        <v>657</v>
      </c>
      <c r="G671">
        <v>126</v>
      </c>
      <c r="H671">
        <v>165</v>
      </c>
      <c r="I671">
        <v>14</v>
      </c>
      <c r="J671">
        <v>14</v>
      </c>
      <c r="K671">
        <v>17</v>
      </c>
      <c r="L671">
        <v>13</v>
      </c>
      <c r="M671">
        <v>2</v>
      </c>
      <c r="N671" t="s">
        <v>125</v>
      </c>
      <c r="O671" t="s">
        <v>127</v>
      </c>
      <c r="P671" t="s">
        <v>217</v>
      </c>
      <c r="Q671">
        <f t="shared" si="190"/>
        <v>1</v>
      </c>
      <c r="R671" t="str">
        <f t="shared" si="179"/>
        <v>7-2024</v>
      </c>
      <c r="S671" t="s">
        <v>104</v>
      </c>
      <c r="T671" t="str">
        <f t="shared" si="180"/>
        <v>Monday</v>
      </c>
      <c r="U671">
        <f t="shared" si="181"/>
        <v>1</v>
      </c>
      <c r="V671" s="24">
        <f>IFERROR(Table2[[#This Row],[Gray Min]]/Table2[[#This Row],[ClassLength]],"")</f>
        <v>0.23333333333333334</v>
      </c>
      <c r="W671" s="24">
        <f>IFERROR(Table2[[#This Row],[Blue Min]]/Table2[[#This Row],[ClassLength]],"")</f>
        <v>0.23333333333333334</v>
      </c>
      <c r="X671" s="24">
        <f>IFERROR(Table2[[#This Row],[Green Min]]/Table2[[#This Row],[ClassLength]],"")</f>
        <v>0.28333333333333333</v>
      </c>
      <c r="Y671" s="24">
        <f>IFERROR(Table2[[#This Row],[Orange Min]]/Table2[[#This Row],[ClassLength]],"")</f>
        <v>0.21666666666666667</v>
      </c>
      <c r="Z671" s="24">
        <f>IFERROR(Table2[[#This Row],[Red Min]]/Table2[[#This Row],[ClassLength]],"")</f>
        <v>3.3333333333333333E-2</v>
      </c>
      <c r="AA671" s="25">
        <v>169</v>
      </c>
      <c r="AB671" s="25">
        <f t="shared" si="192"/>
        <v>11.266666666666667</v>
      </c>
      <c r="AC671" s="26">
        <f t="shared" si="182"/>
        <v>627</v>
      </c>
      <c r="AD671" s="26">
        <f t="shared" si="183"/>
        <v>14.8</v>
      </c>
      <c r="AE671">
        <f t="shared" si="184"/>
        <v>2024</v>
      </c>
      <c r="AG671">
        <v>12</v>
      </c>
      <c r="AH671" s="26">
        <f t="shared" si="185"/>
        <v>10.95</v>
      </c>
      <c r="AI671" t="str">
        <f t="shared" si="186"/>
        <v>PM</v>
      </c>
      <c r="AJ671" t="str">
        <f t="shared" si="187"/>
        <v>7-2024-5</v>
      </c>
      <c r="AK671">
        <f t="shared" si="188"/>
        <v>7</v>
      </c>
      <c r="AL671" s="26">
        <f>IFERROR(Table2[[#This Row],[Calories]]/Table2[[#This Row],[Splat]],"")</f>
        <v>43.8</v>
      </c>
      <c r="AM671">
        <f>COUNTIF(N$2:$N$938,N671)</f>
        <v>258</v>
      </c>
      <c r="AN671" t="str">
        <f>VLOOKUP(N671,'Helpful Tables'!A:D,4,FALSE)</f>
        <v>Oregon</v>
      </c>
      <c r="AO671" s="24">
        <f>COUNTIF(AN:AN,Table2[[#This Row],[State]])/COUNTA(AN:AN)</f>
        <v>0.36140724946695096</v>
      </c>
      <c r="AP671">
        <f>VLOOKUP(N671,'Helpful Tables'!A:B,2,FALSE)</f>
        <v>45.534162000000002</v>
      </c>
      <c r="AQ671">
        <f>VLOOKUP(N671,'Helpful Tables'!A:C,3,FALSE)</f>
        <v>-122.69670000000001</v>
      </c>
      <c r="AR671">
        <f>COUNTIF(P$2:$P$938,P671)</f>
        <v>7</v>
      </c>
      <c r="AS671" cm="1">
        <f t="array" ref="AS671">_xlfn.IFS(E671&lt;6,((E671/D671)*60)*0.5,AND(E671&gt;=6,E671&lt;9),((E671/D671)*60)*0.75,AND(E671&gt;=9,E671&lt;=11),((E671/D671)*60)*0.9,AND(E671=12),((E671/D671)*60)*1,AND(E671&gt;=13,E671&lt;=15),((E671/D671)*60)*1.2,AND(E671&gt;=16,E671&lt;=19),((E671/D671)*60)*1.5,E671&gt;=20,((E671/D671)*60)*1.8)</f>
        <v>18</v>
      </c>
      <c r="AT671" cm="1">
        <f t="array" ref="AT671">_xlfn.IFS(F671&lt;550,((F671/D671)*60)*0.5,AND(F671&gt;=550,F671&lt;575),((F671/D671)*60)*0.75,AND(F671&gt;=575,F671&lt;600),((F671/D671)*60)*0.9,AND(F671=600),((F671/D671)*60)*1,AND(F671&gt;=601,F671&lt;=625),((F671/D671)*60)*1.2,AND(F671&gt;=626,F671&lt;=650),((F671/D671)*60)*1.5,F671&gt;=651,((F671/D671)*60)*1.8)</f>
        <v>1182.6000000000001</v>
      </c>
      <c r="AU671">
        <f t="shared" si="193"/>
        <v>8.0999999999999979</v>
      </c>
      <c r="AV671">
        <f t="shared" si="191"/>
        <v>481.86000000000007</v>
      </c>
      <c r="AW671">
        <f t="shared" si="194"/>
        <v>70.399999999999991</v>
      </c>
      <c r="AX671" t="str">
        <f t="shared" si="189"/>
        <v>Jul-2024</v>
      </c>
      <c r="AY671">
        <f>ROUNDUP(Table2[[#This Row],[Month]]/3,0)</f>
        <v>3</v>
      </c>
    </row>
    <row r="672" spans="1:51" x14ac:dyDescent="0.2">
      <c r="A672">
        <v>671</v>
      </c>
      <c r="B672">
        <f t="shared" si="178"/>
        <v>9</v>
      </c>
      <c r="C672" s="22">
        <v>45506</v>
      </c>
      <c r="D672">
        <f>SUM(Table2[[#This Row],[Gray Min]:[Red Min]])</f>
        <v>65</v>
      </c>
      <c r="E672">
        <v>14</v>
      </c>
      <c r="F672">
        <v>737</v>
      </c>
      <c r="G672">
        <v>128</v>
      </c>
      <c r="H672">
        <v>169</v>
      </c>
      <c r="I672">
        <v>11</v>
      </c>
      <c r="J672">
        <v>16</v>
      </c>
      <c r="K672">
        <v>24</v>
      </c>
      <c r="L672">
        <v>9</v>
      </c>
      <c r="M672">
        <v>5</v>
      </c>
      <c r="N672" t="s">
        <v>125</v>
      </c>
      <c r="O672" t="s">
        <v>83</v>
      </c>
      <c r="P672" t="s">
        <v>220</v>
      </c>
      <c r="Q672">
        <f t="shared" si="190"/>
        <v>4</v>
      </c>
      <c r="R672" t="str">
        <f t="shared" si="179"/>
        <v>8-2024</v>
      </c>
      <c r="S672" t="s">
        <v>104</v>
      </c>
      <c r="T672" t="str">
        <f t="shared" si="180"/>
        <v>Friday</v>
      </c>
      <c r="U672">
        <f t="shared" si="181"/>
        <v>1</v>
      </c>
      <c r="V672" s="24">
        <f>IFERROR(Table2[[#This Row],[Gray Min]]/Table2[[#This Row],[ClassLength]],"")</f>
        <v>0.16923076923076924</v>
      </c>
      <c r="W672" s="24">
        <f>IFERROR(Table2[[#This Row],[Blue Min]]/Table2[[#This Row],[ClassLength]],"")</f>
        <v>0.24615384615384617</v>
      </c>
      <c r="X672" s="24">
        <f>IFERROR(Table2[[#This Row],[Green Min]]/Table2[[#This Row],[ClassLength]],"")</f>
        <v>0.36923076923076925</v>
      </c>
      <c r="Y672" s="24">
        <f>IFERROR(Table2[[#This Row],[Orange Min]]/Table2[[#This Row],[ClassLength]],"")</f>
        <v>0.13846153846153847</v>
      </c>
      <c r="Z672" s="24">
        <f>IFERROR(Table2[[#This Row],[Red Min]]/Table2[[#This Row],[ClassLength]],"")</f>
        <v>7.6923076923076927E-2</v>
      </c>
      <c r="AA672" s="25">
        <v>169</v>
      </c>
      <c r="AB672" s="25">
        <f t="shared" si="192"/>
        <v>18.777777777777779</v>
      </c>
      <c r="AC672" s="26">
        <f t="shared" si="182"/>
        <v>654.33333333333337</v>
      </c>
      <c r="AD672" s="26">
        <f t="shared" si="183"/>
        <v>16.444444444444443</v>
      </c>
      <c r="AE672">
        <f t="shared" si="184"/>
        <v>2024</v>
      </c>
      <c r="AG672">
        <v>12</v>
      </c>
      <c r="AH672" s="26">
        <f t="shared" si="185"/>
        <v>11.338461538461539</v>
      </c>
      <c r="AI672" t="str">
        <f t="shared" si="186"/>
        <v>PM</v>
      </c>
      <c r="AJ672" t="str">
        <f t="shared" si="187"/>
        <v>8-2024-1</v>
      </c>
      <c r="AK672">
        <f t="shared" si="188"/>
        <v>8</v>
      </c>
      <c r="AL672" s="26">
        <f>IFERROR(Table2[[#This Row],[Calories]]/Table2[[#This Row],[Splat]],"")</f>
        <v>52.642857142857146</v>
      </c>
      <c r="AM672">
        <f>COUNTIF(N$2:$N$938,N672)</f>
        <v>258</v>
      </c>
      <c r="AN672" t="str">
        <f>VLOOKUP(N672,'Helpful Tables'!A:D,4,FALSE)</f>
        <v>Oregon</v>
      </c>
      <c r="AO672" s="24">
        <f>COUNTIF(AN:AN,Table2[[#This Row],[State]])/COUNTA(AN:AN)</f>
        <v>0.36140724946695096</v>
      </c>
      <c r="AP672">
        <f>VLOOKUP(N672,'Helpful Tables'!A:B,2,FALSE)</f>
        <v>45.534162000000002</v>
      </c>
      <c r="AQ672">
        <f>VLOOKUP(N672,'Helpful Tables'!A:C,3,FALSE)</f>
        <v>-122.69670000000001</v>
      </c>
      <c r="AR672">
        <f>COUNTIF(P$2:$P$938,P672)</f>
        <v>43</v>
      </c>
      <c r="AS672" cm="1">
        <f t="array" ref="AS672">_xlfn.IFS(E672&lt;6,((E672/D672)*60)*0.5,AND(E672&gt;=6,E672&lt;9),((E672/D672)*60)*0.75,AND(E672&gt;=9,E672&lt;=11),((E672/D672)*60)*0.9,AND(E672=12),((E672/D672)*60)*1,AND(E672&gt;=13,E672&lt;=15),((E672/D672)*60)*1.2,AND(E672&gt;=16,E672&lt;=19),((E672/D672)*60)*1.5,E672&gt;=20,((E672/D672)*60)*1.8)</f>
        <v>15.507692307692308</v>
      </c>
      <c r="AT672" cm="1">
        <f t="array" ref="AT672">_xlfn.IFS(F672&lt;550,((F672/D672)*60)*0.5,AND(F672&gt;=550,F672&lt;575),((F672/D672)*60)*0.75,AND(F672&gt;=575,F672&lt;600),((F672/D672)*60)*0.9,AND(F672=600),((F672/D672)*60)*1,AND(F672&gt;=601,F672&lt;=625),((F672/D672)*60)*1.2,AND(F672&gt;=626,F672&lt;=650),((F672/D672)*60)*1.5,F672&gt;=651,((F672/D672)*60)*1.8)</f>
        <v>1224.5538461538463</v>
      </c>
      <c r="AU672">
        <f t="shared" si="193"/>
        <v>17.199999999999996</v>
      </c>
      <c r="AV672">
        <f t="shared" si="191"/>
        <v>499.46461538461546</v>
      </c>
      <c r="AW672">
        <f t="shared" si="194"/>
        <v>78.8</v>
      </c>
      <c r="AX672" t="str">
        <f t="shared" si="189"/>
        <v>Aug-2024</v>
      </c>
      <c r="AY672">
        <f>ROUNDUP(Table2[[#This Row],[Month]]/3,0)</f>
        <v>3</v>
      </c>
    </row>
    <row r="673" spans="1:51" x14ac:dyDescent="0.2">
      <c r="A673">
        <v>672</v>
      </c>
      <c r="B673">
        <f t="shared" si="178"/>
        <v>9</v>
      </c>
      <c r="C673" s="22">
        <v>45511</v>
      </c>
      <c r="D673">
        <f>SUM(Table2[[#This Row],[Gray Min]:[Red Min]])</f>
        <v>65</v>
      </c>
      <c r="E673">
        <v>14</v>
      </c>
      <c r="F673">
        <v>644</v>
      </c>
      <c r="G673">
        <v>119</v>
      </c>
      <c r="H673">
        <v>167</v>
      </c>
      <c r="I673">
        <v>27</v>
      </c>
      <c r="J673">
        <v>13</v>
      </c>
      <c r="K673">
        <v>11</v>
      </c>
      <c r="L673">
        <v>10</v>
      </c>
      <c r="M673">
        <v>4</v>
      </c>
      <c r="N673" t="s">
        <v>125</v>
      </c>
      <c r="O673" t="s">
        <v>127</v>
      </c>
      <c r="P673" t="s">
        <v>220</v>
      </c>
      <c r="Q673">
        <f t="shared" si="190"/>
        <v>5</v>
      </c>
      <c r="R673" t="str">
        <f t="shared" si="179"/>
        <v>8-2024</v>
      </c>
      <c r="S673" t="s">
        <v>104</v>
      </c>
      <c r="T673" t="str">
        <f t="shared" si="180"/>
        <v>Wednesday</v>
      </c>
      <c r="U673">
        <f t="shared" si="181"/>
        <v>1</v>
      </c>
      <c r="V673" s="24">
        <f>IFERROR(Table2[[#This Row],[Gray Min]]/Table2[[#This Row],[ClassLength]],"")</f>
        <v>0.41538461538461541</v>
      </c>
      <c r="W673" s="24">
        <f>IFERROR(Table2[[#This Row],[Blue Min]]/Table2[[#This Row],[ClassLength]],"")</f>
        <v>0.2</v>
      </c>
      <c r="X673" s="24">
        <f>IFERROR(Table2[[#This Row],[Green Min]]/Table2[[#This Row],[ClassLength]],"")</f>
        <v>0.16923076923076924</v>
      </c>
      <c r="Y673" s="24">
        <f>IFERROR(Table2[[#This Row],[Orange Min]]/Table2[[#This Row],[ClassLength]],"")</f>
        <v>0.15384615384615385</v>
      </c>
      <c r="Z673" s="24">
        <f>IFERROR(Table2[[#This Row],[Red Min]]/Table2[[#This Row],[ClassLength]],"")</f>
        <v>6.1538461538461542E-2</v>
      </c>
      <c r="AA673" s="25">
        <v>169</v>
      </c>
      <c r="AB673" s="25">
        <f t="shared" si="192"/>
        <v>18.777777777777779</v>
      </c>
      <c r="AC673" s="26">
        <f t="shared" si="182"/>
        <v>654.33333333333337</v>
      </c>
      <c r="AD673" s="26">
        <f t="shared" si="183"/>
        <v>16.444444444444443</v>
      </c>
      <c r="AE673">
        <f t="shared" si="184"/>
        <v>2024</v>
      </c>
      <c r="AG673">
        <v>12</v>
      </c>
      <c r="AH673" s="26">
        <f t="shared" si="185"/>
        <v>9.907692307692308</v>
      </c>
      <c r="AI673" t="str">
        <f t="shared" si="186"/>
        <v>PM</v>
      </c>
      <c r="AJ673" t="str">
        <f t="shared" si="187"/>
        <v>8-2024-2</v>
      </c>
      <c r="AK673">
        <f t="shared" si="188"/>
        <v>8</v>
      </c>
      <c r="AL673" s="26">
        <f>IFERROR(Table2[[#This Row],[Calories]]/Table2[[#This Row],[Splat]],"")</f>
        <v>46</v>
      </c>
      <c r="AM673">
        <f>COUNTIF(N$2:$N$938,N673)</f>
        <v>258</v>
      </c>
      <c r="AN673" t="str">
        <f>VLOOKUP(N673,'Helpful Tables'!A:D,4,FALSE)</f>
        <v>Oregon</v>
      </c>
      <c r="AO673" s="24">
        <f>COUNTIF(AN:AN,Table2[[#This Row],[State]])/COUNTA(AN:AN)</f>
        <v>0.36140724946695096</v>
      </c>
      <c r="AP673">
        <f>VLOOKUP(N673,'Helpful Tables'!A:B,2,FALSE)</f>
        <v>45.534162000000002</v>
      </c>
      <c r="AQ673">
        <f>VLOOKUP(N673,'Helpful Tables'!A:C,3,FALSE)</f>
        <v>-122.69670000000001</v>
      </c>
      <c r="AR673">
        <f>COUNTIF(P$2:$P$938,P673)</f>
        <v>43</v>
      </c>
      <c r="AS673" cm="1">
        <f t="array" ref="AS673">_xlfn.IFS(E673&lt;6,((E673/D673)*60)*0.5,AND(E673&gt;=6,E673&lt;9),((E673/D673)*60)*0.75,AND(E673&gt;=9,E673&lt;=11),((E673/D673)*60)*0.9,AND(E673=12),((E673/D673)*60)*1,AND(E673&gt;=13,E673&lt;=15),((E673/D673)*60)*1.2,AND(E673&gt;=16,E673&lt;=19),((E673/D673)*60)*1.5,E673&gt;=20,((E673/D673)*60)*1.8)</f>
        <v>15.507692307692308</v>
      </c>
      <c r="AT673" cm="1">
        <f t="array" ref="AT673">_xlfn.IFS(F673&lt;550,((F673/D673)*60)*0.5,AND(F673&gt;=550,F673&lt;575),((F673/D673)*60)*0.75,AND(F673&gt;=575,F673&lt;600),((F673/D673)*60)*0.9,AND(F673=600),((F673/D673)*60)*1,AND(F673&gt;=601,F673&lt;=625),((F673/D673)*60)*1.2,AND(F673&gt;=626,F673&lt;=650),((F673/D673)*60)*1.5,F673&gt;=651,((F673/D673)*60)*1.8)</f>
        <v>891.69230769230762</v>
      </c>
      <c r="AU673">
        <f t="shared" si="193"/>
        <v>-14.5</v>
      </c>
      <c r="AV673">
        <f t="shared" si="191"/>
        <v>359.98</v>
      </c>
      <c r="AW673">
        <f t="shared" si="194"/>
        <v>42.699999999999996</v>
      </c>
      <c r="AX673" t="str">
        <f t="shared" si="189"/>
        <v>Aug-2024</v>
      </c>
      <c r="AY673">
        <f>ROUNDUP(Table2[[#This Row],[Month]]/3,0)</f>
        <v>3</v>
      </c>
    </row>
    <row r="674" spans="1:51" x14ac:dyDescent="0.2">
      <c r="A674">
        <v>673</v>
      </c>
      <c r="B674">
        <f t="shared" si="178"/>
        <v>9</v>
      </c>
      <c r="C674" s="22">
        <v>45513</v>
      </c>
      <c r="D674">
        <f>SUM(Table2[[#This Row],[Gray Min]:[Red Min]])</f>
        <v>60</v>
      </c>
      <c r="E674">
        <v>20</v>
      </c>
      <c r="F674">
        <v>735</v>
      </c>
      <c r="G674">
        <v>134</v>
      </c>
      <c r="H674">
        <v>167</v>
      </c>
      <c r="I674">
        <v>9</v>
      </c>
      <c r="J674">
        <v>10</v>
      </c>
      <c r="K674">
        <v>21</v>
      </c>
      <c r="L674">
        <v>18</v>
      </c>
      <c r="M674">
        <v>2</v>
      </c>
      <c r="N674" t="s">
        <v>208</v>
      </c>
      <c r="O674" t="s">
        <v>83</v>
      </c>
      <c r="P674" t="s">
        <v>209</v>
      </c>
      <c r="Q674">
        <f t="shared" si="190"/>
        <v>2</v>
      </c>
      <c r="R674" t="str">
        <f t="shared" si="179"/>
        <v>8-2024</v>
      </c>
      <c r="S674" t="s">
        <v>104</v>
      </c>
      <c r="T674" t="str">
        <f t="shared" si="180"/>
        <v>Friday</v>
      </c>
      <c r="U674">
        <f t="shared" si="181"/>
        <v>1</v>
      </c>
      <c r="V674" s="24">
        <f>IFERROR(Table2[[#This Row],[Gray Min]]/Table2[[#This Row],[ClassLength]],"")</f>
        <v>0.15</v>
      </c>
      <c r="W674" s="24">
        <f>IFERROR(Table2[[#This Row],[Blue Min]]/Table2[[#This Row],[ClassLength]],"")</f>
        <v>0.16666666666666666</v>
      </c>
      <c r="X674" s="24">
        <f>IFERROR(Table2[[#This Row],[Green Min]]/Table2[[#This Row],[ClassLength]],"")</f>
        <v>0.35</v>
      </c>
      <c r="Y674" s="24">
        <f>IFERROR(Table2[[#This Row],[Orange Min]]/Table2[[#This Row],[ClassLength]],"")</f>
        <v>0.3</v>
      </c>
      <c r="Z674" s="24">
        <f>IFERROR(Table2[[#This Row],[Red Min]]/Table2[[#This Row],[ClassLength]],"")</f>
        <v>3.3333333333333333E-2</v>
      </c>
      <c r="AA674" s="25">
        <v>169</v>
      </c>
      <c r="AB674" s="25">
        <f t="shared" si="192"/>
        <v>18.777777777777779</v>
      </c>
      <c r="AC674" s="26">
        <f t="shared" si="182"/>
        <v>654.33333333333337</v>
      </c>
      <c r="AD674" s="26">
        <f t="shared" si="183"/>
        <v>16.444444444444443</v>
      </c>
      <c r="AE674">
        <f t="shared" si="184"/>
        <v>2024</v>
      </c>
      <c r="AG674">
        <v>12</v>
      </c>
      <c r="AH674" s="26">
        <f t="shared" si="185"/>
        <v>12.25</v>
      </c>
      <c r="AI674" t="str">
        <f t="shared" si="186"/>
        <v>PM</v>
      </c>
      <c r="AJ674" t="str">
        <f t="shared" si="187"/>
        <v>8-2024-2</v>
      </c>
      <c r="AK674">
        <f t="shared" si="188"/>
        <v>8</v>
      </c>
      <c r="AL674" s="26">
        <f>IFERROR(Table2[[#This Row],[Calories]]/Table2[[#This Row],[Splat]],"")</f>
        <v>36.75</v>
      </c>
      <c r="AM674">
        <f>COUNTIF(N$2:$N$938,N674)</f>
        <v>78</v>
      </c>
      <c r="AN674" t="str">
        <f>VLOOKUP(N674,'Helpful Tables'!A:D,4,FALSE)</f>
        <v>Oregon</v>
      </c>
      <c r="AO674" s="24">
        <f>COUNTIF(AN:AN,Table2[[#This Row],[State]])/COUNTA(AN:AN)</f>
        <v>0.36140724946695096</v>
      </c>
      <c r="AP674">
        <f>VLOOKUP(N674,'Helpful Tables'!A:B,2,FALSE)</f>
        <v>45.525092999999998</v>
      </c>
      <c r="AQ674">
        <f>VLOOKUP(N674,'Helpful Tables'!A:C,3,FALSE)</f>
        <v>-122.681383</v>
      </c>
      <c r="AR674">
        <f>COUNTIF(P$2:$P$938,P674)</f>
        <v>20</v>
      </c>
      <c r="AS674" cm="1">
        <f t="array" ref="AS674">_xlfn.IFS(E674&lt;6,((E674/D674)*60)*0.5,AND(E674&gt;=6,E674&lt;9),((E674/D674)*60)*0.75,AND(E674&gt;=9,E674&lt;=11),((E674/D674)*60)*0.9,AND(E674=12),((E674/D674)*60)*1,AND(E674&gt;=13,E674&lt;=15),((E674/D674)*60)*1.2,AND(E674&gt;=16,E674&lt;=19),((E674/D674)*60)*1.5,E674&gt;=20,((E674/D674)*60)*1.8)</f>
        <v>36</v>
      </c>
      <c r="AT674" cm="1">
        <f t="array" ref="AT674">_xlfn.IFS(F674&lt;550,((F674/D674)*60)*0.5,AND(F674&gt;=550,F674&lt;575),((F674/D674)*60)*0.75,AND(F674&gt;=575,F674&lt;600),((F674/D674)*60)*0.9,AND(F674=600),((F674/D674)*60)*1,AND(F674&gt;=601,F674&lt;=625),((F674/D674)*60)*1.2,AND(F674&gt;=626,F674&lt;=650),((F674/D674)*60)*1.5,F674&gt;=651,((F674/D674)*60)*1.8)</f>
        <v>1323</v>
      </c>
      <c r="AU674">
        <f t="shared" si="193"/>
        <v>29.800000000000004</v>
      </c>
      <c r="AV674">
        <f t="shared" si="191"/>
        <v>549.56000000000006</v>
      </c>
      <c r="AW674">
        <f t="shared" si="194"/>
        <v>98</v>
      </c>
      <c r="AX674" t="str">
        <f t="shared" si="189"/>
        <v>Aug-2024</v>
      </c>
      <c r="AY674">
        <f>ROUNDUP(Table2[[#This Row],[Month]]/3,0)</f>
        <v>3</v>
      </c>
    </row>
    <row r="675" spans="1:51" x14ac:dyDescent="0.2">
      <c r="A675">
        <v>674</v>
      </c>
      <c r="B675">
        <f t="shared" si="178"/>
        <v>9</v>
      </c>
      <c r="C675" s="22">
        <v>45515</v>
      </c>
      <c r="D675">
        <f>SUM(Table2[[#This Row],[Gray Min]:[Red Min]])</f>
        <v>58</v>
      </c>
      <c r="E675">
        <v>14</v>
      </c>
      <c r="F675">
        <v>638</v>
      </c>
      <c r="G675">
        <v>126</v>
      </c>
      <c r="H675">
        <v>165</v>
      </c>
      <c r="I675">
        <v>13</v>
      </c>
      <c r="J675">
        <v>17</v>
      </c>
      <c r="K675">
        <v>14</v>
      </c>
      <c r="L675">
        <v>13</v>
      </c>
      <c r="M675">
        <v>1</v>
      </c>
      <c r="N675" t="s">
        <v>125</v>
      </c>
      <c r="O675" t="s">
        <v>159</v>
      </c>
      <c r="P675" t="s">
        <v>222</v>
      </c>
      <c r="Q675">
        <f t="shared" si="190"/>
        <v>2</v>
      </c>
      <c r="R675" t="str">
        <f t="shared" si="179"/>
        <v>8-2024</v>
      </c>
      <c r="S675" t="s">
        <v>117</v>
      </c>
      <c r="T675" t="str">
        <f t="shared" si="180"/>
        <v>Sunday</v>
      </c>
      <c r="U675">
        <f t="shared" si="181"/>
        <v>1</v>
      </c>
      <c r="V675" s="24">
        <f>IFERROR(Table2[[#This Row],[Gray Min]]/Table2[[#This Row],[ClassLength]],"")</f>
        <v>0.22413793103448276</v>
      </c>
      <c r="W675" s="24">
        <f>IFERROR(Table2[[#This Row],[Blue Min]]/Table2[[#This Row],[ClassLength]],"")</f>
        <v>0.29310344827586204</v>
      </c>
      <c r="X675" s="24">
        <f>IFERROR(Table2[[#This Row],[Green Min]]/Table2[[#This Row],[ClassLength]],"")</f>
        <v>0.2413793103448276</v>
      </c>
      <c r="Y675" s="24">
        <f>IFERROR(Table2[[#This Row],[Orange Min]]/Table2[[#This Row],[ClassLength]],"")</f>
        <v>0.22413793103448276</v>
      </c>
      <c r="Z675" s="24">
        <f>IFERROR(Table2[[#This Row],[Red Min]]/Table2[[#This Row],[ClassLength]],"")</f>
        <v>1.7241379310344827E-2</v>
      </c>
      <c r="AA675" s="25">
        <v>169</v>
      </c>
      <c r="AB675" s="25">
        <f t="shared" si="192"/>
        <v>18.777777777777779</v>
      </c>
      <c r="AC675" s="26">
        <f t="shared" si="182"/>
        <v>654.33333333333337</v>
      </c>
      <c r="AD675" s="26">
        <f t="shared" si="183"/>
        <v>16.444444444444443</v>
      </c>
      <c r="AE675">
        <f t="shared" si="184"/>
        <v>2024</v>
      </c>
      <c r="AG675">
        <v>12</v>
      </c>
      <c r="AH675" s="26">
        <f t="shared" si="185"/>
        <v>11</v>
      </c>
      <c r="AI675" t="str">
        <f t="shared" si="186"/>
        <v>AM</v>
      </c>
      <c r="AJ675" t="str">
        <f t="shared" si="187"/>
        <v>8-2024-3</v>
      </c>
      <c r="AK675">
        <f t="shared" si="188"/>
        <v>8</v>
      </c>
      <c r="AL675" s="26">
        <f>IFERROR(Table2[[#This Row],[Calories]]/Table2[[#This Row],[Splat]],"")</f>
        <v>45.571428571428569</v>
      </c>
      <c r="AM675">
        <f>COUNTIF(N$2:$N$938,N675)</f>
        <v>258</v>
      </c>
      <c r="AN675" t="str">
        <f>VLOOKUP(N675,'Helpful Tables'!A:D,4,FALSE)</f>
        <v>Oregon</v>
      </c>
      <c r="AO675" s="24">
        <f>COUNTIF(AN:AN,Table2[[#This Row],[State]])/COUNTA(AN:AN)</f>
        <v>0.36140724946695096</v>
      </c>
      <c r="AP675">
        <f>VLOOKUP(N675,'Helpful Tables'!A:B,2,FALSE)</f>
        <v>45.534162000000002</v>
      </c>
      <c r="AQ675">
        <f>VLOOKUP(N675,'Helpful Tables'!A:C,3,FALSE)</f>
        <v>-122.69670000000001</v>
      </c>
      <c r="AR675">
        <f>COUNTIF(P$2:$P$938,P675)</f>
        <v>32</v>
      </c>
      <c r="AS675" cm="1">
        <f t="array" ref="AS675">_xlfn.IFS(E675&lt;6,((E675/D675)*60)*0.5,AND(E675&gt;=6,E675&lt;9),((E675/D675)*60)*0.75,AND(E675&gt;=9,E675&lt;=11),((E675/D675)*60)*0.9,AND(E675=12),((E675/D675)*60)*1,AND(E675&gt;=13,E675&lt;=15),((E675/D675)*60)*1.2,AND(E675&gt;=16,E675&lt;=19),((E675/D675)*60)*1.5,E675&gt;=20,((E675/D675)*60)*1.8)</f>
        <v>17.379310344827587</v>
      </c>
      <c r="AT675" cm="1">
        <f t="array" ref="AT675">_xlfn.IFS(F675&lt;550,((F675/D675)*60)*0.5,AND(F675&gt;=550,F675&lt;575),((F675/D675)*60)*0.75,AND(F675&gt;=575,F675&lt;600),((F675/D675)*60)*0.9,AND(F675=600),((F675/D675)*60)*1,AND(F675&gt;=601,F675&lt;=625),((F675/D675)*60)*1.2,AND(F675&gt;=626,F675&lt;=650),((F675/D675)*60)*1.5,F675&gt;=651,((F675/D675)*60)*1.8)</f>
        <v>990</v>
      </c>
      <c r="AU675">
        <f t="shared" si="193"/>
        <v>0.89999999999999858</v>
      </c>
      <c r="AV675">
        <f t="shared" si="191"/>
        <v>403.13172413793103</v>
      </c>
      <c r="AW675">
        <f t="shared" si="194"/>
        <v>54.7</v>
      </c>
      <c r="AX675" t="str">
        <f t="shared" si="189"/>
        <v>Aug-2024</v>
      </c>
      <c r="AY675">
        <f>ROUNDUP(Table2[[#This Row],[Month]]/3,0)</f>
        <v>3</v>
      </c>
    </row>
    <row r="676" spans="1:51" x14ac:dyDescent="0.2">
      <c r="A676">
        <v>675</v>
      </c>
      <c r="B676">
        <f t="shared" si="178"/>
        <v>9</v>
      </c>
      <c r="C676" s="22">
        <v>45517</v>
      </c>
      <c r="D676">
        <f>SUM(Table2[[#This Row],[Gray Min]:[Red Min]])</f>
        <v>58</v>
      </c>
      <c r="E676">
        <v>14</v>
      </c>
      <c r="F676">
        <v>646</v>
      </c>
      <c r="G676">
        <v>126</v>
      </c>
      <c r="H676">
        <v>166</v>
      </c>
      <c r="I676">
        <v>14</v>
      </c>
      <c r="J676">
        <v>12</v>
      </c>
      <c r="K676">
        <v>18</v>
      </c>
      <c r="L676">
        <v>12</v>
      </c>
      <c r="M676">
        <v>2</v>
      </c>
      <c r="N676" t="s">
        <v>125</v>
      </c>
      <c r="O676" t="s">
        <v>127</v>
      </c>
      <c r="P676" t="s">
        <v>214</v>
      </c>
      <c r="Q676">
        <f t="shared" si="190"/>
        <v>2</v>
      </c>
      <c r="R676" t="str">
        <f t="shared" si="179"/>
        <v>8-2024</v>
      </c>
      <c r="S676" t="s">
        <v>104</v>
      </c>
      <c r="T676" t="str">
        <f t="shared" si="180"/>
        <v>Tuesday</v>
      </c>
      <c r="U676">
        <f t="shared" si="181"/>
        <v>1</v>
      </c>
      <c r="V676" s="24">
        <f>IFERROR(Table2[[#This Row],[Gray Min]]/Table2[[#This Row],[ClassLength]],"")</f>
        <v>0.2413793103448276</v>
      </c>
      <c r="W676" s="24">
        <f>IFERROR(Table2[[#This Row],[Blue Min]]/Table2[[#This Row],[ClassLength]],"")</f>
        <v>0.20689655172413793</v>
      </c>
      <c r="X676" s="24">
        <f>IFERROR(Table2[[#This Row],[Green Min]]/Table2[[#This Row],[ClassLength]],"")</f>
        <v>0.31034482758620691</v>
      </c>
      <c r="Y676" s="24">
        <f>IFERROR(Table2[[#This Row],[Orange Min]]/Table2[[#This Row],[ClassLength]],"")</f>
        <v>0.20689655172413793</v>
      </c>
      <c r="Z676" s="24">
        <f>IFERROR(Table2[[#This Row],[Red Min]]/Table2[[#This Row],[ClassLength]],"")</f>
        <v>3.4482758620689655E-2</v>
      </c>
      <c r="AA676" s="25">
        <v>169</v>
      </c>
      <c r="AB676" s="25">
        <f t="shared" si="192"/>
        <v>18.777777777777779</v>
      </c>
      <c r="AC676" s="26">
        <f t="shared" si="182"/>
        <v>654.33333333333337</v>
      </c>
      <c r="AD676" s="26">
        <f t="shared" si="183"/>
        <v>16.444444444444443</v>
      </c>
      <c r="AE676">
        <f t="shared" si="184"/>
        <v>2024</v>
      </c>
      <c r="AG676">
        <v>12</v>
      </c>
      <c r="AH676" s="26">
        <f t="shared" si="185"/>
        <v>11.137931034482758</v>
      </c>
      <c r="AI676" t="str">
        <f t="shared" si="186"/>
        <v>PM</v>
      </c>
      <c r="AJ676" t="str">
        <f t="shared" si="187"/>
        <v>8-2024-3</v>
      </c>
      <c r="AK676">
        <f t="shared" si="188"/>
        <v>8</v>
      </c>
      <c r="AL676" s="26">
        <f>IFERROR(Table2[[#This Row],[Calories]]/Table2[[#This Row],[Splat]],"")</f>
        <v>46.142857142857146</v>
      </c>
      <c r="AM676">
        <f>COUNTIF(N$2:$N$938,N676)</f>
        <v>258</v>
      </c>
      <c r="AN676" t="str">
        <f>VLOOKUP(N676,'Helpful Tables'!A:D,4,FALSE)</f>
        <v>Oregon</v>
      </c>
      <c r="AO676" s="24">
        <f>COUNTIF(AN:AN,Table2[[#This Row],[State]])/COUNTA(AN:AN)</f>
        <v>0.36140724946695096</v>
      </c>
      <c r="AP676">
        <f>VLOOKUP(N676,'Helpful Tables'!A:B,2,FALSE)</f>
        <v>45.534162000000002</v>
      </c>
      <c r="AQ676">
        <f>VLOOKUP(N676,'Helpful Tables'!A:C,3,FALSE)</f>
        <v>-122.69670000000001</v>
      </c>
      <c r="AR676">
        <f>COUNTIF(P$2:$P$938,P676)</f>
        <v>11</v>
      </c>
      <c r="AS676" cm="1">
        <f t="array" ref="AS676">_xlfn.IFS(E676&lt;6,((E676/D676)*60)*0.5,AND(E676&gt;=6,E676&lt;9),((E676/D676)*60)*0.75,AND(E676&gt;=9,E676&lt;=11),((E676/D676)*60)*0.9,AND(E676=12),((E676/D676)*60)*1,AND(E676&gt;=13,E676&lt;=15),((E676/D676)*60)*1.2,AND(E676&gt;=16,E676&lt;=19),((E676/D676)*60)*1.5,E676&gt;=20,((E676/D676)*60)*1.8)</f>
        <v>17.379310344827587</v>
      </c>
      <c r="AT676" cm="1">
        <f t="array" ref="AT676">_xlfn.IFS(F676&lt;550,((F676/D676)*60)*0.5,AND(F676&gt;=550,F676&lt;575),((F676/D676)*60)*0.75,AND(F676&gt;=575,F676&lt;600),((F676/D676)*60)*0.9,AND(F676=600),((F676/D676)*60)*1,AND(F676&gt;=601,F676&lt;=625),((F676/D676)*60)*1.2,AND(F676&gt;=626,F676&lt;=650),((F676/D676)*60)*1.5,F676&gt;=651,((F676/D676)*60)*1.8)</f>
        <v>1002.4137931034481</v>
      </c>
      <c r="AU676">
        <f t="shared" si="193"/>
        <v>10.199999999999999</v>
      </c>
      <c r="AV676">
        <f t="shared" si="191"/>
        <v>409.95724137931035</v>
      </c>
      <c r="AW676">
        <f t="shared" si="194"/>
        <v>58.199999999999996</v>
      </c>
      <c r="AX676" t="str">
        <f t="shared" si="189"/>
        <v>Aug-2024</v>
      </c>
      <c r="AY676">
        <f>ROUNDUP(Table2[[#This Row],[Month]]/3,0)</f>
        <v>3</v>
      </c>
    </row>
    <row r="677" spans="1:51" x14ac:dyDescent="0.2">
      <c r="A677">
        <v>676</v>
      </c>
      <c r="B677">
        <f t="shared" si="178"/>
        <v>9</v>
      </c>
      <c r="C677" s="22">
        <v>45518</v>
      </c>
      <c r="D677">
        <f>SUM(Table2[[#This Row],[Gray Min]:[Red Min]])</f>
        <v>60</v>
      </c>
      <c r="E677">
        <v>18</v>
      </c>
      <c r="F677">
        <v>660</v>
      </c>
      <c r="G677">
        <v>126</v>
      </c>
      <c r="H677">
        <v>165</v>
      </c>
      <c r="I677">
        <v>13</v>
      </c>
      <c r="J677">
        <v>20</v>
      </c>
      <c r="K677">
        <v>9</v>
      </c>
      <c r="L677">
        <v>17</v>
      </c>
      <c r="M677">
        <v>1</v>
      </c>
      <c r="N677" t="s">
        <v>125</v>
      </c>
      <c r="O677" t="s">
        <v>127</v>
      </c>
      <c r="P677" t="s">
        <v>220</v>
      </c>
      <c r="Q677">
        <f t="shared" si="190"/>
        <v>1</v>
      </c>
      <c r="R677" t="str">
        <f t="shared" si="179"/>
        <v>8-2024</v>
      </c>
      <c r="S677" t="s">
        <v>104</v>
      </c>
      <c r="T677" t="str">
        <f t="shared" si="180"/>
        <v>Wednesday</v>
      </c>
      <c r="U677">
        <f t="shared" si="181"/>
        <v>1</v>
      </c>
      <c r="V677" s="24">
        <f>IFERROR(Table2[[#This Row],[Gray Min]]/Table2[[#This Row],[ClassLength]],"")</f>
        <v>0.21666666666666667</v>
      </c>
      <c r="W677" s="24">
        <f>IFERROR(Table2[[#This Row],[Blue Min]]/Table2[[#This Row],[ClassLength]],"")</f>
        <v>0.33333333333333331</v>
      </c>
      <c r="X677" s="24">
        <f>IFERROR(Table2[[#This Row],[Green Min]]/Table2[[#This Row],[ClassLength]],"")</f>
        <v>0.15</v>
      </c>
      <c r="Y677" s="24">
        <f>IFERROR(Table2[[#This Row],[Orange Min]]/Table2[[#This Row],[ClassLength]],"")</f>
        <v>0.28333333333333333</v>
      </c>
      <c r="Z677" s="24">
        <f>IFERROR(Table2[[#This Row],[Red Min]]/Table2[[#This Row],[ClassLength]],"")</f>
        <v>1.6666666666666666E-2</v>
      </c>
      <c r="AA677" s="25">
        <v>169</v>
      </c>
      <c r="AB677" s="25">
        <f t="shared" si="192"/>
        <v>18.777777777777779</v>
      </c>
      <c r="AC677" s="26">
        <f t="shared" si="182"/>
        <v>654.33333333333337</v>
      </c>
      <c r="AD677" s="26">
        <f t="shared" si="183"/>
        <v>16.444444444444443</v>
      </c>
      <c r="AE677">
        <f t="shared" si="184"/>
        <v>2024</v>
      </c>
      <c r="AG677">
        <v>12</v>
      </c>
      <c r="AH677" s="26">
        <f t="shared" si="185"/>
        <v>11</v>
      </c>
      <c r="AI677" t="str">
        <f t="shared" si="186"/>
        <v>PM</v>
      </c>
      <c r="AJ677" t="str">
        <f t="shared" si="187"/>
        <v>8-2024-3</v>
      </c>
      <c r="AK677">
        <f t="shared" si="188"/>
        <v>8</v>
      </c>
      <c r="AL677" s="26">
        <f>IFERROR(Table2[[#This Row],[Calories]]/Table2[[#This Row],[Splat]],"")</f>
        <v>36.666666666666664</v>
      </c>
      <c r="AM677">
        <f>COUNTIF(N$2:$N$938,N677)</f>
        <v>258</v>
      </c>
      <c r="AN677" t="str">
        <f>VLOOKUP(N677,'Helpful Tables'!A:D,4,FALSE)</f>
        <v>Oregon</v>
      </c>
      <c r="AO677" s="24">
        <f>COUNTIF(AN:AN,Table2[[#This Row],[State]])/COUNTA(AN:AN)</f>
        <v>0.36140724946695096</v>
      </c>
      <c r="AP677">
        <f>VLOOKUP(N677,'Helpful Tables'!A:B,2,FALSE)</f>
        <v>45.534162000000002</v>
      </c>
      <c r="AQ677">
        <f>VLOOKUP(N677,'Helpful Tables'!A:C,3,FALSE)</f>
        <v>-122.69670000000001</v>
      </c>
      <c r="AR677">
        <f>COUNTIF(P$2:$P$938,P677)</f>
        <v>43</v>
      </c>
      <c r="AS677" cm="1">
        <f t="array" ref="AS677">_xlfn.IFS(E677&lt;6,((E677/D677)*60)*0.5,AND(E677&gt;=6,E677&lt;9),((E677/D677)*60)*0.75,AND(E677&gt;=9,E677&lt;=11),((E677/D677)*60)*0.9,AND(E677=12),((E677/D677)*60)*1,AND(E677&gt;=13,E677&lt;=15),((E677/D677)*60)*1.2,AND(E677&gt;=16,E677&lt;=19),((E677/D677)*60)*1.5,E677&gt;=20,((E677/D677)*60)*1.8)</f>
        <v>27</v>
      </c>
      <c r="AT677" cm="1">
        <f t="array" ref="AT677">_xlfn.IFS(F677&lt;550,((F677/D677)*60)*0.5,AND(F677&gt;=550,F677&lt;575),((F677/D677)*60)*0.75,AND(F677&gt;=575,F677&lt;600),((F677/D677)*60)*0.9,AND(F677=600),((F677/D677)*60)*1,AND(F677&gt;=601,F677&lt;=625),((F677/D677)*60)*1.2,AND(F677&gt;=626,F677&lt;=650),((F677/D677)*60)*1.5,F677&gt;=651,((F677/D677)*60)*1.8)</f>
        <v>1188</v>
      </c>
      <c r="AU677">
        <f t="shared" si="193"/>
        <v>-3.2000000000000028</v>
      </c>
      <c r="AV677">
        <f t="shared" si="191"/>
        <v>485.36000000000007</v>
      </c>
      <c r="AW677">
        <f t="shared" si="194"/>
        <v>71.5</v>
      </c>
      <c r="AX677" t="str">
        <f t="shared" si="189"/>
        <v>Aug-2024</v>
      </c>
      <c r="AY677">
        <f>ROUNDUP(Table2[[#This Row],[Month]]/3,0)</f>
        <v>3</v>
      </c>
    </row>
    <row r="678" spans="1:51" x14ac:dyDescent="0.2">
      <c r="A678">
        <v>677</v>
      </c>
      <c r="B678">
        <f t="shared" si="178"/>
        <v>9</v>
      </c>
      <c r="C678" s="22">
        <v>45523</v>
      </c>
      <c r="D678">
        <f>SUM(Table2[[#This Row],[Gray Min]:[Red Min]])</f>
        <v>62</v>
      </c>
      <c r="E678">
        <v>19</v>
      </c>
      <c r="F678">
        <v>597</v>
      </c>
      <c r="G678">
        <v>117</v>
      </c>
      <c r="H678">
        <v>166</v>
      </c>
      <c r="I678">
        <v>29</v>
      </c>
      <c r="J678">
        <v>7</v>
      </c>
      <c r="K678">
        <v>7</v>
      </c>
      <c r="L678">
        <v>17</v>
      </c>
      <c r="M678">
        <v>2</v>
      </c>
      <c r="N678" t="s">
        <v>125</v>
      </c>
      <c r="O678" t="s">
        <v>127</v>
      </c>
      <c r="P678" t="s">
        <v>218</v>
      </c>
      <c r="Q678">
        <f t="shared" si="190"/>
        <v>5</v>
      </c>
      <c r="R678" t="str">
        <f t="shared" si="179"/>
        <v>8-2024</v>
      </c>
      <c r="S678" t="s">
        <v>104</v>
      </c>
      <c r="T678" t="str">
        <f t="shared" si="180"/>
        <v>Monday</v>
      </c>
      <c r="U678">
        <f t="shared" si="181"/>
        <v>1</v>
      </c>
      <c r="V678" s="24">
        <f>IFERROR(Table2[[#This Row],[Gray Min]]/Table2[[#This Row],[ClassLength]],"")</f>
        <v>0.46774193548387094</v>
      </c>
      <c r="W678" s="24">
        <f>IFERROR(Table2[[#This Row],[Blue Min]]/Table2[[#This Row],[ClassLength]],"")</f>
        <v>0.11290322580645161</v>
      </c>
      <c r="X678" s="24">
        <f>IFERROR(Table2[[#This Row],[Green Min]]/Table2[[#This Row],[ClassLength]],"")</f>
        <v>0.11290322580645161</v>
      </c>
      <c r="Y678" s="24">
        <f>IFERROR(Table2[[#This Row],[Orange Min]]/Table2[[#This Row],[ClassLength]],"")</f>
        <v>0.27419354838709675</v>
      </c>
      <c r="Z678" s="24">
        <f>IFERROR(Table2[[#This Row],[Red Min]]/Table2[[#This Row],[ClassLength]],"")</f>
        <v>3.2258064516129031E-2</v>
      </c>
      <c r="AA678" s="25">
        <v>169</v>
      </c>
      <c r="AB678" s="25">
        <f t="shared" si="192"/>
        <v>18.777777777777779</v>
      </c>
      <c r="AC678" s="26">
        <f t="shared" si="182"/>
        <v>654.33333333333337</v>
      </c>
      <c r="AD678" s="26">
        <f t="shared" si="183"/>
        <v>16.444444444444443</v>
      </c>
      <c r="AE678">
        <f t="shared" si="184"/>
        <v>2024</v>
      </c>
      <c r="AG678">
        <v>12</v>
      </c>
      <c r="AH678" s="26">
        <f t="shared" si="185"/>
        <v>9.629032258064516</v>
      </c>
      <c r="AI678" t="str">
        <f t="shared" si="186"/>
        <v>PM</v>
      </c>
      <c r="AJ678" t="str">
        <f t="shared" si="187"/>
        <v>8-2024-4</v>
      </c>
      <c r="AK678">
        <f t="shared" si="188"/>
        <v>8</v>
      </c>
      <c r="AL678" s="26">
        <f>IFERROR(Table2[[#This Row],[Calories]]/Table2[[#This Row],[Splat]],"")</f>
        <v>31.421052631578949</v>
      </c>
      <c r="AM678">
        <f>COUNTIF(N$2:$N$938,N678)</f>
        <v>258</v>
      </c>
      <c r="AN678" t="str">
        <f>VLOOKUP(N678,'Helpful Tables'!A:D,4,FALSE)</f>
        <v>Oregon</v>
      </c>
      <c r="AO678" s="24">
        <f>COUNTIF(AN:AN,Table2[[#This Row],[State]])/COUNTA(AN:AN)</f>
        <v>0.36140724946695096</v>
      </c>
      <c r="AP678">
        <f>VLOOKUP(N678,'Helpful Tables'!A:B,2,FALSE)</f>
        <v>45.534162000000002</v>
      </c>
      <c r="AQ678">
        <f>VLOOKUP(N678,'Helpful Tables'!A:C,3,FALSE)</f>
        <v>-122.69670000000001</v>
      </c>
      <c r="AR678">
        <f>COUNTIF(P$2:$P$938,P678)</f>
        <v>9</v>
      </c>
      <c r="AS678" cm="1">
        <f t="array" ref="AS678">_xlfn.IFS(E678&lt;6,((E678/D678)*60)*0.5,AND(E678&gt;=6,E678&lt;9),((E678/D678)*60)*0.75,AND(E678&gt;=9,E678&lt;=11),((E678/D678)*60)*0.9,AND(E678=12),((E678/D678)*60)*1,AND(E678&gt;=13,E678&lt;=15),((E678/D678)*60)*1.2,AND(E678&gt;=16,E678&lt;=19),((E678/D678)*60)*1.5,E678&gt;=20,((E678/D678)*60)*1.8)</f>
        <v>27.58064516129032</v>
      </c>
      <c r="AT678" cm="1">
        <f t="array" ref="AT678">_xlfn.IFS(F678&lt;550,((F678/D678)*60)*0.5,AND(F678&gt;=550,F678&lt;575),((F678/D678)*60)*0.75,AND(F678&gt;=575,F678&lt;600),((F678/D678)*60)*0.9,AND(F678=600),((F678/D678)*60)*1,AND(F678&gt;=601,F678&lt;=625),((F678/D678)*60)*1.2,AND(F678&gt;=626,F678&lt;=650),((F678/D678)*60)*1.5,F678&gt;=651,((F678/D678)*60)*1.8)</f>
        <v>519.9677419354839</v>
      </c>
      <c r="AU678">
        <f t="shared" si="193"/>
        <v>-9</v>
      </c>
      <c r="AV678">
        <f t="shared" si="191"/>
        <v>217.21935483870968</v>
      </c>
      <c r="AW678">
        <f t="shared" si="194"/>
        <v>16</v>
      </c>
      <c r="AX678" t="str">
        <f t="shared" si="189"/>
        <v>Aug-2024</v>
      </c>
      <c r="AY678">
        <f>ROUNDUP(Table2[[#This Row],[Month]]/3,0)</f>
        <v>3</v>
      </c>
    </row>
    <row r="679" spans="1:51" x14ac:dyDescent="0.2">
      <c r="A679">
        <v>678</v>
      </c>
      <c r="B679">
        <f t="shared" si="178"/>
        <v>9</v>
      </c>
      <c r="C679" s="22">
        <v>45524</v>
      </c>
      <c r="D679">
        <f>SUM(Table2[[#This Row],[Gray Min]:[Red Min]])</f>
        <v>61</v>
      </c>
      <c r="E679">
        <v>22</v>
      </c>
      <c r="F679">
        <v>679</v>
      </c>
      <c r="G679">
        <v>128</v>
      </c>
      <c r="H679">
        <v>171</v>
      </c>
      <c r="I679">
        <v>15</v>
      </c>
      <c r="J679">
        <v>20</v>
      </c>
      <c r="K679">
        <v>4</v>
      </c>
      <c r="L679">
        <v>5</v>
      </c>
      <c r="M679">
        <v>17</v>
      </c>
      <c r="N679" t="s">
        <v>125</v>
      </c>
      <c r="O679" t="s">
        <v>127</v>
      </c>
      <c r="P679" t="s">
        <v>220</v>
      </c>
      <c r="Q679">
        <f t="shared" si="190"/>
        <v>1</v>
      </c>
      <c r="R679" t="str">
        <f t="shared" si="179"/>
        <v>8-2024</v>
      </c>
      <c r="S679" t="s">
        <v>104</v>
      </c>
      <c r="T679" t="str">
        <f t="shared" si="180"/>
        <v>Tuesday</v>
      </c>
      <c r="U679">
        <f t="shared" si="181"/>
        <v>1</v>
      </c>
      <c r="V679" s="24">
        <f>IFERROR(Table2[[#This Row],[Gray Min]]/Table2[[#This Row],[ClassLength]],"")</f>
        <v>0.24590163934426229</v>
      </c>
      <c r="W679" s="24">
        <f>IFERROR(Table2[[#This Row],[Blue Min]]/Table2[[#This Row],[ClassLength]],"")</f>
        <v>0.32786885245901637</v>
      </c>
      <c r="X679" s="24">
        <f>IFERROR(Table2[[#This Row],[Green Min]]/Table2[[#This Row],[ClassLength]],"")</f>
        <v>6.5573770491803282E-2</v>
      </c>
      <c r="Y679" s="24">
        <f>IFERROR(Table2[[#This Row],[Orange Min]]/Table2[[#This Row],[ClassLength]],"")</f>
        <v>8.1967213114754092E-2</v>
      </c>
      <c r="Z679" s="24">
        <f>IFERROR(Table2[[#This Row],[Red Min]]/Table2[[#This Row],[ClassLength]],"")</f>
        <v>0.27868852459016391</v>
      </c>
      <c r="AA679" s="25">
        <v>169</v>
      </c>
      <c r="AB679" s="25">
        <f t="shared" si="192"/>
        <v>18.777777777777779</v>
      </c>
      <c r="AC679" s="26">
        <f t="shared" si="182"/>
        <v>654.33333333333337</v>
      </c>
      <c r="AD679" s="26">
        <f t="shared" si="183"/>
        <v>16.444444444444443</v>
      </c>
      <c r="AE679">
        <f t="shared" si="184"/>
        <v>2024</v>
      </c>
      <c r="AG679">
        <v>12</v>
      </c>
      <c r="AH679" s="26">
        <f t="shared" si="185"/>
        <v>11.131147540983607</v>
      </c>
      <c r="AI679" t="str">
        <f t="shared" si="186"/>
        <v>PM</v>
      </c>
      <c r="AJ679" t="str">
        <f t="shared" si="187"/>
        <v>8-2024-4</v>
      </c>
      <c r="AK679">
        <f t="shared" si="188"/>
        <v>8</v>
      </c>
      <c r="AL679" s="26">
        <f>IFERROR(Table2[[#This Row],[Calories]]/Table2[[#This Row],[Splat]],"")</f>
        <v>30.863636363636363</v>
      </c>
      <c r="AM679">
        <f>COUNTIF(N$2:$N$938,N679)</f>
        <v>258</v>
      </c>
      <c r="AN679" t="str">
        <f>VLOOKUP(N679,'Helpful Tables'!A:D,4,FALSE)</f>
        <v>Oregon</v>
      </c>
      <c r="AO679" s="24">
        <f>COUNTIF(AN:AN,Table2[[#This Row],[State]])/COUNTA(AN:AN)</f>
        <v>0.36140724946695096</v>
      </c>
      <c r="AP679">
        <f>VLOOKUP(N679,'Helpful Tables'!A:B,2,FALSE)</f>
        <v>45.534162000000002</v>
      </c>
      <c r="AQ679">
        <f>VLOOKUP(N679,'Helpful Tables'!A:C,3,FALSE)</f>
        <v>-122.69670000000001</v>
      </c>
      <c r="AR679">
        <f>COUNTIF(P$2:$P$938,P679)</f>
        <v>43</v>
      </c>
      <c r="AS679" cm="1">
        <f t="array" ref="AS679">_xlfn.IFS(E679&lt;6,((E679/D679)*60)*0.5,AND(E679&gt;=6,E679&lt;9),((E679/D679)*60)*0.75,AND(E679&gt;=9,E679&lt;=11),((E679/D679)*60)*0.9,AND(E679=12),((E679/D679)*60)*1,AND(E679&gt;=13,E679&lt;=15),((E679/D679)*60)*1.2,AND(E679&gt;=16,E679&lt;=19),((E679/D679)*60)*1.5,E679&gt;=20,((E679/D679)*60)*1.8)</f>
        <v>38.950819672131153</v>
      </c>
      <c r="AT679" cm="1">
        <f t="array" ref="AT679">_xlfn.IFS(F679&lt;550,((F679/D679)*60)*0.5,AND(F679&gt;=550,F679&lt;575),((F679/D679)*60)*0.75,AND(F679&gt;=575,F679&lt;600),((F679/D679)*60)*0.9,AND(F679=600),((F679/D679)*60)*1,AND(F679&gt;=601,F679&lt;=625),((F679/D679)*60)*1.2,AND(F679&gt;=626,F679&lt;=650),((F679/D679)*60)*1.5,F679&gt;=651,((F679/D679)*60)*1.8)</f>
        <v>1202.1639344262294</v>
      </c>
      <c r="AU679">
        <f t="shared" si="193"/>
        <v>-3.2000000000000028</v>
      </c>
      <c r="AV679">
        <f t="shared" si="191"/>
        <v>495.80590163934426</v>
      </c>
      <c r="AW679">
        <f t="shared" si="194"/>
        <v>76.400000000000006</v>
      </c>
      <c r="AX679" t="str">
        <f t="shared" si="189"/>
        <v>Aug-2024</v>
      </c>
      <c r="AY679">
        <f>ROUNDUP(Table2[[#This Row],[Month]]/3,0)</f>
        <v>3</v>
      </c>
    </row>
    <row r="680" spans="1:51" x14ac:dyDescent="0.2">
      <c r="A680">
        <v>679</v>
      </c>
      <c r="B680">
        <f t="shared" si="178"/>
        <v>9</v>
      </c>
      <c r="C680" s="22">
        <v>45527</v>
      </c>
      <c r="D680">
        <f>SUM(Table2[[#This Row],[Gray Min]:[Red Min]])</f>
        <v>59</v>
      </c>
      <c r="E680">
        <v>13</v>
      </c>
      <c r="F680">
        <v>553</v>
      </c>
      <c r="G680">
        <v>115</v>
      </c>
      <c r="H680">
        <v>167</v>
      </c>
      <c r="I680">
        <v>29</v>
      </c>
      <c r="J680">
        <v>13</v>
      </c>
      <c r="K680">
        <v>4</v>
      </c>
      <c r="L680">
        <v>12</v>
      </c>
      <c r="M680">
        <v>1</v>
      </c>
      <c r="N680" t="s">
        <v>208</v>
      </c>
      <c r="O680" t="s">
        <v>83</v>
      </c>
      <c r="P680" t="s">
        <v>209</v>
      </c>
      <c r="Q680">
        <f t="shared" si="190"/>
        <v>3</v>
      </c>
      <c r="R680" t="str">
        <f t="shared" si="179"/>
        <v>8-2024</v>
      </c>
      <c r="S680" t="s">
        <v>117</v>
      </c>
      <c r="T680" t="str">
        <f t="shared" si="180"/>
        <v>Friday</v>
      </c>
      <c r="U680">
        <f t="shared" si="181"/>
        <v>1</v>
      </c>
      <c r="V680" s="24">
        <f>IFERROR(Table2[[#This Row],[Gray Min]]/Table2[[#This Row],[ClassLength]],"")</f>
        <v>0.49152542372881358</v>
      </c>
      <c r="W680" s="24">
        <f>IFERROR(Table2[[#This Row],[Blue Min]]/Table2[[#This Row],[ClassLength]],"")</f>
        <v>0.22033898305084745</v>
      </c>
      <c r="X680" s="24">
        <f>IFERROR(Table2[[#This Row],[Green Min]]/Table2[[#This Row],[ClassLength]],"")</f>
        <v>6.7796610169491525E-2</v>
      </c>
      <c r="Y680" s="24">
        <f>IFERROR(Table2[[#This Row],[Orange Min]]/Table2[[#This Row],[ClassLength]],"")</f>
        <v>0.20338983050847459</v>
      </c>
      <c r="Z680" s="24">
        <f>IFERROR(Table2[[#This Row],[Red Min]]/Table2[[#This Row],[ClassLength]],"")</f>
        <v>1.6949152542372881E-2</v>
      </c>
      <c r="AA680" s="25">
        <v>169</v>
      </c>
      <c r="AB680" s="25">
        <f t="shared" si="192"/>
        <v>18.777777777777779</v>
      </c>
      <c r="AC680" s="26">
        <f t="shared" si="182"/>
        <v>654.33333333333337</v>
      </c>
      <c r="AD680" s="26">
        <f t="shared" si="183"/>
        <v>16.444444444444443</v>
      </c>
      <c r="AE680">
        <f t="shared" si="184"/>
        <v>2024</v>
      </c>
      <c r="AG680">
        <v>12</v>
      </c>
      <c r="AH680" s="26">
        <f t="shared" si="185"/>
        <v>9.3728813559322042</v>
      </c>
      <c r="AI680" t="str">
        <f t="shared" si="186"/>
        <v>PM</v>
      </c>
      <c r="AJ680" t="str">
        <f t="shared" si="187"/>
        <v>8-2024-4</v>
      </c>
      <c r="AK680">
        <f t="shared" si="188"/>
        <v>8</v>
      </c>
      <c r="AL680" s="26">
        <f>IFERROR(Table2[[#This Row],[Calories]]/Table2[[#This Row],[Splat]],"")</f>
        <v>42.53846153846154</v>
      </c>
      <c r="AM680">
        <f>COUNTIF(N$2:$N$938,N680)</f>
        <v>78</v>
      </c>
      <c r="AN680" t="str">
        <f>VLOOKUP(N680,'Helpful Tables'!A:D,4,FALSE)</f>
        <v>Oregon</v>
      </c>
      <c r="AO680" s="24">
        <f>COUNTIF(AN:AN,Table2[[#This Row],[State]])/COUNTA(AN:AN)</f>
        <v>0.36140724946695096</v>
      </c>
      <c r="AP680">
        <f>VLOOKUP(N680,'Helpful Tables'!A:B,2,FALSE)</f>
        <v>45.525092999999998</v>
      </c>
      <c r="AQ680">
        <f>VLOOKUP(N680,'Helpful Tables'!A:C,3,FALSE)</f>
        <v>-122.681383</v>
      </c>
      <c r="AR680">
        <f>COUNTIF(P$2:$P$938,P680)</f>
        <v>20</v>
      </c>
      <c r="AS680" cm="1">
        <f t="array" ref="AS680">_xlfn.IFS(E680&lt;6,((E680/D680)*60)*0.5,AND(E680&gt;=6,E680&lt;9),((E680/D680)*60)*0.75,AND(E680&gt;=9,E680&lt;=11),((E680/D680)*60)*0.9,AND(E680=12),((E680/D680)*60)*1,AND(E680&gt;=13,E680&lt;=15),((E680/D680)*60)*1.2,AND(E680&gt;=16,E680&lt;=19),((E680/D680)*60)*1.5,E680&gt;=20,((E680/D680)*60)*1.8)</f>
        <v>15.864406779661017</v>
      </c>
      <c r="AT680" cm="1">
        <f t="array" ref="AT680">_xlfn.IFS(F680&lt;550,((F680/D680)*60)*0.5,AND(F680&gt;=550,F680&lt;575),((F680/D680)*60)*0.75,AND(F680&gt;=575,F680&lt;600),((F680/D680)*60)*0.9,AND(F680=600),((F680/D680)*60)*1,AND(F680&gt;=601,F680&lt;=625),((F680/D680)*60)*1.2,AND(F680&gt;=626,F680&lt;=650),((F680/D680)*60)*1.5,F680&gt;=651,((F680/D680)*60)*1.8)</f>
        <v>421.77966101694915</v>
      </c>
      <c r="AU680">
        <f t="shared" si="193"/>
        <v>-27.199999999999996</v>
      </c>
      <c r="AV680">
        <f t="shared" si="191"/>
        <v>169.61762711864409</v>
      </c>
      <c r="AW680">
        <f t="shared" si="194"/>
        <v>8</v>
      </c>
      <c r="AX680" t="str">
        <f t="shared" si="189"/>
        <v>Aug-2024</v>
      </c>
      <c r="AY680">
        <f>ROUNDUP(Table2[[#This Row],[Month]]/3,0)</f>
        <v>3</v>
      </c>
    </row>
    <row r="681" spans="1:51" x14ac:dyDescent="0.2">
      <c r="A681">
        <v>680</v>
      </c>
      <c r="B681">
        <f t="shared" si="178"/>
        <v>14</v>
      </c>
      <c r="C681" s="22">
        <v>45537</v>
      </c>
      <c r="D681">
        <f>SUM(Table2[[#This Row],[Gray Min]:[Red Min]])</f>
        <v>59</v>
      </c>
      <c r="E681">
        <v>12</v>
      </c>
      <c r="F681">
        <v>605</v>
      </c>
      <c r="G681">
        <v>121</v>
      </c>
      <c r="H681">
        <v>162</v>
      </c>
      <c r="I681">
        <v>20</v>
      </c>
      <c r="J681">
        <v>17</v>
      </c>
      <c r="K681">
        <v>10</v>
      </c>
      <c r="L681">
        <v>12</v>
      </c>
      <c r="M681">
        <v>0</v>
      </c>
      <c r="N681" t="s">
        <v>125</v>
      </c>
      <c r="O681" t="s">
        <v>159</v>
      </c>
      <c r="P681" t="s">
        <v>220</v>
      </c>
      <c r="Q681">
        <f t="shared" si="190"/>
        <v>10</v>
      </c>
      <c r="R681" t="str">
        <f t="shared" si="179"/>
        <v>9-2024</v>
      </c>
      <c r="S681" t="s">
        <v>117</v>
      </c>
      <c r="T681" t="str">
        <f t="shared" si="180"/>
        <v>Monday</v>
      </c>
      <c r="U681">
        <f t="shared" si="181"/>
        <v>1</v>
      </c>
      <c r="V681" s="24">
        <f>IFERROR(Table2[[#This Row],[Gray Min]]/Table2[[#This Row],[ClassLength]],"")</f>
        <v>0.33898305084745761</v>
      </c>
      <c r="W681" s="24">
        <f>IFERROR(Table2[[#This Row],[Blue Min]]/Table2[[#This Row],[ClassLength]],"")</f>
        <v>0.28813559322033899</v>
      </c>
      <c r="X681" s="24">
        <f>IFERROR(Table2[[#This Row],[Green Min]]/Table2[[#This Row],[ClassLength]],"")</f>
        <v>0.16949152542372881</v>
      </c>
      <c r="Y681" s="24">
        <f>IFERROR(Table2[[#This Row],[Orange Min]]/Table2[[#This Row],[ClassLength]],"")</f>
        <v>0.20338983050847459</v>
      </c>
      <c r="Z681" s="24">
        <f>IFERROR(Table2[[#This Row],[Red Min]]/Table2[[#This Row],[ClassLength]],"")</f>
        <v>0</v>
      </c>
      <c r="AA681" s="25">
        <v>169</v>
      </c>
      <c r="AB681" s="25">
        <f t="shared" si="192"/>
        <v>12.071428571428571</v>
      </c>
      <c r="AC681" s="26">
        <f t="shared" si="182"/>
        <v>632.92857142857144</v>
      </c>
      <c r="AD681" s="26">
        <f t="shared" si="183"/>
        <v>14.142857142857142</v>
      </c>
      <c r="AE681">
        <f t="shared" si="184"/>
        <v>2024</v>
      </c>
      <c r="AG681">
        <v>12</v>
      </c>
      <c r="AH681" s="26">
        <f t="shared" si="185"/>
        <v>10.254237288135593</v>
      </c>
      <c r="AI681" t="str">
        <f t="shared" si="186"/>
        <v>AM</v>
      </c>
      <c r="AJ681" t="str">
        <f t="shared" si="187"/>
        <v>9-2024-1</v>
      </c>
      <c r="AK681">
        <f t="shared" si="188"/>
        <v>9</v>
      </c>
      <c r="AL681" s="26">
        <f>IFERROR(Table2[[#This Row],[Calories]]/Table2[[#This Row],[Splat]],"")</f>
        <v>50.416666666666664</v>
      </c>
      <c r="AM681">
        <f>COUNTIF(N$2:$N$938,N681)</f>
        <v>258</v>
      </c>
      <c r="AN681" t="str">
        <f>VLOOKUP(N681,'Helpful Tables'!A:D,4,FALSE)</f>
        <v>Oregon</v>
      </c>
      <c r="AO681" s="24">
        <f>COUNTIF(AN:AN,Table2[[#This Row],[State]])/COUNTA(AN:AN)</f>
        <v>0.36140724946695096</v>
      </c>
      <c r="AP681">
        <f>VLOOKUP(N681,'Helpful Tables'!A:B,2,FALSE)</f>
        <v>45.534162000000002</v>
      </c>
      <c r="AQ681">
        <f>VLOOKUP(N681,'Helpful Tables'!A:C,3,FALSE)</f>
        <v>-122.69670000000001</v>
      </c>
      <c r="AR681">
        <f>COUNTIF(P$2:$P$938,P681)</f>
        <v>43</v>
      </c>
      <c r="AS681" cm="1">
        <f t="array" ref="AS681">_xlfn.IFS(E681&lt;6,((E681/D681)*60)*0.5,AND(E681&gt;=6,E681&lt;9),((E681/D681)*60)*0.75,AND(E681&gt;=9,E681&lt;=11),((E681/D681)*60)*0.9,AND(E681=12),((E681/D681)*60)*1,AND(E681&gt;=13,E681&lt;=15),((E681/D681)*60)*1.2,AND(E681&gt;=16,E681&lt;=19),((E681/D681)*60)*1.5,E681&gt;=20,((E681/D681)*60)*1.8)</f>
        <v>12.203389830508476</v>
      </c>
      <c r="AT681" cm="1">
        <f t="array" ref="AT681">_xlfn.IFS(F681&lt;550,((F681/D681)*60)*0.5,AND(F681&gt;=550,F681&lt;575),((F681/D681)*60)*0.75,AND(F681&gt;=575,F681&lt;600),((F681/D681)*60)*0.9,AND(F681=600),((F681/D681)*60)*1,AND(F681&gt;=601,F681&lt;=625),((F681/D681)*60)*1.2,AND(F681&gt;=626,F681&lt;=650),((F681/D681)*60)*1.5,F681&gt;=651,((F681/D681)*60)*1.8)</f>
        <v>738.30508474576277</v>
      </c>
      <c r="AU681">
        <f t="shared" si="193"/>
        <v>-15.100000000000001</v>
      </c>
      <c r="AV681">
        <f t="shared" si="191"/>
        <v>297.18338983050853</v>
      </c>
      <c r="AW681">
        <f t="shared" si="194"/>
        <v>26.200000000000003</v>
      </c>
      <c r="AX681" t="str">
        <f t="shared" si="189"/>
        <v>Sep-2024</v>
      </c>
      <c r="AY681">
        <f>ROUNDUP(Table2[[#This Row],[Month]]/3,0)</f>
        <v>3</v>
      </c>
    </row>
    <row r="682" spans="1:51" x14ac:dyDescent="0.2">
      <c r="A682">
        <v>681</v>
      </c>
      <c r="B682">
        <f t="shared" si="178"/>
        <v>14</v>
      </c>
      <c r="C682" s="22">
        <v>45539</v>
      </c>
      <c r="D682">
        <f>SUM(Table2[[#This Row],[Gray Min]:[Red Min]])</f>
        <v>58</v>
      </c>
      <c r="E682">
        <v>16</v>
      </c>
      <c r="F682">
        <v>616</v>
      </c>
      <c r="G682">
        <v>123</v>
      </c>
      <c r="H682">
        <v>172</v>
      </c>
      <c r="I682">
        <v>15</v>
      </c>
      <c r="J682">
        <v>16</v>
      </c>
      <c r="K682">
        <v>11</v>
      </c>
      <c r="L682">
        <v>15</v>
      </c>
      <c r="M682">
        <v>1</v>
      </c>
      <c r="N682" t="s">
        <v>125</v>
      </c>
      <c r="O682" t="s">
        <v>127</v>
      </c>
      <c r="P682" t="s">
        <v>216</v>
      </c>
      <c r="Q682">
        <f t="shared" si="190"/>
        <v>2</v>
      </c>
      <c r="R682" t="str">
        <f t="shared" si="179"/>
        <v>9-2024</v>
      </c>
      <c r="S682" t="s">
        <v>104</v>
      </c>
      <c r="T682" t="str">
        <f t="shared" si="180"/>
        <v>Wednesday</v>
      </c>
      <c r="U682">
        <f t="shared" si="181"/>
        <v>1</v>
      </c>
      <c r="V682" s="24">
        <f>IFERROR(Table2[[#This Row],[Gray Min]]/Table2[[#This Row],[ClassLength]],"")</f>
        <v>0.25862068965517243</v>
      </c>
      <c r="W682" s="24">
        <f>IFERROR(Table2[[#This Row],[Blue Min]]/Table2[[#This Row],[ClassLength]],"")</f>
        <v>0.27586206896551724</v>
      </c>
      <c r="X682" s="24">
        <f>IFERROR(Table2[[#This Row],[Green Min]]/Table2[[#This Row],[ClassLength]],"")</f>
        <v>0.18965517241379309</v>
      </c>
      <c r="Y682" s="24">
        <f>IFERROR(Table2[[#This Row],[Orange Min]]/Table2[[#This Row],[ClassLength]],"")</f>
        <v>0.25862068965517243</v>
      </c>
      <c r="Z682" s="24">
        <f>IFERROR(Table2[[#This Row],[Red Min]]/Table2[[#This Row],[ClassLength]],"")</f>
        <v>1.7241379310344827E-2</v>
      </c>
      <c r="AA682" s="25">
        <v>169</v>
      </c>
      <c r="AB682" s="25">
        <f t="shared" si="192"/>
        <v>12.071428571428571</v>
      </c>
      <c r="AC682" s="26">
        <f t="shared" si="182"/>
        <v>632.92857142857144</v>
      </c>
      <c r="AD682" s="26">
        <f t="shared" si="183"/>
        <v>14.142857142857142</v>
      </c>
      <c r="AE682">
        <f t="shared" si="184"/>
        <v>2024</v>
      </c>
      <c r="AG682">
        <v>12</v>
      </c>
      <c r="AH682" s="26">
        <f t="shared" si="185"/>
        <v>10.620689655172415</v>
      </c>
      <c r="AI682" t="str">
        <f t="shared" si="186"/>
        <v>PM</v>
      </c>
      <c r="AJ682" t="str">
        <f t="shared" si="187"/>
        <v>9-2024-1</v>
      </c>
      <c r="AK682">
        <f t="shared" si="188"/>
        <v>9</v>
      </c>
      <c r="AL682" s="26">
        <f>IFERROR(Table2[[#This Row],[Calories]]/Table2[[#This Row],[Splat]],"")</f>
        <v>38.5</v>
      </c>
      <c r="AM682">
        <f>COUNTIF(N$2:$N$938,N682)</f>
        <v>258</v>
      </c>
      <c r="AN682" t="str">
        <f>VLOOKUP(N682,'Helpful Tables'!A:D,4,FALSE)</f>
        <v>Oregon</v>
      </c>
      <c r="AO682" s="24">
        <f>COUNTIF(AN:AN,Table2[[#This Row],[State]])/COUNTA(AN:AN)</f>
        <v>0.36140724946695096</v>
      </c>
      <c r="AP682">
        <f>VLOOKUP(N682,'Helpful Tables'!A:B,2,FALSE)</f>
        <v>45.534162000000002</v>
      </c>
      <c r="AQ682">
        <f>VLOOKUP(N682,'Helpful Tables'!A:C,3,FALSE)</f>
        <v>-122.69670000000001</v>
      </c>
      <c r="AR682">
        <f>COUNTIF(P$2:$P$938,P682)</f>
        <v>25</v>
      </c>
      <c r="AS682" cm="1">
        <f t="array" ref="AS682">_xlfn.IFS(E682&lt;6,((E682/D682)*60)*0.5,AND(E682&gt;=6,E682&lt;9),((E682/D682)*60)*0.75,AND(E682&gt;=9,E682&lt;=11),((E682/D682)*60)*0.9,AND(E682=12),((E682/D682)*60)*1,AND(E682&gt;=13,E682&lt;=15),((E682/D682)*60)*1.2,AND(E682&gt;=16,E682&lt;=19),((E682/D682)*60)*1.5,E682&gt;=20,((E682/D682)*60)*1.8)</f>
        <v>24.827586206896555</v>
      </c>
      <c r="AT682" cm="1">
        <f t="array" ref="AT682">_xlfn.IFS(F682&lt;550,((F682/D682)*60)*0.5,AND(F682&gt;=550,F682&lt;575),((F682/D682)*60)*0.75,AND(F682&gt;=575,F682&lt;600),((F682/D682)*60)*0.9,AND(F682=600),((F682/D682)*60)*1,AND(F682&gt;=601,F682&lt;=625),((F682/D682)*60)*1.2,AND(F682&gt;=626,F682&lt;=650),((F682/D682)*60)*1.5,F682&gt;=651,((F682/D682)*60)*1.8)</f>
        <v>764.68965517241384</v>
      </c>
      <c r="AU682">
        <f t="shared" si="193"/>
        <v>-1.4000000000000021</v>
      </c>
      <c r="AV682">
        <f t="shared" si="191"/>
        <v>315.52689655172418</v>
      </c>
      <c r="AW682">
        <f t="shared" si="194"/>
        <v>34.300000000000004</v>
      </c>
      <c r="AX682" t="str">
        <f t="shared" si="189"/>
        <v>Sep-2024</v>
      </c>
      <c r="AY682">
        <f>ROUNDUP(Table2[[#This Row],[Month]]/3,0)</f>
        <v>3</v>
      </c>
    </row>
    <row r="683" spans="1:51" x14ac:dyDescent="0.2">
      <c r="A683">
        <v>682</v>
      </c>
      <c r="B683">
        <f t="shared" si="178"/>
        <v>14</v>
      </c>
      <c r="C683" s="22">
        <v>45540</v>
      </c>
      <c r="D683">
        <f>SUM(Table2[[#This Row],[Gray Min]:[Red Min]])</f>
        <v>61</v>
      </c>
      <c r="E683">
        <v>11</v>
      </c>
      <c r="F683">
        <v>642</v>
      </c>
      <c r="G683">
        <v>123</v>
      </c>
      <c r="H683">
        <v>169</v>
      </c>
      <c r="I683">
        <v>14</v>
      </c>
      <c r="J683">
        <v>22</v>
      </c>
      <c r="K683">
        <v>14</v>
      </c>
      <c r="L683">
        <v>10</v>
      </c>
      <c r="M683">
        <v>1</v>
      </c>
      <c r="N683" t="s">
        <v>125</v>
      </c>
      <c r="O683" t="s">
        <v>127</v>
      </c>
      <c r="P683" t="s">
        <v>220</v>
      </c>
      <c r="Q683">
        <f t="shared" si="190"/>
        <v>1</v>
      </c>
      <c r="R683" t="str">
        <f t="shared" si="179"/>
        <v>9-2024</v>
      </c>
      <c r="S683" t="s">
        <v>104</v>
      </c>
      <c r="T683" t="str">
        <f t="shared" si="180"/>
        <v>Thursday</v>
      </c>
      <c r="U683">
        <f t="shared" si="181"/>
        <v>0</v>
      </c>
      <c r="V683" s="24">
        <f>IFERROR(Table2[[#This Row],[Gray Min]]/Table2[[#This Row],[ClassLength]],"")</f>
        <v>0.22950819672131148</v>
      </c>
      <c r="W683" s="24">
        <f>IFERROR(Table2[[#This Row],[Blue Min]]/Table2[[#This Row],[ClassLength]],"")</f>
        <v>0.36065573770491804</v>
      </c>
      <c r="X683" s="24">
        <f>IFERROR(Table2[[#This Row],[Green Min]]/Table2[[#This Row],[ClassLength]],"")</f>
        <v>0.22950819672131148</v>
      </c>
      <c r="Y683" s="24">
        <f>IFERROR(Table2[[#This Row],[Orange Min]]/Table2[[#This Row],[ClassLength]],"")</f>
        <v>0.16393442622950818</v>
      </c>
      <c r="Z683" s="24">
        <f>IFERROR(Table2[[#This Row],[Red Min]]/Table2[[#This Row],[ClassLength]],"")</f>
        <v>1.6393442622950821E-2</v>
      </c>
      <c r="AA683" s="25">
        <v>169</v>
      </c>
      <c r="AB683" s="25">
        <f t="shared" si="192"/>
        <v>12.071428571428571</v>
      </c>
      <c r="AC683" s="26">
        <f t="shared" si="182"/>
        <v>632.92857142857144</v>
      </c>
      <c r="AD683" s="26">
        <f t="shared" si="183"/>
        <v>14.142857142857142</v>
      </c>
      <c r="AE683">
        <f t="shared" si="184"/>
        <v>2024</v>
      </c>
      <c r="AG683">
        <v>12</v>
      </c>
      <c r="AH683" s="26">
        <f t="shared" si="185"/>
        <v>10.524590163934427</v>
      </c>
      <c r="AI683" t="str">
        <f t="shared" si="186"/>
        <v>PM</v>
      </c>
      <c r="AJ683" t="str">
        <f t="shared" si="187"/>
        <v>9-2024-1</v>
      </c>
      <c r="AK683">
        <f t="shared" si="188"/>
        <v>9</v>
      </c>
      <c r="AL683" s="26">
        <f>IFERROR(Table2[[#This Row],[Calories]]/Table2[[#This Row],[Splat]],"")</f>
        <v>58.363636363636367</v>
      </c>
      <c r="AM683">
        <f>COUNTIF(N$2:$N$938,N683)</f>
        <v>258</v>
      </c>
      <c r="AN683" t="str">
        <f>VLOOKUP(N683,'Helpful Tables'!A:D,4,FALSE)</f>
        <v>Oregon</v>
      </c>
      <c r="AO683" s="24">
        <f>COUNTIF(AN:AN,Table2[[#This Row],[State]])/COUNTA(AN:AN)</f>
        <v>0.36140724946695096</v>
      </c>
      <c r="AP683">
        <f>VLOOKUP(N683,'Helpful Tables'!A:B,2,FALSE)</f>
        <v>45.534162000000002</v>
      </c>
      <c r="AQ683">
        <f>VLOOKUP(N683,'Helpful Tables'!A:C,3,FALSE)</f>
        <v>-122.69670000000001</v>
      </c>
      <c r="AR683">
        <f>COUNTIF(P$2:$P$938,P683)</f>
        <v>43</v>
      </c>
      <c r="AS683" cm="1">
        <f t="array" ref="AS683">_xlfn.IFS(E683&lt;6,((E683/D683)*60)*0.5,AND(E683&gt;=6,E683&lt;9),((E683/D683)*60)*0.75,AND(E683&gt;=9,E683&lt;=11),((E683/D683)*60)*0.9,AND(E683=12),((E683/D683)*60)*1,AND(E683&gt;=13,E683&lt;=15),((E683/D683)*60)*1.2,AND(E683&gt;=16,E683&lt;=19),((E683/D683)*60)*1.5,E683&gt;=20,((E683/D683)*60)*1.8)</f>
        <v>9.7377049180327884</v>
      </c>
      <c r="AT683" cm="1">
        <f t="array" ref="AT683">_xlfn.IFS(F683&lt;550,((F683/D683)*60)*0.5,AND(F683&gt;=550,F683&lt;575),((F683/D683)*60)*0.75,AND(F683&gt;=575,F683&lt;600),((F683/D683)*60)*0.9,AND(F683=600),((F683/D683)*60)*1,AND(F683&gt;=601,F683&lt;=625),((F683/D683)*60)*1.2,AND(F683&gt;=626,F683&lt;=650),((F683/D683)*60)*1.5,F683&gt;=651,((F683/D683)*60)*1.8)</f>
        <v>947.21311475409846</v>
      </c>
      <c r="AU683">
        <f t="shared" si="193"/>
        <v>-9.6999999999999993</v>
      </c>
      <c r="AV683">
        <f t="shared" si="191"/>
        <v>380.84032786885251</v>
      </c>
      <c r="AW683">
        <f t="shared" si="194"/>
        <v>45.6</v>
      </c>
      <c r="AX683" t="str">
        <f t="shared" si="189"/>
        <v>Sep-2024</v>
      </c>
      <c r="AY683">
        <f>ROUNDUP(Table2[[#This Row],[Month]]/3,0)</f>
        <v>3</v>
      </c>
    </row>
    <row r="684" spans="1:51" x14ac:dyDescent="0.2">
      <c r="A684">
        <v>683</v>
      </c>
      <c r="B684">
        <f t="shared" si="178"/>
        <v>14</v>
      </c>
      <c r="C684" s="22">
        <v>45544</v>
      </c>
      <c r="D684">
        <f>SUM(Table2[[#This Row],[Gray Min]:[Red Min]])</f>
        <v>61</v>
      </c>
      <c r="E684">
        <v>16</v>
      </c>
      <c r="F684">
        <v>690</v>
      </c>
      <c r="G684">
        <v>128</v>
      </c>
      <c r="H684">
        <v>168</v>
      </c>
      <c r="I684">
        <v>14</v>
      </c>
      <c r="J684">
        <v>14</v>
      </c>
      <c r="K684">
        <v>17</v>
      </c>
      <c r="L684">
        <v>14</v>
      </c>
      <c r="M684">
        <v>2</v>
      </c>
      <c r="N684" t="s">
        <v>125</v>
      </c>
      <c r="O684" t="s">
        <v>127</v>
      </c>
      <c r="P684" t="s">
        <v>220</v>
      </c>
      <c r="Q684">
        <f t="shared" si="190"/>
        <v>4</v>
      </c>
      <c r="R684" t="str">
        <f t="shared" si="179"/>
        <v>9-2024</v>
      </c>
      <c r="S684" t="s">
        <v>104</v>
      </c>
      <c r="T684" t="str">
        <f t="shared" si="180"/>
        <v>Monday</v>
      </c>
      <c r="U684">
        <f t="shared" si="181"/>
        <v>1</v>
      </c>
      <c r="V684" s="24">
        <f>IFERROR(Table2[[#This Row],[Gray Min]]/Table2[[#This Row],[ClassLength]],"")</f>
        <v>0.22950819672131148</v>
      </c>
      <c r="W684" s="24">
        <f>IFERROR(Table2[[#This Row],[Blue Min]]/Table2[[#This Row],[ClassLength]],"")</f>
        <v>0.22950819672131148</v>
      </c>
      <c r="X684" s="24">
        <f>IFERROR(Table2[[#This Row],[Green Min]]/Table2[[#This Row],[ClassLength]],"")</f>
        <v>0.27868852459016391</v>
      </c>
      <c r="Y684" s="24">
        <f>IFERROR(Table2[[#This Row],[Orange Min]]/Table2[[#This Row],[ClassLength]],"")</f>
        <v>0.22950819672131148</v>
      </c>
      <c r="Z684" s="24">
        <f>IFERROR(Table2[[#This Row],[Red Min]]/Table2[[#This Row],[ClassLength]],"")</f>
        <v>3.2786885245901641E-2</v>
      </c>
      <c r="AA684" s="25">
        <v>169</v>
      </c>
      <c r="AB684" s="25">
        <f t="shared" si="192"/>
        <v>12.071428571428571</v>
      </c>
      <c r="AC684" s="26">
        <f t="shared" si="182"/>
        <v>632.92857142857144</v>
      </c>
      <c r="AD684" s="26">
        <f t="shared" si="183"/>
        <v>14.142857142857142</v>
      </c>
      <c r="AE684">
        <f t="shared" si="184"/>
        <v>2024</v>
      </c>
      <c r="AG684">
        <v>12</v>
      </c>
      <c r="AH684" s="26">
        <f t="shared" si="185"/>
        <v>11.311475409836065</v>
      </c>
      <c r="AI684" t="str">
        <f t="shared" si="186"/>
        <v>PM</v>
      </c>
      <c r="AJ684" t="str">
        <f t="shared" si="187"/>
        <v>9-2024-2</v>
      </c>
      <c r="AK684">
        <f t="shared" si="188"/>
        <v>9</v>
      </c>
      <c r="AL684" s="26">
        <f>IFERROR(Table2[[#This Row],[Calories]]/Table2[[#This Row],[Splat]],"")</f>
        <v>43.125</v>
      </c>
      <c r="AM684">
        <f>COUNTIF(N$2:$N$938,N684)</f>
        <v>258</v>
      </c>
      <c r="AN684" t="str">
        <f>VLOOKUP(N684,'Helpful Tables'!A:D,4,FALSE)</f>
        <v>Oregon</v>
      </c>
      <c r="AO684" s="24">
        <f>COUNTIF(AN:AN,Table2[[#This Row],[State]])/COUNTA(AN:AN)</f>
        <v>0.36140724946695096</v>
      </c>
      <c r="AP684">
        <f>VLOOKUP(N684,'Helpful Tables'!A:B,2,FALSE)</f>
        <v>45.534162000000002</v>
      </c>
      <c r="AQ684">
        <f>VLOOKUP(N684,'Helpful Tables'!A:C,3,FALSE)</f>
        <v>-122.69670000000001</v>
      </c>
      <c r="AR684">
        <f>COUNTIF(P$2:$P$938,P684)</f>
        <v>43</v>
      </c>
      <c r="AS684" cm="1">
        <f t="array" ref="AS684">_xlfn.IFS(E684&lt;6,((E684/D684)*60)*0.5,AND(E684&gt;=6,E684&lt;9),((E684/D684)*60)*0.75,AND(E684&gt;=9,E684&lt;=11),((E684/D684)*60)*0.9,AND(E684=12),((E684/D684)*60)*1,AND(E684&gt;=13,E684&lt;=15),((E684/D684)*60)*1.2,AND(E684&gt;=16,E684&lt;=19),((E684/D684)*60)*1.5,E684&gt;=20,((E684/D684)*60)*1.8)</f>
        <v>23.606557377049182</v>
      </c>
      <c r="AT684" cm="1">
        <f t="array" ref="AT684">_xlfn.IFS(F684&lt;550,((F684/D684)*60)*0.5,AND(F684&gt;=550,F684&lt;575),((F684/D684)*60)*0.75,AND(F684&gt;=575,F684&lt;600),((F684/D684)*60)*0.9,AND(F684=600),((F684/D684)*60)*1,AND(F684&gt;=601,F684&lt;=625),((F684/D684)*60)*1.2,AND(F684&gt;=626,F684&lt;=650),((F684/D684)*60)*1.5,F684&gt;=651,((F684/D684)*60)*1.8)</f>
        <v>1221.639344262295</v>
      </c>
      <c r="AU684">
        <f t="shared" si="193"/>
        <v>9.399999999999995</v>
      </c>
      <c r="AV684">
        <f t="shared" si="191"/>
        <v>499.97836065573767</v>
      </c>
      <c r="AW684">
        <f t="shared" si="194"/>
        <v>79</v>
      </c>
      <c r="AX684" t="str">
        <f t="shared" si="189"/>
        <v>Sep-2024</v>
      </c>
      <c r="AY684">
        <f>ROUNDUP(Table2[[#This Row],[Month]]/3,0)</f>
        <v>3</v>
      </c>
    </row>
    <row r="685" spans="1:51" x14ac:dyDescent="0.2">
      <c r="A685">
        <v>684</v>
      </c>
      <c r="B685">
        <f t="shared" si="178"/>
        <v>14</v>
      </c>
      <c r="C685" s="22">
        <v>45545</v>
      </c>
      <c r="D685">
        <f>SUM(Table2[[#This Row],[Gray Min]:[Red Min]])</f>
        <v>60</v>
      </c>
      <c r="E685">
        <v>17</v>
      </c>
      <c r="F685">
        <v>688</v>
      </c>
      <c r="G685">
        <v>129</v>
      </c>
      <c r="H685">
        <v>166</v>
      </c>
      <c r="I685">
        <v>10</v>
      </c>
      <c r="J685">
        <v>15</v>
      </c>
      <c r="K685">
        <v>18</v>
      </c>
      <c r="L685">
        <v>13</v>
      </c>
      <c r="M685">
        <v>4</v>
      </c>
      <c r="N685" t="s">
        <v>125</v>
      </c>
      <c r="O685" t="s">
        <v>127</v>
      </c>
      <c r="P685" t="s">
        <v>216</v>
      </c>
      <c r="Q685">
        <f t="shared" si="190"/>
        <v>1</v>
      </c>
      <c r="R685" t="str">
        <f t="shared" si="179"/>
        <v>9-2024</v>
      </c>
      <c r="S685" t="s">
        <v>117</v>
      </c>
      <c r="T685" t="str">
        <f t="shared" si="180"/>
        <v>Tuesday</v>
      </c>
      <c r="U685">
        <f t="shared" si="181"/>
        <v>1</v>
      </c>
      <c r="V685" s="24">
        <f>IFERROR(Table2[[#This Row],[Gray Min]]/Table2[[#This Row],[ClassLength]],"")</f>
        <v>0.16666666666666666</v>
      </c>
      <c r="W685" s="24">
        <f>IFERROR(Table2[[#This Row],[Blue Min]]/Table2[[#This Row],[ClassLength]],"")</f>
        <v>0.25</v>
      </c>
      <c r="X685" s="24">
        <f>IFERROR(Table2[[#This Row],[Green Min]]/Table2[[#This Row],[ClassLength]],"")</f>
        <v>0.3</v>
      </c>
      <c r="Y685" s="24">
        <f>IFERROR(Table2[[#This Row],[Orange Min]]/Table2[[#This Row],[ClassLength]],"")</f>
        <v>0.21666666666666667</v>
      </c>
      <c r="Z685" s="24">
        <f>IFERROR(Table2[[#This Row],[Red Min]]/Table2[[#This Row],[ClassLength]],"")</f>
        <v>6.6666666666666666E-2</v>
      </c>
      <c r="AA685" s="25">
        <v>169</v>
      </c>
      <c r="AB685" s="25">
        <f t="shared" si="192"/>
        <v>12.071428571428571</v>
      </c>
      <c r="AC685" s="26">
        <f t="shared" si="182"/>
        <v>632.92857142857144</v>
      </c>
      <c r="AD685" s="26">
        <f t="shared" si="183"/>
        <v>14.142857142857142</v>
      </c>
      <c r="AE685">
        <f t="shared" si="184"/>
        <v>2024</v>
      </c>
      <c r="AG685">
        <v>12</v>
      </c>
      <c r="AH685" s="26">
        <f t="shared" si="185"/>
        <v>11.466666666666667</v>
      </c>
      <c r="AI685" t="str">
        <f t="shared" si="186"/>
        <v>PM</v>
      </c>
      <c r="AJ685" t="str">
        <f t="shared" si="187"/>
        <v>9-2024-2</v>
      </c>
      <c r="AK685">
        <f t="shared" si="188"/>
        <v>9</v>
      </c>
      <c r="AL685" s="26">
        <f>IFERROR(Table2[[#This Row],[Calories]]/Table2[[#This Row],[Splat]],"")</f>
        <v>40.470588235294116</v>
      </c>
      <c r="AM685">
        <f>COUNTIF(N$2:$N$938,N685)</f>
        <v>258</v>
      </c>
      <c r="AN685" t="str">
        <f>VLOOKUP(N685,'Helpful Tables'!A:D,4,FALSE)</f>
        <v>Oregon</v>
      </c>
      <c r="AO685" s="24">
        <f>COUNTIF(AN:AN,Table2[[#This Row],[State]])/COUNTA(AN:AN)</f>
        <v>0.36140724946695096</v>
      </c>
      <c r="AP685">
        <f>VLOOKUP(N685,'Helpful Tables'!A:B,2,FALSE)</f>
        <v>45.534162000000002</v>
      </c>
      <c r="AQ685">
        <f>VLOOKUP(N685,'Helpful Tables'!A:C,3,FALSE)</f>
        <v>-122.69670000000001</v>
      </c>
      <c r="AR685">
        <f>COUNTIF(P$2:$P$938,P685)</f>
        <v>25</v>
      </c>
      <c r="AS685" cm="1">
        <f t="array" ref="AS685">_xlfn.IFS(E685&lt;6,((E685/D685)*60)*0.5,AND(E685&gt;=6,E685&lt;9),((E685/D685)*60)*0.75,AND(E685&gt;=9,E685&lt;=11),((E685/D685)*60)*0.9,AND(E685=12),((E685/D685)*60)*1,AND(E685&gt;=13,E685&lt;=15),((E685/D685)*60)*1.2,AND(E685&gt;=16,E685&lt;=19),((E685/D685)*60)*1.5,E685&gt;=20,((E685/D685)*60)*1.8)</f>
        <v>25.5</v>
      </c>
      <c r="AT685" cm="1">
        <f t="array" ref="AT685">_xlfn.IFS(F685&lt;550,((F685/D685)*60)*0.5,AND(F685&gt;=550,F685&lt;575),((F685/D685)*60)*0.75,AND(F685&gt;=575,F685&lt;600),((F685/D685)*60)*0.9,AND(F685=600),((F685/D685)*60)*1,AND(F685&gt;=601,F685&lt;=625),((F685/D685)*60)*1.2,AND(F685&gt;=626,F685&lt;=650),((F685/D685)*60)*1.5,F685&gt;=651,((F685/D685)*60)*1.8)</f>
        <v>1238.4000000000001</v>
      </c>
      <c r="AU685">
        <f t="shared" si="193"/>
        <v>16</v>
      </c>
      <c r="AV685">
        <f t="shared" si="191"/>
        <v>508.76000000000005</v>
      </c>
      <c r="AW685">
        <f t="shared" si="194"/>
        <v>84.6</v>
      </c>
      <c r="AX685" t="str">
        <f t="shared" si="189"/>
        <v>Sep-2024</v>
      </c>
      <c r="AY685">
        <f>ROUNDUP(Table2[[#This Row],[Month]]/3,0)</f>
        <v>3</v>
      </c>
    </row>
    <row r="686" spans="1:51" x14ac:dyDescent="0.2">
      <c r="A686">
        <v>685</v>
      </c>
      <c r="B686">
        <f t="shared" si="178"/>
        <v>14</v>
      </c>
      <c r="C686" s="22">
        <v>45548</v>
      </c>
      <c r="D686">
        <f>SUM(Table2[[#This Row],[Gray Min]:[Red Min]])</f>
        <v>60</v>
      </c>
      <c r="E686">
        <v>23</v>
      </c>
      <c r="F686">
        <v>635</v>
      </c>
      <c r="G686">
        <v>123</v>
      </c>
      <c r="H686">
        <v>170</v>
      </c>
      <c r="I686">
        <v>25</v>
      </c>
      <c r="J686">
        <v>9</v>
      </c>
      <c r="K686">
        <v>3</v>
      </c>
      <c r="L686">
        <v>12</v>
      </c>
      <c r="M686">
        <v>11</v>
      </c>
      <c r="N686" t="s">
        <v>208</v>
      </c>
      <c r="O686" t="s">
        <v>53</v>
      </c>
      <c r="P686" t="s">
        <v>209</v>
      </c>
      <c r="Q686">
        <f t="shared" si="190"/>
        <v>3</v>
      </c>
      <c r="R686" t="str">
        <f t="shared" si="179"/>
        <v>9-2024</v>
      </c>
      <c r="S686" t="s">
        <v>104</v>
      </c>
      <c r="T686" t="str">
        <f t="shared" si="180"/>
        <v>Friday</v>
      </c>
      <c r="U686">
        <f t="shared" si="181"/>
        <v>1</v>
      </c>
      <c r="V686" s="24">
        <f>IFERROR(Table2[[#This Row],[Gray Min]]/Table2[[#This Row],[ClassLength]],"")</f>
        <v>0.41666666666666669</v>
      </c>
      <c r="W686" s="24">
        <f>IFERROR(Table2[[#This Row],[Blue Min]]/Table2[[#This Row],[ClassLength]],"")</f>
        <v>0.15</v>
      </c>
      <c r="X686" s="24">
        <f>IFERROR(Table2[[#This Row],[Green Min]]/Table2[[#This Row],[ClassLength]],"")</f>
        <v>0.05</v>
      </c>
      <c r="Y686" s="24">
        <f>IFERROR(Table2[[#This Row],[Orange Min]]/Table2[[#This Row],[ClassLength]],"")</f>
        <v>0.2</v>
      </c>
      <c r="Z686" s="24">
        <f>IFERROR(Table2[[#This Row],[Red Min]]/Table2[[#This Row],[ClassLength]],"")</f>
        <v>0.18333333333333332</v>
      </c>
      <c r="AA686" s="25">
        <v>169</v>
      </c>
      <c r="AB686" s="25">
        <f t="shared" si="192"/>
        <v>12.071428571428571</v>
      </c>
      <c r="AC686" s="26">
        <f t="shared" si="182"/>
        <v>632.92857142857144</v>
      </c>
      <c r="AD686" s="26">
        <f t="shared" si="183"/>
        <v>14.142857142857142</v>
      </c>
      <c r="AE686">
        <f t="shared" si="184"/>
        <v>2024</v>
      </c>
      <c r="AG686">
        <v>12</v>
      </c>
      <c r="AH686" s="26">
        <f t="shared" si="185"/>
        <v>10.583333333333334</v>
      </c>
      <c r="AI686" t="str">
        <f t="shared" si="186"/>
        <v>PM</v>
      </c>
      <c r="AJ686" t="str">
        <f t="shared" si="187"/>
        <v>9-2024-2</v>
      </c>
      <c r="AK686">
        <f t="shared" si="188"/>
        <v>9</v>
      </c>
      <c r="AL686" s="26">
        <f>IFERROR(Table2[[#This Row],[Calories]]/Table2[[#This Row],[Splat]],"")</f>
        <v>27.608695652173914</v>
      </c>
      <c r="AM686">
        <f>COUNTIF(N$2:$N$938,N686)</f>
        <v>78</v>
      </c>
      <c r="AN686" t="str">
        <f>VLOOKUP(N686,'Helpful Tables'!A:D,4,FALSE)</f>
        <v>Oregon</v>
      </c>
      <c r="AO686" s="24">
        <f>COUNTIF(AN:AN,Table2[[#This Row],[State]])/COUNTA(AN:AN)</f>
        <v>0.36140724946695096</v>
      </c>
      <c r="AP686">
        <f>VLOOKUP(N686,'Helpful Tables'!A:B,2,FALSE)</f>
        <v>45.525092999999998</v>
      </c>
      <c r="AQ686">
        <f>VLOOKUP(N686,'Helpful Tables'!A:C,3,FALSE)</f>
        <v>-122.681383</v>
      </c>
      <c r="AR686">
        <f>COUNTIF(P$2:$P$938,P686)</f>
        <v>20</v>
      </c>
      <c r="AS686" cm="1">
        <f t="array" ref="AS686">_xlfn.IFS(E686&lt;6,((E686/D686)*60)*0.5,AND(E686&gt;=6,E686&lt;9),((E686/D686)*60)*0.75,AND(E686&gt;=9,E686&lt;=11),((E686/D686)*60)*0.9,AND(E686=12),((E686/D686)*60)*1,AND(E686&gt;=13,E686&lt;=15),((E686/D686)*60)*1.2,AND(E686&gt;=16,E686&lt;=19),((E686/D686)*60)*1.5,E686&gt;=20,((E686/D686)*60)*1.8)</f>
        <v>41.4</v>
      </c>
      <c r="AT686" cm="1">
        <f t="array" ref="AT686">_xlfn.IFS(F686&lt;550,((F686/D686)*60)*0.5,AND(F686&gt;=550,F686&lt;575),((F686/D686)*60)*0.75,AND(F686&gt;=575,F686&lt;600),((F686/D686)*60)*0.9,AND(F686=600),((F686/D686)*60)*1,AND(F686&gt;=601,F686&lt;=625),((F686/D686)*60)*1.2,AND(F686&gt;=626,F686&lt;=650),((F686/D686)*60)*1.5,F686&gt;=651,((F686/D686)*60)*1.8)</f>
        <v>952.5</v>
      </c>
      <c r="AU686">
        <f t="shared" si="193"/>
        <v>-4.1999999999999957</v>
      </c>
      <c r="AV686">
        <f t="shared" si="191"/>
        <v>396.72</v>
      </c>
      <c r="AW686">
        <f t="shared" si="194"/>
        <v>51.5</v>
      </c>
      <c r="AX686" t="str">
        <f t="shared" si="189"/>
        <v>Sep-2024</v>
      </c>
      <c r="AY686">
        <f>ROUNDUP(Table2[[#This Row],[Month]]/3,0)</f>
        <v>3</v>
      </c>
    </row>
    <row r="687" spans="1:51" x14ac:dyDescent="0.2">
      <c r="A687">
        <v>686</v>
      </c>
      <c r="B687">
        <f t="shared" si="178"/>
        <v>14</v>
      </c>
      <c r="C687" s="22">
        <v>45549</v>
      </c>
      <c r="D687">
        <f>SUM(Table2[[#This Row],[Gray Min]:[Red Min]])</f>
        <v>57</v>
      </c>
      <c r="E687">
        <v>7</v>
      </c>
      <c r="F687">
        <v>518</v>
      </c>
      <c r="G687">
        <v>112</v>
      </c>
      <c r="H687">
        <v>158</v>
      </c>
      <c r="I687">
        <v>29</v>
      </c>
      <c r="J687">
        <v>13</v>
      </c>
      <c r="K687">
        <v>8</v>
      </c>
      <c r="L687">
        <v>7</v>
      </c>
      <c r="M687">
        <v>0</v>
      </c>
      <c r="N687" t="s">
        <v>125</v>
      </c>
      <c r="O687" t="s">
        <v>159</v>
      </c>
      <c r="P687" t="s">
        <v>218</v>
      </c>
      <c r="Q687">
        <f t="shared" si="190"/>
        <v>1</v>
      </c>
      <c r="R687" t="str">
        <f t="shared" si="179"/>
        <v>9-2024</v>
      </c>
      <c r="S687" t="s">
        <v>117</v>
      </c>
      <c r="T687" t="str">
        <f t="shared" si="180"/>
        <v>Saturday</v>
      </c>
      <c r="U687">
        <f t="shared" si="181"/>
        <v>0</v>
      </c>
      <c r="V687" s="24">
        <f>IFERROR(Table2[[#This Row],[Gray Min]]/Table2[[#This Row],[ClassLength]],"")</f>
        <v>0.50877192982456143</v>
      </c>
      <c r="W687" s="24">
        <f>IFERROR(Table2[[#This Row],[Blue Min]]/Table2[[#This Row],[ClassLength]],"")</f>
        <v>0.22807017543859648</v>
      </c>
      <c r="X687" s="24">
        <f>IFERROR(Table2[[#This Row],[Green Min]]/Table2[[#This Row],[ClassLength]],"")</f>
        <v>0.14035087719298245</v>
      </c>
      <c r="Y687" s="24">
        <f>IFERROR(Table2[[#This Row],[Orange Min]]/Table2[[#This Row],[ClassLength]],"")</f>
        <v>0.12280701754385964</v>
      </c>
      <c r="Z687" s="24">
        <f>IFERROR(Table2[[#This Row],[Red Min]]/Table2[[#This Row],[ClassLength]],"")</f>
        <v>0</v>
      </c>
      <c r="AA687" s="25">
        <v>169</v>
      </c>
      <c r="AB687" s="25">
        <f t="shared" si="192"/>
        <v>12.071428571428571</v>
      </c>
      <c r="AC687" s="26">
        <f t="shared" si="182"/>
        <v>632.92857142857144</v>
      </c>
      <c r="AD687" s="26">
        <f t="shared" si="183"/>
        <v>14.142857142857142</v>
      </c>
      <c r="AE687">
        <f t="shared" si="184"/>
        <v>2024</v>
      </c>
      <c r="AG687">
        <v>12</v>
      </c>
      <c r="AH687" s="26">
        <f t="shared" si="185"/>
        <v>9.0877192982456148</v>
      </c>
      <c r="AI687" t="str">
        <f t="shared" si="186"/>
        <v>AM</v>
      </c>
      <c r="AJ687" t="str">
        <f t="shared" si="187"/>
        <v>9-2024-2</v>
      </c>
      <c r="AK687">
        <f t="shared" si="188"/>
        <v>9</v>
      </c>
      <c r="AL687" s="26">
        <f>IFERROR(Table2[[#This Row],[Calories]]/Table2[[#This Row],[Splat]],"")</f>
        <v>74</v>
      </c>
      <c r="AM687">
        <f>COUNTIF(N$2:$N$938,N687)</f>
        <v>258</v>
      </c>
      <c r="AN687" t="str">
        <f>VLOOKUP(N687,'Helpful Tables'!A:D,4,FALSE)</f>
        <v>Oregon</v>
      </c>
      <c r="AO687" s="24">
        <f>COUNTIF(AN:AN,Table2[[#This Row],[State]])/COUNTA(AN:AN)</f>
        <v>0.36140724946695096</v>
      </c>
      <c r="AP687">
        <f>VLOOKUP(N687,'Helpful Tables'!A:B,2,FALSE)</f>
        <v>45.534162000000002</v>
      </c>
      <c r="AQ687">
        <f>VLOOKUP(N687,'Helpful Tables'!A:C,3,FALSE)</f>
        <v>-122.69670000000001</v>
      </c>
      <c r="AR687">
        <f>COUNTIF(P$2:$P$938,P687)</f>
        <v>9</v>
      </c>
      <c r="AS687" cm="1">
        <f t="array" ref="AS687">_xlfn.IFS(E687&lt;6,((E687/D687)*60)*0.5,AND(E687&gt;=6,E687&lt;9),((E687/D687)*60)*0.75,AND(E687&gt;=9,E687&lt;=11),((E687/D687)*60)*0.9,AND(E687=12),((E687/D687)*60)*1,AND(E687&gt;=13,E687&lt;=15),((E687/D687)*60)*1.2,AND(E687&gt;=16,E687&lt;=19),((E687/D687)*60)*1.5,E687&gt;=20,((E687/D687)*60)*1.8)</f>
        <v>5.5263157894736841</v>
      </c>
      <c r="AT687" cm="1">
        <f t="array" ref="AT687">_xlfn.IFS(F687&lt;550,((F687/D687)*60)*0.5,AND(F687&gt;=550,F687&lt;575),((F687/D687)*60)*0.75,AND(F687&gt;=575,F687&lt;600),((F687/D687)*60)*0.9,AND(F687=600),((F687/D687)*60)*1,AND(F687&gt;=601,F687&lt;=625),((F687/D687)*60)*1.2,AND(F687&gt;=626,F687&lt;=650),((F687/D687)*60)*1.5,F687&gt;=651,((F687/D687)*60)*1.8)</f>
        <v>272.63157894736844</v>
      </c>
      <c r="AU687">
        <f t="shared" si="193"/>
        <v>-30.399999999999991</v>
      </c>
      <c r="AV687">
        <f t="shared" si="191"/>
        <v>105.18315789473687</v>
      </c>
      <c r="AW687">
        <f t="shared" si="194"/>
        <v>2.1999999999999997</v>
      </c>
      <c r="AX687" t="str">
        <f t="shared" si="189"/>
        <v>Sep-2024</v>
      </c>
      <c r="AY687">
        <f>ROUNDUP(Table2[[#This Row],[Month]]/3,0)</f>
        <v>3</v>
      </c>
    </row>
    <row r="688" spans="1:51" x14ac:dyDescent="0.2">
      <c r="A688">
        <v>687</v>
      </c>
      <c r="B688">
        <f t="shared" si="178"/>
        <v>14</v>
      </c>
      <c r="C688" s="22">
        <v>45552</v>
      </c>
      <c r="D688">
        <f>SUM(Table2[[#This Row],[Gray Min]:[Red Min]])</f>
        <v>61</v>
      </c>
      <c r="E688">
        <v>14</v>
      </c>
      <c r="F688">
        <v>645</v>
      </c>
      <c r="G688">
        <v>124</v>
      </c>
      <c r="H688">
        <v>164</v>
      </c>
      <c r="I688">
        <v>18</v>
      </c>
      <c r="J688">
        <v>15</v>
      </c>
      <c r="K688">
        <v>14</v>
      </c>
      <c r="L688">
        <v>13</v>
      </c>
      <c r="M688">
        <v>1</v>
      </c>
      <c r="N688" t="s">
        <v>125</v>
      </c>
      <c r="O688" t="s">
        <v>127</v>
      </c>
      <c r="P688" t="s">
        <v>216</v>
      </c>
      <c r="Q688">
        <f t="shared" si="190"/>
        <v>3</v>
      </c>
      <c r="R688" t="str">
        <f t="shared" si="179"/>
        <v>9-2024</v>
      </c>
      <c r="S688" t="s">
        <v>104</v>
      </c>
      <c r="T688" t="str">
        <f t="shared" si="180"/>
        <v>Tuesday</v>
      </c>
      <c r="U688">
        <f t="shared" si="181"/>
        <v>1</v>
      </c>
      <c r="V688" s="24">
        <f>IFERROR(Table2[[#This Row],[Gray Min]]/Table2[[#This Row],[ClassLength]],"")</f>
        <v>0.29508196721311475</v>
      </c>
      <c r="W688" s="24">
        <f>IFERROR(Table2[[#This Row],[Blue Min]]/Table2[[#This Row],[ClassLength]],"")</f>
        <v>0.24590163934426229</v>
      </c>
      <c r="X688" s="24">
        <f>IFERROR(Table2[[#This Row],[Green Min]]/Table2[[#This Row],[ClassLength]],"")</f>
        <v>0.22950819672131148</v>
      </c>
      <c r="Y688" s="24">
        <f>IFERROR(Table2[[#This Row],[Orange Min]]/Table2[[#This Row],[ClassLength]],"")</f>
        <v>0.21311475409836064</v>
      </c>
      <c r="Z688" s="24">
        <f>IFERROR(Table2[[#This Row],[Red Min]]/Table2[[#This Row],[ClassLength]],"")</f>
        <v>1.6393442622950821E-2</v>
      </c>
      <c r="AA688" s="25">
        <v>169</v>
      </c>
      <c r="AB688" s="25">
        <f t="shared" si="192"/>
        <v>12.071428571428571</v>
      </c>
      <c r="AC688" s="26">
        <f t="shared" si="182"/>
        <v>632.92857142857144</v>
      </c>
      <c r="AD688" s="26">
        <f t="shared" si="183"/>
        <v>14.142857142857142</v>
      </c>
      <c r="AE688">
        <f t="shared" si="184"/>
        <v>2024</v>
      </c>
      <c r="AG688">
        <v>12</v>
      </c>
      <c r="AH688" s="26">
        <f t="shared" si="185"/>
        <v>10.573770491803279</v>
      </c>
      <c r="AI688" t="str">
        <f t="shared" si="186"/>
        <v>PM</v>
      </c>
      <c r="AJ688" t="str">
        <f t="shared" si="187"/>
        <v>9-2024-3</v>
      </c>
      <c r="AK688">
        <f t="shared" si="188"/>
        <v>9</v>
      </c>
      <c r="AL688" s="26">
        <f>IFERROR(Table2[[#This Row],[Calories]]/Table2[[#This Row],[Splat]],"")</f>
        <v>46.071428571428569</v>
      </c>
      <c r="AM688">
        <f>COUNTIF(N$2:$N$938,N688)</f>
        <v>258</v>
      </c>
      <c r="AN688" t="str">
        <f>VLOOKUP(N688,'Helpful Tables'!A:D,4,FALSE)</f>
        <v>Oregon</v>
      </c>
      <c r="AO688" s="24">
        <f>COUNTIF(AN:AN,Table2[[#This Row],[State]])/COUNTA(AN:AN)</f>
        <v>0.36140724946695096</v>
      </c>
      <c r="AP688">
        <f>VLOOKUP(N688,'Helpful Tables'!A:B,2,FALSE)</f>
        <v>45.534162000000002</v>
      </c>
      <c r="AQ688">
        <f>VLOOKUP(N688,'Helpful Tables'!A:C,3,FALSE)</f>
        <v>-122.69670000000001</v>
      </c>
      <c r="AR688">
        <f>COUNTIF(P$2:$P$938,P688)</f>
        <v>25</v>
      </c>
      <c r="AS688" cm="1">
        <f t="array" ref="AS688">_xlfn.IFS(E688&lt;6,((E688/D688)*60)*0.5,AND(E688&gt;=6,E688&lt;9),((E688/D688)*60)*0.75,AND(E688&gt;=9,E688&lt;=11),((E688/D688)*60)*0.9,AND(E688=12),((E688/D688)*60)*1,AND(E688&gt;=13,E688&lt;=15),((E688/D688)*60)*1.2,AND(E688&gt;=16,E688&lt;=19),((E688/D688)*60)*1.5,E688&gt;=20,((E688/D688)*60)*1.8)</f>
        <v>16.524590163934427</v>
      </c>
      <c r="AT688" cm="1">
        <f t="array" ref="AT688">_xlfn.IFS(F688&lt;550,((F688/D688)*60)*0.5,AND(F688&gt;=550,F688&lt;575),((F688/D688)*60)*0.75,AND(F688&gt;=575,F688&lt;600),((F688/D688)*60)*0.9,AND(F688=600),((F688/D688)*60)*1,AND(F688&gt;=601,F688&lt;=625),((F688/D688)*60)*1.2,AND(F688&gt;=626,F688&lt;=650),((F688/D688)*60)*1.5,F688&gt;=651,((F688/D688)*60)*1.8)</f>
        <v>951.63934426229503</v>
      </c>
      <c r="AU688">
        <f t="shared" si="193"/>
        <v>-2.8999999999999915</v>
      </c>
      <c r="AV688">
        <f t="shared" si="191"/>
        <v>386.68557377049177</v>
      </c>
      <c r="AW688">
        <f t="shared" si="194"/>
        <v>47.199999999999996</v>
      </c>
      <c r="AX688" t="str">
        <f t="shared" si="189"/>
        <v>Sep-2024</v>
      </c>
      <c r="AY688">
        <f>ROUNDUP(Table2[[#This Row],[Month]]/3,0)</f>
        <v>3</v>
      </c>
    </row>
    <row r="689" spans="1:51" x14ac:dyDescent="0.2">
      <c r="A689">
        <v>688</v>
      </c>
      <c r="B689">
        <f t="shared" si="178"/>
        <v>14</v>
      </c>
      <c r="C689" s="22">
        <v>45553</v>
      </c>
      <c r="D689">
        <f>SUM(Table2[[#This Row],[Gray Min]:[Red Min]])</f>
        <v>56</v>
      </c>
      <c r="E689">
        <v>12</v>
      </c>
      <c r="F689">
        <v>607</v>
      </c>
      <c r="G689">
        <v>124</v>
      </c>
      <c r="H689">
        <v>160</v>
      </c>
      <c r="I689">
        <v>16</v>
      </c>
      <c r="J689">
        <v>12</v>
      </c>
      <c r="K689">
        <v>16</v>
      </c>
      <c r="L689">
        <v>12</v>
      </c>
      <c r="M689">
        <v>0</v>
      </c>
      <c r="N689" t="s">
        <v>125</v>
      </c>
      <c r="O689" t="s">
        <v>127</v>
      </c>
      <c r="P689" t="s">
        <v>216</v>
      </c>
      <c r="Q689">
        <f t="shared" si="190"/>
        <v>1</v>
      </c>
      <c r="R689" t="str">
        <f t="shared" si="179"/>
        <v>9-2024</v>
      </c>
      <c r="S689" t="s">
        <v>104</v>
      </c>
      <c r="T689" t="str">
        <f t="shared" si="180"/>
        <v>Wednesday</v>
      </c>
      <c r="U689">
        <f t="shared" si="181"/>
        <v>1</v>
      </c>
      <c r="V689" s="24">
        <f>IFERROR(Table2[[#This Row],[Gray Min]]/Table2[[#This Row],[ClassLength]],"")</f>
        <v>0.2857142857142857</v>
      </c>
      <c r="W689" s="24">
        <f>IFERROR(Table2[[#This Row],[Blue Min]]/Table2[[#This Row],[ClassLength]],"")</f>
        <v>0.21428571428571427</v>
      </c>
      <c r="X689" s="24">
        <f>IFERROR(Table2[[#This Row],[Green Min]]/Table2[[#This Row],[ClassLength]],"")</f>
        <v>0.2857142857142857</v>
      </c>
      <c r="Y689" s="24">
        <f>IFERROR(Table2[[#This Row],[Orange Min]]/Table2[[#This Row],[ClassLength]],"")</f>
        <v>0.21428571428571427</v>
      </c>
      <c r="Z689" s="24">
        <f>IFERROR(Table2[[#This Row],[Red Min]]/Table2[[#This Row],[ClassLength]],"")</f>
        <v>0</v>
      </c>
      <c r="AA689" s="25">
        <v>169</v>
      </c>
      <c r="AB689" s="25">
        <f t="shared" si="192"/>
        <v>12.071428571428571</v>
      </c>
      <c r="AC689" s="26">
        <f t="shared" si="182"/>
        <v>632.92857142857144</v>
      </c>
      <c r="AD689" s="26">
        <f t="shared" si="183"/>
        <v>14.142857142857142</v>
      </c>
      <c r="AE689">
        <f t="shared" si="184"/>
        <v>2024</v>
      </c>
      <c r="AG689">
        <v>12</v>
      </c>
      <c r="AH689" s="26">
        <f t="shared" si="185"/>
        <v>10.839285714285714</v>
      </c>
      <c r="AI689" t="str">
        <f t="shared" si="186"/>
        <v>PM</v>
      </c>
      <c r="AJ689" t="str">
        <f t="shared" si="187"/>
        <v>9-2024-3</v>
      </c>
      <c r="AK689">
        <f t="shared" si="188"/>
        <v>9</v>
      </c>
      <c r="AL689" s="26">
        <f>IFERROR(Table2[[#This Row],[Calories]]/Table2[[#This Row],[Splat]],"")</f>
        <v>50.583333333333336</v>
      </c>
      <c r="AM689">
        <f>COUNTIF(N$2:$N$938,N689)</f>
        <v>258</v>
      </c>
      <c r="AN689" t="str">
        <f>VLOOKUP(N689,'Helpful Tables'!A:D,4,FALSE)</f>
        <v>Oregon</v>
      </c>
      <c r="AO689" s="24">
        <f>COUNTIF(AN:AN,Table2[[#This Row],[State]])/COUNTA(AN:AN)</f>
        <v>0.36140724946695096</v>
      </c>
      <c r="AP689">
        <f>VLOOKUP(N689,'Helpful Tables'!A:B,2,FALSE)</f>
        <v>45.534162000000002</v>
      </c>
      <c r="AQ689">
        <f>VLOOKUP(N689,'Helpful Tables'!A:C,3,FALSE)</f>
        <v>-122.69670000000001</v>
      </c>
      <c r="AR689">
        <f>COUNTIF(P$2:$P$938,P689)</f>
        <v>25</v>
      </c>
      <c r="AS689" cm="1">
        <f t="array" ref="AS689">_xlfn.IFS(E689&lt;6,((E689/D689)*60)*0.5,AND(E689&gt;=6,E689&lt;9),((E689/D689)*60)*0.75,AND(E689&gt;=9,E689&lt;=11),((E689/D689)*60)*0.9,AND(E689=12),((E689/D689)*60)*1,AND(E689&gt;=13,E689&lt;=15),((E689/D689)*60)*1.2,AND(E689&gt;=16,E689&lt;=19),((E689/D689)*60)*1.5,E689&gt;=20,((E689/D689)*60)*1.8)</f>
        <v>12.857142857142856</v>
      </c>
      <c r="AT689" cm="1">
        <f t="array" ref="AT689">_xlfn.IFS(F689&lt;550,((F689/D689)*60)*0.5,AND(F689&gt;=550,F689&lt;575),((F689/D689)*60)*0.75,AND(F689&gt;=575,F689&lt;600),((F689/D689)*60)*0.9,AND(F689=600),((F689/D689)*60)*1,AND(F689&gt;=601,F689&lt;=625),((F689/D689)*60)*1.2,AND(F689&gt;=626,F689&lt;=650),((F689/D689)*60)*1.5,F689&gt;=651,((F689/D689)*60)*1.8)</f>
        <v>780.42857142857133</v>
      </c>
      <c r="AU689">
        <f t="shared" si="193"/>
        <v>2.4000000000000021</v>
      </c>
      <c r="AV689">
        <f t="shared" si="191"/>
        <v>317.79428571428576</v>
      </c>
      <c r="AW689">
        <f t="shared" si="194"/>
        <v>35.799999999999997</v>
      </c>
      <c r="AX689" t="str">
        <f t="shared" si="189"/>
        <v>Sep-2024</v>
      </c>
      <c r="AY689">
        <f>ROUNDUP(Table2[[#This Row],[Month]]/3,0)</f>
        <v>3</v>
      </c>
    </row>
    <row r="690" spans="1:51" x14ac:dyDescent="0.2">
      <c r="A690">
        <v>689</v>
      </c>
      <c r="B690">
        <f t="shared" si="178"/>
        <v>14</v>
      </c>
      <c r="C690" s="22">
        <v>45556</v>
      </c>
      <c r="D690">
        <f>SUM(Table2[[#This Row],[Gray Min]:[Red Min]])</f>
        <v>61</v>
      </c>
      <c r="E690">
        <v>9</v>
      </c>
      <c r="F690">
        <v>576</v>
      </c>
      <c r="G690">
        <v>116</v>
      </c>
      <c r="H690">
        <v>162</v>
      </c>
      <c r="I690">
        <v>24</v>
      </c>
      <c r="J690">
        <v>15</v>
      </c>
      <c r="K690">
        <v>13</v>
      </c>
      <c r="L690">
        <v>9</v>
      </c>
      <c r="M690">
        <v>0</v>
      </c>
      <c r="N690" t="s">
        <v>208</v>
      </c>
      <c r="O690" t="s">
        <v>76</v>
      </c>
      <c r="P690" t="s">
        <v>213</v>
      </c>
      <c r="Q690">
        <f t="shared" si="190"/>
        <v>3</v>
      </c>
      <c r="R690" t="str">
        <f t="shared" si="179"/>
        <v>9-2024</v>
      </c>
      <c r="S690" t="s">
        <v>104</v>
      </c>
      <c r="T690" t="str">
        <f t="shared" si="180"/>
        <v>Saturday</v>
      </c>
      <c r="U690">
        <f t="shared" si="181"/>
        <v>0</v>
      </c>
      <c r="V690" s="24">
        <f>IFERROR(Table2[[#This Row],[Gray Min]]/Table2[[#This Row],[ClassLength]],"")</f>
        <v>0.39344262295081966</v>
      </c>
      <c r="W690" s="24">
        <f>IFERROR(Table2[[#This Row],[Blue Min]]/Table2[[#This Row],[ClassLength]],"")</f>
        <v>0.24590163934426229</v>
      </c>
      <c r="X690" s="24">
        <f>IFERROR(Table2[[#This Row],[Green Min]]/Table2[[#This Row],[ClassLength]],"")</f>
        <v>0.21311475409836064</v>
      </c>
      <c r="Y690" s="24">
        <f>IFERROR(Table2[[#This Row],[Orange Min]]/Table2[[#This Row],[ClassLength]],"")</f>
        <v>0.14754098360655737</v>
      </c>
      <c r="Z690" s="24">
        <f>IFERROR(Table2[[#This Row],[Red Min]]/Table2[[#This Row],[ClassLength]],"")</f>
        <v>0</v>
      </c>
      <c r="AA690" s="25">
        <v>169</v>
      </c>
      <c r="AB690" s="25">
        <f t="shared" si="192"/>
        <v>12.071428571428571</v>
      </c>
      <c r="AC690" s="26">
        <f t="shared" si="182"/>
        <v>632.92857142857144</v>
      </c>
      <c r="AD690" s="26">
        <f t="shared" si="183"/>
        <v>14.142857142857142</v>
      </c>
      <c r="AE690">
        <f t="shared" si="184"/>
        <v>2024</v>
      </c>
      <c r="AG690">
        <v>12</v>
      </c>
      <c r="AH690" s="26">
        <f t="shared" si="185"/>
        <v>9.442622950819672</v>
      </c>
      <c r="AI690" t="str">
        <f t="shared" si="186"/>
        <v>AM</v>
      </c>
      <c r="AJ690" t="str">
        <f t="shared" si="187"/>
        <v>9-2024-3</v>
      </c>
      <c r="AK690">
        <f t="shared" si="188"/>
        <v>9</v>
      </c>
      <c r="AL690" s="26">
        <f>IFERROR(Table2[[#This Row],[Calories]]/Table2[[#This Row],[Splat]],"")</f>
        <v>64</v>
      </c>
      <c r="AM690">
        <f>COUNTIF(N$2:$N$938,N690)</f>
        <v>78</v>
      </c>
      <c r="AN690" t="str">
        <f>VLOOKUP(N690,'Helpful Tables'!A:D,4,FALSE)</f>
        <v>Oregon</v>
      </c>
      <c r="AO690" s="24">
        <f>COUNTIF(AN:AN,Table2[[#This Row],[State]])/COUNTA(AN:AN)</f>
        <v>0.36140724946695096</v>
      </c>
      <c r="AP690">
        <f>VLOOKUP(N690,'Helpful Tables'!A:B,2,FALSE)</f>
        <v>45.525092999999998</v>
      </c>
      <c r="AQ690">
        <f>VLOOKUP(N690,'Helpful Tables'!A:C,3,FALSE)</f>
        <v>-122.681383</v>
      </c>
      <c r="AR690">
        <f>COUNTIF(P$2:$P$938,P690)</f>
        <v>40</v>
      </c>
      <c r="AS690" cm="1">
        <f t="array" ref="AS690">_xlfn.IFS(E690&lt;6,((E690/D690)*60)*0.5,AND(E690&gt;=6,E690&lt;9),((E690/D690)*60)*0.75,AND(E690&gt;=9,E690&lt;=11),((E690/D690)*60)*0.9,AND(E690=12),((E690/D690)*60)*1,AND(E690&gt;=13,E690&lt;=15),((E690/D690)*60)*1.2,AND(E690&gt;=16,E690&lt;=19),((E690/D690)*60)*1.5,E690&gt;=20,((E690/D690)*60)*1.8)</f>
        <v>7.9672131147540988</v>
      </c>
      <c r="AT690" cm="1">
        <f t="array" ref="AT690">_xlfn.IFS(F690&lt;550,((F690/D690)*60)*0.5,AND(F690&gt;=550,F690&lt;575),((F690/D690)*60)*0.75,AND(F690&gt;=575,F690&lt;600),((F690/D690)*60)*0.9,AND(F690=600),((F690/D690)*60)*1,AND(F690&gt;=601,F690&lt;=625),((F690/D690)*60)*1.2,AND(F690&gt;=626,F690&lt;=650),((F690/D690)*60)*1.5,F690&gt;=651,((F690/D690)*60)*1.8)</f>
        <v>509.90163934426232</v>
      </c>
      <c r="AU690">
        <f t="shared" si="193"/>
        <v>-17.999999999999993</v>
      </c>
      <c r="AV690">
        <f t="shared" si="191"/>
        <v>203.54754098360658</v>
      </c>
      <c r="AW690">
        <f t="shared" si="194"/>
        <v>13.200000000000001</v>
      </c>
      <c r="AX690" t="str">
        <f t="shared" si="189"/>
        <v>Sep-2024</v>
      </c>
      <c r="AY690">
        <f>ROUNDUP(Table2[[#This Row],[Month]]/3,0)</f>
        <v>3</v>
      </c>
    </row>
    <row r="691" spans="1:51" x14ac:dyDescent="0.2">
      <c r="A691">
        <v>690</v>
      </c>
      <c r="B691">
        <f t="shared" si="178"/>
        <v>14</v>
      </c>
      <c r="C691" s="22">
        <v>45558</v>
      </c>
      <c r="D691">
        <f>SUM(Table2[[#This Row],[Gray Min]:[Red Min]])</f>
        <v>62</v>
      </c>
      <c r="E691">
        <v>15</v>
      </c>
      <c r="F691">
        <v>644</v>
      </c>
      <c r="G691">
        <v>124</v>
      </c>
      <c r="H691">
        <v>167</v>
      </c>
      <c r="I691">
        <v>16</v>
      </c>
      <c r="J691">
        <v>19</v>
      </c>
      <c r="K691">
        <v>12</v>
      </c>
      <c r="L691">
        <v>13</v>
      </c>
      <c r="M691">
        <v>2</v>
      </c>
      <c r="N691" t="s">
        <v>125</v>
      </c>
      <c r="O691" t="s">
        <v>127</v>
      </c>
      <c r="P691" t="s">
        <v>220</v>
      </c>
      <c r="Q691">
        <f t="shared" si="190"/>
        <v>2</v>
      </c>
      <c r="R691" t="str">
        <f t="shared" si="179"/>
        <v>9-2024</v>
      </c>
      <c r="S691" t="s">
        <v>104</v>
      </c>
      <c r="T691" t="str">
        <f t="shared" si="180"/>
        <v>Monday</v>
      </c>
      <c r="U691">
        <f t="shared" si="181"/>
        <v>1</v>
      </c>
      <c r="V691" s="24">
        <f>IFERROR(Table2[[#This Row],[Gray Min]]/Table2[[#This Row],[ClassLength]],"")</f>
        <v>0.25806451612903225</v>
      </c>
      <c r="W691" s="24">
        <f>IFERROR(Table2[[#This Row],[Blue Min]]/Table2[[#This Row],[ClassLength]],"")</f>
        <v>0.30645161290322581</v>
      </c>
      <c r="X691" s="24">
        <f>IFERROR(Table2[[#This Row],[Green Min]]/Table2[[#This Row],[ClassLength]],"")</f>
        <v>0.19354838709677419</v>
      </c>
      <c r="Y691" s="24">
        <f>IFERROR(Table2[[#This Row],[Orange Min]]/Table2[[#This Row],[ClassLength]],"")</f>
        <v>0.20967741935483872</v>
      </c>
      <c r="Z691" s="24">
        <f>IFERROR(Table2[[#This Row],[Red Min]]/Table2[[#This Row],[ClassLength]],"")</f>
        <v>3.2258064516129031E-2</v>
      </c>
      <c r="AA691" s="25">
        <v>169</v>
      </c>
      <c r="AB691" s="25">
        <f t="shared" si="192"/>
        <v>12.071428571428571</v>
      </c>
      <c r="AC691" s="26">
        <f t="shared" si="182"/>
        <v>632.92857142857144</v>
      </c>
      <c r="AD691" s="26">
        <f t="shared" si="183"/>
        <v>14.142857142857142</v>
      </c>
      <c r="AE691">
        <f t="shared" si="184"/>
        <v>2024</v>
      </c>
      <c r="AG691">
        <v>12</v>
      </c>
      <c r="AH691" s="26">
        <f t="shared" si="185"/>
        <v>10.387096774193548</v>
      </c>
      <c r="AI691" t="str">
        <f t="shared" si="186"/>
        <v>PM</v>
      </c>
      <c r="AJ691" t="str">
        <f t="shared" si="187"/>
        <v>9-2024-4</v>
      </c>
      <c r="AK691">
        <f t="shared" si="188"/>
        <v>9</v>
      </c>
      <c r="AL691" s="26">
        <f>IFERROR(Table2[[#This Row],[Calories]]/Table2[[#This Row],[Splat]],"")</f>
        <v>42.93333333333333</v>
      </c>
      <c r="AM691">
        <f>COUNTIF(N$2:$N$938,N691)</f>
        <v>258</v>
      </c>
      <c r="AN691" t="str">
        <f>VLOOKUP(N691,'Helpful Tables'!A:D,4,FALSE)</f>
        <v>Oregon</v>
      </c>
      <c r="AO691" s="24">
        <f>COUNTIF(AN:AN,Table2[[#This Row],[State]])/COUNTA(AN:AN)</f>
        <v>0.36140724946695096</v>
      </c>
      <c r="AP691">
        <f>VLOOKUP(N691,'Helpful Tables'!A:B,2,FALSE)</f>
        <v>45.534162000000002</v>
      </c>
      <c r="AQ691">
        <f>VLOOKUP(N691,'Helpful Tables'!A:C,3,FALSE)</f>
        <v>-122.69670000000001</v>
      </c>
      <c r="AR691">
        <f>COUNTIF(P$2:$P$938,P691)</f>
        <v>43</v>
      </c>
      <c r="AS691" cm="1">
        <f t="array" ref="AS691">_xlfn.IFS(E691&lt;6,((E691/D691)*60)*0.5,AND(E691&gt;=6,E691&lt;9),((E691/D691)*60)*0.75,AND(E691&gt;=9,E691&lt;=11),((E691/D691)*60)*0.9,AND(E691=12),((E691/D691)*60)*1,AND(E691&gt;=13,E691&lt;=15),((E691/D691)*60)*1.2,AND(E691&gt;=16,E691&lt;=19),((E691/D691)*60)*1.5,E691&gt;=20,((E691/D691)*60)*1.8)</f>
        <v>17.419354838709676</v>
      </c>
      <c r="AT691" cm="1">
        <f t="array" ref="AT691">_xlfn.IFS(F691&lt;550,((F691/D691)*60)*0.5,AND(F691&gt;=550,F691&lt;575),((F691/D691)*60)*0.75,AND(F691&gt;=575,F691&lt;600),((F691/D691)*60)*0.9,AND(F691=600),((F691/D691)*60)*1,AND(F691&gt;=601,F691&lt;=625),((F691/D691)*60)*1.2,AND(F691&gt;=626,F691&lt;=650),((F691/D691)*60)*1.5,F691&gt;=651,((F691/D691)*60)*1.8)</f>
        <v>934.83870967741939</v>
      </c>
      <c r="AU691">
        <f t="shared" si="193"/>
        <v>-5.8000000000000007</v>
      </c>
      <c r="AV691">
        <f t="shared" si="191"/>
        <v>379.74322580645162</v>
      </c>
      <c r="AW691">
        <f t="shared" si="194"/>
        <v>45.300000000000004</v>
      </c>
      <c r="AX691" t="str">
        <f t="shared" si="189"/>
        <v>Sep-2024</v>
      </c>
      <c r="AY691">
        <f>ROUNDUP(Table2[[#This Row],[Month]]/3,0)</f>
        <v>3</v>
      </c>
    </row>
    <row r="692" spans="1:51" x14ac:dyDescent="0.2">
      <c r="A692">
        <v>691</v>
      </c>
      <c r="B692">
        <f t="shared" si="178"/>
        <v>14</v>
      </c>
      <c r="C692" s="22">
        <v>45561</v>
      </c>
      <c r="D692">
        <f>SUM(Table2[[#This Row],[Gray Min]:[Red Min]])</f>
        <v>58</v>
      </c>
      <c r="E692">
        <v>16</v>
      </c>
      <c r="F692">
        <v>645</v>
      </c>
      <c r="G692">
        <v>127</v>
      </c>
      <c r="H692">
        <v>169</v>
      </c>
      <c r="I692">
        <v>13</v>
      </c>
      <c r="J692">
        <v>18</v>
      </c>
      <c r="K692">
        <v>11</v>
      </c>
      <c r="L692">
        <v>15</v>
      </c>
      <c r="M692">
        <v>1</v>
      </c>
      <c r="N692" t="s">
        <v>125</v>
      </c>
      <c r="O692" t="s">
        <v>127</v>
      </c>
      <c r="P692" t="s">
        <v>222</v>
      </c>
      <c r="Q692">
        <f t="shared" si="190"/>
        <v>3</v>
      </c>
      <c r="R692" t="str">
        <f t="shared" si="179"/>
        <v>9-2024</v>
      </c>
      <c r="S692" t="s">
        <v>104</v>
      </c>
      <c r="T692" t="str">
        <f t="shared" si="180"/>
        <v>Thursday</v>
      </c>
      <c r="U692">
        <f t="shared" si="181"/>
        <v>1</v>
      </c>
      <c r="V692" s="24">
        <f>IFERROR(Table2[[#This Row],[Gray Min]]/Table2[[#This Row],[ClassLength]],"")</f>
        <v>0.22413793103448276</v>
      </c>
      <c r="W692" s="24">
        <f>IFERROR(Table2[[#This Row],[Blue Min]]/Table2[[#This Row],[ClassLength]],"")</f>
        <v>0.31034482758620691</v>
      </c>
      <c r="X692" s="24">
        <f>IFERROR(Table2[[#This Row],[Green Min]]/Table2[[#This Row],[ClassLength]],"")</f>
        <v>0.18965517241379309</v>
      </c>
      <c r="Y692" s="24">
        <f>IFERROR(Table2[[#This Row],[Orange Min]]/Table2[[#This Row],[ClassLength]],"")</f>
        <v>0.25862068965517243</v>
      </c>
      <c r="Z692" s="24">
        <f>IFERROR(Table2[[#This Row],[Red Min]]/Table2[[#This Row],[ClassLength]],"")</f>
        <v>1.7241379310344827E-2</v>
      </c>
      <c r="AA692" s="25">
        <v>169</v>
      </c>
      <c r="AB692" s="25">
        <f t="shared" si="192"/>
        <v>12.071428571428571</v>
      </c>
      <c r="AC692" s="26">
        <f t="shared" si="182"/>
        <v>632.92857142857144</v>
      </c>
      <c r="AD692" s="26">
        <f t="shared" si="183"/>
        <v>14.142857142857142</v>
      </c>
      <c r="AE692">
        <f t="shared" si="184"/>
        <v>2024</v>
      </c>
      <c r="AG692">
        <v>12</v>
      </c>
      <c r="AH692" s="26">
        <f t="shared" si="185"/>
        <v>11.120689655172415</v>
      </c>
      <c r="AI692" t="str">
        <f t="shared" si="186"/>
        <v>PM</v>
      </c>
      <c r="AJ692" t="str">
        <f t="shared" si="187"/>
        <v>9-2024-4</v>
      </c>
      <c r="AK692">
        <f t="shared" si="188"/>
        <v>9</v>
      </c>
      <c r="AL692" s="26">
        <f>IFERROR(Table2[[#This Row],[Calories]]/Table2[[#This Row],[Splat]],"")</f>
        <v>40.3125</v>
      </c>
      <c r="AM692">
        <f>COUNTIF(N$2:$N$938,N692)</f>
        <v>258</v>
      </c>
      <c r="AN692" t="str">
        <f>VLOOKUP(N692,'Helpful Tables'!A:D,4,FALSE)</f>
        <v>Oregon</v>
      </c>
      <c r="AO692" s="24">
        <f>COUNTIF(AN:AN,Table2[[#This Row],[State]])/COUNTA(AN:AN)</f>
        <v>0.36140724946695096</v>
      </c>
      <c r="AP692">
        <f>VLOOKUP(N692,'Helpful Tables'!A:B,2,FALSE)</f>
        <v>45.534162000000002</v>
      </c>
      <c r="AQ692">
        <f>VLOOKUP(N692,'Helpful Tables'!A:C,3,FALSE)</f>
        <v>-122.69670000000001</v>
      </c>
      <c r="AR692">
        <f>COUNTIF(P$2:$P$938,P692)</f>
        <v>32</v>
      </c>
      <c r="AS692" cm="1">
        <f t="array" ref="AS692">_xlfn.IFS(E692&lt;6,((E692/D692)*60)*0.5,AND(E692&gt;=6,E692&lt;9),((E692/D692)*60)*0.75,AND(E692&gt;=9,E692&lt;=11),((E692/D692)*60)*0.9,AND(E692=12),((E692/D692)*60)*1,AND(E692&gt;=13,E692&lt;=15),((E692/D692)*60)*1.2,AND(E692&gt;=16,E692&lt;=19),((E692/D692)*60)*1.5,E692&gt;=20,((E692/D692)*60)*1.8)</f>
        <v>24.827586206896555</v>
      </c>
      <c r="AT692" cm="1">
        <f t="array" ref="AT692">_xlfn.IFS(F692&lt;550,((F692/D692)*60)*0.5,AND(F692&gt;=550,F692&lt;575),((F692/D692)*60)*0.75,AND(F692&gt;=575,F692&lt;600),((F692/D692)*60)*0.9,AND(F692=600),((F692/D692)*60)*1,AND(F692&gt;=601,F692&lt;=625),((F692/D692)*60)*1.2,AND(F692&gt;=626,F692&lt;=650),((F692/D692)*60)*1.5,F692&gt;=651,((F692/D692)*60)*1.8)</f>
        <v>1000.8620689655173</v>
      </c>
      <c r="AU692">
        <f t="shared" si="193"/>
        <v>-1.1999999999999993</v>
      </c>
      <c r="AV692">
        <f t="shared" si="191"/>
        <v>410.03586206896557</v>
      </c>
      <c r="AW692">
        <f t="shared" si="194"/>
        <v>58.3</v>
      </c>
      <c r="AX692" t="str">
        <f t="shared" si="189"/>
        <v>Sep-2024</v>
      </c>
      <c r="AY692">
        <f>ROUNDUP(Table2[[#This Row],[Month]]/3,0)</f>
        <v>3</v>
      </c>
    </row>
    <row r="693" spans="1:51" x14ac:dyDescent="0.2">
      <c r="A693">
        <v>692</v>
      </c>
      <c r="B693">
        <f t="shared" si="178"/>
        <v>14</v>
      </c>
      <c r="C693" s="22">
        <v>45562</v>
      </c>
      <c r="D693">
        <f>SUM(Table2[[#This Row],[Gray Min]:[Red Min]])</f>
        <v>60</v>
      </c>
      <c r="E693">
        <v>15</v>
      </c>
      <c r="F693">
        <v>668</v>
      </c>
      <c r="G693">
        <v>127</v>
      </c>
      <c r="H693">
        <v>166</v>
      </c>
      <c r="I693">
        <v>15</v>
      </c>
      <c r="J693">
        <v>13</v>
      </c>
      <c r="K693">
        <v>17</v>
      </c>
      <c r="L693">
        <v>14</v>
      </c>
      <c r="M693">
        <v>1</v>
      </c>
      <c r="N693" t="s">
        <v>208</v>
      </c>
      <c r="O693" t="s">
        <v>53</v>
      </c>
      <c r="P693" t="s">
        <v>209</v>
      </c>
      <c r="Q693">
        <f t="shared" si="190"/>
        <v>1</v>
      </c>
      <c r="R693" t="str">
        <f t="shared" si="179"/>
        <v>9-2024</v>
      </c>
      <c r="S693" t="s">
        <v>104</v>
      </c>
      <c r="T693" t="str">
        <f t="shared" si="180"/>
        <v>Friday</v>
      </c>
      <c r="U693">
        <f t="shared" si="181"/>
        <v>1</v>
      </c>
      <c r="V693" s="24">
        <f>IFERROR(Table2[[#This Row],[Gray Min]]/Table2[[#This Row],[ClassLength]],"")</f>
        <v>0.25</v>
      </c>
      <c r="W693" s="24">
        <f>IFERROR(Table2[[#This Row],[Blue Min]]/Table2[[#This Row],[ClassLength]],"")</f>
        <v>0.21666666666666667</v>
      </c>
      <c r="X693" s="24">
        <f>IFERROR(Table2[[#This Row],[Green Min]]/Table2[[#This Row],[ClassLength]],"")</f>
        <v>0.28333333333333333</v>
      </c>
      <c r="Y693" s="24">
        <f>IFERROR(Table2[[#This Row],[Orange Min]]/Table2[[#This Row],[ClassLength]],"")</f>
        <v>0.23333333333333334</v>
      </c>
      <c r="Z693" s="24">
        <f>IFERROR(Table2[[#This Row],[Red Min]]/Table2[[#This Row],[ClassLength]],"")</f>
        <v>1.6666666666666666E-2</v>
      </c>
      <c r="AA693" s="25">
        <v>169</v>
      </c>
      <c r="AB693" s="25">
        <f t="shared" si="192"/>
        <v>12.071428571428571</v>
      </c>
      <c r="AC693" s="26">
        <f t="shared" si="182"/>
        <v>632.92857142857144</v>
      </c>
      <c r="AD693" s="26">
        <f t="shared" si="183"/>
        <v>14.142857142857142</v>
      </c>
      <c r="AE693">
        <f t="shared" si="184"/>
        <v>2024</v>
      </c>
      <c r="AG693">
        <v>12</v>
      </c>
      <c r="AH693" s="26">
        <f t="shared" si="185"/>
        <v>11.133333333333333</v>
      </c>
      <c r="AI693" t="str">
        <f t="shared" si="186"/>
        <v>PM</v>
      </c>
      <c r="AJ693" t="str">
        <f t="shared" si="187"/>
        <v>9-2024-4</v>
      </c>
      <c r="AK693">
        <f t="shared" si="188"/>
        <v>9</v>
      </c>
      <c r="AL693" s="26">
        <f>IFERROR(Table2[[#This Row],[Calories]]/Table2[[#This Row],[Splat]],"")</f>
        <v>44.533333333333331</v>
      </c>
      <c r="AM693">
        <f>COUNTIF(N$2:$N$938,N693)</f>
        <v>78</v>
      </c>
      <c r="AN693" t="str">
        <f>VLOOKUP(N693,'Helpful Tables'!A:D,4,FALSE)</f>
        <v>Oregon</v>
      </c>
      <c r="AO693" s="24">
        <f>COUNTIF(AN:AN,Table2[[#This Row],[State]])/COUNTA(AN:AN)</f>
        <v>0.36140724946695096</v>
      </c>
      <c r="AP693">
        <f>VLOOKUP(N693,'Helpful Tables'!A:B,2,FALSE)</f>
        <v>45.525092999999998</v>
      </c>
      <c r="AQ693">
        <f>VLOOKUP(N693,'Helpful Tables'!A:C,3,FALSE)</f>
        <v>-122.681383</v>
      </c>
      <c r="AR693">
        <f>COUNTIF(P$2:$P$938,P693)</f>
        <v>20</v>
      </c>
      <c r="AS693" cm="1">
        <f t="array" ref="AS693">_xlfn.IFS(E693&lt;6,((E693/D693)*60)*0.5,AND(E693&gt;=6,E693&lt;9),((E693/D693)*60)*0.75,AND(E693&gt;=9,E693&lt;=11),((E693/D693)*60)*0.9,AND(E693=12),((E693/D693)*60)*1,AND(E693&gt;=13,E693&lt;=15),((E693/D693)*60)*1.2,AND(E693&gt;=16,E693&lt;=19),((E693/D693)*60)*1.5,E693&gt;=20,((E693/D693)*60)*1.8)</f>
        <v>18</v>
      </c>
      <c r="AT693" cm="1">
        <f t="array" ref="AT693">_xlfn.IFS(F693&lt;550,((F693/D693)*60)*0.5,AND(F693&gt;=550,F693&lt;575),((F693/D693)*60)*0.75,AND(F693&gt;=575,F693&lt;600),((F693/D693)*60)*0.9,AND(F693=600),((F693/D693)*60)*1,AND(F693&gt;=601,F693&lt;=625),((F693/D693)*60)*1.2,AND(F693&gt;=626,F693&lt;=650),((F693/D693)*60)*1.5,F693&gt;=651,((F693/D693)*60)*1.8)</f>
        <v>1202.4000000000001</v>
      </c>
      <c r="AU693">
        <f t="shared" si="193"/>
        <v>7.8000000000000007</v>
      </c>
      <c r="AV693">
        <f t="shared" si="191"/>
        <v>489.72</v>
      </c>
      <c r="AW693">
        <f t="shared" si="194"/>
        <v>73.7</v>
      </c>
      <c r="AX693" t="str">
        <f t="shared" si="189"/>
        <v>Sep-2024</v>
      </c>
      <c r="AY693">
        <f>ROUNDUP(Table2[[#This Row],[Month]]/3,0)</f>
        <v>3</v>
      </c>
    </row>
    <row r="694" spans="1:51" x14ac:dyDescent="0.2">
      <c r="A694">
        <v>693</v>
      </c>
      <c r="B694">
        <f t="shared" si="178"/>
        <v>14</v>
      </c>
      <c r="C694" s="22">
        <v>45565</v>
      </c>
      <c r="D694">
        <f>SUM(Table2[[#This Row],[Gray Min]:[Red Min]])</f>
        <v>61</v>
      </c>
      <c r="E694">
        <v>15</v>
      </c>
      <c r="F694">
        <v>682</v>
      </c>
      <c r="G694">
        <v>127</v>
      </c>
      <c r="H694">
        <v>166</v>
      </c>
      <c r="I694">
        <v>12</v>
      </c>
      <c r="J694">
        <v>18</v>
      </c>
      <c r="K694">
        <v>16</v>
      </c>
      <c r="L694">
        <v>13</v>
      </c>
      <c r="M694">
        <v>2</v>
      </c>
      <c r="N694" t="s">
        <v>125</v>
      </c>
      <c r="O694" t="s">
        <v>127</v>
      </c>
      <c r="P694" t="s">
        <v>220</v>
      </c>
      <c r="Q694">
        <f t="shared" si="190"/>
        <v>3</v>
      </c>
      <c r="R694" t="str">
        <f t="shared" si="179"/>
        <v>9-2024</v>
      </c>
      <c r="S694" t="s">
        <v>104</v>
      </c>
      <c r="T694" t="str">
        <f t="shared" si="180"/>
        <v>Monday</v>
      </c>
      <c r="U694">
        <f t="shared" si="181"/>
        <v>1</v>
      </c>
      <c r="V694" s="24">
        <f>IFERROR(Table2[[#This Row],[Gray Min]]/Table2[[#This Row],[ClassLength]],"")</f>
        <v>0.19672131147540983</v>
      </c>
      <c r="W694" s="24">
        <f>IFERROR(Table2[[#This Row],[Blue Min]]/Table2[[#This Row],[ClassLength]],"")</f>
        <v>0.29508196721311475</v>
      </c>
      <c r="X694" s="24">
        <f>IFERROR(Table2[[#This Row],[Green Min]]/Table2[[#This Row],[ClassLength]],"")</f>
        <v>0.26229508196721313</v>
      </c>
      <c r="Y694" s="24">
        <f>IFERROR(Table2[[#This Row],[Orange Min]]/Table2[[#This Row],[ClassLength]],"")</f>
        <v>0.21311475409836064</v>
      </c>
      <c r="Z694" s="24">
        <f>IFERROR(Table2[[#This Row],[Red Min]]/Table2[[#This Row],[ClassLength]],"")</f>
        <v>3.2786885245901641E-2</v>
      </c>
      <c r="AA694" s="25">
        <v>169</v>
      </c>
      <c r="AB694" s="25">
        <f t="shared" si="192"/>
        <v>12.071428571428571</v>
      </c>
      <c r="AC694" s="26">
        <f t="shared" si="182"/>
        <v>632.92857142857144</v>
      </c>
      <c r="AD694" s="26">
        <f t="shared" si="183"/>
        <v>14.142857142857142</v>
      </c>
      <c r="AE694">
        <f t="shared" si="184"/>
        <v>2024</v>
      </c>
      <c r="AG694">
        <v>12</v>
      </c>
      <c r="AH694" s="26">
        <f t="shared" si="185"/>
        <v>11.180327868852459</v>
      </c>
      <c r="AI694" t="str">
        <f t="shared" si="186"/>
        <v>PM</v>
      </c>
      <c r="AJ694" t="str">
        <f t="shared" si="187"/>
        <v>9-2024-5</v>
      </c>
      <c r="AK694">
        <f t="shared" si="188"/>
        <v>9</v>
      </c>
      <c r="AL694" s="26">
        <f>IFERROR(Table2[[#This Row],[Calories]]/Table2[[#This Row],[Splat]],"")</f>
        <v>45.466666666666669</v>
      </c>
      <c r="AM694">
        <f>COUNTIF(N$2:$N$938,N694)</f>
        <v>258</v>
      </c>
      <c r="AN694" t="str">
        <f>VLOOKUP(N694,'Helpful Tables'!A:D,4,FALSE)</f>
        <v>Oregon</v>
      </c>
      <c r="AO694" s="24">
        <f>COUNTIF(AN:AN,Table2[[#This Row],[State]])/COUNTA(AN:AN)</f>
        <v>0.36140724946695096</v>
      </c>
      <c r="AP694">
        <f>VLOOKUP(N694,'Helpful Tables'!A:B,2,FALSE)</f>
        <v>45.534162000000002</v>
      </c>
      <c r="AQ694">
        <f>VLOOKUP(N694,'Helpful Tables'!A:C,3,FALSE)</f>
        <v>-122.69670000000001</v>
      </c>
      <c r="AR694">
        <f>COUNTIF(P$2:$P$938,P694)</f>
        <v>43</v>
      </c>
      <c r="AS694" cm="1">
        <f t="array" ref="AS694">_xlfn.IFS(E694&lt;6,((E694/D694)*60)*0.5,AND(E694&gt;=6,E694&lt;9),((E694/D694)*60)*0.75,AND(E694&gt;=9,E694&lt;=11),((E694/D694)*60)*0.9,AND(E694=12),((E694/D694)*60)*1,AND(E694&gt;=13,E694&lt;=15),((E694/D694)*60)*1.2,AND(E694&gt;=16,E694&lt;=19),((E694/D694)*60)*1.5,E694&gt;=20,((E694/D694)*60)*1.8)</f>
        <v>17.704918032786885</v>
      </c>
      <c r="AT694" cm="1">
        <f t="array" ref="AT694">_xlfn.IFS(F694&lt;550,((F694/D694)*60)*0.5,AND(F694&gt;=550,F694&lt;575),((F694/D694)*60)*0.75,AND(F694&gt;=575,F694&lt;600),((F694/D694)*60)*0.9,AND(F694=600),((F694/D694)*60)*1,AND(F694&gt;=601,F694&lt;=625),((F694/D694)*60)*1.2,AND(F694&gt;=626,F694&lt;=650),((F694/D694)*60)*1.5,F694&gt;=651,((F694/D694)*60)*1.8)</f>
        <v>1207.4754098360656</v>
      </c>
      <c r="AU694">
        <f t="shared" si="193"/>
        <v>4.8999999999999986</v>
      </c>
      <c r="AV694">
        <f t="shared" si="191"/>
        <v>491.05213114754105</v>
      </c>
      <c r="AW694">
        <f t="shared" si="194"/>
        <v>74.599999999999994</v>
      </c>
      <c r="AX694" t="str">
        <f t="shared" si="189"/>
        <v>Sep-2024</v>
      </c>
      <c r="AY694">
        <f>ROUNDUP(Table2[[#This Row],[Month]]/3,0)</f>
        <v>3</v>
      </c>
    </row>
    <row r="695" spans="1:51" x14ac:dyDescent="0.2">
      <c r="A695">
        <v>694</v>
      </c>
      <c r="B695">
        <f t="shared" si="178"/>
        <v>14</v>
      </c>
      <c r="C695" s="22">
        <v>45568</v>
      </c>
      <c r="D695">
        <f>SUM(Table2[[#This Row],[Gray Min]:[Red Min]])</f>
        <v>56</v>
      </c>
      <c r="E695">
        <v>22</v>
      </c>
      <c r="F695">
        <v>672</v>
      </c>
      <c r="G695">
        <v>0</v>
      </c>
      <c r="H695">
        <v>0</v>
      </c>
      <c r="I695">
        <v>9</v>
      </c>
      <c r="J695">
        <v>13</v>
      </c>
      <c r="K695">
        <v>12</v>
      </c>
      <c r="L695">
        <v>20</v>
      </c>
      <c r="M695">
        <v>2</v>
      </c>
      <c r="N695" t="s">
        <v>125</v>
      </c>
      <c r="O695" t="s">
        <v>127</v>
      </c>
      <c r="P695" t="s">
        <v>222</v>
      </c>
      <c r="Q695">
        <f t="shared" si="190"/>
        <v>3</v>
      </c>
      <c r="R695" t="str">
        <f t="shared" si="179"/>
        <v>10-2024</v>
      </c>
      <c r="S695" t="s">
        <v>104</v>
      </c>
      <c r="T695" t="str">
        <f t="shared" si="180"/>
        <v>Thursday</v>
      </c>
      <c r="U695">
        <f t="shared" si="181"/>
        <v>1</v>
      </c>
      <c r="V695" s="24">
        <f>IFERROR(Table2[[#This Row],[Gray Min]]/Table2[[#This Row],[ClassLength]],"")</f>
        <v>0.16071428571428573</v>
      </c>
      <c r="W695" s="24">
        <f>IFERROR(Table2[[#This Row],[Blue Min]]/Table2[[#This Row],[ClassLength]],"")</f>
        <v>0.23214285714285715</v>
      </c>
      <c r="X695" s="24">
        <f>IFERROR(Table2[[#This Row],[Green Min]]/Table2[[#This Row],[ClassLength]],"")</f>
        <v>0.21428571428571427</v>
      </c>
      <c r="Y695" s="24">
        <f>IFERROR(Table2[[#This Row],[Orange Min]]/Table2[[#This Row],[ClassLength]],"")</f>
        <v>0.35714285714285715</v>
      </c>
      <c r="Z695" s="24">
        <f>IFERROR(Table2[[#This Row],[Red Min]]/Table2[[#This Row],[ClassLength]],"")</f>
        <v>3.5714285714285712E-2</v>
      </c>
      <c r="AA695" s="25">
        <v>169</v>
      </c>
      <c r="AB695" s="25">
        <f t="shared" si="192"/>
        <v>12.071428571428571</v>
      </c>
      <c r="AC695" s="26">
        <f t="shared" si="182"/>
        <v>630.78571428571433</v>
      </c>
      <c r="AD695" s="26">
        <f t="shared" si="183"/>
        <v>15.214285714285714</v>
      </c>
      <c r="AE695">
        <f t="shared" si="184"/>
        <v>2024</v>
      </c>
      <c r="AG695">
        <v>12</v>
      </c>
      <c r="AH695" s="26">
        <f t="shared" si="185"/>
        <v>12</v>
      </c>
      <c r="AI695" t="str">
        <f t="shared" si="186"/>
        <v>PM</v>
      </c>
      <c r="AJ695" t="str">
        <f t="shared" si="187"/>
        <v>10-2024-1</v>
      </c>
      <c r="AK695">
        <f t="shared" si="188"/>
        <v>10</v>
      </c>
      <c r="AL695" s="26">
        <f>IFERROR(Table2[[#This Row],[Calories]]/Table2[[#This Row],[Splat]],"")</f>
        <v>30.545454545454547</v>
      </c>
      <c r="AM695">
        <f>COUNTIF(N$2:$N$938,N695)</f>
        <v>258</v>
      </c>
      <c r="AN695" t="str">
        <f>VLOOKUP(N695,'Helpful Tables'!A:D,4,FALSE)</f>
        <v>Oregon</v>
      </c>
      <c r="AO695" s="24">
        <f>COUNTIF(AN:AN,Table2[[#This Row],[State]])/COUNTA(AN:AN)</f>
        <v>0.36140724946695096</v>
      </c>
      <c r="AP695">
        <f>VLOOKUP(N695,'Helpful Tables'!A:B,2,FALSE)</f>
        <v>45.534162000000002</v>
      </c>
      <c r="AQ695">
        <f>VLOOKUP(N695,'Helpful Tables'!A:C,3,FALSE)</f>
        <v>-122.69670000000001</v>
      </c>
      <c r="AR695">
        <f>COUNTIF(P$2:$P$938,P695)</f>
        <v>32</v>
      </c>
      <c r="AS695" cm="1">
        <f t="array" ref="AS695">_xlfn.IFS(E695&lt;6,((E695/D695)*60)*0.5,AND(E695&gt;=6,E695&lt;9),((E695/D695)*60)*0.75,AND(E695&gt;=9,E695&lt;=11),((E695/D695)*60)*0.9,AND(E695=12),((E695/D695)*60)*1,AND(E695&gt;=13,E695&lt;=15),((E695/D695)*60)*1.2,AND(E695&gt;=16,E695&lt;=19),((E695/D695)*60)*1.5,E695&gt;=20,((E695/D695)*60)*1.8)</f>
        <v>42.428571428571423</v>
      </c>
      <c r="AT695" cm="1">
        <f t="array" ref="AT695">_xlfn.IFS(F695&lt;550,((F695/D695)*60)*0.5,AND(F695&gt;=550,F695&lt;575),((F695/D695)*60)*0.75,AND(F695&gt;=575,F695&lt;600),((F695/D695)*60)*0.9,AND(F695=600),((F695/D695)*60)*1,AND(F695&gt;=601,F695&lt;=625),((F695/D695)*60)*1.2,AND(F695&gt;=626,F695&lt;=650),((F695/D695)*60)*1.5,F695&gt;=651,((F695/D695)*60)*1.8)</f>
        <v>1296</v>
      </c>
      <c r="AU695">
        <f t="shared" si="193"/>
        <v>18.299999999999997</v>
      </c>
      <c r="AV695">
        <f t="shared" si="191"/>
        <v>539.03142857142848</v>
      </c>
      <c r="AW695">
        <f t="shared" si="194"/>
        <v>96.1</v>
      </c>
      <c r="AX695" t="str">
        <f t="shared" si="189"/>
        <v>Oct-2024</v>
      </c>
      <c r="AY695">
        <f>ROUNDUP(Table2[[#This Row],[Month]]/3,0)</f>
        <v>4</v>
      </c>
    </row>
    <row r="696" spans="1:51" x14ac:dyDescent="0.2">
      <c r="A696">
        <v>695</v>
      </c>
      <c r="B696">
        <f t="shared" si="178"/>
        <v>14</v>
      </c>
      <c r="C696" s="22">
        <v>45571</v>
      </c>
      <c r="D696">
        <f>SUM(Table2[[#This Row],[Gray Min]:[Red Min]])</f>
        <v>60</v>
      </c>
      <c r="E696">
        <v>12</v>
      </c>
      <c r="F696">
        <v>594</v>
      </c>
      <c r="G696">
        <v>0</v>
      </c>
      <c r="H696">
        <v>0</v>
      </c>
      <c r="I696">
        <v>23</v>
      </c>
      <c r="J696">
        <v>12</v>
      </c>
      <c r="K696">
        <v>13</v>
      </c>
      <c r="L696">
        <v>11</v>
      </c>
      <c r="M696">
        <v>1</v>
      </c>
      <c r="N696" t="s">
        <v>125</v>
      </c>
      <c r="O696" t="s">
        <v>159</v>
      </c>
      <c r="P696" t="s">
        <v>222</v>
      </c>
      <c r="Q696">
        <f t="shared" si="190"/>
        <v>3</v>
      </c>
      <c r="R696" t="str">
        <f t="shared" si="179"/>
        <v>10-2024</v>
      </c>
      <c r="S696" t="s">
        <v>117</v>
      </c>
      <c r="T696" t="str">
        <f t="shared" si="180"/>
        <v>Sunday</v>
      </c>
      <c r="U696">
        <f t="shared" si="181"/>
        <v>1</v>
      </c>
      <c r="V696" s="24">
        <f>IFERROR(Table2[[#This Row],[Gray Min]]/Table2[[#This Row],[ClassLength]],"")</f>
        <v>0.38333333333333336</v>
      </c>
      <c r="W696" s="24">
        <f>IFERROR(Table2[[#This Row],[Blue Min]]/Table2[[#This Row],[ClassLength]],"")</f>
        <v>0.2</v>
      </c>
      <c r="X696" s="24">
        <f>IFERROR(Table2[[#This Row],[Green Min]]/Table2[[#This Row],[ClassLength]],"")</f>
        <v>0.21666666666666667</v>
      </c>
      <c r="Y696" s="24">
        <f>IFERROR(Table2[[#This Row],[Orange Min]]/Table2[[#This Row],[ClassLength]],"")</f>
        <v>0.18333333333333332</v>
      </c>
      <c r="Z696" s="24">
        <f>IFERROR(Table2[[#This Row],[Red Min]]/Table2[[#This Row],[ClassLength]],"")</f>
        <v>1.6666666666666666E-2</v>
      </c>
      <c r="AA696" s="25">
        <v>169</v>
      </c>
      <c r="AB696" s="25">
        <f t="shared" si="192"/>
        <v>12.071428571428571</v>
      </c>
      <c r="AC696" s="26">
        <f t="shared" si="182"/>
        <v>630.78571428571433</v>
      </c>
      <c r="AD696" s="26">
        <f t="shared" si="183"/>
        <v>15.214285714285714</v>
      </c>
      <c r="AE696">
        <f t="shared" si="184"/>
        <v>2024</v>
      </c>
      <c r="AG696">
        <v>12</v>
      </c>
      <c r="AH696" s="26">
        <f t="shared" si="185"/>
        <v>9.9</v>
      </c>
      <c r="AI696" t="str">
        <f t="shared" si="186"/>
        <v>AM</v>
      </c>
      <c r="AJ696" t="str">
        <f t="shared" si="187"/>
        <v>10-2024-2</v>
      </c>
      <c r="AK696">
        <f t="shared" si="188"/>
        <v>10</v>
      </c>
      <c r="AL696" s="26">
        <f>IFERROR(Table2[[#This Row],[Calories]]/Table2[[#This Row],[Splat]],"")</f>
        <v>49.5</v>
      </c>
      <c r="AM696">
        <f>COUNTIF(N$2:$N$938,N696)</f>
        <v>258</v>
      </c>
      <c r="AN696" t="str">
        <f>VLOOKUP(N696,'Helpful Tables'!A:D,4,FALSE)</f>
        <v>Oregon</v>
      </c>
      <c r="AO696" s="24">
        <f>COUNTIF(AN:AN,Table2[[#This Row],[State]])/COUNTA(AN:AN)</f>
        <v>0.36140724946695096</v>
      </c>
      <c r="AP696">
        <f>VLOOKUP(N696,'Helpful Tables'!A:B,2,FALSE)</f>
        <v>45.534162000000002</v>
      </c>
      <c r="AQ696">
        <f>VLOOKUP(N696,'Helpful Tables'!A:C,3,FALSE)</f>
        <v>-122.69670000000001</v>
      </c>
      <c r="AR696">
        <f>COUNTIF(P$2:$P$938,P696)</f>
        <v>32</v>
      </c>
      <c r="AS696" cm="1">
        <f t="array" ref="AS696">_xlfn.IFS(E696&lt;6,((E696/D696)*60)*0.5,AND(E696&gt;=6,E696&lt;9),((E696/D696)*60)*0.75,AND(E696&gt;=9,E696&lt;=11),((E696/D696)*60)*0.9,AND(E696=12),((E696/D696)*60)*1,AND(E696&gt;=13,E696&lt;=15),((E696/D696)*60)*1.2,AND(E696&gt;=16,E696&lt;=19),((E696/D696)*60)*1.5,E696&gt;=20,((E696/D696)*60)*1.8)</f>
        <v>12</v>
      </c>
      <c r="AT696" cm="1">
        <f t="array" ref="AT696">_xlfn.IFS(F696&lt;550,((F696/D696)*60)*0.5,AND(F696&gt;=550,F696&lt;575),((F696/D696)*60)*0.75,AND(F696&gt;=575,F696&lt;600),((F696/D696)*60)*0.9,AND(F696=600),((F696/D696)*60)*1,AND(F696&gt;=601,F696&lt;=625),((F696/D696)*60)*1.2,AND(F696&gt;=626,F696&lt;=650),((F696/D696)*60)*1.5,F696&gt;=651,((F696/D696)*60)*1.8)</f>
        <v>534.6</v>
      </c>
      <c r="AU696">
        <f t="shared" si="193"/>
        <v>-9.399999999999995</v>
      </c>
      <c r="AV696">
        <f t="shared" si="191"/>
        <v>216.76000000000005</v>
      </c>
      <c r="AW696">
        <f t="shared" si="194"/>
        <v>15.7</v>
      </c>
      <c r="AX696" t="str">
        <f t="shared" si="189"/>
        <v>Oct-2024</v>
      </c>
      <c r="AY696">
        <f>ROUNDUP(Table2[[#This Row],[Month]]/3,0)</f>
        <v>4</v>
      </c>
    </row>
    <row r="697" spans="1:51" x14ac:dyDescent="0.2">
      <c r="A697">
        <v>696</v>
      </c>
      <c r="B697">
        <f t="shared" si="178"/>
        <v>14</v>
      </c>
      <c r="C697" s="22">
        <v>45573</v>
      </c>
      <c r="D697">
        <f>SUM(Table2[[#This Row],[Gray Min]:[Red Min]])</f>
        <v>59</v>
      </c>
      <c r="E697">
        <v>19</v>
      </c>
      <c r="F697">
        <v>680</v>
      </c>
      <c r="G697">
        <v>0</v>
      </c>
      <c r="H697">
        <v>0</v>
      </c>
      <c r="I697">
        <v>7</v>
      </c>
      <c r="J697">
        <v>20</v>
      </c>
      <c r="K697">
        <v>13</v>
      </c>
      <c r="L697">
        <v>16</v>
      </c>
      <c r="M697">
        <v>3</v>
      </c>
      <c r="N697" t="s">
        <v>208</v>
      </c>
      <c r="O697" t="s">
        <v>53</v>
      </c>
      <c r="P697" t="s">
        <v>213</v>
      </c>
      <c r="Q697">
        <f t="shared" si="190"/>
        <v>2</v>
      </c>
      <c r="R697" t="str">
        <f t="shared" si="179"/>
        <v>10-2024</v>
      </c>
      <c r="S697" t="s">
        <v>104</v>
      </c>
      <c r="T697" t="str">
        <f t="shared" si="180"/>
        <v>Tuesday</v>
      </c>
      <c r="U697">
        <f t="shared" si="181"/>
        <v>1</v>
      </c>
      <c r="V697" s="24">
        <f>IFERROR(Table2[[#This Row],[Gray Min]]/Table2[[#This Row],[ClassLength]],"")</f>
        <v>0.11864406779661017</v>
      </c>
      <c r="W697" s="24">
        <f>IFERROR(Table2[[#This Row],[Blue Min]]/Table2[[#This Row],[ClassLength]],"")</f>
        <v>0.33898305084745761</v>
      </c>
      <c r="X697" s="24">
        <f>IFERROR(Table2[[#This Row],[Green Min]]/Table2[[#This Row],[ClassLength]],"")</f>
        <v>0.22033898305084745</v>
      </c>
      <c r="Y697" s="24">
        <f>IFERROR(Table2[[#This Row],[Orange Min]]/Table2[[#This Row],[ClassLength]],"")</f>
        <v>0.2711864406779661</v>
      </c>
      <c r="Z697" s="24">
        <f>IFERROR(Table2[[#This Row],[Red Min]]/Table2[[#This Row],[ClassLength]],"")</f>
        <v>5.0847457627118647E-2</v>
      </c>
      <c r="AA697" s="25">
        <v>169</v>
      </c>
      <c r="AB697" s="25">
        <f t="shared" si="192"/>
        <v>12.071428571428571</v>
      </c>
      <c r="AC697" s="26">
        <f t="shared" si="182"/>
        <v>630.78571428571433</v>
      </c>
      <c r="AD697" s="26">
        <f t="shared" si="183"/>
        <v>15.214285714285714</v>
      </c>
      <c r="AE697">
        <f t="shared" si="184"/>
        <v>2024</v>
      </c>
      <c r="AG697">
        <v>12</v>
      </c>
      <c r="AH697" s="26">
        <f t="shared" si="185"/>
        <v>11.525423728813559</v>
      </c>
      <c r="AI697" t="str">
        <f t="shared" si="186"/>
        <v>PM</v>
      </c>
      <c r="AJ697" t="str">
        <f t="shared" si="187"/>
        <v>10-2024-2</v>
      </c>
      <c r="AK697">
        <f t="shared" si="188"/>
        <v>10</v>
      </c>
      <c r="AL697" s="26">
        <f>IFERROR(Table2[[#This Row],[Calories]]/Table2[[#This Row],[Splat]],"")</f>
        <v>35.789473684210527</v>
      </c>
      <c r="AM697">
        <f>COUNTIF(N$2:$N$938,N697)</f>
        <v>78</v>
      </c>
      <c r="AN697" t="str">
        <f>VLOOKUP(N697,'Helpful Tables'!A:D,4,FALSE)</f>
        <v>Oregon</v>
      </c>
      <c r="AO697" s="24">
        <f>COUNTIF(AN:AN,Table2[[#This Row],[State]])/COUNTA(AN:AN)</f>
        <v>0.36140724946695096</v>
      </c>
      <c r="AP697">
        <f>VLOOKUP(N697,'Helpful Tables'!A:B,2,FALSE)</f>
        <v>45.525092999999998</v>
      </c>
      <c r="AQ697">
        <f>VLOOKUP(N697,'Helpful Tables'!A:C,3,FALSE)</f>
        <v>-122.681383</v>
      </c>
      <c r="AR697">
        <f>COUNTIF(P$2:$P$938,P697)</f>
        <v>40</v>
      </c>
      <c r="AS697" cm="1">
        <f t="array" ref="AS697">_xlfn.IFS(E697&lt;6,((E697/D697)*60)*0.5,AND(E697&gt;=6,E697&lt;9),((E697/D697)*60)*0.75,AND(E697&gt;=9,E697&lt;=11),((E697/D697)*60)*0.9,AND(E697=12),((E697/D697)*60)*1,AND(E697&gt;=13,E697&lt;=15),((E697/D697)*60)*1.2,AND(E697&gt;=16,E697&lt;=19),((E697/D697)*60)*1.5,E697&gt;=20,((E697/D697)*60)*1.8)</f>
        <v>28.983050847457626</v>
      </c>
      <c r="AT697" cm="1">
        <f t="array" ref="AT697">_xlfn.IFS(F697&lt;550,((F697/D697)*60)*0.5,AND(F697&gt;=550,F697&lt;575),((F697/D697)*60)*0.75,AND(F697&gt;=575,F697&lt;600),((F697/D697)*60)*0.9,AND(F697=600),((F697/D697)*60)*1,AND(F697&gt;=601,F697&lt;=625),((F697/D697)*60)*1.2,AND(F697&gt;=626,F697&lt;=650),((F697/D697)*60)*1.5,F697&gt;=651,((F697/D697)*60)*1.8)</f>
        <v>1244.7457627118642</v>
      </c>
      <c r="AU697">
        <f t="shared" si="193"/>
        <v>10.500000000000002</v>
      </c>
      <c r="AV697">
        <f t="shared" si="191"/>
        <v>511.5915254237288</v>
      </c>
      <c r="AW697">
        <f t="shared" si="194"/>
        <v>86.8</v>
      </c>
      <c r="AX697" t="str">
        <f t="shared" si="189"/>
        <v>Oct-2024</v>
      </c>
      <c r="AY697">
        <f>ROUNDUP(Table2[[#This Row],[Month]]/3,0)</f>
        <v>4</v>
      </c>
    </row>
    <row r="698" spans="1:51" x14ac:dyDescent="0.2">
      <c r="A698">
        <v>697</v>
      </c>
      <c r="B698">
        <f t="shared" si="178"/>
        <v>14</v>
      </c>
      <c r="C698" s="22">
        <v>45575</v>
      </c>
      <c r="D698">
        <f>SUM(Table2[[#This Row],[Gray Min]:[Red Min]])</f>
        <v>57</v>
      </c>
      <c r="E698">
        <v>13</v>
      </c>
      <c r="F698">
        <v>570</v>
      </c>
      <c r="G698">
        <v>0</v>
      </c>
      <c r="H698">
        <v>0</v>
      </c>
      <c r="I698">
        <v>22</v>
      </c>
      <c r="J698">
        <v>13</v>
      </c>
      <c r="K698">
        <v>9</v>
      </c>
      <c r="L698">
        <v>13</v>
      </c>
      <c r="M698">
        <v>0</v>
      </c>
      <c r="N698" t="s">
        <v>125</v>
      </c>
      <c r="O698" t="s">
        <v>127</v>
      </c>
      <c r="P698" t="s">
        <v>222</v>
      </c>
      <c r="Q698">
        <f t="shared" si="190"/>
        <v>2</v>
      </c>
      <c r="R698" t="str">
        <f t="shared" si="179"/>
        <v>10-2024</v>
      </c>
      <c r="S698" t="s">
        <v>104</v>
      </c>
      <c r="T698" t="str">
        <f t="shared" si="180"/>
        <v>Thursday</v>
      </c>
      <c r="U698">
        <f t="shared" si="181"/>
        <v>1</v>
      </c>
      <c r="V698" s="24">
        <f>IFERROR(Table2[[#This Row],[Gray Min]]/Table2[[#This Row],[ClassLength]],"")</f>
        <v>0.38596491228070173</v>
      </c>
      <c r="W698" s="24">
        <f>IFERROR(Table2[[#This Row],[Blue Min]]/Table2[[#This Row],[ClassLength]],"")</f>
        <v>0.22807017543859648</v>
      </c>
      <c r="X698" s="24">
        <f>IFERROR(Table2[[#This Row],[Green Min]]/Table2[[#This Row],[ClassLength]],"")</f>
        <v>0.15789473684210525</v>
      </c>
      <c r="Y698" s="24">
        <f>IFERROR(Table2[[#This Row],[Orange Min]]/Table2[[#This Row],[ClassLength]],"")</f>
        <v>0.22807017543859648</v>
      </c>
      <c r="Z698" s="24">
        <f>IFERROR(Table2[[#This Row],[Red Min]]/Table2[[#This Row],[ClassLength]],"")</f>
        <v>0</v>
      </c>
      <c r="AA698" s="25">
        <v>169</v>
      </c>
      <c r="AB698" s="25">
        <f t="shared" si="192"/>
        <v>12.071428571428571</v>
      </c>
      <c r="AC698" s="26">
        <f t="shared" si="182"/>
        <v>630.78571428571433</v>
      </c>
      <c r="AD698" s="26">
        <f t="shared" si="183"/>
        <v>15.214285714285714</v>
      </c>
      <c r="AE698">
        <f t="shared" si="184"/>
        <v>2024</v>
      </c>
      <c r="AG698">
        <v>12</v>
      </c>
      <c r="AH698" s="26">
        <f t="shared" si="185"/>
        <v>10</v>
      </c>
      <c r="AI698" t="str">
        <f t="shared" si="186"/>
        <v>PM</v>
      </c>
      <c r="AJ698" t="str">
        <f t="shared" si="187"/>
        <v>10-2024-2</v>
      </c>
      <c r="AK698">
        <f t="shared" si="188"/>
        <v>10</v>
      </c>
      <c r="AL698" s="26">
        <f>IFERROR(Table2[[#This Row],[Calories]]/Table2[[#This Row],[Splat]],"")</f>
        <v>43.846153846153847</v>
      </c>
      <c r="AM698">
        <f>COUNTIF(N$2:$N$938,N698)</f>
        <v>258</v>
      </c>
      <c r="AN698" t="str">
        <f>VLOOKUP(N698,'Helpful Tables'!A:D,4,FALSE)</f>
        <v>Oregon</v>
      </c>
      <c r="AO698" s="24">
        <f>COUNTIF(AN:AN,Table2[[#This Row],[State]])/COUNTA(AN:AN)</f>
        <v>0.36140724946695096</v>
      </c>
      <c r="AP698">
        <f>VLOOKUP(N698,'Helpful Tables'!A:B,2,FALSE)</f>
        <v>45.534162000000002</v>
      </c>
      <c r="AQ698">
        <f>VLOOKUP(N698,'Helpful Tables'!A:C,3,FALSE)</f>
        <v>-122.69670000000001</v>
      </c>
      <c r="AR698">
        <f>COUNTIF(P$2:$P$938,P698)</f>
        <v>32</v>
      </c>
      <c r="AS698" cm="1">
        <f t="array" ref="AS698">_xlfn.IFS(E698&lt;6,((E698/D698)*60)*0.5,AND(E698&gt;=6,E698&lt;9),((E698/D698)*60)*0.75,AND(E698&gt;=9,E698&lt;=11),((E698/D698)*60)*0.9,AND(E698=12),((E698/D698)*60)*1,AND(E698&gt;=13,E698&lt;=15),((E698/D698)*60)*1.2,AND(E698&gt;=16,E698&lt;=19),((E698/D698)*60)*1.5,E698&gt;=20,((E698/D698)*60)*1.8)</f>
        <v>16.421052631578945</v>
      </c>
      <c r="AT698" cm="1">
        <f t="array" ref="AT698">_xlfn.IFS(F698&lt;550,((F698/D698)*60)*0.5,AND(F698&gt;=550,F698&lt;575),((F698/D698)*60)*0.75,AND(F698&gt;=575,F698&lt;600),((F698/D698)*60)*0.9,AND(F698=600),((F698/D698)*60)*1,AND(F698&gt;=601,F698&lt;=625),((F698/D698)*60)*1.2,AND(F698&gt;=626,F698&lt;=650),((F698/D698)*60)*1.5,F698&gt;=651,((F698/D698)*60)*1.8)</f>
        <v>450</v>
      </c>
      <c r="AU698">
        <f t="shared" si="193"/>
        <v>-13.000000000000004</v>
      </c>
      <c r="AV698">
        <f t="shared" si="191"/>
        <v>183.96842105263158</v>
      </c>
      <c r="AW698">
        <f t="shared" si="194"/>
        <v>11.4</v>
      </c>
      <c r="AX698" t="str">
        <f t="shared" si="189"/>
        <v>Oct-2024</v>
      </c>
      <c r="AY698">
        <f>ROUNDUP(Table2[[#This Row],[Month]]/3,0)</f>
        <v>4</v>
      </c>
    </row>
    <row r="699" spans="1:51" x14ac:dyDescent="0.2">
      <c r="A699">
        <v>698</v>
      </c>
      <c r="B699">
        <f t="shared" si="178"/>
        <v>14</v>
      </c>
      <c r="C699" s="22">
        <v>45579</v>
      </c>
      <c r="D699">
        <f>SUM(Table2[[#This Row],[Gray Min]:[Red Min]])</f>
        <v>59</v>
      </c>
      <c r="E699">
        <v>20</v>
      </c>
      <c r="F699">
        <v>724</v>
      </c>
      <c r="G699">
        <v>0</v>
      </c>
      <c r="H699">
        <v>0</v>
      </c>
      <c r="I699">
        <v>6</v>
      </c>
      <c r="J699">
        <v>13</v>
      </c>
      <c r="K699">
        <v>20</v>
      </c>
      <c r="L699">
        <v>17</v>
      </c>
      <c r="M699">
        <v>3</v>
      </c>
      <c r="N699" t="s">
        <v>125</v>
      </c>
      <c r="O699" t="s">
        <v>127</v>
      </c>
      <c r="P699" t="s">
        <v>220</v>
      </c>
      <c r="Q699">
        <f t="shared" si="190"/>
        <v>4</v>
      </c>
      <c r="R699" t="str">
        <f t="shared" si="179"/>
        <v>10-2024</v>
      </c>
      <c r="S699" t="s">
        <v>104</v>
      </c>
      <c r="T699" t="str">
        <f t="shared" si="180"/>
        <v>Monday</v>
      </c>
      <c r="U699">
        <f t="shared" si="181"/>
        <v>1</v>
      </c>
      <c r="V699" s="24">
        <f>IFERROR(Table2[[#This Row],[Gray Min]]/Table2[[#This Row],[ClassLength]],"")</f>
        <v>0.10169491525423729</v>
      </c>
      <c r="W699" s="24">
        <f>IFERROR(Table2[[#This Row],[Blue Min]]/Table2[[#This Row],[ClassLength]],"")</f>
        <v>0.22033898305084745</v>
      </c>
      <c r="X699" s="24">
        <f>IFERROR(Table2[[#This Row],[Green Min]]/Table2[[#This Row],[ClassLength]],"")</f>
        <v>0.33898305084745761</v>
      </c>
      <c r="Y699" s="24">
        <f>IFERROR(Table2[[#This Row],[Orange Min]]/Table2[[#This Row],[ClassLength]],"")</f>
        <v>0.28813559322033899</v>
      </c>
      <c r="Z699" s="24">
        <f>IFERROR(Table2[[#This Row],[Red Min]]/Table2[[#This Row],[ClassLength]],"")</f>
        <v>5.0847457627118647E-2</v>
      </c>
      <c r="AA699" s="25">
        <v>169</v>
      </c>
      <c r="AB699" s="25">
        <f t="shared" si="192"/>
        <v>12.071428571428571</v>
      </c>
      <c r="AC699" s="26">
        <f t="shared" si="182"/>
        <v>630.78571428571433</v>
      </c>
      <c r="AD699" s="26">
        <f t="shared" si="183"/>
        <v>15.214285714285714</v>
      </c>
      <c r="AE699">
        <f t="shared" si="184"/>
        <v>2024</v>
      </c>
      <c r="AG699">
        <v>12</v>
      </c>
      <c r="AH699" s="26">
        <f t="shared" si="185"/>
        <v>12.271186440677965</v>
      </c>
      <c r="AI699" t="str">
        <f t="shared" si="186"/>
        <v>PM</v>
      </c>
      <c r="AJ699" t="str">
        <f t="shared" si="187"/>
        <v>10-2024-3</v>
      </c>
      <c r="AK699">
        <f t="shared" si="188"/>
        <v>10</v>
      </c>
      <c r="AL699" s="26">
        <f>IFERROR(Table2[[#This Row],[Calories]]/Table2[[#This Row],[Splat]],"")</f>
        <v>36.200000000000003</v>
      </c>
      <c r="AM699">
        <f>COUNTIF(N$2:$N$938,N699)</f>
        <v>258</v>
      </c>
      <c r="AN699" t="str">
        <f>VLOOKUP(N699,'Helpful Tables'!A:D,4,FALSE)</f>
        <v>Oregon</v>
      </c>
      <c r="AO699" s="24">
        <f>COUNTIF(AN:AN,Table2[[#This Row],[State]])/COUNTA(AN:AN)</f>
        <v>0.36140724946695096</v>
      </c>
      <c r="AP699">
        <f>VLOOKUP(N699,'Helpful Tables'!A:B,2,FALSE)</f>
        <v>45.534162000000002</v>
      </c>
      <c r="AQ699">
        <f>VLOOKUP(N699,'Helpful Tables'!A:C,3,FALSE)</f>
        <v>-122.69670000000001</v>
      </c>
      <c r="AR699">
        <f>COUNTIF(P$2:$P$938,P699)</f>
        <v>43</v>
      </c>
      <c r="AS699" cm="1">
        <f t="array" ref="AS699">_xlfn.IFS(E699&lt;6,((E699/D699)*60)*0.5,AND(E699&gt;=6,E699&lt;9),((E699/D699)*60)*0.75,AND(E699&gt;=9,E699&lt;=11),((E699/D699)*60)*0.9,AND(E699=12),((E699/D699)*60)*1,AND(E699&gt;=13,E699&lt;=15),((E699/D699)*60)*1.2,AND(E699&gt;=16,E699&lt;=19),((E699/D699)*60)*1.5,E699&gt;=20,((E699/D699)*60)*1.8)</f>
        <v>36.610169491525426</v>
      </c>
      <c r="AT699" cm="1">
        <f t="array" ref="AT699">_xlfn.IFS(F699&lt;550,((F699/D699)*60)*0.5,AND(F699&gt;=550,F699&lt;575),((F699/D699)*60)*0.75,AND(F699&gt;=575,F699&lt;600),((F699/D699)*60)*0.9,AND(F699=600),((F699/D699)*60)*1,AND(F699&gt;=601,F699&lt;=625),((F699/D699)*60)*1.2,AND(F699&gt;=626,F699&lt;=650),((F699/D699)*60)*1.5,F699&gt;=651,((F699/D699)*60)*1.8)</f>
        <v>1325.2881355932202</v>
      </c>
      <c r="AU699">
        <f t="shared" si="193"/>
        <v>29.1</v>
      </c>
      <c r="AV699">
        <f t="shared" si="191"/>
        <v>550.57932203389839</v>
      </c>
      <c r="AW699">
        <f t="shared" si="194"/>
        <v>98.1</v>
      </c>
      <c r="AX699" t="str">
        <f t="shared" si="189"/>
        <v>Oct-2024</v>
      </c>
      <c r="AY699">
        <f>ROUNDUP(Table2[[#This Row],[Month]]/3,0)</f>
        <v>4</v>
      </c>
    </row>
    <row r="700" spans="1:51" x14ac:dyDescent="0.2">
      <c r="A700">
        <v>699</v>
      </c>
      <c r="B700">
        <f t="shared" si="178"/>
        <v>14</v>
      </c>
      <c r="C700" s="22">
        <v>45580</v>
      </c>
      <c r="D700">
        <f>SUM(Table2[[#This Row],[Gray Min]:[Red Min]])</f>
        <v>58</v>
      </c>
      <c r="E700">
        <v>16</v>
      </c>
      <c r="F700">
        <v>627</v>
      </c>
      <c r="G700">
        <v>0</v>
      </c>
      <c r="H700">
        <v>0</v>
      </c>
      <c r="I700">
        <v>15</v>
      </c>
      <c r="J700">
        <v>15</v>
      </c>
      <c r="K700">
        <v>12</v>
      </c>
      <c r="L700">
        <v>15</v>
      </c>
      <c r="M700">
        <v>1</v>
      </c>
      <c r="N700" t="s">
        <v>125</v>
      </c>
      <c r="O700" t="s">
        <v>127</v>
      </c>
      <c r="P700" t="s">
        <v>222</v>
      </c>
      <c r="Q700">
        <f t="shared" si="190"/>
        <v>1</v>
      </c>
      <c r="R700" t="str">
        <f t="shared" si="179"/>
        <v>10-2024</v>
      </c>
      <c r="S700" t="s">
        <v>104</v>
      </c>
      <c r="T700" t="str">
        <f t="shared" si="180"/>
        <v>Tuesday</v>
      </c>
      <c r="U700">
        <f t="shared" si="181"/>
        <v>1</v>
      </c>
      <c r="V700" s="24">
        <f>IFERROR(Table2[[#This Row],[Gray Min]]/Table2[[#This Row],[ClassLength]],"")</f>
        <v>0.25862068965517243</v>
      </c>
      <c r="W700" s="24">
        <f>IFERROR(Table2[[#This Row],[Blue Min]]/Table2[[#This Row],[ClassLength]],"")</f>
        <v>0.25862068965517243</v>
      </c>
      <c r="X700" s="24">
        <f>IFERROR(Table2[[#This Row],[Green Min]]/Table2[[#This Row],[ClassLength]],"")</f>
        <v>0.20689655172413793</v>
      </c>
      <c r="Y700" s="24">
        <f>IFERROR(Table2[[#This Row],[Orange Min]]/Table2[[#This Row],[ClassLength]],"")</f>
        <v>0.25862068965517243</v>
      </c>
      <c r="Z700" s="24">
        <f>IFERROR(Table2[[#This Row],[Red Min]]/Table2[[#This Row],[ClassLength]],"")</f>
        <v>1.7241379310344827E-2</v>
      </c>
      <c r="AA700" s="25">
        <v>169</v>
      </c>
      <c r="AB700" s="25">
        <f t="shared" si="192"/>
        <v>12.071428571428571</v>
      </c>
      <c r="AC700" s="26">
        <f t="shared" si="182"/>
        <v>630.78571428571433</v>
      </c>
      <c r="AD700" s="26">
        <f t="shared" si="183"/>
        <v>15.214285714285714</v>
      </c>
      <c r="AE700">
        <f t="shared" si="184"/>
        <v>2024</v>
      </c>
      <c r="AG700">
        <v>12</v>
      </c>
      <c r="AH700" s="26">
        <f t="shared" si="185"/>
        <v>10.810344827586206</v>
      </c>
      <c r="AI700" t="str">
        <f t="shared" si="186"/>
        <v>PM</v>
      </c>
      <c r="AJ700" t="str">
        <f t="shared" si="187"/>
        <v>10-2024-3</v>
      </c>
      <c r="AK700">
        <f t="shared" si="188"/>
        <v>10</v>
      </c>
      <c r="AL700" s="26">
        <f>IFERROR(Table2[[#This Row],[Calories]]/Table2[[#This Row],[Splat]],"")</f>
        <v>39.1875</v>
      </c>
      <c r="AM700">
        <f>COUNTIF(N$2:$N$938,N700)</f>
        <v>258</v>
      </c>
      <c r="AN700" t="str">
        <f>VLOOKUP(N700,'Helpful Tables'!A:D,4,FALSE)</f>
        <v>Oregon</v>
      </c>
      <c r="AO700" s="24">
        <f>COUNTIF(AN:AN,Table2[[#This Row],[State]])/COUNTA(AN:AN)</f>
        <v>0.36140724946695096</v>
      </c>
      <c r="AP700">
        <f>VLOOKUP(N700,'Helpful Tables'!A:B,2,FALSE)</f>
        <v>45.534162000000002</v>
      </c>
      <c r="AQ700">
        <f>VLOOKUP(N700,'Helpful Tables'!A:C,3,FALSE)</f>
        <v>-122.69670000000001</v>
      </c>
      <c r="AR700">
        <f>COUNTIF(P$2:$P$938,P700)</f>
        <v>32</v>
      </c>
      <c r="AS700" cm="1">
        <f t="array" ref="AS700">_xlfn.IFS(E700&lt;6,((E700/D700)*60)*0.5,AND(E700&gt;=6,E700&lt;9),((E700/D700)*60)*0.75,AND(E700&gt;=9,E700&lt;=11),((E700/D700)*60)*0.9,AND(E700=12),((E700/D700)*60)*1,AND(E700&gt;=13,E700&lt;=15),((E700/D700)*60)*1.2,AND(E700&gt;=16,E700&lt;=19),((E700/D700)*60)*1.5,E700&gt;=20,((E700/D700)*60)*1.8)</f>
        <v>24.827586206896555</v>
      </c>
      <c r="AT700" cm="1">
        <f t="array" ref="AT700">_xlfn.IFS(F700&lt;550,((F700/D700)*60)*0.5,AND(F700&gt;=550,F700&lt;575),((F700/D700)*60)*0.75,AND(F700&gt;=575,F700&lt;600),((F700/D700)*60)*0.9,AND(F700=600),((F700/D700)*60)*1,AND(F700&gt;=601,F700&lt;=625),((F700/D700)*60)*1.2,AND(F700&gt;=626,F700&lt;=650),((F700/D700)*60)*1.5,F700&gt;=651,((F700/D700)*60)*1.8)</f>
        <v>972.93103448275849</v>
      </c>
      <c r="AU700">
        <f t="shared" si="193"/>
        <v>0.89999999999999858</v>
      </c>
      <c r="AV700">
        <f t="shared" si="191"/>
        <v>399.28344827586204</v>
      </c>
      <c r="AW700">
        <f t="shared" si="194"/>
        <v>52.7</v>
      </c>
      <c r="AX700" t="str">
        <f t="shared" si="189"/>
        <v>Oct-2024</v>
      </c>
      <c r="AY700">
        <f>ROUNDUP(Table2[[#This Row],[Month]]/3,0)</f>
        <v>4</v>
      </c>
    </row>
    <row r="701" spans="1:51" x14ac:dyDescent="0.2">
      <c r="A701">
        <v>700</v>
      </c>
      <c r="B701">
        <f t="shared" si="178"/>
        <v>14</v>
      </c>
      <c r="C701" s="22">
        <v>45582</v>
      </c>
      <c r="D701">
        <f>SUM(Table2[[#This Row],[Gray Min]:[Red Min]])</f>
        <v>60</v>
      </c>
      <c r="E701">
        <v>19</v>
      </c>
      <c r="F701">
        <v>670</v>
      </c>
      <c r="G701">
        <v>0</v>
      </c>
      <c r="H701">
        <v>0</v>
      </c>
      <c r="I701">
        <v>12</v>
      </c>
      <c r="J701">
        <v>19</v>
      </c>
      <c r="K701">
        <v>10</v>
      </c>
      <c r="L701">
        <v>17</v>
      </c>
      <c r="M701">
        <v>2</v>
      </c>
      <c r="N701" t="s">
        <v>125</v>
      </c>
      <c r="O701" t="s">
        <v>127</v>
      </c>
      <c r="P701" t="s">
        <v>222</v>
      </c>
      <c r="Q701">
        <f t="shared" si="190"/>
        <v>2</v>
      </c>
      <c r="R701" t="str">
        <f t="shared" si="179"/>
        <v>10-2024</v>
      </c>
      <c r="S701" t="s">
        <v>104</v>
      </c>
      <c r="T701" t="str">
        <f t="shared" si="180"/>
        <v>Thursday</v>
      </c>
      <c r="U701">
        <f t="shared" si="181"/>
        <v>1</v>
      </c>
      <c r="V701" s="24">
        <f>IFERROR(Table2[[#This Row],[Gray Min]]/Table2[[#This Row],[ClassLength]],"")</f>
        <v>0.2</v>
      </c>
      <c r="W701" s="24">
        <f>IFERROR(Table2[[#This Row],[Blue Min]]/Table2[[#This Row],[ClassLength]],"")</f>
        <v>0.31666666666666665</v>
      </c>
      <c r="X701" s="24">
        <f>IFERROR(Table2[[#This Row],[Green Min]]/Table2[[#This Row],[ClassLength]],"")</f>
        <v>0.16666666666666666</v>
      </c>
      <c r="Y701" s="24">
        <f>IFERROR(Table2[[#This Row],[Orange Min]]/Table2[[#This Row],[ClassLength]],"")</f>
        <v>0.28333333333333333</v>
      </c>
      <c r="Z701" s="24">
        <f>IFERROR(Table2[[#This Row],[Red Min]]/Table2[[#This Row],[ClassLength]],"")</f>
        <v>3.3333333333333333E-2</v>
      </c>
      <c r="AA701" s="25">
        <v>169</v>
      </c>
      <c r="AB701" s="25">
        <f t="shared" si="192"/>
        <v>12.071428571428571</v>
      </c>
      <c r="AC701" s="26">
        <f t="shared" si="182"/>
        <v>630.78571428571433</v>
      </c>
      <c r="AD701" s="26">
        <f t="shared" si="183"/>
        <v>15.214285714285714</v>
      </c>
      <c r="AE701">
        <f t="shared" si="184"/>
        <v>2024</v>
      </c>
      <c r="AG701">
        <v>12</v>
      </c>
      <c r="AH701" s="26">
        <f t="shared" si="185"/>
        <v>11.166666666666666</v>
      </c>
      <c r="AI701" t="str">
        <f t="shared" si="186"/>
        <v>PM</v>
      </c>
      <c r="AJ701" t="str">
        <f t="shared" si="187"/>
        <v>10-2024-3</v>
      </c>
      <c r="AK701">
        <f t="shared" si="188"/>
        <v>10</v>
      </c>
      <c r="AL701" s="26">
        <f>IFERROR(Table2[[#This Row],[Calories]]/Table2[[#This Row],[Splat]],"")</f>
        <v>35.263157894736842</v>
      </c>
      <c r="AM701">
        <f>COUNTIF(N$2:$N$938,N701)</f>
        <v>258</v>
      </c>
      <c r="AN701" t="str">
        <f>VLOOKUP(N701,'Helpful Tables'!A:D,4,FALSE)</f>
        <v>Oregon</v>
      </c>
      <c r="AO701" s="24">
        <f>COUNTIF(AN:AN,Table2[[#This Row],[State]])/COUNTA(AN:AN)</f>
        <v>0.36140724946695096</v>
      </c>
      <c r="AP701">
        <f>VLOOKUP(N701,'Helpful Tables'!A:B,2,FALSE)</f>
        <v>45.534162000000002</v>
      </c>
      <c r="AQ701">
        <f>VLOOKUP(N701,'Helpful Tables'!A:C,3,FALSE)</f>
        <v>-122.69670000000001</v>
      </c>
      <c r="AR701">
        <f>COUNTIF(P$2:$P$938,P701)</f>
        <v>32</v>
      </c>
      <c r="AS701" cm="1">
        <f t="array" ref="AS701">_xlfn.IFS(E701&lt;6,((E701/D701)*60)*0.5,AND(E701&gt;=6,E701&lt;9),((E701/D701)*60)*0.75,AND(E701&gt;=9,E701&lt;=11),((E701/D701)*60)*0.9,AND(E701=12),((E701/D701)*60)*1,AND(E701&gt;=13,E701&lt;=15),((E701/D701)*60)*1.2,AND(E701&gt;=16,E701&lt;=19),((E701/D701)*60)*1.5,E701&gt;=20,((E701/D701)*60)*1.8)</f>
        <v>28.5</v>
      </c>
      <c r="AT701" cm="1">
        <f t="array" ref="AT701">_xlfn.IFS(F701&lt;550,((F701/D701)*60)*0.5,AND(F701&gt;=550,F701&lt;575),((F701/D701)*60)*0.75,AND(F701&gt;=575,F701&lt;600),((F701/D701)*60)*0.9,AND(F701=600),((F701/D701)*60)*1,AND(F701&gt;=601,F701&lt;=625),((F701/D701)*60)*1.2,AND(F701&gt;=626,F701&lt;=650),((F701/D701)*60)*1.5,F701&gt;=651,((F701/D701)*60)*1.8)</f>
        <v>1206</v>
      </c>
      <c r="AU701">
        <f t="shared" si="193"/>
        <v>1.8000000000000043</v>
      </c>
      <c r="AV701">
        <f t="shared" si="191"/>
        <v>494.16</v>
      </c>
      <c r="AW701">
        <f t="shared" si="194"/>
        <v>75.7</v>
      </c>
      <c r="AX701" t="str">
        <f t="shared" si="189"/>
        <v>Oct-2024</v>
      </c>
      <c r="AY701">
        <f>ROUNDUP(Table2[[#This Row],[Month]]/3,0)</f>
        <v>4</v>
      </c>
    </row>
    <row r="702" spans="1:51" x14ac:dyDescent="0.2">
      <c r="A702">
        <v>701</v>
      </c>
      <c r="B702">
        <f t="shared" si="178"/>
        <v>14</v>
      </c>
      <c r="C702" s="22">
        <v>45584</v>
      </c>
      <c r="D702">
        <f>SUM(Table2[[#This Row],[Gray Min]:[Red Min]])</f>
        <v>52</v>
      </c>
      <c r="E702">
        <v>13</v>
      </c>
      <c r="F702">
        <v>597</v>
      </c>
      <c r="G702">
        <v>0</v>
      </c>
      <c r="H702">
        <v>0</v>
      </c>
      <c r="I702">
        <v>6</v>
      </c>
      <c r="J702">
        <v>21</v>
      </c>
      <c r="K702">
        <v>12</v>
      </c>
      <c r="L702">
        <v>11</v>
      </c>
      <c r="M702">
        <v>2</v>
      </c>
      <c r="N702" t="s">
        <v>125</v>
      </c>
      <c r="O702" t="s">
        <v>159</v>
      </c>
      <c r="P702" t="s">
        <v>223</v>
      </c>
      <c r="Q702">
        <f t="shared" si="190"/>
        <v>2</v>
      </c>
      <c r="R702" t="str">
        <f t="shared" si="179"/>
        <v>10-2024</v>
      </c>
      <c r="S702" t="s">
        <v>117</v>
      </c>
      <c r="T702" t="str">
        <f t="shared" si="180"/>
        <v>Saturday</v>
      </c>
      <c r="U702">
        <f t="shared" si="181"/>
        <v>1</v>
      </c>
      <c r="V702" s="24">
        <f>IFERROR(Table2[[#This Row],[Gray Min]]/Table2[[#This Row],[ClassLength]],"")</f>
        <v>0.11538461538461539</v>
      </c>
      <c r="W702" s="24">
        <f>IFERROR(Table2[[#This Row],[Blue Min]]/Table2[[#This Row],[ClassLength]],"")</f>
        <v>0.40384615384615385</v>
      </c>
      <c r="X702" s="24">
        <f>IFERROR(Table2[[#This Row],[Green Min]]/Table2[[#This Row],[ClassLength]],"")</f>
        <v>0.23076923076923078</v>
      </c>
      <c r="Y702" s="24">
        <f>IFERROR(Table2[[#This Row],[Orange Min]]/Table2[[#This Row],[ClassLength]],"")</f>
        <v>0.21153846153846154</v>
      </c>
      <c r="Z702" s="24">
        <f>IFERROR(Table2[[#This Row],[Red Min]]/Table2[[#This Row],[ClassLength]],"")</f>
        <v>3.8461538461538464E-2</v>
      </c>
      <c r="AA702" s="25">
        <v>169</v>
      </c>
      <c r="AB702" s="25">
        <f t="shared" si="192"/>
        <v>12.071428571428571</v>
      </c>
      <c r="AC702" s="26">
        <f t="shared" si="182"/>
        <v>630.78571428571433</v>
      </c>
      <c r="AD702" s="26">
        <f t="shared" si="183"/>
        <v>15.214285714285714</v>
      </c>
      <c r="AE702">
        <f t="shared" si="184"/>
        <v>2024</v>
      </c>
      <c r="AG702">
        <v>12</v>
      </c>
      <c r="AH702" s="26">
        <f t="shared" si="185"/>
        <v>11.48076923076923</v>
      </c>
      <c r="AI702" t="str">
        <f t="shared" si="186"/>
        <v>AM</v>
      </c>
      <c r="AJ702" t="str">
        <f t="shared" si="187"/>
        <v>10-2024-3</v>
      </c>
      <c r="AK702">
        <f t="shared" si="188"/>
        <v>10</v>
      </c>
      <c r="AL702" s="26">
        <f>IFERROR(Table2[[#This Row],[Calories]]/Table2[[#This Row],[Splat]],"")</f>
        <v>45.92307692307692</v>
      </c>
      <c r="AM702">
        <f>COUNTIF(N$2:$N$938,N702)</f>
        <v>258</v>
      </c>
      <c r="AN702" t="str">
        <f>VLOOKUP(N702,'Helpful Tables'!A:D,4,FALSE)</f>
        <v>Oregon</v>
      </c>
      <c r="AO702" s="24">
        <f>COUNTIF(AN:AN,Table2[[#This Row],[State]])/COUNTA(AN:AN)</f>
        <v>0.36140724946695096</v>
      </c>
      <c r="AP702">
        <f>VLOOKUP(N702,'Helpful Tables'!A:B,2,FALSE)</f>
        <v>45.534162000000002</v>
      </c>
      <c r="AQ702">
        <f>VLOOKUP(N702,'Helpful Tables'!A:C,3,FALSE)</f>
        <v>-122.69670000000001</v>
      </c>
      <c r="AR702">
        <f>COUNTIF(P$2:$P$938,P702)</f>
        <v>3</v>
      </c>
      <c r="AS702" cm="1">
        <f t="array" ref="AS702">_xlfn.IFS(E702&lt;6,((E702/D702)*60)*0.5,AND(E702&gt;=6,E702&lt;9),((E702/D702)*60)*0.75,AND(E702&gt;=9,E702&lt;=11),((E702/D702)*60)*0.9,AND(E702=12),((E702/D702)*60)*1,AND(E702&gt;=13,E702&lt;=15),((E702/D702)*60)*1.2,AND(E702&gt;=16,E702&lt;=19),((E702/D702)*60)*1.5,E702&gt;=20,((E702/D702)*60)*1.8)</f>
        <v>18</v>
      </c>
      <c r="AT702" cm="1">
        <f t="array" ref="AT702">_xlfn.IFS(F702&lt;550,((F702/D702)*60)*0.5,AND(F702&gt;=550,F702&lt;575),((F702/D702)*60)*0.75,AND(F702&gt;=575,F702&lt;600),((F702/D702)*60)*0.9,AND(F702=600),((F702/D702)*60)*1,AND(F702&gt;=601,F702&lt;=625),((F702/D702)*60)*1.2,AND(F702&gt;=626,F702&lt;=650),((F702/D702)*60)*1.5,F702&gt;=651,((F702/D702)*60)*1.8)</f>
        <v>619.96153846153845</v>
      </c>
      <c r="AU702">
        <f t="shared" si="193"/>
        <v>1.3999999999999986</v>
      </c>
      <c r="AV702">
        <f t="shared" si="191"/>
        <v>255.46461538461537</v>
      </c>
      <c r="AW702">
        <f t="shared" si="194"/>
        <v>23.400000000000002</v>
      </c>
      <c r="AX702" t="str">
        <f t="shared" si="189"/>
        <v>Oct-2024</v>
      </c>
      <c r="AY702">
        <f>ROUNDUP(Table2[[#This Row],[Month]]/3,0)</f>
        <v>4</v>
      </c>
    </row>
    <row r="703" spans="1:51" x14ac:dyDescent="0.2">
      <c r="A703">
        <v>702</v>
      </c>
      <c r="B703">
        <f t="shared" si="178"/>
        <v>14</v>
      </c>
      <c r="C703" s="22">
        <v>45586</v>
      </c>
      <c r="D703">
        <f>SUM(Table2[[#This Row],[Gray Min]:[Red Min]])</f>
        <v>59</v>
      </c>
      <c r="E703">
        <v>14</v>
      </c>
      <c r="F703">
        <v>586</v>
      </c>
      <c r="G703">
        <v>0</v>
      </c>
      <c r="H703">
        <v>0</v>
      </c>
      <c r="I703">
        <v>23</v>
      </c>
      <c r="J703">
        <v>15</v>
      </c>
      <c r="K703">
        <v>7</v>
      </c>
      <c r="L703">
        <v>14</v>
      </c>
      <c r="M703">
        <v>0</v>
      </c>
      <c r="N703" t="s">
        <v>125</v>
      </c>
      <c r="O703" t="s">
        <v>127</v>
      </c>
      <c r="P703" t="s">
        <v>220</v>
      </c>
      <c r="Q703">
        <f t="shared" si="190"/>
        <v>2</v>
      </c>
      <c r="R703" t="str">
        <f t="shared" si="179"/>
        <v>10-2024</v>
      </c>
      <c r="S703" t="s">
        <v>104</v>
      </c>
      <c r="T703" t="str">
        <f t="shared" si="180"/>
        <v>Monday</v>
      </c>
      <c r="U703">
        <f t="shared" si="181"/>
        <v>1</v>
      </c>
      <c r="V703" s="24">
        <f>IFERROR(Table2[[#This Row],[Gray Min]]/Table2[[#This Row],[ClassLength]],"")</f>
        <v>0.38983050847457629</v>
      </c>
      <c r="W703" s="24">
        <f>IFERROR(Table2[[#This Row],[Blue Min]]/Table2[[#This Row],[ClassLength]],"")</f>
        <v>0.25423728813559321</v>
      </c>
      <c r="X703" s="24">
        <f>IFERROR(Table2[[#This Row],[Green Min]]/Table2[[#This Row],[ClassLength]],"")</f>
        <v>0.11864406779661017</v>
      </c>
      <c r="Y703" s="24">
        <f>IFERROR(Table2[[#This Row],[Orange Min]]/Table2[[#This Row],[ClassLength]],"")</f>
        <v>0.23728813559322035</v>
      </c>
      <c r="Z703" s="24">
        <f>IFERROR(Table2[[#This Row],[Red Min]]/Table2[[#This Row],[ClassLength]],"")</f>
        <v>0</v>
      </c>
      <c r="AA703" s="25">
        <v>169</v>
      </c>
      <c r="AB703" s="25">
        <f t="shared" si="192"/>
        <v>12.071428571428571</v>
      </c>
      <c r="AC703" s="26">
        <f t="shared" si="182"/>
        <v>630.78571428571433</v>
      </c>
      <c r="AD703" s="26">
        <f t="shared" si="183"/>
        <v>15.214285714285714</v>
      </c>
      <c r="AE703">
        <f t="shared" si="184"/>
        <v>2024</v>
      </c>
      <c r="AG703">
        <v>12</v>
      </c>
      <c r="AH703" s="26">
        <f t="shared" si="185"/>
        <v>9.9322033898305087</v>
      </c>
      <c r="AI703" t="str">
        <f t="shared" si="186"/>
        <v>PM</v>
      </c>
      <c r="AJ703" t="str">
        <f t="shared" si="187"/>
        <v>10-2024-4</v>
      </c>
      <c r="AK703">
        <f t="shared" si="188"/>
        <v>10</v>
      </c>
      <c r="AL703" s="26">
        <f>IFERROR(Table2[[#This Row],[Calories]]/Table2[[#This Row],[Splat]],"")</f>
        <v>41.857142857142854</v>
      </c>
      <c r="AM703">
        <f>COUNTIF(N$2:$N$938,N703)</f>
        <v>258</v>
      </c>
      <c r="AN703" t="str">
        <f>VLOOKUP(N703,'Helpful Tables'!A:D,4,FALSE)</f>
        <v>Oregon</v>
      </c>
      <c r="AO703" s="24">
        <f>COUNTIF(AN:AN,Table2[[#This Row],[State]])/COUNTA(AN:AN)</f>
        <v>0.36140724946695096</v>
      </c>
      <c r="AP703">
        <f>VLOOKUP(N703,'Helpful Tables'!A:B,2,FALSE)</f>
        <v>45.534162000000002</v>
      </c>
      <c r="AQ703">
        <f>VLOOKUP(N703,'Helpful Tables'!A:C,3,FALSE)</f>
        <v>-122.69670000000001</v>
      </c>
      <c r="AR703">
        <f>COUNTIF(P$2:$P$938,P703)</f>
        <v>43</v>
      </c>
      <c r="AS703" cm="1">
        <f t="array" ref="AS703">_xlfn.IFS(E703&lt;6,((E703/D703)*60)*0.5,AND(E703&gt;=6,E703&lt;9),((E703/D703)*60)*0.75,AND(E703&gt;=9,E703&lt;=11),((E703/D703)*60)*0.9,AND(E703=12),((E703/D703)*60)*1,AND(E703&gt;=13,E703&lt;=15),((E703/D703)*60)*1.2,AND(E703&gt;=16,E703&lt;=19),((E703/D703)*60)*1.5,E703&gt;=20,((E703/D703)*60)*1.8)</f>
        <v>17.084745762711865</v>
      </c>
      <c r="AT703" cm="1">
        <f t="array" ref="AT703">_xlfn.IFS(F703&lt;550,((F703/D703)*60)*0.5,AND(F703&gt;=550,F703&lt;575),((F703/D703)*60)*0.75,AND(F703&gt;=575,F703&lt;600),((F703/D703)*60)*0.9,AND(F703=600),((F703/D703)*60)*1,AND(F703&gt;=601,F703&lt;=625),((F703/D703)*60)*1.2,AND(F703&gt;=626,F703&lt;=650),((F703/D703)*60)*1.5,F703&gt;=651,((F703/D703)*60)*1.8)</f>
        <v>536.33898305084745</v>
      </c>
      <c r="AU703">
        <f t="shared" si="193"/>
        <v>-17.499999999999996</v>
      </c>
      <c r="AV703">
        <f t="shared" si="191"/>
        <v>217.86949152542374</v>
      </c>
      <c r="AW703">
        <f t="shared" si="194"/>
        <v>16.400000000000002</v>
      </c>
      <c r="AX703" t="str">
        <f t="shared" si="189"/>
        <v>Oct-2024</v>
      </c>
      <c r="AY703">
        <f>ROUNDUP(Table2[[#This Row],[Month]]/3,0)</f>
        <v>4</v>
      </c>
    </row>
    <row r="704" spans="1:51" x14ac:dyDescent="0.2">
      <c r="A704">
        <v>703</v>
      </c>
      <c r="B704">
        <f t="shared" si="178"/>
        <v>14</v>
      </c>
      <c r="C704" s="22">
        <v>45588</v>
      </c>
      <c r="D704">
        <f>SUM(Table2[[#This Row],[Gray Min]:[Red Min]])</f>
        <v>60</v>
      </c>
      <c r="E704">
        <v>11</v>
      </c>
      <c r="F704">
        <v>604</v>
      </c>
      <c r="G704">
        <v>0</v>
      </c>
      <c r="H704">
        <v>0</v>
      </c>
      <c r="I704">
        <v>17</v>
      </c>
      <c r="J704">
        <v>19</v>
      </c>
      <c r="K704">
        <v>13</v>
      </c>
      <c r="L704">
        <v>11</v>
      </c>
      <c r="M704">
        <v>0</v>
      </c>
      <c r="N704" t="s">
        <v>125</v>
      </c>
      <c r="O704" t="s">
        <v>127</v>
      </c>
      <c r="P704" t="s">
        <v>216</v>
      </c>
      <c r="Q704">
        <f t="shared" si="190"/>
        <v>2</v>
      </c>
      <c r="R704" t="str">
        <f t="shared" si="179"/>
        <v>10-2024</v>
      </c>
      <c r="S704" t="s">
        <v>145</v>
      </c>
      <c r="T704" t="str">
        <f t="shared" si="180"/>
        <v>Wednesday</v>
      </c>
      <c r="U704">
        <f t="shared" si="181"/>
        <v>0</v>
      </c>
      <c r="V704" s="24">
        <f>IFERROR(Table2[[#This Row],[Gray Min]]/Table2[[#This Row],[ClassLength]],"")</f>
        <v>0.28333333333333333</v>
      </c>
      <c r="W704" s="24">
        <f>IFERROR(Table2[[#This Row],[Blue Min]]/Table2[[#This Row],[ClassLength]],"")</f>
        <v>0.31666666666666665</v>
      </c>
      <c r="X704" s="24">
        <f>IFERROR(Table2[[#This Row],[Green Min]]/Table2[[#This Row],[ClassLength]],"")</f>
        <v>0.21666666666666667</v>
      </c>
      <c r="Y704" s="24">
        <f>IFERROR(Table2[[#This Row],[Orange Min]]/Table2[[#This Row],[ClassLength]],"")</f>
        <v>0.18333333333333332</v>
      </c>
      <c r="Z704" s="24">
        <f>IFERROR(Table2[[#This Row],[Red Min]]/Table2[[#This Row],[ClassLength]],"")</f>
        <v>0</v>
      </c>
      <c r="AA704" s="25">
        <v>169</v>
      </c>
      <c r="AB704" s="25">
        <f t="shared" si="192"/>
        <v>12.071428571428571</v>
      </c>
      <c r="AC704" s="26">
        <f t="shared" si="182"/>
        <v>630.78571428571433</v>
      </c>
      <c r="AD704" s="26">
        <f t="shared" si="183"/>
        <v>15.214285714285714</v>
      </c>
      <c r="AE704">
        <f t="shared" si="184"/>
        <v>2024</v>
      </c>
      <c r="AG704">
        <v>12</v>
      </c>
      <c r="AH704" s="26">
        <f t="shared" si="185"/>
        <v>10.066666666666666</v>
      </c>
      <c r="AI704" t="str">
        <f t="shared" si="186"/>
        <v>PM</v>
      </c>
      <c r="AJ704" t="str">
        <f t="shared" si="187"/>
        <v>10-2024-4</v>
      </c>
      <c r="AK704">
        <f t="shared" si="188"/>
        <v>10</v>
      </c>
      <c r="AL704" s="26">
        <f>IFERROR(Table2[[#This Row],[Calories]]/Table2[[#This Row],[Splat]],"")</f>
        <v>54.909090909090907</v>
      </c>
      <c r="AM704">
        <f>COUNTIF(N$2:$N$938,N704)</f>
        <v>258</v>
      </c>
      <c r="AN704" t="str">
        <f>VLOOKUP(N704,'Helpful Tables'!A:D,4,FALSE)</f>
        <v>Oregon</v>
      </c>
      <c r="AO704" s="24">
        <f>COUNTIF(AN:AN,Table2[[#This Row],[State]])/COUNTA(AN:AN)</f>
        <v>0.36140724946695096</v>
      </c>
      <c r="AP704">
        <f>VLOOKUP(N704,'Helpful Tables'!A:B,2,FALSE)</f>
        <v>45.534162000000002</v>
      </c>
      <c r="AQ704">
        <f>VLOOKUP(N704,'Helpful Tables'!A:C,3,FALSE)</f>
        <v>-122.69670000000001</v>
      </c>
      <c r="AR704">
        <f>COUNTIF(P$2:$P$938,P704)</f>
        <v>25</v>
      </c>
      <c r="AS704" cm="1">
        <f t="array" ref="AS704">_xlfn.IFS(E704&lt;6,((E704/D704)*60)*0.5,AND(E704&gt;=6,E704&lt;9),((E704/D704)*60)*0.75,AND(E704&gt;=9,E704&lt;=11),((E704/D704)*60)*0.9,AND(E704=12),((E704/D704)*60)*1,AND(E704&gt;=13,E704&lt;=15),((E704/D704)*60)*1.2,AND(E704&gt;=16,E704&lt;=19),((E704/D704)*60)*1.5,E704&gt;=20,((E704/D704)*60)*1.8)</f>
        <v>9.9</v>
      </c>
      <c r="AT704" cm="1">
        <f t="array" ref="AT704">_xlfn.IFS(F704&lt;550,((F704/D704)*60)*0.5,AND(F704&gt;=550,F704&lt;575),((F704/D704)*60)*0.75,AND(F704&gt;=575,F704&lt;600),((F704/D704)*60)*0.9,AND(F704=600),((F704/D704)*60)*1,AND(F704&gt;=601,F704&lt;=625),((F704/D704)*60)*1.2,AND(F704&gt;=626,F704&lt;=650),((F704/D704)*60)*1.5,F704&gt;=651,((F704/D704)*60)*1.8)</f>
        <v>724.8</v>
      </c>
      <c r="AU704">
        <f t="shared" si="193"/>
        <v>-11.399999999999995</v>
      </c>
      <c r="AV704">
        <f t="shared" si="191"/>
        <v>291.60000000000002</v>
      </c>
      <c r="AW704">
        <f t="shared" si="194"/>
        <v>24.9</v>
      </c>
      <c r="AX704" t="str">
        <f t="shared" si="189"/>
        <v>Oct-2024</v>
      </c>
      <c r="AY704">
        <f>ROUNDUP(Table2[[#This Row],[Month]]/3,0)</f>
        <v>4</v>
      </c>
    </row>
    <row r="705" spans="1:51" x14ac:dyDescent="0.2">
      <c r="A705">
        <v>704</v>
      </c>
      <c r="B705">
        <f t="shared" si="178"/>
        <v>14</v>
      </c>
      <c r="C705" s="22">
        <v>45589</v>
      </c>
      <c r="D705">
        <f>SUM(Table2[[#This Row],[Gray Min]:[Red Min]])</f>
        <v>59</v>
      </c>
      <c r="E705">
        <v>14</v>
      </c>
      <c r="F705">
        <v>691</v>
      </c>
      <c r="G705">
        <v>0</v>
      </c>
      <c r="H705">
        <v>0</v>
      </c>
      <c r="I705">
        <v>7</v>
      </c>
      <c r="J705">
        <v>17</v>
      </c>
      <c r="K705">
        <v>21</v>
      </c>
      <c r="L705">
        <v>11</v>
      </c>
      <c r="M705">
        <v>3</v>
      </c>
      <c r="N705" t="s">
        <v>125</v>
      </c>
      <c r="O705" t="s">
        <v>127</v>
      </c>
      <c r="P705" t="s">
        <v>222</v>
      </c>
      <c r="Q705">
        <f t="shared" si="190"/>
        <v>1</v>
      </c>
      <c r="R705" t="str">
        <f t="shared" si="179"/>
        <v>10-2024</v>
      </c>
      <c r="S705" t="s">
        <v>104</v>
      </c>
      <c r="T705" t="str">
        <f t="shared" si="180"/>
        <v>Thursday</v>
      </c>
      <c r="U705">
        <f t="shared" si="181"/>
        <v>1</v>
      </c>
      <c r="V705" s="24">
        <f>IFERROR(Table2[[#This Row],[Gray Min]]/Table2[[#This Row],[ClassLength]],"")</f>
        <v>0.11864406779661017</v>
      </c>
      <c r="W705" s="24">
        <f>IFERROR(Table2[[#This Row],[Blue Min]]/Table2[[#This Row],[ClassLength]],"")</f>
        <v>0.28813559322033899</v>
      </c>
      <c r="X705" s="24">
        <f>IFERROR(Table2[[#This Row],[Green Min]]/Table2[[#This Row],[ClassLength]],"")</f>
        <v>0.3559322033898305</v>
      </c>
      <c r="Y705" s="24">
        <f>IFERROR(Table2[[#This Row],[Orange Min]]/Table2[[#This Row],[ClassLength]],"")</f>
        <v>0.1864406779661017</v>
      </c>
      <c r="Z705" s="24">
        <f>IFERROR(Table2[[#This Row],[Red Min]]/Table2[[#This Row],[ClassLength]],"")</f>
        <v>5.0847457627118647E-2</v>
      </c>
      <c r="AA705" s="25">
        <v>169</v>
      </c>
      <c r="AB705" s="25">
        <f t="shared" si="192"/>
        <v>12.071428571428571</v>
      </c>
      <c r="AC705" s="26">
        <f t="shared" si="182"/>
        <v>630.78571428571433</v>
      </c>
      <c r="AD705" s="26">
        <f t="shared" si="183"/>
        <v>15.214285714285714</v>
      </c>
      <c r="AE705">
        <f t="shared" si="184"/>
        <v>2024</v>
      </c>
      <c r="AG705">
        <v>12</v>
      </c>
      <c r="AH705" s="26">
        <f t="shared" si="185"/>
        <v>11.711864406779661</v>
      </c>
      <c r="AI705" t="str">
        <f t="shared" si="186"/>
        <v>PM</v>
      </c>
      <c r="AJ705" t="str">
        <f t="shared" si="187"/>
        <v>10-2024-4</v>
      </c>
      <c r="AK705">
        <f t="shared" si="188"/>
        <v>10</v>
      </c>
      <c r="AL705" s="26">
        <f>IFERROR(Table2[[#This Row],[Calories]]/Table2[[#This Row],[Splat]],"")</f>
        <v>49.357142857142854</v>
      </c>
      <c r="AM705">
        <f>COUNTIF(N$2:$N$938,N705)</f>
        <v>258</v>
      </c>
      <c r="AN705" t="str">
        <f>VLOOKUP(N705,'Helpful Tables'!A:D,4,FALSE)</f>
        <v>Oregon</v>
      </c>
      <c r="AO705" s="24">
        <f>COUNTIF(AN:AN,Table2[[#This Row],[State]])/COUNTA(AN:AN)</f>
        <v>0.36140724946695096</v>
      </c>
      <c r="AP705">
        <f>VLOOKUP(N705,'Helpful Tables'!A:B,2,FALSE)</f>
        <v>45.534162000000002</v>
      </c>
      <c r="AQ705">
        <f>VLOOKUP(N705,'Helpful Tables'!A:C,3,FALSE)</f>
        <v>-122.69670000000001</v>
      </c>
      <c r="AR705">
        <f>COUNTIF(P$2:$P$938,P705)</f>
        <v>32</v>
      </c>
      <c r="AS705" cm="1">
        <f t="array" ref="AS705">_xlfn.IFS(E705&lt;6,((E705/D705)*60)*0.5,AND(E705&gt;=6,E705&lt;9),((E705/D705)*60)*0.75,AND(E705&gt;=9,E705&lt;=11),((E705/D705)*60)*0.9,AND(E705=12),((E705/D705)*60)*1,AND(E705&gt;=13,E705&lt;=15),((E705/D705)*60)*1.2,AND(E705&gt;=16,E705&lt;=19),((E705/D705)*60)*1.5,E705&gt;=20,((E705/D705)*60)*1.8)</f>
        <v>17.084745762711865</v>
      </c>
      <c r="AT705" cm="1">
        <f t="array" ref="AT705">_xlfn.IFS(F705&lt;550,((F705/D705)*60)*0.5,AND(F705&gt;=550,F705&lt;575),((F705/D705)*60)*0.75,AND(F705&gt;=575,F705&lt;600),((F705/D705)*60)*0.9,AND(F705=600),((F705/D705)*60)*1,AND(F705&gt;=601,F705&lt;=625),((F705/D705)*60)*1.2,AND(F705&gt;=626,F705&lt;=650),((F705/D705)*60)*1.5,F705&gt;=651,((F705/D705)*60)*1.8)</f>
        <v>1264.8813559322034</v>
      </c>
      <c r="AU705">
        <f t="shared" si="193"/>
        <v>16.899999999999999</v>
      </c>
      <c r="AV705">
        <f t="shared" si="191"/>
        <v>516.16644067796619</v>
      </c>
      <c r="AW705">
        <f t="shared" si="194"/>
        <v>88.7</v>
      </c>
      <c r="AX705" t="str">
        <f t="shared" si="189"/>
        <v>Oct-2024</v>
      </c>
      <c r="AY705">
        <f>ROUNDUP(Table2[[#This Row],[Month]]/3,0)</f>
        <v>4</v>
      </c>
    </row>
    <row r="706" spans="1:51" x14ac:dyDescent="0.2">
      <c r="A706">
        <v>705</v>
      </c>
      <c r="B706">
        <f t="shared" ref="B706:B769" si="195">COUNTIF(R:R,R706)</f>
        <v>14</v>
      </c>
      <c r="C706" s="22">
        <v>45593</v>
      </c>
      <c r="D706">
        <f>SUM(Table2[[#This Row],[Gray Min]:[Red Min]])</f>
        <v>63</v>
      </c>
      <c r="E706">
        <v>9</v>
      </c>
      <c r="F706">
        <v>586</v>
      </c>
      <c r="G706">
        <v>0</v>
      </c>
      <c r="H706">
        <v>0</v>
      </c>
      <c r="I706">
        <v>25</v>
      </c>
      <c r="J706">
        <v>17</v>
      </c>
      <c r="K706">
        <v>12</v>
      </c>
      <c r="L706">
        <v>8</v>
      </c>
      <c r="M706">
        <v>1</v>
      </c>
      <c r="N706" t="s">
        <v>125</v>
      </c>
      <c r="O706" t="s">
        <v>127</v>
      </c>
      <c r="P706" t="s">
        <v>220</v>
      </c>
      <c r="Q706">
        <f t="shared" si="190"/>
        <v>4</v>
      </c>
      <c r="R706" t="str">
        <f t="shared" ref="R706:R769" si="196">MONTH(C706)&amp;"-"&amp;YEAR(C706)</f>
        <v>10-2024</v>
      </c>
      <c r="S706" t="s">
        <v>104</v>
      </c>
      <c r="T706" t="str">
        <f t="shared" ref="T706:T769" si="197">IF(WEEKDAY(C706)=1,"Sunday",IF(WEEKDAY(C706)=2,"Monday",IF(WEEKDAY(C706)=3,"Tuesday",IF(WEEKDAY(C706)=4,"Wednesday",IF(WEEKDAY(C706)=5,"Thursday",IF(WEEKDAY(C706)=6,"Friday","Saturday"))))))</f>
        <v>Monday</v>
      </c>
      <c r="U706">
        <f t="shared" ref="U706:U769" si="198">IF(E706&gt;=12,1,0)</f>
        <v>0</v>
      </c>
      <c r="V706" s="24">
        <f>IFERROR(Table2[[#This Row],[Gray Min]]/Table2[[#This Row],[ClassLength]],"")</f>
        <v>0.3968253968253968</v>
      </c>
      <c r="W706" s="24">
        <f>IFERROR(Table2[[#This Row],[Blue Min]]/Table2[[#This Row],[ClassLength]],"")</f>
        <v>0.26984126984126983</v>
      </c>
      <c r="X706" s="24">
        <f>IFERROR(Table2[[#This Row],[Green Min]]/Table2[[#This Row],[ClassLength]],"")</f>
        <v>0.19047619047619047</v>
      </c>
      <c r="Y706" s="24">
        <f>IFERROR(Table2[[#This Row],[Orange Min]]/Table2[[#This Row],[ClassLength]],"")</f>
        <v>0.12698412698412698</v>
      </c>
      <c r="Z706" s="24">
        <f>IFERROR(Table2[[#This Row],[Red Min]]/Table2[[#This Row],[ClassLength]],"")</f>
        <v>1.5873015873015872E-2</v>
      </c>
      <c r="AA706" s="25">
        <v>169</v>
      </c>
      <c r="AB706" s="25">
        <f t="shared" si="192"/>
        <v>12.071428571428571</v>
      </c>
      <c r="AC706" s="26">
        <f t="shared" ref="AC706:AC769" si="199">AVERAGEIF(R:R,R706,F:F)</f>
        <v>630.78571428571433</v>
      </c>
      <c r="AD706" s="26">
        <f t="shared" ref="AD706:AD769" si="200">AVERAGEIF(R:R,R706,E:E)</f>
        <v>15.214285714285714</v>
      </c>
      <c r="AE706">
        <f t="shared" ref="AE706:AE769" si="201">YEAR(C706)</f>
        <v>2024</v>
      </c>
      <c r="AG706">
        <v>12</v>
      </c>
      <c r="AH706" s="26">
        <f t="shared" ref="AH706:AH769" si="202">F706/D706</f>
        <v>9.3015873015873023</v>
      </c>
      <c r="AI706" t="str">
        <f t="shared" ref="AI706:AI769" si="203">RIGHT(O706,2)</f>
        <v>PM</v>
      </c>
      <c r="AJ706" t="str">
        <f t="shared" ref="AJ706:AJ769" si="204">R706&amp;"-"&amp;WEEKNUM(C706,1)-WEEKNUM(DATE(YEAR(C706),MONTH(C706),1),1)+1</f>
        <v>10-2024-5</v>
      </c>
      <c r="AK706">
        <f t="shared" ref="AK706:AK769" si="205">MONTH(C706)</f>
        <v>10</v>
      </c>
      <c r="AL706" s="26">
        <f>IFERROR(Table2[[#This Row],[Calories]]/Table2[[#This Row],[Splat]],"")</f>
        <v>65.111111111111114</v>
      </c>
      <c r="AM706">
        <f>COUNTIF(N$2:$N$938,N706)</f>
        <v>258</v>
      </c>
      <c r="AN706" t="str">
        <f>VLOOKUP(N706,'Helpful Tables'!A:D,4,FALSE)</f>
        <v>Oregon</v>
      </c>
      <c r="AO706" s="24">
        <f>COUNTIF(AN:AN,Table2[[#This Row],[State]])/COUNTA(AN:AN)</f>
        <v>0.36140724946695096</v>
      </c>
      <c r="AP706">
        <f>VLOOKUP(N706,'Helpful Tables'!A:B,2,FALSE)</f>
        <v>45.534162000000002</v>
      </c>
      <c r="AQ706">
        <f>VLOOKUP(N706,'Helpful Tables'!A:C,3,FALSE)</f>
        <v>-122.69670000000001</v>
      </c>
      <c r="AR706">
        <f>COUNTIF(P$2:$P$938,P706)</f>
        <v>43</v>
      </c>
      <c r="AS706" cm="1">
        <f t="array" ref="AS706">_xlfn.IFS(E706&lt;6,((E706/D706)*60)*0.5,AND(E706&gt;=6,E706&lt;9),((E706/D706)*60)*0.75,AND(E706&gt;=9,E706&lt;=11),((E706/D706)*60)*0.9,AND(E706=12),((E706/D706)*60)*1,AND(E706&gt;=13,E706&lt;=15),((E706/D706)*60)*1.2,AND(E706&gt;=16,E706&lt;=19),((E706/D706)*60)*1.5,E706&gt;=20,((E706/D706)*60)*1.8)</f>
        <v>7.7142857142857144</v>
      </c>
      <c r="AT706" cm="1">
        <f t="array" ref="AT706">_xlfn.IFS(F706&lt;550,((F706/D706)*60)*0.5,AND(F706&gt;=550,F706&lt;575),((F706/D706)*60)*0.75,AND(F706&gt;=575,F706&lt;600),((F706/D706)*60)*0.9,AND(F706=600),((F706/D706)*60)*1,AND(F706&gt;=601,F706&lt;=625),((F706/D706)*60)*1.2,AND(F706&gt;=626,F706&lt;=650),((F706/D706)*60)*1.5,F706&gt;=651,((F706/D706)*60)*1.8)</f>
        <v>502.28571428571439</v>
      </c>
      <c r="AU706">
        <f t="shared" si="193"/>
        <v>-22.400000000000006</v>
      </c>
      <c r="AV706">
        <f t="shared" si="191"/>
        <v>199.52000000000007</v>
      </c>
      <c r="AW706">
        <f t="shared" si="194"/>
        <v>13.100000000000001</v>
      </c>
      <c r="AX706" t="str">
        <f t="shared" ref="AX706:AX769" si="206">_xlfn.CONCAT(TEXT(C706,"mmm"),"-",AE706)</f>
        <v>Oct-2024</v>
      </c>
      <c r="AY706">
        <f>ROUNDUP(Table2[[#This Row],[Month]]/3,0)</f>
        <v>4</v>
      </c>
    </row>
    <row r="707" spans="1:51" x14ac:dyDescent="0.2">
      <c r="A707">
        <v>706</v>
      </c>
      <c r="B707">
        <f t="shared" si="195"/>
        <v>14</v>
      </c>
      <c r="C707" s="22">
        <v>45594</v>
      </c>
      <c r="D707">
        <f>SUM(Table2[[#This Row],[Gray Min]:[Red Min]])</f>
        <v>62</v>
      </c>
      <c r="E707">
        <v>18</v>
      </c>
      <c r="F707">
        <v>656</v>
      </c>
      <c r="G707">
        <v>0</v>
      </c>
      <c r="H707">
        <v>0</v>
      </c>
      <c r="I707">
        <v>16</v>
      </c>
      <c r="J707">
        <v>18</v>
      </c>
      <c r="K707">
        <v>10</v>
      </c>
      <c r="L707">
        <v>16</v>
      </c>
      <c r="M707">
        <v>2</v>
      </c>
      <c r="N707" t="s">
        <v>125</v>
      </c>
      <c r="O707" t="s">
        <v>127</v>
      </c>
      <c r="P707" t="s">
        <v>216</v>
      </c>
      <c r="Q707">
        <f t="shared" ref="Q707:Q770" si="207">C707-C706</f>
        <v>1</v>
      </c>
      <c r="R707" t="str">
        <f t="shared" si="196"/>
        <v>10-2024</v>
      </c>
      <c r="S707" t="s">
        <v>104</v>
      </c>
      <c r="T707" t="str">
        <f t="shared" si="197"/>
        <v>Tuesday</v>
      </c>
      <c r="U707">
        <f t="shared" si="198"/>
        <v>1</v>
      </c>
      <c r="V707" s="24">
        <f>IFERROR(Table2[[#This Row],[Gray Min]]/Table2[[#This Row],[ClassLength]],"")</f>
        <v>0.25806451612903225</v>
      </c>
      <c r="W707" s="24">
        <f>IFERROR(Table2[[#This Row],[Blue Min]]/Table2[[#This Row],[ClassLength]],"")</f>
        <v>0.29032258064516131</v>
      </c>
      <c r="X707" s="24">
        <f>IFERROR(Table2[[#This Row],[Green Min]]/Table2[[#This Row],[ClassLength]],"")</f>
        <v>0.16129032258064516</v>
      </c>
      <c r="Y707" s="24">
        <f>IFERROR(Table2[[#This Row],[Orange Min]]/Table2[[#This Row],[ClassLength]],"")</f>
        <v>0.25806451612903225</v>
      </c>
      <c r="Z707" s="24">
        <f>IFERROR(Table2[[#This Row],[Red Min]]/Table2[[#This Row],[ClassLength]],"")</f>
        <v>3.2258064516129031E-2</v>
      </c>
      <c r="AA707" s="25">
        <v>169</v>
      </c>
      <c r="AB707" s="25">
        <f t="shared" si="192"/>
        <v>12.071428571428571</v>
      </c>
      <c r="AC707" s="26">
        <f t="shared" si="199"/>
        <v>630.78571428571433</v>
      </c>
      <c r="AD707" s="26">
        <f t="shared" si="200"/>
        <v>15.214285714285714</v>
      </c>
      <c r="AE707">
        <f t="shared" si="201"/>
        <v>2024</v>
      </c>
      <c r="AG707">
        <v>12</v>
      </c>
      <c r="AH707" s="26">
        <f t="shared" si="202"/>
        <v>10.580645161290322</v>
      </c>
      <c r="AI707" t="str">
        <f t="shared" si="203"/>
        <v>PM</v>
      </c>
      <c r="AJ707" t="str">
        <f t="shared" si="204"/>
        <v>10-2024-5</v>
      </c>
      <c r="AK707">
        <f t="shared" si="205"/>
        <v>10</v>
      </c>
      <c r="AL707" s="26">
        <f>IFERROR(Table2[[#This Row],[Calories]]/Table2[[#This Row],[Splat]],"")</f>
        <v>36.444444444444443</v>
      </c>
      <c r="AM707">
        <f>COUNTIF(N$2:$N$938,N707)</f>
        <v>258</v>
      </c>
      <c r="AN707" t="str">
        <f>VLOOKUP(N707,'Helpful Tables'!A:D,4,FALSE)</f>
        <v>Oregon</v>
      </c>
      <c r="AO707" s="24">
        <f>COUNTIF(AN:AN,Table2[[#This Row],[State]])/COUNTA(AN:AN)</f>
        <v>0.36140724946695096</v>
      </c>
      <c r="AP707">
        <f>VLOOKUP(N707,'Helpful Tables'!A:B,2,FALSE)</f>
        <v>45.534162000000002</v>
      </c>
      <c r="AQ707">
        <f>VLOOKUP(N707,'Helpful Tables'!A:C,3,FALSE)</f>
        <v>-122.69670000000001</v>
      </c>
      <c r="AR707">
        <f>COUNTIF(P$2:$P$938,P707)</f>
        <v>25</v>
      </c>
      <c r="AS707" cm="1">
        <f t="array" ref="AS707">_xlfn.IFS(E707&lt;6,((E707/D707)*60)*0.5,AND(E707&gt;=6,E707&lt;9),((E707/D707)*60)*0.75,AND(E707&gt;=9,E707&lt;=11),((E707/D707)*60)*0.9,AND(E707=12),((E707/D707)*60)*1,AND(E707&gt;=13,E707&lt;=15),((E707/D707)*60)*1.2,AND(E707&gt;=16,E707&lt;=19),((E707/D707)*60)*1.5,E707&gt;=20,((E707/D707)*60)*1.8)</f>
        <v>26.12903225806452</v>
      </c>
      <c r="AT707" cm="1">
        <f t="array" ref="AT707">_xlfn.IFS(F707&lt;550,((F707/D707)*60)*0.5,AND(F707&gt;=550,F707&lt;575),((F707/D707)*60)*0.75,AND(F707&gt;=575,F707&lt;600),((F707/D707)*60)*0.9,AND(F707=600),((F707/D707)*60)*1,AND(F707&gt;=601,F707&lt;=625),((F707/D707)*60)*1.2,AND(F707&gt;=626,F707&lt;=650),((F707/D707)*60)*1.5,F707&gt;=651,((F707/D707)*60)*1.8)</f>
        <v>1142.7096774193546</v>
      </c>
      <c r="AU707">
        <f t="shared" si="193"/>
        <v>-3.1999999999999993</v>
      </c>
      <c r="AV707">
        <f t="shared" ref="AV707:AV770" si="208">(AS707*0.4)+(AT707*0.4)+(AU707*0.2)</f>
        <v>466.89548387096767</v>
      </c>
      <c r="AW707">
        <f t="shared" si="194"/>
        <v>66.900000000000006</v>
      </c>
      <c r="AX707" t="str">
        <f t="shared" si="206"/>
        <v>Oct-2024</v>
      </c>
      <c r="AY707">
        <f>ROUNDUP(Table2[[#This Row],[Month]]/3,0)</f>
        <v>4</v>
      </c>
    </row>
    <row r="708" spans="1:51" x14ac:dyDescent="0.2">
      <c r="A708">
        <v>707</v>
      </c>
      <c r="B708">
        <f t="shared" si="195"/>
        <v>14</v>
      </c>
      <c r="C708" s="22">
        <v>45596</v>
      </c>
      <c r="D708">
        <f>SUM(Table2[[#This Row],[Gray Min]:[Red Min]])</f>
        <v>57</v>
      </c>
      <c r="E708">
        <v>13</v>
      </c>
      <c r="F708">
        <v>574</v>
      </c>
      <c r="G708">
        <v>0</v>
      </c>
      <c r="H708">
        <v>0</v>
      </c>
      <c r="I708">
        <v>16</v>
      </c>
      <c r="J708">
        <v>14</v>
      </c>
      <c r="K708">
        <v>14</v>
      </c>
      <c r="L708">
        <v>13</v>
      </c>
      <c r="M708">
        <v>0</v>
      </c>
      <c r="N708" t="s">
        <v>125</v>
      </c>
      <c r="O708" t="s">
        <v>127</v>
      </c>
      <c r="P708" t="s">
        <v>222</v>
      </c>
      <c r="Q708">
        <f t="shared" si="207"/>
        <v>2</v>
      </c>
      <c r="R708" t="str">
        <f t="shared" si="196"/>
        <v>10-2024</v>
      </c>
      <c r="S708" t="s">
        <v>117</v>
      </c>
      <c r="T708" t="str">
        <f t="shared" si="197"/>
        <v>Thursday</v>
      </c>
      <c r="U708">
        <f t="shared" si="198"/>
        <v>1</v>
      </c>
      <c r="V708" s="24">
        <f>IFERROR(Table2[[#This Row],[Gray Min]]/Table2[[#This Row],[ClassLength]],"")</f>
        <v>0.2807017543859649</v>
      </c>
      <c r="W708" s="24">
        <f>IFERROR(Table2[[#This Row],[Blue Min]]/Table2[[#This Row],[ClassLength]],"")</f>
        <v>0.24561403508771928</v>
      </c>
      <c r="X708" s="24">
        <f>IFERROR(Table2[[#This Row],[Green Min]]/Table2[[#This Row],[ClassLength]],"")</f>
        <v>0.24561403508771928</v>
      </c>
      <c r="Y708" s="24">
        <f>IFERROR(Table2[[#This Row],[Orange Min]]/Table2[[#This Row],[ClassLength]],"")</f>
        <v>0.22807017543859648</v>
      </c>
      <c r="Z708" s="24">
        <f>IFERROR(Table2[[#This Row],[Red Min]]/Table2[[#This Row],[ClassLength]],"")</f>
        <v>0</v>
      </c>
      <c r="AA708" s="25">
        <v>169</v>
      </c>
      <c r="AB708" s="25">
        <f t="shared" si="192"/>
        <v>12.071428571428571</v>
      </c>
      <c r="AC708" s="26">
        <f t="shared" si="199"/>
        <v>630.78571428571433</v>
      </c>
      <c r="AD708" s="26">
        <f t="shared" si="200"/>
        <v>15.214285714285714</v>
      </c>
      <c r="AE708">
        <f t="shared" si="201"/>
        <v>2024</v>
      </c>
      <c r="AG708">
        <v>12</v>
      </c>
      <c r="AH708" s="26">
        <f t="shared" si="202"/>
        <v>10.070175438596491</v>
      </c>
      <c r="AI708" t="str">
        <f t="shared" si="203"/>
        <v>PM</v>
      </c>
      <c r="AJ708" t="str">
        <f t="shared" si="204"/>
        <v>10-2024-5</v>
      </c>
      <c r="AK708">
        <f t="shared" si="205"/>
        <v>10</v>
      </c>
      <c r="AL708" s="26">
        <f>IFERROR(Table2[[#This Row],[Calories]]/Table2[[#This Row],[Splat]],"")</f>
        <v>44.153846153846153</v>
      </c>
      <c r="AM708">
        <f>COUNTIF(N$2:$N$938,N708)</f>
        <v>258</v>
      </c>
      <c r="AN708" t="str">
        <f>VLOOKUP(N708,'Helpful Tables'!A:D,4,FALSE)</f>
        <v>Oregon</v>
      </c>
      <c r="AO708" s="24">
        <f>COUNTIF(AN:AN,Table2[[#This Row],[State]])/COUNTA(AN:AN)</f>
        <v>0.36140724946695096</v>
      </c>
      <c r="AP708">
        <f>VLOOKUP(N708,'Helpful Tables'!A:B,2,FALSE)</f>
        <v>45.534162000000002</v>
      </c>
      <c r="AQ708">
        <f>VLOOKUP(N708,'Helpful Tables'!A:C,3,FALSE)</f>
        <v>-122.69670000000001</v>
      </c>
      <c r="AR708">
        <f>COUNTIF(P$2:$P$938,P708)</f>
        <v>32</v>
      </c>
      <c r="AS708" cm="1">
        <f t="array" ref="AS708">_xlfn.IFS(E708&lt;6,((E708/D708)*60)*0.5,AND(E708&gt;=6,E708&lt;9),((E708/D708)*60)*0.75,AND(E708&gt;=9,E708&lt;=11),((E708/D708)*60)*0.9,AND(E708=12),((E708/D708)*60)*1,AND(E708&gt;=13,E708&lt;=15),((E708/D708)*60)*1.2,AND(E708&gt;=16,E708&lt;=19),((E708/D708)*60)*1.5,E708&gt;=20,((E708/D708)*60)*1.8)</f>
        <v>16.421052631578945</v>
      </c>
      <c r="AT708" cm="1">
        <f t="array" ref="AT708">_xlfn.IFS(F708&lt;550,((F708/D708)*60)*0.5,AND(F708&gt;=550,F708&lt;575),((F708/D708)*60)*0.75,AND(F708&gt;=575,F708&lt;600),((F708/D708)*60)*0.9,AND(F708=600),((F708/D708)*60)*1,AND(F708&gt;=601,F708&lt;=625),((F708/D708)*60)*1.2,AND(F708&gt;=626,F708&lt;=650),((F708/D708)*60)*1.5,F708&gt;=651,((F708/D708)*60)*1.8)</f>
        <v>453.15789473684208</v>
      </c>
      <c r="AU708">
        <f t="shared" si="193"/>
        <v>-0.89999999999999858</v>
      </c>
      <c r="AV708">
        <f t="shared" si="208"/>
        <v>187.65157894736842</v>
      </c>
      <c r="AW708">
        <f t="shared" si="194"/>
        <v>12.1</v>
      </c>
      <c r="AX708" t="str">
        <f t="shared" si="206"/>
        <v>Oct-2024</v>
      </c>
      <c r="AY708">
        <f>ROUNDUP(Table2[[#This Row],[Month]]/3,0)</f>
        <v>4</v>
      </c>
    </row>
    <row r="709" spans="1:51" x14ac:dyDescent="0.2">
      <c r="A709">
        <v>708</v>
      </c>
      <c r="B709">
        <f t="shared" si="195"/>
        <v>14</v>
      </c>
      <c r="C709" s="22">
        <v>45598</v>
      </c>
      <c r="D709">
        <f>SUM(Table2[[#This Row],[Gray Min]:[Red Min]])</f>
        <v>59</v>
      </c>
      <c r="E709">
        <v>16</v>
      </c>
      <c r="F709">
        <v>634</v>
      </c>
      <c r="G709">
        <v>0</v>
      </c>
      <c r="H709">
        <v>0</v>
      </c>
      <c r="I709">
        <v>18</v>
      </c>
      <c r="J709">
        <v>13</v>
      </c>
      <c r="K709">
        <v>12</v>
      </c>
      <c r="L709">
        <v>14</v>
      </c>
      <c r="M709">
        <v>2</v>
      </c>
      <c r="N709" t="s">
        <v>208</v>
      </c>
      <c r="O709" t="s">
        <v>76</v>
      </c>
      <c r="P709" t="s">
        <v>213</v>
      </c>
      <c r="Q709">
        <f t="shared" si="207"/>
        <v>2</v>
      </c>
      <c r="R709" t="str">
        <f t="shared" si="196"/>
        <v>11-2024</v>
      </c>
      <c r="S709" t="s">
        <v>104</v>
      </c>
      <c r="T709" t="str">
        <f t="shared" si="197"/>
        <v>Saturday</v>
      </c>
      <c r="U709">
        <f t="shared" si="198"/>
        <v>1</v>
      </c>
      <c r="V709" s="24">
        <f>IFERROR(Table2[[#This Row],[Gray Min]]/Table2[[#This Row],[ClassLength]],"")</f>
        <v>0.30508474576271188</v>
      </c>
      <c r="W709" s="24">
        <f>IFERROR(Table2[[#This Row],[Blue Min]]/Table2[[#This Row],[ClassLength]],"")</f>
        <v>0.22033898305084745</v>
      </c>
      <c r="X709" s="24">
        <f>IFERROR(Table2[[#This Row],[Green Min]]/Table2[[#This Row],[ClassLength]],"")</f>
        <v>0.20338983050847459</v>
      </c>
      <c r="Y709" s="24">
        <f>IFERROR(Table2[[#This Row],[Orange Min]]/Table2[[#This Row],[ClassLength]],"")</f>
        <v>0.23728813559322035</v>
      </c>
      <c r="Z709" s="24">
        <f>IFERROR(Table2[[#This Row],[Red Min]]/Table2[[#This Row],[ClassLength]],"")</f>
        <v>3.3898305084745763E-2</v>
      </c>
      <c r="AA709" s="25">
        <v>169</v>
      </c>
      <c r="AB709" s="25">
        <f t="shared" si="192"/>
        <v>12.071428571428571</v>
      </c>
      <c r="AC709" s="26">
        <f t="shared" si="199"/>
        <v>634.21428571428567</v>
      </c>
      <c r="AD709" s="26">
        <f t="shared" si="200"/>
        <v>14.785714285714286</v>
      </c>
      <c r="AE709">
        <f t="shared" si="201"/>
        <v>2024</v>
      </c>
      <c r="AG709">
        <v>12</v>
      </c>
      <c r="AH709" s="26">
        <f t="shared" si="202"/>
        <v>10.745762711864407</v>
      </c>
      <c r="AI709" t="str">
        <f t="shared" si="203"/>
        <v>AM</v>
      </c>
      <c r="AJ709" t="str">
        <f t="shared" si="204"/>
        <v>11-2024-1</v>
      </c>
      <c r="AK709">
        <f t="shared" si="205"/>
        <v>11</v>
      </c>
      <c r="AL709" s="26">
        <f>IFERROR(Table2[[#This Row],[Calories]]/Table2[[#This Row],[Splat]],"")</f>
        <v>39.625</v>
      </c>
      <c r="AM709">
        <f>COUNTIF(N$2:$N$938,N709)</f>
        <v>78</v>
      </c>
      <c r="AN709" t="str">
        <f>VLOOKUP(N709,'Helpful Tables'!A:D,4,FALSE)</f>
        <v>Oregon</v>
      </c>
      <c r="AO709" s="24">
        <f>COUNTIF(AN:AN,Table2[[#This Row],[State]])/COUNTA(AN:AN)</f>
        <v>0.36140724946695096</v>
      </c>
      <c r="AP709">
        <f>VLOOKUP(N709,'Helpful Tables'!A:B,2,FALSE)</f>
        <v>45.525092999999998</v>
      </c>
      <c r="AQ709">
        <f>VLOOKUP(N709,'Helpful Tables'!A:C,3,FALSE)</f>
        <v>-122.681383</v>
      </c>
      <c r="AR709">
        <f>COUNTIF(P$2:$P$938,P709)</f>
        <v>40</v>
      </c>
      <c r="AS709" cm="1">
        <f t="array" ref="AS709">_xlfn.IFS(E709&lt;6,((E709/D709)*60)*0.5,AND(E709&gt;=6,E709&lt;9),((E709/D709)*60)*0.75,AND(E709&gt;=9,E709&lt;=11),((E709/D709)*60)*0.9,AND(E709=12),((E709/D709)*60)*1,AND(E709&gt;=13,E709&lt;=15),((E709/D709)*60)*1.2,AND(E709&gt;=16,E709&lt;=19),((E709/D709)*60)*1.5,E709&gt;=20,((E709/D709)*60)*1.8)</f>
        <v>24.406779661016948</v>
      </c>
      <c r="AT709" cm="1">
        <f t="array" ref="AT709">_xlfn.IFS(F709&lt;550,((F709/D709)*60)*0.5,AND(F709&gt;=550,F709&lt;575),((F709/D709)*60)*0.75,AND(F709&gt;=575,F709&lt;600),((F709/D709)*60)*0.9,AND(F709=600),((F709/D709)*60)*1,AND(F709&gt;=601,F709&lt;=625),((F709/D709)*60)*1.2,AND(F709&gt;=626,F709&lt;=650),((F709/D709)*60)*1.5,F709&gt;=651,((F709/D709)*60)*1.8)</f>
        <v>967.11864406779659</v>
      </c>
      <c r="AU709">
        <f t="shared" si="193"/>
        <v>-0.30000000000000071</v>
      </c>
      <c r="AV709">
        <f t="shared" si="208"/>
        <v>396.55016949152542</v>
      </c>
      <c r="AW709">
        <f t="shared" si="194"/>
        <v>51.4</v>
      </c>
      <c r="AX709" t="str">
        <f t="shared" si="206"/>
        <v>Nov-2024</v>
      </c>
      <c r="AY709">
        <f>ROUNDUP(Table2[[#This Row],[Month]]/3,0)</f>
        <v>4</v>
      </c>
    </row>
    <row r="710" spans="1:51" x14ac:dyDescent="0.2">
      <c r="A710">
        <v>709</v>
      </c>
      <c r="B710">
        <f t="shared" si="195"/>
        <v>14</v>
      </c>
      <c r="C710" s="22">
        <v>45600</v>
      </c>
      <c r="D710">
        <f>SUM(Table2[[#This Row],[Gray Min]:[Red Min]])</f>
        <v>61</v>
      </c>
      <c r="E710">
        <v>18</v>
      </c>
      <c r="F710">
        <v>660</v>
      </c>
      <c r="G710">
        <v>0</v>
      </c>
      <c r="H710">
        <v>0</v>
      </c>
      <c r="I710">
        <v>16</v>
      </c>
      <c r="J710">
        <v>17</v>
      </c>
      <c r="K710">
        <v>10</v>
      </c>
      <c r="L710">
        <v>17</v>
      </c>
      <c r="M710">
        <v>1</v>
      </c>
      <c r="N710" t="s">
        <v>125</v>
      </c>
      <c r="O710" t="s">
        <v>127</v>
      </c>
      <c r="P710" t="s">
        <v>220</v>
      </c>
      <c r="Q710">
        <f t="shared" si="207"/>
        <v>2</v>
      </c>
      <c r="R710" t="str">
        <f t="shared" si="196"/>
        <v>11-2024</v>
      </c>
      <c r="S710" t="s">
        <v>104</v>
      </c>
      <c r="T710" t="str">
        <f t="shared" si="197"/>
        <v>Monday</v>
      </c>
      <c r="U710">
        <f t="shared" si="198"/>
        <v>1</v>
      </c>
      <c r="V710" s="24">
        <f>IFERROR(Table2[[#This Row],[Gray Min]]/Table2[[#This Row],[ClassLength]],"")</f>
        <v>0.26229508196721313</v>
      </c>
      <c r="W710" s="24">
        <f>IFERROR(Table2[[#This Row],[Blue Min]]/Table2[[#This Row],[ClassLength]],"")</f>
        <v>0.27868852459016391</v>
      </c>
      <c r="X710" s="24">
        <f>IFERROR(Table2[[#This Row],[Green Min]]/Table2[[#This Row],[ClassLength]],"")</f>
        <v>0.16393442622950818</v>
      </c>
      <c r="Y710" s="24">
        <f>IFERROR(Table2[[#This Row],[Orange Min]]/Table2[[#This Row],[ClassLength]],"")</f>
        <v>0.27868852459016391</v>
      </c>
      <c r="Z710" s="24">
        <f>IFERROR(Table2[[#This Row],[Red Min]]/Table2[[#This Row],[ClassLength]],"")</f>
        <v>1.6393442622950821E-2</v>
      </c>
      <c r="AA710" s="25">
        <v>169</v>
      </c>
      <c r="AB710" s="25">
        <f t="shared" si="192"/>
        <v>12.071428571428571</v>
      </c>
      <c r="AC710" s="26">
        <f t="shared" si="199"/>
        <v>634.21428571428567</v>
      </c>
      <c r="AD710" s="26">
        <f t="shared" si="200"/>
        <v>14.785714285714286</v>
      </c>
      <c r="AE710">
        <f t="shared" si="201"/>
        <v>2024</v>
      </c>
      <c r="AG710">
        <v>12</v>
      </c>
      <c r="AH710" s="26">
        <f t="shared" si="202"/>
        <v>10.819672131147541</v>
      </c>
      <c r="AI710" t="str">
        <f t="shared" si="203"/>
        <v>PM</v>
      </c>
      <c r="AJ710" t="str">
        <f t="shared" si="204"/>
        <v>11-2024-2</v>
      </c>
      <c r="AK710">
        <f t="shared" si="205"/>
        <v>11</v>
      </c>
      <c r="AL710" s="26">
        <f>IFERROR(Table2[[#This Row],[Calories]]/Table2[[#This Row],[Splat]],"")</f>
        <v>36.666666666666664</v>
      </c>
      <c r="AM710">
        <f>COUNTIF(N$2:$N$938,N710)</f>
        <v>258</v>
      </c>
      <c r="AN710" t="str">
        <f>VLOOKUP(N710,'Helpful Tables'!A:D,4,FALSE)</f>
        <v>Oregon</v>
      </c>
      <c r="AO710" s="24">
        <f>COUNTIF(AN:AN,Table2[[#This Row],[State]])/COUNTA(AN:AN)</f>
        <v>0.36140724946695096</v>
      </c>
      <c r="AP710">
        <f>VLOOKUP(N710,'Helpful Tables'!A:B,2,FALSE)</f>
        <v>45.534162000000002</v>
      </c>
      <c r="AQ710">
        <f>VLOOKUP(N710,'Helpful Tables'!A:C,3,FALSE)</f>
        <v>-122.69670000000001</v>
      </c>
      <c r="AR710">
        <f>COUNTIF(P$2:$P$938,P710)</f>
        <v>43</v>
      </c>
      <c r="AS710" cm="1">
        <f t="array" ref="AS710">_xlfn.IFS(E710&lt;6,((E710/D710)*60)*0.5,AND(E710&gt;=6,E710&lt;9),((E710/D710)*60)*0.75,AND(E710&gt;=9,E710&lt;=11),((E710/D710)*60)*0.9,AND(E710=12),((E710/D710)*60)*1,AND(E710&gt;=13,E710&lt;=15),((E710/D710)*60)*1.2,AND(E710&gt;=16,E710&lt;=19),((E710/D710)*60)*1.5,E710&gt;=20,((E710/D710)*60)*1.8)</f>
        <v>26.557377049180328</v>
      </c>
      <c r="AT710" cm="1">
        <f t="array" ref="AT710">_xlfn.IFS(F710&lt;550,((F710/D710)*60)*0.5,AND(F710&gt;=550,F710&lt;575),((F710/D710)*60)*0.75,AND(F710&gt;=575,F710&lt;600),((F710/D710)*60)*0.9,AND(F710=600),((F710/D710)*60)*1,AND(F710&gt;=601,F710&lt;=625),((F710/D710)*60)*1.2,AND(F710&gt;=626,F710&lt;=650),((F710/D710)*60)*1.5,F710&gt;=651,((F710/D710)*60)*1.8)</f>
        <v>1168.5245901639346</v>
      </c>
      <c r="AU710">
        <f t="shared" si="193"/>
        <v>-2.3000000000000043</v>
      </c>
      <c r="AV710">
        <f t="shared" si="208"/>
        <v>477.57278688524605</v>
      </c>
      <c r="AW710">
        <f t="shared" si="194"/>
        <v>69.099999999999994</v>
      </c>
      <c r="AX710" t="str">
        <f t="shared" si="206"/>
        <v>Nov-2024</v>
      </c>
      <c r="AY710">
        <f>ROUNDUP(Table2[[#This Row],[Month]]/3,0)</f>
        <v>4</v>
      </c>
    </row>
    <row r="711" spans="1:51" x14ac:dyDescent="0.2">
      <c r="A711">
        <v>710</v>
      </c>
      <c r="B711">
        <f t="shared" si="195"/>
        <v>14</v>
      </c>
      <c r="C711" s="22">
        <v>45603</v>
      </c>
      <c r="D711">
        <f>SUM(Table2[[#This Row],[Gray Min]:[Red Min]])</f>
        <v>59</v>
      </c>
      <c r="E711">
        <v>18</v>
      </c>
      <c r="F711">
        <v>653</v>
      </c>
      <c r="G711">
        <v>0</v>
      </c>
      <c r="H711">
        <v>0</v>
      </c>
      <c r="I711">
        <v>15</v>
      </c>
      <c r="J711">
        <v>16</v>
      </c>
      <c r="K711">
        <v>10</v>
      </c>
      <c r="L711">
        <v>16</v>
      </c>
      <c r="M711">
        <v>2</v>
      </c>
      <c r="N711" t="s">
        <v>125</v>
      </c>
      <c r="O711" t="s">
        <v>127</v>
      </c>
      <c r="P711" t="s">
        <v>222</v>
      </c>
      <c r="Q711">
        <f t="shared" si="207"/>
        <v>3</v>
      </c>
      <c r="R711" t="str">
        <f t="shared" si="196"/>
        <v>11-2024</v>
      </c>
      <c r="S711" t="s">
        <v>104</v>
      </c>
      <c r="T711" t="str">
        <f t="shared" si="197"/>
        <v>Thursday</v>
      </c>
      <c r="U711">
        <f t="shared" si="198"/>
        <v>1</v>
      </c>
      <c r="V711" s="24">
        <f>IFERROR(Table2[[#This Row],[Gray Min]]/Table2[[#This Row],[ClassLength]],"")</f>
        <v>0.25423728813559321</v>
      </c>
      <c r="W711" s="24">
        <f>IFERROR(Table2[[#This Row],[Blue Min]]/Table2[[#This Row],[ClassLength]],"")</f>
        <v>0.2711864406779661</v>
      </c>
      <c r="X711" s="24">
        <f>IFERROR(Table2[[#This Row],[Green Min]]/Table2[[#This Row],[ClassLength]],"")</f>
        <v>0.16949152542372881</v>
      </c>
      <c r="Y711" s="24">
        <f>IFERROR(Table2[[#This Row],[Orange Min]]/Table2[[#This Row],[ClassLength]],"")</f>
        <v>0.2711864406779661</v>
      </c>
      <c r="Z711" s="24">
        <f>IFERROR(Table2[[#This Row],[Red Min]]/Table2[[#This Row],[ClassLength]],"")</f>
        <v>3.3898305084745763E-2</v>
      </c>
      <c r="AA711" s="25">
        <v>169</v>
      </c>
      <c r="AB711" s="25">
        <f t="shared" si="192"/>
        <v>12.071428571428571</v>
      </c>
      <c r="AC711" s="26">
        <f t="shared" si="199"/>
        <v>634.21428571428567</v>
      </c>
      <c r="AD711" s="26">
        <f t="shared" si="200"/>
        <v>14.785714285714286</v>
      </c>
      <c r="AE711">
        <f t="shared" si="201"/>
        <v>2024</v>
      </c>
      <c r="AG711">
        <v>12</v>
      </c>
      <c r="AH711" s="26">
        <f t="shared" si="202"/>
        <v>11.067796610169491</v>
      </c>
      <c r="AI711" t="str">
        <f t="shared" si="203"/>
        <v>PM</v>
      </c>
      <c r="AJ711" t="str">
        <f t="shared" si="204"/>
        <v>11-2024-2</v>
      </c>
      <c r="AK711">
        <f t="shared" si="205"/>
        <v>11</v>
      </c>
      <c r="AL711" s="26">
        <f>IFERROR(Table2[[#This Row],[Calories]]/Table2[[#This Row],[Splat]],"")</f>
        <v>36.277777777777779</v>
      </c>
      <c r="AM711">
        <f>COUNTIF(N$2:$N$938,N711)</f>
        <v>258</v>
      </c>
      <c r="AN711" t="str">
        <f>VLOOKUP(N711,'Helpful Tables'!A:D,4,FALSE)</f>
        <v>Oregon</v>
      </c>
      <c r="AO711" s="24">
        <f>COUNTIF(AN:AN,Table2[[#This Row],[State]])/COUNTA(AN:AN)</f>
        <v>0.36140724946695096</v>
      </c>
      <c r="AP711">
        <f>VLOOKUP(N711,'Helpful Tables'!A:B,2,FALSE)</f>
        <v>45.534162000000002</v>
      </c>
      <c r="AQ711">
        <f>VLOOKUP(N711,'Helpful Tables'!A:C,3,FALSE)</f>
        <v>-122.69670000000001</v>
      </c>
      <c r="AR711">
        <f>COUNTIF(P$2:$P$938,P711)</f>
        <v>32</v>
      </c>
      <c r="AS711" cm="1">
        <f t="array" ref="AS711">_xlfn.IFS(E711&lt;6,((E711/D711)*60)*0.5,AND(E711&gt;=6,E711&lt;9),((E711/D711)*60)*0.75,AND(E711&gt;=9,E711&lt;=11),((E711/D711)*60)*0.9,AND(E711=12),((E711/D711)*60)*1,AND(E711&gt;=13,E711&lt;=15),((E711/D711)*60)*1.2,AND(E711&gt;=16,E711&lt;=19),((E711/D711)*60)*1.5,E711&gt;=20,((E711/D711)*60)*1.8)</f>
        <v>27.457627118644069</v>
      </c>
      <c r="AT711" cm="1">
        <f t="array" ref="AT711">_xlfn.IFS(F711&lt;550,((F711/D711)*60)*0.5,AND(F711&gt;=550,F711&lt;575),((F711/D711)*60)*0.75,AND(F711&gt;=575,F711&lt;600),((F711/D711)*60)*0.9,AND(F711=600),((F711/D711)*60)*1,AND(F711&gt;=601,F711&lt;=625),((F711/D711)*60)*1.2,AND(F711&gt;=626,F711&lt;=650),((F711/D711)*60)*1.5,F711&gt;=651,((F711/D711)*60)*1.8)</f>
        <v>1195.3220338983051</v>
      </c>
      <c r="AU711">
        <f t="shared" si="193"/>
        <v>0.19999999999999929</v>
      </c>
      <c r="AV711">
        <f t="shared" si="208"/>
        <v>489.15186440677968</v>
      </c>
      <c r="AW711">
        <f t="shared" si="194"/>
        <v>73.400000000000006</v>
      </c>
      <c r="AX711" t="str">
        <f t="shared" si="206"/>
        <v>Nov-2024</v>
      </c>
      <c r="AY711">
        <f>ROUNDUP(Table2[[#This Row],[Month]]/3,0)</f>
        <v>4</v>
      </c>
    </row>
    <row r="712" spans="1:51" x14ac:dyDescent="0.2">
      <c r="A712">
        <v>711</v>
      </c>
      <c r="B712">
        <f t="shared" si="195"/>
        <v>14</v>
      </c>
      <c r="C712" s="22">
        <v>45604</v>
      </c>
      <c r="D712">
        <f>SUM(Table2[[#This Row],[Gray Min]:[Red Min]])</f>
        <v>59</v>
      </c>
      <c r="E712">
        <v>15</v>
      </c>
      <c r="F712">
        <v>637</v>
      </c>
      <c r="G712">
        <v>0</v>
      </c>
      <c r="H712">
        <v>0</v>
      </c>
      <c r="I712">
        <v>20</v>
      </c>
      <c r="J712">
        <v>12</v>
      </c>
      <c r="K712">
        <v>12</v>
      </c>
      <c r="L712">
        <v>14</v>
      </c>
      <c r="M712">
        <v>1</v>
      </c>
      <c r="N712" t="s">
        <v>125</v>
      </c>
      <c r="O712" t="s">
        <v>127</v>
      </c>
      <c r="P712" t="s">
        <v>210</v>
      </c>
      <c r="Q712">
        <f t="shared" si="207"/>
        <v>1</v>
      </c>
      <c r="R712" t="str">
        <f t="shared" si="196"/>
        <v>11-2024</v>
      </c>
      <c r="S712" t="s">
        <v>104</v>
      </c>
      <c r="T712" t="str">
        <f t="shared" si="197"/>
        <v>Friday</v>
      </c>
      <c r="U712">
        <f t="shared" si="198"/>
        <v>1</v>
      </c>
      <c r="V712" s="24">
        <f>IFERROR(Table2[[#This Row],[Gray Min]]/Table2[[#This Row],[ClassLength]],"")</f>
        <v>0.33898305084745761</v>
      </c>
      <c r="W712" s="24">
        <f>IFERROR(Table2[[#This Row],[Blue Min]]/Table2[[#This Row],[ClassLength]],"")</f>
        <v>0.20338983050847459</v>
      </c>
      <c r="X712" s="24">
        <f>IFERROR(Table2[[#This Row],[Green Min]]/Table2[[#This Row],[ClassLength]],"")</f>
        <v>0.20338983050847459</v>
      </c>
      <c r="Y712" s="24">
        <f>IFERROR(Table2[[#This Row],[Orange Min]]/Table2[[#This Row],[ClassLength]],"")</f>
        <v>0.23728813559322035</v>
      </c>
      <c r="Z712" s="24">
        <f>IFERROR(Table2[[#This Row],[Red Min]]/Table2[[#This Row],[ClassLength]],"")</f>
        <v>1.6949152542372881E-2</v>
      </c>
      <c r="AA712" s="25">
        <v>169</v>
      </c>
      <c r="AB712" s="25">
        <f t="shared" si="192"/>
        <v>12.071428571428571</v>
      </c>
      <c r="AC712" s="26">
        <f t="shared" si="199"/>
        <v>634.21428571428567</v>
      </c>
      <c r="AD712" s="26">
        <f t="shared" si="200"/>
        <v>14.785714285714286</v>
      </c>
      <c r="AE712">
        <f t="shared" si="201"/>
        <v>2024</v>
      </c>
      <c r="AG712">
        <v>12</v>
      </c>
      <c r="AH712" s="26">
        <f t="shared" si="202"/>
        <v>10.796610169491526</v>
      </c>
      <c r="AI712" t="str">
        <f t="shared" si="203"/>
        <v>PM</v>
      </c>
      <c r="AJ712" t="str">
        <f t="shared" si="204"/>
        <v>11-2024-2</v>
      </c>
      <c r="AK712">
        <f t="shared" si="205"/>
        <v>11</v>
      </c>
      <c r="AL712" s="26">
        <f>IFERROR(Table2[[#This Row],[Calories]]/Table2[[#This Row],[Splat]],"")</f>
        <v>42.466666666666669</v>
      </c>
      <c r="AM712">
        <f>COUNTIF(N$2:$N$938,N712)</f>
        <v>258</v>
      </c>
      <c r="AN712" t="str">
        <f>VLOOKUP(N712,'Helpful Tables'!A:D,4,FALSE)</f>
        <v>Oregon</v>
      </c>
      <c r="AO712" s="24">
        <f>COUNTIF(AN:AN,Table2[[#This Row],[State]])/COUNTA(AN:AN)</f>
        <v>0.36140724946695096</v>
      </c>
      <c r="AP712">
        <f>VLOOKUP(N712,'Helpful Tables'!A:B,2,FALSE)</f>
        <v>45.534162000000002</v>
      </c>
      <c r="AQ712">
        <f>VLOOKUP(N712,'Helpful Tables'!A:C,3,FALSE)</f>
        <v>-122.69670000000001</v>
      </c>
      <c r="AR712">
        <f>COUNTIF(P$2:$P$938,P712)</f>
        <v>16</v>
      </c>
      <c r="AS712" cm="1">
        <f t="array" ref="AS712">_xlfn.IFS(E712&lt;6,((E712/D712)*60)*0.5,AND(E712&gt;=6,E712&lt;9),((E712/D712)*60)*0.75,AND(E712&gt;=9,E712&lt;=11),((E712/D712)*60)*0.9,AND(E712=12),((E712/D712)*60)*1,AND(E712&gt;=13,E712&lt;=15),((E712/D712)*60)*1.2,AND(E712&gt;=16,E712&lt;=19),((E712/D712)*60)*1.5,E712&gt;=20,((E712/D712)*60)*1.8)</f>
        <v>18.305084745762709</v>
      </c>
      <c r="AT712" cm="1">
        <f t="array" ref="AT712">_xlfn.IFS(F712&lt;550,((F712/D712)*60)*0.5,AND(F712&gt;=550,F712&lt;575),((F712/D712)*60)*0.75,AND(F712&gt;=575,F712&lt;600),((F712/D712)*60)*0.9,AND(F712=600),((F712/D712)*60)*1,AND(F712&gt;=601,F712&lt;=625),((F712/D712)*60)*1.2,AND(F712&gt;=626,F712&lt;=650),((F712/D712)*60)*1.5,F712&gt;=651,((F712/D712)*60)*1.8)</f>
        <v>971.69491525423746</v>
      </c>
      <c r="AU712">
        <f t="shared" si="193"/>
        <v>-3.100000000000005</v>
      </c>
      <c r="AV712">
        <f t="shared" si="208"/>
        <v>395.38000000000011</v>
      </c>
      <c r="AW712">
        <f t="shared" si="194"/>
        <v>50.6</v>
      </c>
      <c r="AX712" t="str">
        <f t="shared" si="206"/>
        <v>Nov-2024</v>
      </c>
      <c r="AY712">
        <f>ROUNDUP(Table2[[#This Row],[Month]]/3,0)</f>
        <v>4</v>
      </c>
    </row>
    <row r="713" spans="1:51" x14ac:dyDescent="0.2">
      <c r="A713">
        <v>712</v>
      </c>
      <c r="B713">
        <f t="shared" si="195"/>
        <v>14</v>
      </c>
      <c r="C713" s="22">
        <v>45606</v>
      </c>
      <c r="D713">
        <f>SUM(Table2[[#This Row],[Gray Min]:[Red Min]])</f>
        <v>58</v>
      </c>
      <c r="E713">
        <v>11</v>
      </c>
      <c r="F713">
        <v>584</v>
      </c>
      <c r="G713">
        <v>0</v>
      </c>
      <c r="H713">
        <v>0</v>
      </c>
      <c r="I713">
        <v>19</v>
      </c>
      <c r="J713">
        <v>15</v>
      </c>
      <c r="K713">
        <v>13</v>
      </c>
      <c r="L713">
        <v>10</v>
      </c>
      <c r="M713">
        <v>1</v>
      </c>
      <c r="N713" t="s">
        <v>125</v>
      </c>
      <c r="O713" t="s">
        <v>159</v>
      </c>
      <c r="P713" t="s">
        <v>210</v>
      </c>
      <c r="Q713">
        <f t="shared" si="207"/>
        <v>2</v>
      </c>
      <c r="R713" t="str">
        <f t="shared" si="196"/>
        <v>11-2024</v>
      </c>
      <c r="S713" t="s">
        <v>117</v>
      </c>
      <c r="T713" t="str">
        <f t="shared" si="197"/>
        <v>Sunday</v>
      </c>
      <c r="U713">
        <f t="shared" si="198"/>
        <v>0</v>
      </c>
      <c r="V713" s="24">
        <f>IFERROR(Table2[[#This Row],[Gray Min]]/Table2[[#This Row],[ClassLength]],"")</f>
        <v>0.32758620689655171</v>
      </c>
      <c r="W713" s="24">
        <f>IFERROR(Table2[[#This Row],[Blue Min]]/Table2[[#This Row],[ClassLength]],"")</f>
        <v>0.25862068965517243</v>
      </c>
      <c r="X713" s="24">
        <f>IFERROR(Table2[[#This Row],[Green Min]]/Table2[[#This Row],[ClassLength]],"")</f>
        <v>0.22413793103448276</v>
      </c>
      <c r="Y713" s="24">
        <f>IFERROR(Table2[[#This Row],[Orange Min]]/Table2[[#This Row],[ClassLength]],"")</f>
        <v>0.17241379310344829</v>
      </c>
      <c r="Z713" s="24">
        <f>IFERROR(Table2[[#This Row],[Red Min]]/Table2[[#This Row],[ClassLength]],"")</f>
        <v>1.7241379310344827E-2</v>
      </c>
      <c r="AA713" s="25">
        <v>169</v>
      </c>
      <c r="AB713" s="25">
        <f t="shared" si="192"/>
        <v>12.071428571428571</v>
      </c>
      <c r="AC713" s="26">
        <f t="shared" si="199"/>
        <v>634.21428571428567</v>
      </c>
      <c r="AD713" s="26">
        <f t="shared" si="200"/>
        <v>14.785714285714286</v>
      </c>
      <c r="AE713">
        <f t="shared" si="201"/>
        <v>2024</v>
      </c>
      <c r="AG713">
        <v>12</v>
      </c>
      <c r="AH713" s="26">
        <f t="shared" si="202"/>
        <v>10.068965517241379</v>
      </c>
      <c r="AI713" t="str">
        <f t="shared" si="203"/>
        <v>AM</v>
      </c>
      <c r="AJ713" t="str">
        <f t="shared" si="204"/>
        <v>11-2024-3</v>
      </c>
      <c r="AK713">
        <f t="shared" si="205"/>
        <v>11</v>
      </c>
      <c r="AL713" s="26">
        <f>IFERROR(Table2[[#This Row],[Calories]]/Table2[[#This Row],[Splat]],"")</f>
        <v>53.090909090909093</v>
      </c>
      <c r="AM713">
        <f>COUNTIF(N$2:$N$938,N713)</f>
        <v>258</v>
      </c>
      <c r="AN713" t="str">
        <f>VLOOKUP(N713,'Helpful Tables'!A:D,4,FALSE)</f>
        <v>Oregon</v>
      </c>
      <c r="AO713" s="24">
        <f>COUNTIF(AN:AN,Table2[[#This Row],[State]])/COUNTA(AN:AN)</f>
        <v>0.36140724946695096</v>
      </c>
      <c r="AP713">
        <f>VLOOKUP(N713,'Helpful Tables'!A:B,2,FALSE)</f>
        <v>45.534162000000002</v>
      </c>
      <c r="AQ713">
        <f>VLOOKUP(N713,'Helpful Tables'!A:C,3,FALSE)</f>
        <v>-122.69670000000001</v>
      </c>
      <c r="AR713">
        <f>COUNTIF(P$2:$P$938,P713)</f>
        <v>16</v>
      </c>
      <c r="AS713" cm="1">
        <f t="array" ref="AS713">_xlfn.IFS(E713&lt;6,((E713/D713)*60)*0.5,AND(E713&gt;=6,E713&lt;9),((E713/D713)*60)*0.75,AND(E713&gt;=9,E713&lt;=11),((E713/D713)*60)*0.9,AND(E713=12),((E713/D713)*60)*1,AND(E713&gt;=13,E713&lt;=15),((E713/D713)*60)*1.2,AND(E713&gt;=16,E713&lt;=19),((E713/D713)*60)*1.5,E713&gt;=20,((E713/D713)*60)*1.8)</f>
        <v>10.241379310344827</v>
      </c>
      <c r="AT713" cm="1">
        <f t="array" ref="AT713">_xlfn.IFS(F713&lt;550,((F713/D713)*60)*0.5,AND(F713&gt;=550,F713&lt;575),((F713/D713)*60)*0.75,AND(F713&gt;=575,F713&lt;600),((F713/D713)*60)*0.9,AND(F713=600),((F713/D713)*60)*1,AND(F713&gt;=601,F713&lt;=625),((F713/D713)*60)*1.2,AND(F713&gt;=626,F713&lt;=650),((F713/D713)*60)*1.5,F713&gt;=651,((F713/D713)*60)*1.8)</f>
        <v>543.72413793103453</v>
      </c>
      <c r="AU713">
        <f t="shared" si="193"/>
        <v>-9.1999999999999957</v>
      </c>
      <c r="AV713">
        <f t="shared" si="208"/>
        <v>219.74620689655174</v>
      </c>
      <c r="AW713">
        <f t="shared" si="194"/>
        <v>16.600000000000001</v>
      </c>
      <c r="AX713" t="str">
        <f t="shared" si="206"/>
        <v>Nov-2024</v>
      </c>
      <c r="AY713">
        <f>ROUNDUP(Table2[[#This Row],[Month]]/3,0)</f>
        <v>4</v>
      </c>
    </row>
    <row r="714" spans="1:51" x14ac:dyDescent="0.2">
      <c r="A714">
        <v>713</v>
      </c>
      <c r="B714">
        <f t="shared" si="195"/>
        <v>14</v>
      </c>
      <c r="C714" s="22">
        <v>45608</v>
      </c>
      <c r="D714">
        <f>SUM(Table2[[#This Row],[Gray Min]:[Red Min]])</f>
        <v>62</v>
      </c>
      <c r="E714">
        <v>14</v>
      </c>
      <c r="F714">
        <v>621</v>
      </c>
      <c r="G714">
        <v>0</v>
      </c>
      <c r="H714">
        <v>0</v>
      </c>
      <c r="I714">
        <v>27</v>
      </c>
      <c r="J714">
        <v>11</v>
      </c>
      <c r="K714">
        <v>10</v>
      </c>
      <c r="L714">
        <v>11</v>
      </c>
      <c r="M714">
        <v>3</v>
      </c>
      <c r="N714" t="s">
        <v>125</v>
      </c>
      <c r="O714" t="s">
        <v>127</v>
      </c>
      <c r="P714" t="s">
        <v>220</v>
      </c>
      <c r="Q714">
        <f t="shared" si="207"/>
        <v>2</v>
      </c>
      <c r="R714" t="str">
        <f t="shared" si="196"/>
        <v>11-2024</v>
      </c>
      <c r="S714" t="s">
        <v>104</v>
      </c>
      <c r="T714" t="str">
        <f t="shared" si="197"/>
        <v>Tuesday</v>
      </c>
      <c r="U714">
        <f t="shared" si="198"/>
        <v>1</v>
      </c>
      <c r="V714" s="24">
        <f>IFERROR(Table2[[#This Row],[Gray Min]]/Table2[[#This Row],[ClassLength]],"")</f>
        <v>0.43548387096774194</v>
      </c>
      <c r="W714" s="24">
        <f>IFERROR(Table2[[#This Row],[Blue Min]]/Table2[[#This Row],[ClassLength]],"")</f>
        <v>0.17741935483870969</v>
      </c>
      <c r="X714" s="24">
        <f>IFERROR(Table2[[#This Row],[Green Min]]/Table2[[#This Row],[ClassLength]],"")</f>
        <v>0.16129032258064516</v>
      </c>
      <c r="Y714" s="24">
        <f>IFERROR(Table2[[#This Row],[Orange Min]]/Table2[[#This Row],[ClassLength]],"")</f>
        <v>0.17741935483870969</v>
      </c>
      <c r="Z714" s="24">
        <f>IFERROR(Table2[[#This Row],[Red Min]]/Table2[[#This Row],[ClassLength]],"")</f>
        <v>4.8387096774193547E-2</v>
      </c>
      <c r="AA714" s="25">
        <v>169</v>
      </c>
      <c r="AB714" s="25">
        <f t="shared" si="192"/>
        <v>12.071428571428571</v>
      </c>
      <c r="AC714" s="26">
        <f t="shared" si="199"/>
        <v>634.21428571428567</v>
      </c>
      <c r="AD714" s="26">
        <f t="shared" si="200"/>
        <v>14.785714285714286</v>
      </c>
      <c r="AE714">
        <f t="shared" si="201"/>
        <v>2024</v>
      </c>
      <c r="AG714">
        <v>12</v>
      </c>
      <c r="AH714" s="26">
        <f t="shared" si="202"/>
        <v>10.016129032258064</v>
      </c>
      <c r="AI714" t="str">
        <f t="shared" si="203"/>
        <v>PM</v>
      </c>
      <c r="AJ714" t="str">
        <f t="shared" si="204"/>
        <v>11-2024-3</v>
      </c>
      <c r="AK714">
        <f t="shared" si="205"/>
        <v>11</v>
      </c>
      <c r="AL714" s="26">
        <f>IFERROR(Table2[[#This Row],[Calories]]/Table2[[#This Row],[Splat]],"")</f>
        <v>44.357142857142854</v>
      </c>
      <c r="AM714">
        <f>COUNTIF(N$2:$N$938,N714)</f>
        <v>258</v>
      </c>
      <c r="AN714" t="str">
        <f>VLOOKUP(N714,'Helpful Tables'!A:D,4,FALSE)</f>
        <v>Oregon</v>
      </c>
      <c r="AO714" s="24">
        <f>COUNTIF(AN:AN,Table2[[#This Row],[State]])/COUNTA(AN:AN)</f>
        <v>0.36140724946695096</v>
      </c>
      <c r="AP714">
        <f>VLOOKUP(N714,'Helpful Tables'!A:B,2,FALSE)</f>
        <v>45.534162000000002</v>
      </c>
      <c r="AQ714">
        <f>VLOOKUP(N714,'Helpful Tables'!A:C,3,FALSE)</f>
        <v>-122.69670000000001</v>
      </c>
      <c r="AR714">
        <f>COUNTIF(P$2:$P$938,P714)</f>
        <v>43</v>
      </c>
      <c r="AS714" cm="1">
        <f t="array" ref="AS714">_xlfn.IFS(E714&lt;6,((E714/D714)*60)*0.5,AND(E714&gt;=6,E714&lt;9),((E714/D714)*60)*0.75,AND(E714&gt;=9,E714&lt;=11),((E714/D714)*60)*0.9,AND(E714=12),((E714/D714)*60)*1,AND(E714&gt;=13,E714&lt;=15),((E714/D714)*60)*1.2,AND(E714&gt;=16,E714&lt;=19),((E714/D714)*60)*1.5,E714&gt;=20,((E714/D714)*60)*1.8)</f>
        <v>16.258064516129032</v>
      </c>
      <c r="AT714" cm="1">
        <f t="array" ref="AT714">_xlfn.IFS(F714&lt;550,((F714/D714)*60)*0.5,AND(F714&gt;=550,F714&lt;575),((F714/D714)*60)*0.75,AND(F714&gt;=575,F714&lt;600),((F714/D714)*60)*0.9,AND(F714=600),((F714/D714)*60)*1,AND(F714&gt;=601,F714&lt;=625),((F714/D714)*60)*1.2,AND(F714&gt;=626,F714&lt;=650),((F714/D714)*60)*1.5,F714&gt;=651,((F714/D714)*60)*1.8)</f>
        <v>721.16129032258061</v>
      </c>
      <c r="AU714">
        <f t="shared" si="193"/>
        <v>-13.7</v>
      </c>
      <c r="AV714">
        <f t="shared" si="208"/>
        <v>292.22774193548383</v>
      </c>
      <c r="AW714">
        <f t="shared" si="194"/>
        <v>25.1</v>
      </c>
      <c r="AX714" t="str">
        <f t="shared" si="206"/>
        <v>Nov-2024</v>
      </c>
      <c r="AY714">
        <f>ROUNDUP(Table2[[#This Row],[Month]]/3,0)</f>
        <v>4</v>
      </c>
    </row>
    <row r="715" spans="1:51" x14ac:dyDescent="0.2">
      <c r="A715">
        <v>714</v>
      </c>
      <c r="B715">
        <f t="shared" si="195"/>
        <v>14</v>
      </c>
      <c r="C715" s="22">
        <v>45610</v>
      </c>
      <c r="D715">
        <f>SUM(Table2[[#This Row],[Gray Min]:[Red Min]])</f>
        <v>59</v>
      </c>
      <c r="E715">
        <v>19</v>
      </c>
      <c r="F715">
        <v>694</v>
      </c>
      <c r="G715">
        <v>0</v>
      </c>
      <c r="H715">
        <v>0</v>
      </c>
      <c r="I715">
        <v>7</v>
      </c>
      <c r="J715">
        <v>20</v>
      </c>
      <c r="K715">
        <v>13</v>
      </c>
      <c r="L715">
        <v>16</v>
      </c>
      <c r="M715">
        <v>3</v>
      </c>
      <c r="N715" t="s">
        <v>125</v>
      </c>
      <c r="O715" t="s">
        <v>127</v>
      </c>
      <c r="P715" t="s">
        <v>222</v>
      </c>
      <c r="Q715">
        <f t="shared" si="207"/>
        <v>2</v>
      </c>
      <c r="R715" t="str">
        <f t="shared" si="196"/>
        <v>11-2024</v>
      </c>
      <c r="S715" t="s">
        <v>104</v>
      </c>
      <c r="T715" t="str">
        <f t="shared" si="197"/>
        <v>Thursday</v>
      </c>
      <c r="U715">
        <f t="shared" si="198"/>
        <v>1</v>
      </c>
      <c r="V715" s="24">
        <f>IFERROR(Table2[[#This Row],[Gray Min]]/Table2[[#This Row],[ClassLength]],"")</f>
        <v>0.11864406779661017</v>
      </c>
      <c r="W715" s="24">
        <f>IFERROR(Table2[[#This Row],[Blue Min]]/Table2[[#This Row],[ClassLength]],"")</f>
        <v>0.33898305084745761</v>
      </c>
      <c r="X715" s="24">
        <f>IFERROR(Table2[[#This Row],[Green Min]]/Table2[[#This Row],[ClassLength]],"")</f>
        <v>0.22033898305084745</v>
      </c>
      <c r="Y715" s="24">
        <f>IFERROR(Table2[[#This Row],[Orange Min]]/Table2[[#This Row],[ClassLength]],"")</f>
        <v>0.2711864406779661</v>
      </c>
      <c r="Z715" s="24">
        <f>IFERROR(Table2[[#This Row],[Red Min]]/Table2[[#This Row],[ClassLength]],"")</f>
        <v>5.0847457627118647E-2</v>
      </c>
      <c r="AA715" s="25">
        <v>169</v>
      </c>
      <c r="AB715" s="25">
        <f t="shared" si="192"/>
        <v>12.071428571428571</v>
      </c>
      <c r="AC715" s="26">
        <f t="shared" si="199"/>
        <v>634.21428571428567</v>
      </c>
      <c r="AD715" s="26">
        <f t="shared" si="200"/>
        <v>14.785714285714286</v>
      </c>
      <c r="AE715">
        <f t="shared" si="201"/>
        <v>2024</v>
      </c>
      <c r="AG715">
        <v>12</v>
      </c>
      <c r="AH715" s="26">
        <f t="shared" si="202"/>
        <v>11.76271186440678</v>
      </c>
      <c r="AI715" t="str">
        <f t="shared" si="203"/>
        <v>PM</v>
      </c>
      <c r="AJ715" t="str">
        <f t="shared" si="204"/>
        <v>11-2024-3</v>
      </c>
      <c r="AK715">
        <f t="shared" si="205"/>
        <v>11</v>
      </c>
      <c r="AL715" s="26">
        <f>IFERROR(Table2[[#This Row],[Calories]]/Table2[[#This Row],[Splat]],"")</f>
        <v>36.526315789473685</v>
      </c>
      <c r="AM715">
        <f>COUNTIF(N$2:$N$938,N715)</f>
        <v>258</v>
      </c>
      <c r="AN715" t="str">
        <f>VLOOKUP(N715,'Helpful Tables'!A:D,4,FALSE)</f>
        <v>Oregon</v>
      </c>
      <c r="AO715" s="24">
        <f>COUNTIF(AN:AN,Table2[[#This Row],[State]])/COUNTA(AN:AN)</f>
        <v>0.36140724946695096</v>
      </c>
      <c r="AP715">
        <f>VLOOKUP(N715,'Helpful Tables'!A:B,2,FALSE)</f>
        <v>45.534162000000002</v>
      </c>
      <c r="AQ715">
        <f>VLOOKUP(N715,'Helpful Tables'!A:C,3,FALSE)</f>
        <v>-122.69670000000001</v>
      </c>
      <c r="AR715">
        <f>COUNTIF(P$2:$P$938,P715)</f>
        <v>32</v>
      </c>
      <c r="AS715" cm="1">
        <f t="array" ref="AS715">_xlfn.IFS(E715&lt;6,((E715/D715)*60)*0.5,AND(E715&gt;=6,E715&lt;9),((E715/D715)*60)*0.75,AND(E715&gt;=9,E715&lt;=11),((E715/D715)*60)*0.9,AND(E715=12),((E715/D715)*60)*1,AND(E715&gt;=13,E715&lt;=15),((E715/D715)*60)*1.2,AND(E715&gt;=16,E715&lt;=19),((E715/D715)*60)*1.5,E715&gt;=20,((E715/D715)*60)*1.8)</f>
        <v>28.983050847457626</v>
      </c>
      <c r="AT715" cm="1">
        <f t="array" ref="AT715">_xlfn.IFS(F715&lt;550,((F715/D715)*60)*0.5,AND(F715&gt;=550,F715&lt;575),((F715/D715)*60)*0.75,AND(F715&gt;=575,F715&lt;600),((F715/D715)*60)*0.9,AND(F715=600),((F715/D715)*60)*1,AND(F715&gt;=601,F715&lt;=625),((F715/D715)*60)*1.2,AND(F715&gt;=626,F715&lt;=650),((F715/D715)*60)*1.5,F715&gt;=651,((F715/D715)*60)*1.8)</f>
        <v>1270.3728813559323</v>
      </c>
      <c r="AU715">
        <f t="shared" si="193"/>
        <v>10.500000000000002</v>
      </c>
      <c r="AV715">
        <f t="shared" si="208"/>
        <v>521.84237288135603</v>
      </c>
      <c r="AW715">
        <f t="shared" si="194"/>
        <v>90.8</v>
      </c>
      <c r="AX715" t="str">
        <f t="shared" si="206"/>
        <v>Nov-2024</v>
      </c>
      <c r="AY715">
        <f>ROUNDUP(Table2[[#This Row],[Month]]/3,0)</f>
        <v>4</v>
      </c>
    </row>
    <row r="716" spans="1:51" x14ac:dyDescent="0.2">
      <c r="A716">
        <v>715</v>
      </c>
      <c r="B716">
        <f t="shared" si="195"/>
        <v>14</v>
      </c>
      <c r="C716" s="22">
        <v>45612</v>
      </c>
      <c r="D716">
        <f>SUM(Table2[[#This Row],[Gray Min]:[Red Min]])</f>
        <v>60</v>
      </c>
      <c r="E716">
        <v>17</v>
      </c>
      <c r="F716">
        <v>650</v>
      </c>
      <c r="G716">
        <v>0</v>
      </c>
      <c r="H716">
        <v>0</v>
      </c>
      <c r="I716">
        <v>16</v>
      </c>
      <c r="J716">
        <v>12</v>
      </c>
      <c r="K716">
        <v>15</v>
      </c>
      <c r="L716">
        <v>16</v>
      </c>
      <c r="M716">
        <v>1</v>
      </c>
      <c r="N716" t="s">
        <v>208</v>
      </c>
      <c r="O716" t="s">
        <v>76</v>
      </c>
      <c r="P716" t="s">
        <v>213</v>
      </c>
      <c r="Q716">
        <f t="shared" si="207"/>
        <v>2</v>
      </c>
      <c r="R716" t="str">
        <f t="shared" si="196"/>
        <v>11-2024</v>
      </c>
      <c r="S716" t="s">
        <v>104</v>
      </c>
      <c r="T716" t="str">
        <f t="shared" si="197"/>
        <v>Saturday</v>
      </c>
      <c r="U716">
        <f t="shared" si="198"/>
        <v>1</v>
      </c>
      <c r="V716" s="24">
        <f>IFERROR(Table2[[#This Row],[Gray Min]]/Table2[[#This Row],[ClassLength]],"")</f>
        <v>0.26666666666666666</v>
      </c>
      <c r="W716" s="24">
        <f>IFERROR(Table2[[#This Row],[Blue Min]]/Table2[[#This Row],[ClassLength]],"")</f>
        <v>0.2</v>
      </c>
      <c r="X716" s="24">
        <f>IFERROR(Table2[[#This Row],[Green Min]]/Table2[[#This Row],[ClassLength]],"")</f>
        <v>0.25</v>
      </c>
      <c r="Y716" s="24">
        <f>IFERROR(Table2[[#This Row],[Orange Min]]/Table2[[#This Row],[ClassLength]],"")</f>
        <v>0.26666666666666666</v>
      </c>
      <c r="Z716" s="24">
        <f>IFERROR(Table2[[#This Row],[Red Min]]/Table2[[#This Row],[ClassLength]],"")</f>
        <v>1.6666666666666666E-2</v>
      </c>
      <c r="AA716" s="25">
        <v>169</v>
      </c>
      <c r="AB716" s="25">
        <f t="shared" si="192"/>
        <v>12.071428571428571</v>
      </c>
      <c r="AC716" s="26">
        <f t="shared" si="199"/>
        <v>634.21428571428567</v>
      </c>
      <c r="AD716" s="26">
        <f t="shared" si="200"/>
        <v>14.785714285714286</v>
      </c>
      <c r="AE716">
        <f t="shared" si="201"/>
        <v>2024</v>
      </c>
      <c r="AG716">
        <v>12</v>
      </c>
      <c r="AH716" s="26">
        <f t="shared" si="202"/>
        <v>10.833333333333334</v>
      </c>
      <c r="AI716" t="str">
        <f t="shared" si="203"/>
        <v>AM</v>
      </c>
      <c r="AJ716" t="str">
        <f t="shared" si="204"/>
        <v>11-2024-3</v>
      </c>
      <c r="AK716">
        <f t="shared" si="205"/>
        <v>11</v>
      </c>
      <c r="AL716" s="26">
        <f>IFERROR(Table2[[#This Row],[Calories]]/Table2[[#This Row],[Splat]],"")</f>
        <v>38.235294117647058</v>
      </c>
      <c r="AM716">
        <f>COUNTIF(N$2:$N$938,N716)</f>
        <v>78</v>
      </c>
      <c r="AN716" t="str">
        <f>VLOOKUP(N716,'Helpful Tables'!A:D,4,FALSE)</f>
        <v>Oregon</v>
      </c>
      <c r="AO716" s="24">
        <f>COUNTIF(AN:AN,Table2[[#This Row],[State]])/COUNTA(AN:AN)</f>
        <v>0.36140724946695096</v>
      </c>
      <c r="AP716">
        <f>VLOOKUP(N716,'Helpful Tables'!A:B,2,FALSE)</f>
        <v>45.525092999999998</v>
      </c>
      <c r="AQ716">
        <f>VLOOKUP(N716,'Helpful Tables'!A:C,3,FALSE)</f>
        <v>-122.681383</v>
      </c>
      <c r="AR716">
        <f>COUNTIF(P$2:$P$938,P716)</f>
        <v>40</v>
      </c>
      <c r="AS716" cm="1">
        <f t="array" ref="AS716">_xlfn.IFS(E716&lt;6,((E716/D716)*60)*0.5,AND(E716&gt;=6,E716&lt;9),((E716/D716)*60)*0.75,AND(E716&gt;=9,E716&lt;=11),((E716/D716)*60)*0.9,AND(E716=12),((E716/D716)*60)*1,AND(E716&gt;=13,E716&lt;=15),((E716/D716)*60)*1.2,AND(E716&gt;=16,E716&lt;=19),((E716/D716)*60)*1.5,E716&gt;=20,((E716/D716)*60)*1.8)</f>
        <v>25.5</v>
      </c>
      <c r="AT716" cm="1">
        <f t="array" ref="AT716">_xlfn.IFS(F716&lt;550,((F716/D716)*60)*0.5,AND(F716&gt;=550,F716&lt;575),((F716/D716)*60)*0.75,AND(F716&gt;=575,F716&lt;600),((F716/D716)*60)*0.9,AND(F716=600),((F716/D716)*60)*1,AND(F716&gt;=601,F716&lt;=625),((F716/D716)*60)*1.2,AND(F716&gt;=626,F716&lt;=650),((F716/D716)*60)*1.5,F716&gt;=651,((F716/D716)*60)*1.8)</f>
        <v>975</v>
      </c>
      <c r="AU716">
        <f t="shared" si="193"/>
        <v>7.9000000000000021</v>
      </c>
      <c r="AV716">
        <f t="shared" si="208"/>
        <v>401.78</v>
      </c>
      <c r="AW716">
        <f t="shared" si="194"/>
        <v>54.2</v>
      </c>
      <c r="AX716" t="str">
        <f t="shared" si="206"/>
        <v>Nov-2024</v>
      </c>
      <c r="AY716">
        <f>ROUNDUP(Table2[[#This Row],[Month]]/3,0)</f>
        <v>4</v>
      </c>
    </row>
    <row r="717" spans="1:51" x14ac:dyDescent="0.2">
      <c r="A717">
        <v>716</v>
      </c>
      <c r="B717">
        <f t="shared" si="195"/>
        <v>14</v>
      </c>
      <c r="C717" s="22">
        <v>45614</v>
      </c>
      <c r="D717">
        <f>SUM(Table2[[#This Row],[Gray Min]:[Red Min]])</f>
        <v>60</v>
      </c>
      <c r="E717">
        <v>10</v>
      </c>
      <c r="F717">
        <v>611</v>
      </c>
      <c r="G717">
        <v>0</v>
      </c>
      <c r="H717">
        <v>0</v>
      </c>
      <c r="I717">
        <v>19</v>
      </c>
      <c r="J717">
        <v>15</v>
      </c>
      <c r="K717">
        <v>16</v>
      </c>
      <c r="L717">
        <v>10</v>
      </c>
      <c r="M717">
        <v>0</v>
      </c>
      <c r="N717" t="s">
        <v>125</v>
      </c>
      <c r="O717" t="s">
        <v>127</v>
      </c>
      <c r="P717" t="s">
        <v>220</v>
      </c>
      <c r="Q717">
        <f t="shared" si="207"/>
        <v>2</v>
      </c>
      <c r="R717" t="str">
        <f t="shared" si="196"/>
        <v>11-2024</v>
      </c>
      <c r="S717" t="s">
        <v>104</v>
      </c>
      <c r="T717" t="str">
        <f t="shared" si="197"/>
        <v>Monday</v>
      </c>
      <c r="U717">
        <f t="shared" si="198"/>
        <v>0</v>
      </c>
      <c r="V717" s="24">
        <f>IFERROR(Table2[[#This Row],[Gray Min]]/Table2[[#This Row],[ClassLength]],"")</f>
        <v>0.31666666666666665</v>
      </c>
      <c r="W717" s="24">
        <f>IFERROR(Table2[[#This Row],[Blue Min]]/Table2[[#This Row],[ClassLength]],"")</f>
        <v>0.25</v>
      </c>
      <c r="X717" s="24">
        <f>IFERROR(Table2[[#This Row],[Green Min]]/Table2[[#This Row],[ClassLength]],"")</f>
        <v>0.26666666666666666</v>
      </c>
      <c r="Y717" s="24">
        <f>IFERROR(Table2[[#This Row],[Orange Min]]/Table2[[#This Row],[ClassLength]],"")</f>
        <v>0.16666666666666666</v>
      </c>
      <c r="Z717" s="24">
        <f>IFERROR(Table2[[#This Row],[Red Min]]/Table2[[#This Row],[ClassLength]],"")</f>
        <v>0</v>
      </c>
      <c r="AA717" s="25">
        <v>169</v>
      </c>
      <c r="AB717" s="25">
        <f t="shared" si="192"/>
        <v>12.071428571428571</v>
      </c>
      <c r="AC717" s="26">
        <f t="shared" si="199"/>
        <v>634.21428571428567</v>
      </c>
      <c r="AD717" s="26">
        <f t="shared" si="200"/>
        <v>14.785714285714286</v>
      </c>
      <c r="AE717">
        <f t="shared" si="201"/>
        <v>2024</v>
      </c>
      <c r="AG717">
        <v>12</v>
      </c>
      <c r="AH717" s="26">
        <f t="shared" si="202"/>
        <v>10.183333333333334</v>
      </c>
      <c r="AI717" t="str">
        <f t="shared" si="203"/>
        <v>PM</v>
      </c>
      <c r="AJ717" t="str">
        <f t="shared" si="204"/>
        <v>11-2024-4</v>
      </c>
      <c r="AK717">
        <f t="shared" si="205"/>
        <v>11</v>
      </c>
      <c r="AL717" s="26">
        <f>IFERROR(Table2[[#This Row],[Calories]]/Table2[[#This Row],[Splat]],"")</f>
        <v>61.1</v>
      </c>
      <c r="AM717">
        <f>COUNTIF(N$2:$N$938,N717)</f>
        <v>258</v>
      </c>
      <c r="AN717" t="str">
        <f>VLOOKUP(N717,'Helpful Tables'!A:D,4,FALSE)</f>
        <v>Oregon</v>
      </c>
      <c r="AO717" s="24">
        <f>COUNTIF(AN:AN,Table2[[#This Row],[State]])/COUNTA(AN:AN)</f>
        <v>0.36140724946695096</v>
      </c>
      <c r="AP717">
        <f>VLOOKUP(N717,'Helpful Tables'!A:B,2,FALSE)</f>
        <v>45.534162000000002</v>
      </c>
      <c r="AQ717">
        <f>VLOOKUP(N717,'Helpful Tables'!A:C,3,FALSE)</f>
        <v>-122.69670000000001</v>
      </c>
      <c r="AR717">
        <f>COUNTIF(P$2:$P$938,P717)</f>
        <v>43</v>
      </c>
      <c r="AS717" cm="1">
        <f t="array" ref="AS717">_xlfn.IFS(E717&lt;6,((E717/D717)*60)*0.5,AND(E717&gt;=6,E717&lt;9),((E717/D717)*60)*0.75,AND(E717&gt;=9,E717&lt;=11),((E717/D717)*60)*0.9,AND(E717=12),((E717/D717)*60)*1,AND(E717&gt;=13,E717&lt;=15),((E717/D717)*60)*1.2,AND(E717&gt;=16,E717&lt;=19),((E717/D717)*60)*1.5,E717&gt;=20,((E717/D717)*60)*1.8)</f>
        <v>9</v>
      </c>
      <c r="AT717" cm="1">
        <f t="array" ref="AT717">_xlfn.IFS(F717&lt;550,((F717/D717)*60)*0.5,AND(F717&gt;=550,F717&lt;575),((F717/D717)*60)*0.75,AND(F717&gt;=575,F717&lt;600),((F717/D717)*60)*0.9,AND(F717=600),((F717/D717)*60)*1,AND(F717&gt;=601,F717&lt;=625),((F717/D717)*60)*1.2,AND(F717&gt;=626,F717&lt;=650),((F717/D717)*60)*1.5,F717&gt;=651,((F717/D717)*60)*1.8)</f>
        <v>733.19999999999993</v>
      </c>
      <c r="AU717">
        <f t="shared" si="193"/>
        <v>-7.0999999999999979</v>
      </c>
      <c r="AV717">
        <f t="shared" si="208"/>
        <v>295.45999999999998</v>
      </c>
      <c r="AW717">
        <f t="shared" si="194"/>
        <v>25.6</v>
      </c>
      <c r="AX717" t="str">
        <f t="shared" si="206"/>
        <v>Nov-2024</v>
      </c>
      <c r="AY717">
        <f>ROUNDUP(Table2[[#This Row],[Month]]/3,0)</f>
        <v>4</v>
      </c>
    </row>
    <row r="718" spans="1:51" x14ac:dyDescent="0.2">
      <c r="A718">
        <v>717</v>
      </c>
      <c r="B718">
        <f t="shared" si="195"/>
        <v>14</v>
      </c>
      <c r="C718" s="22">
        <v>45615</v>
      </c>
      <c r="D718">
        <f>SUM(Table2[[#This Row],[Gray Min]:[Red Min]])</f>
        <v>59</v>
      </c>
      <c r="E718">
        <v>16</v>
      </c>
      <c r="F718">
        <v>638</v>
      </c>
      <c r="G718">
        <v>0</v>
      </c>
      <c r="H718">
        <v>0</v>
      </c>
      <c r="I718">
        <v>17</v>
      </c>
      <c r="J718">
        <v>14</v>
      </c>
      <c r="K718">
        <v>12</v>
      </c>
      <c r="L718">
        <v>16</v>
      </c>
      <c r="M718">
        <v>0</v>
      </c>
      <c r="N718" t="s">
        <v>125</v>
      </c>
      <c r="O718" t="s">
        <v>127</v>
      </c>
      <c r="P718" t="s">
        <v>216</v>
      </c>
      <c r="Q718">
        <f t="shared" si="207"/>
        <v>1</v>
      </c>
      <c r="R718" t="str">
        <f t="shared" si="196"/>
        <v>11-2024</v>
      </c>
      <c r="S718" t="s">
        <v>104</v>
      </c>
      <c r="T718" t="str">
        <f t="shared" si="197"/>
        <v>Tuesday</v>
      </c>
      <c r="U718">
        <f t="shared" si="198"/>
        <v>1</v>
      </c>
      <c r="V718" s="24">
        <f>IFERROR(Table2[[#This Row],[Gray Min]]/Table2[[#This Row],[ClassLength]],"")</f>
        <v>0.28813559322033899</v>
      </c>
      <c r="W718" s="24">
        <f>IFERROR(Table2[[#This Row],[Blue Min]]/Table2[[#This Row],[ClassLength]],"")</f>
        <v>0.23728813559322035</v>
      </c>
      <c r="X718" s="24">
        <f>IFERROR(Table2[[#This Row],[Green Min]]/Table2[[#This Row],[ClassLength]],"")</f>
        <v>0.20338983050847459</v>
      </c>
      <c r="Y718" s="24">
        <f>IFERROR(Table2[[#This Row],[Orange Min]]/Table2[[#This Row],[ClassLength]],"")</f>
        <v>0.2711864406779661</v>
      </c>
      <c r="Z718" s="24">
        <f>IFERROR(Table2[[#This Row],[Red Min]]/Table2[[#This Row],[ClassLength]],"")</f>
        <v>0</v>
      </c>
      <c r="AA718" s="25">
        <v>169</v>
      </c>
      <c r="AB718" s="25">
        <f t="shared" si="192"/>
        <v>12.071428571428571</v>
      </c>
      <c r="AC718" s="26">
        <f t="shared" si="199"/>
        <v>634.21428571428567</v>
      </c>
      <c r="AD718" s="26">
        <f t="shared" si="200"/>
        <v>14.785714285714286</v>
      </c>
      <c r="AE718">
        <f t="shared" si="201"/>
        <v>2024</v>
      </c>
      <c r="AG718">
        <v>12</v>
      </c>
      <c r="AH718" s="26">
        <f t="shared" si="202"/>
        <v>10.813559322033898</v>
      </c>
      <c r="AI718" t="str">
        <f t="shared" si="203"/>
        <v>PM</v>
      </c>
      <c r="AJ718" t="str">
        <f t="shared" si="204"/>
        <v>11-2024-4</v>
      </c>
      <c r="AK718">
        <f t="shared" si="205"/>
        <v>11</v>
      </c>
      <c r="AL718" s="26">
        <f>IFERROR(Table2[[#This Row],[Calories]]/Table2[[#This Row],[Splat]],"")</f>
        <v>39.875</v>
      </c>
      <c r="AM718">
        <f>COUNTIF(N$2:$N$938,N718)</f>
        <v>258</v>
      </c>
      <c r="AN718" t="str">
        <f>VLOOKUP(N718,'Helpful Tables'!A:D,4,FALSE)</f>
        <v>Oregon</v>
      </c>
      <c r="AO718" s="24">
        <f>COUNTIF(AN:AN,Table2[[#This Row],[State]])/COUNTA(AN:AN)</f>
        <v>0.36140724946695096</v>
      </c>
      <c r="AP718">
        <f>VLOOKUP(N718,'Helpful Tables'!A:B,2,FALSE)</f>
        <v>45.534162000000002</v>
      </c>
      <c r="AQ718">
        <f>VLOOKUP(N718,'Helpful Tables'!A:C,3,FALSE)</f>
        <v>-122.69670000000001</v>
      </c>
      <c r="AR718">
        <f>COUNTIF(P$2:$P$938,P718)</f>
        <v>25</v>
      </c>
      <c r="AS718" cm="1">
        <f t="array" ref="AS718">_xlfn.IFS(E718&lt;6,((E718/D718)*60)*0.5,AND(E718&gt;=6,E718&lt;9),((E718/D718)*60)*0.75,AND(E718&gt;=9,E718&lt;=11),((E718/D718)*60)*0.9,AND(E718=12),((E718/D718)*60)*1,AND(E718&gt;=13,E718&lt;=15),((E718/D718)*60)*1.2,AND(E718&gt;=16,E718&lt;=19),((E718/D718)*60)*1.5,E718&gt;=20,((E718/D718)*60)*1.8)</f>
        <v>24.406779661016948</v>
      </c>
      <c r="AT718" cm="1">
        <f t="array" ref="AT718">_xlfn.IFS(F718&lt;550,((F718/D718)*60)*0.5,AND(F718&gt;=550,F718&lt;575),((F718/D718)*60)*0.75,AND(F718&gt;=575,F718&lt;600),((F718/D718)*60)*0.9,AND(F718=600),((F718/D718)*60)*1,AND(F718&gt;=601,F718&lt;=625),((F718/D718)*60)*1.2,AND(F718&gt;=626,F718&lt;=650),((F718/D718)*60)*1.5,F718&gt;=651,((F718/D718)*60)*1.8)</f>
        <v>973.22033898305074</v>
      </c>
      <c r="AU718">
        <f t="shared" si="193"/>
        <v>-0.59999999999999787</v>
      </c>
      <c r="AV718">
        <f t="shared" si="208"/>
        <v>398.93084745762707</v>
      </c>
      <c r="AW718">
        <f t="shared" si="194"/>
        <v>52.5</v>
      </c>
      <c r="AX718" t="str">
        <f t="shared" si="206"/>
        <v>Nov-2024</v>
      </c>
      <c r="AY718">
        <f>ROUNDUP(Table2[[#This Row],[Month]]/3,0)</f>
        <v>4</v>
      </c>
    </row>
    <row r="719" spans="1:51" x14ac:dyDescent="0.2">
      <c r="A719">
        <v>718</v>
      </c>
      <c r="B719">
        <f t="shared" si="195"/>
        <v>14</v>
      </c>
      <c r="C719" s="22">
        <v>45621</v>
      </c>
      <c r="D719">
        <f>SUM(Table2[[#This Row],[Gray Min]:[Red Min]])</f>
        <v>56</v>
      </c>
      <c r="E719">
        <v>13</v>
      </c>
      <c r="F719">
        <v>618</v>
      </c>
      <c r="G719">
        <v>0</v>
      </c>
      <c r="H719">
        <v>0</v>
      </c>
      <c r="I719">
        <v>14</v>
      </c>
      <c r="J719">
        <v>14</v>
      </c>
      <c r="K719">
        <v>15</v>
      </c>
      <c r="L719">
        <v>12</v>
      </c>
      <c r="M719">
        <v>1</v>
      </c>
      <c r="N719" t="s">
        <v>138</v>
      </c>
      <c r="O719" t="s">
        <v>76</v>
      </c>
      <c r="P719" t="s">
        <v>195</v>
      </c>
      <c r="Q719">
        <f t="shared" si="207"/>
        <v>6</v>
      </c>
      <c r="R719" t="str">
        <f t="shared" si="196"/>
        <v>11-2024</v>
      </c>
      <c r="S719" t="s">
        <v>104</v>
      </c>
      <c r="T719" t="str">
        <f t="shared" si="197"/>
        <v>Monday</v>
      </c>
      <c r="U719">
        <f t="shared" si="198"/>
        <v>1</v>
      </c>
      <c r="V719" s="24">
        <f>IFERROR(Table2[[#This Row],[Gray Min]]/Table2[[#This Row],[ClassLength]],"")</f>
        <v>0.25</v>
      </c>
      <c r="W719" s="24">
        <f>IFERROR(Table2[[#This Row],[Blue Min]]/Table2[[#This Row],[ClassLength]],"")</f>
        <v>0.25</v>
      </c>
      <c r="X719" s="24">
        <f>IFERROR(Table2[[#This Row],[Green Min]]/Table2[[#This Row],[ClassLength]],"")</f>
        <v>0.26785714285714285</v>
      </c>
      <c r="Y719" s="24">
        <f>IFERROR(Table2[[#This Row],[Orange Min]]/Table2[[#This Row],[ClassLength]],"")</f>
        <v>0.21428571428571427</v>
      </c>
      <c r="Z719" s="24">
        <f>IFERROR(Table2[[#This Row],[Red Min]]/Table2[[#This Row],[ClassLength]],"")</f>
        <v>1.7857142857142856E-2</v>
      </c>
      <c r="AA719" s="25">
        <v>169</v>
      </c>
      <c r="AB719" s="25">
        <f t="shared" si="192"/>
        <v>12.071428571428571</v>
      </c>
      <c r="AC719" s="26">
        <f t="shared" si="199"/>
        <v>634.21428571428567</v>
      </c>
      <c r="AD719" s="26">
        <f t="shared" si="200"/>
        <v>14.785714285714286</v>
      </c>
      <c r="AE719">
        <f t="shared" si="201"/>
        <v>2024</v>
      </c>
      <c r="AG719">
        <v>12</v>
      </c>
      <c r="AH719" s="26">
        <f t="shared" si="202"/>
        <v>11.035714285714286</v>
      </c>
      <c r="AI719" t="str">
        <f t="shared" si="203"/>
        <v>AM</v>
      </c>
      <c r="AJ719" t="str">
        <f t="shared" si="204"/>
        <v>11-2024-5</v>
      </c>
      <c r="AK719">
        <f t="shared" si="205"/>
        <v>11</v>
      </c>
      <c r="AL719" s="26">
        <f>IFERROR(Table2[[#This Row],[Calories]]/Table2[[#This Row],[Splat]],"")</f>
        <v>47.53846153846154</v>
      </c>
      <c r="AM719">
        <f>COUNTIF(N$2:$N$938,N719)</f>
        <v>11</v>
      </c>
      <c r="AN719" t="str">
        <f>VLOOKUP(N719,'Helpful Tables'!A:D,4,FALSE)</f>
        <v>Massachusetts</v>
      </c>
      <c r="AO719" s="24">
        <f>COUNTIF(AN:AN,Table2[[#This Row],[State]])/COUNTA(AN:AN)</f>
        <v>1.7057569296375266E-2</v>
      </c>
      <c r="AP719">
        <f>VLOOKUP(N719,'Helpful Tables'!A:B,2,FALSE)</f>
        <v>42.350487000000001</v>
      </c>
      <c r="AQ719">
        <f>VLOOKUP(N719,'Helpful Tables'!A:C,3,FALSE)</f>
        <v>-71.152720000000002</v>
      </c>
      <c r="AR719">
        <f>COUNTIF(P$2:$P$938,P719)</f>
        <v>2</v>
      </c>
      <c r="AS719" cm="1">
        <f t="array" ref="AS719">_xlfn.IFS(E719&lt;6,((E719/D719)*60)*0.5,AND(E719&gt;=6,E719&lt;9),((E719/D719)*60)*0.75,AND(E719&gt;=9,E719&lt;=11),((E719/D719)*60)*0.9,AND(E719=12),((E719/D719)*60)*1,AND(E719&gt;=13,E719&lt;=15),((E719/D719)*60)*1.2,AND(E719&gt;=16,E719&lt;=19),((E719/D719)*60)*1.5,E719&gt;=20,((E719/D719)*60)*1.8)</f>
        <v>16.714285714285715</v>
      </c>
      <c r="AT719" cm="1">
        <f t="array" ref="AT719">_xlfn.IFS(F719&lt;550,((F719/D719)*60)*0.5,AND(F719&gt;=550,F719&lt;575),((F719/D719)*60)*0.75,AND(F719&gt;=575,F719&lt;600),((F719/D719)*60)*0.9,AND(F719=600),((F719/D719)*60)*1,AND(F719&gt;=601,F719&lt;=625),((F719/D719)*60)*1.2,AND(F719&gt;=626,F719&lt;=650),((F719/D719)*60)*1.5,F719&gt;=651,((F719/D719)*60)*1.8)</f>
        <v>794.57142857142867</v>
      </c>
      <c r="AU719">
        <f t="shared" si="193"/>
        <v>2.8999999999999986</v>
      </c>
      <c r="AV719">
        <f t="shared" si="208"/>
        <v>325.09428571428577</v>
      </c>
      <c r="AW719">
        <f t="shared" si="194"/>
        <v>38.700000000000003</v>
      </c>
      <c r="AX719" t="str">
        <f t="shared" si="206"/>
        <v>Nov-2024</v>
      </c>
      <c r="AY719">
        <f>ROUNDUP(Table2[[#This Row],[Month]]/3,0)</f>
        <v>4</v>
      </c>
    </row>
    <row r="720" spans="1:51" x14ac:dyDescent="0.2">
      <c r="A720">
        <v>719</v>
      </c>
      <c r="B720">
        <f t="shared" si="195"/>
        <v>14</v>
      </c>
      <c r="C720" s="22">
        <v>45623</v>
      </c>
      <c r="D720">
        <f>SUM(Table2[[#This Row],[Gray Min]:[Red Min]])</f>
        <v>58</v>
      </c>
      <c r="E720">
        <v>21</v>
      </c>
      <c r="F720">
        <v>688</v>
      </c>
      <c r="G720">
        <v>0</v>
      </c>
      <c r="H720">
        <v>0</v>
      </c>
      <c r="I720">
        <v>8</v>
      </c>
      <c r="J720">
        <v>18</v>
      </c>
      <c r="K720">
        <v>11</v>
      </c>
      <c r="L720">
        <v>19</v>
      </c>
      <c r="M720">
        <v>2</v>
      </c>
      <c r="N720" t="s">
        <v>111</v>
      </c>
      <c r="O720" t="s">
        <v>88</v>
      </c>
      <c r="P720" t="s">
        <v>224</v>
      </c>
      <c r="Q720">
        <f t="shared" si="207"/>
        <v>2</v>
      </c>
      <c r="R720" t="str">
        <f t="shared" si="196"/>
        <v>11-2024</v>
      </c>
      <c r="S720" t="s">
        <v>104</v>
      </c>
      <c r="T720" t="str">
        <f t="shared" si="197"/>
        <v>Wednesday</v>
      </c>
      <c r="U720">
        <f t="shared" si="198"/>
        <v>1</v>
      </c>
      <c r="V720" s="24">
        <f>IFERROR(Table2[[#This Row],[Gray Min]]/Table2[[#This Row],[ClassLength]],"")</f>
        <v>0.13793103448275862</v>
      </c>
      <c r="W720" s="24">
        <f>IFERROR(Table2[[#This Row],[Blue Min]]/Table2[[#This Row],[ClassLength]],"")</f>
        <v>0.31034482758620691</v>
      </c>
      <c r="X720" s="24">
        <f>IFERROR(Table2[[#This Row],[Green Min]]/Table2[[#This Row],[ClassLength]],"")</f>
        <v>0.18965517241379309</v>
      </c>
      <c r="Y720" s="24">
        <f>IFERROR(Table2[[#This Row],[Orange Min]]/Table2[[#This Row],[ClassLength]],"")</f>
        <v>0.32758620689655171</v>
      </c>
      <c r="Z720" s="24">
        <f>IFERROR(Table2[[#This Row],[Red Min]]/Table2[[#This Row],[ClassLength]],"")</f>
        <v>3.4482758620689655E-2</v>
      </c>
      <c r="AA720" s="25">
        <v>169</v>
      </c>
      <c r="AB720" s="25">
        <f t="shared" ref="AB720:AB783" si="209">AA720/B720</f>
        <v>12.071428571428571</v>
      </c>
      <c r="AC720" s="26">
        <f t="shared" si="199"/>
        <v>634.21428571428567</v>
      </c>
      <c r="AD720" s="26">
        <f t="shared" si="200"/>
        <v>14.785714285714286</v>
      </c>
      <c r="AE720">
        <f t="shared" si="201"/>
        <v>2024</v>
      </c>
      <c r="AG720">
        <v>12</v>
      </c>
      <c r="AH720" s="26">
        <f t="shared" si="202"/>
        <v>11.862068965517242</v>
      </c>
      <c r="AI720" t="str">
        <f t="shared" si="203"/>
        <v>AM</v>
      </c>
      <c r="AJ720" t="str">
        <f t="shared" si="204"/>
        <v>11-2024-5</v>
      </c>
      <c r="AK720">
        <f t="shared" si="205"/>
        <v>11</v>
      </c>
      <c r="AL720" s="26">
        <f>IFERROR(Table2[[#This Row],[Calories]]/Table2[[#This Row],[Splat]],"")</f>
        <v>32.761904761904759</v>
      </c>
      <c r="AM720">
        <f>COUNTIF(N$2:$N$938,N720)</f>
        <v>3</v>
      </c>
      <c r="AN720" t="str">
        <f>VLOOKUP(N720,'Helpful Tables'!A:D,4,FALSE)</f>
        <v>Massachusetts</v>
      </c>
      <c r="AO720" s="24">
        <f>COUNTIF(AN:AN,Table2[[#This Row],[State]])/COUNTA(AN:AN)</f>
        <v>1.7057569296375266E-2</v>
      </c>
      <c r="AP720">
        <f>VLOOKUP(N720,'Helpful Tables'!A:B,2,FALSE)</f>
        <v>42.383611000000002</v>
      </c>
      <c r="AQ720">
        <f>VLOOKUP(N720,'Helpful Tables'!A:C,3,FALSE)</f>
        <v>-71.181432999999998</v>
      </c>
      <c r="AR720">
        <f>COUNTIF(P$2:$P$938,P720)</f>
        <v>1</v>
      </c>
      <c r="AS720" cm="1">
        <f t="array" ref="AS720">_xlfn.IFS(E720&lt;6,((E720/D720)*60)*0.5,AND(E720&gt;=6,E720&lt;9),((E720/D720)*60)*0.75,AND(E720&gt;=9,E720&lt;=11),((E720/D720)*60)*0.9,AND(E720=12),((E720/D720)*60)*1,AND(E720&gt;=13,E720&lt;=15),((E720/D720)*60)*1.2,AND(E720&gt;=16,E720&lt;=19),((E720/D720)*60)*1.5,E720&gt;=20,((E720/D720)*60)*1.8)</f>
        <v>39.103448275862071</v>
      </c>
      <c r="AT720" cm="1">
        <f t="array" ref="AT720">_xlfn.IFS(F720&lt;550,((F720/D720)*60)*0.5,AND(F720&gt;=550,F720&lt;575),((F720/D720)*60)*0.75,AND(F720&gt;=575,F720&lt;600),((F720/D720)*60)*0.9,AND(F720=600),((F720/D720)*60)*1,AND(F720&gt;=601,F720&lt;=625),((F720/D720)*60)*1.2,AND(F720&gt;=626,F720&lt;=650),((F720/D720)*60)*1.5,F720&gt;=651,((F720/D720)*60)*1.8)</f>
        <v>1281.1034482758621</v>
      </c>
      <c r="AU720">
        <f t="shared" si="193"/>
        <v>11.5</v>
      </c>
      <c r="AV720">
        <f t="shared" si="208"/>
        <v>530.38275862068963</v>
      </c>
      <c r="AW720">
        <f t="shared" si="194"/>
        <v>93.8</v>
      </c>
      <c r="AX720" t="str">
        <f t="shared" si="206"/>
        <v>Nov-2024</v>
      </c>
      <c r="AY720">
        <f>ROUNDUP(Table2[[#This Row],[Month]]/3,0)</f>
        <v>4</v>
      </c>
    </row>
    <row r="721" spans="1:51" x14ac:dyDescent="0.2">
      <c r="A721">
        <v>720</v>
      </c>
      <c r="B721">
        <f t="shared" si="195"/>
        <v>14</v>
      </c>
      <c r="C721" s="22">
        <v>45624</v>
      </c>
      <c r="D721">
        <f>SUM(Table2[[#This Row],[Gray Min]:[Red Min]])</f>
        <v>58</v>
      </c>
      <c r="E721">
        <v>12</v>
      </c>
      <c r="F721">
        <v>644</v>
      </c>
      <c r="G721">
        <v>0</v>
      </c>
      <c r="H721">
        <v>0</v>
      </c>
      <c r="I721">
        <v>14</v>
      </c>
      <c r="J721">
        <v>12</v>
      </c>
      <c r="K721">
        <v>20</v>
      </c>
      <c r="L721">
        <v>10</v>
      </c>
      <c r="M721">
        <v>2</v>
      </c>
      <c r="N721" t="s">
        <v>138</v>
      </c>
      <c r="O721" t="s">
        <v>76</v>
      </c>
      <c r="P721" t="s">
        <v>225</v>
      </c>
      <c r="Q721">
        <f t="shared" si="207"/>
        <v>1</v>
      </c>
      <c r="R721" t="str">
        <f t="shared" si="196"/>
        <v>11-2024</v>
      </c>
      <c r="S721" t="s">
        <v>117</v>
      </c>
      <c r="T721" t="str">
        <f t="shared" si="197"/>
        <v>Thursday</v>
      </c>
      <c r="U721">
        <f t="shared" si="198"/>
        <v>1</v>
      </c>
      <c r="V721" s="24">
        <f>IFERROR(Table2[[#This Row],[Gray Min]]/Table2[[#This Row],[ClassLength]],"")</f>
        <v>0.2413793103448276</v>
      </c>
      <c r="W721" s="24">
        <f>IFERROR(Table2[[#This Row],[Blue Min]]/Table2[[#This Row],[ClassLength]],"")</f>
        <v>0.20689655172413793</v>
      </c>
      <c r="X721" s="24">
        <f>IFERROR(Table2[[#This Row],[Green Min]]/Table2[[#This Row],[ClassLength]],"")</f>
        <v>0.34482758620689657</v>
      </c>
      <c r="Y721" s="24">
        <f>IFERROR(Table2[[#This Row],[Orange Min]]/Table2[[#This Row],[ClassLength]],"")</f>
        <v>0.17241379310344829</v>
      </c>
      <c r="Z721" s="24">
        <f>IFERROR(Table2[[#This Row],[Red Min]]/Table2[[#This Row],[ClassLength]],"")</f>
        <v>3.4482758620689655E-2</v>
      </c>
      <c r="AA721" s="25">
        <v>169</v>
      </c>
      <c r="AB721" s="25">
        <f t="shared" si="209"/>
        <v>12.071428571428571</v>
      </c>
      <c r="AC721" s="26">
        <f t="shared" si="199"/>
        <v>634.21428571428567</v>
      </c>
      <c r="AD721" s="26">
        <f t="shared" si="200"/>
        <v>14.785714285714286</v>
      </c>
      <c r="AE721">
        <f t="shared" si="201"/>
        <v>2024</v>
      </c>
      <c r="AG721">
        <v>12</v>
      </c>
      <c r="AH721" s="26">
        <f t="shared" si="202"/>
        <v>11.103448275862069</v>
      </c>
      <c r="AI721" t="str">
        <f t="shared" si="203"/>
        <v>AM</v>
      </c>
      <c r="AJ721" t="str">
        <f t="shared" si="204"/>
        <v>11-2024-5</v>
      </c>
      <c r="AK721">
        <f t="shared" si="205"/>
        <v>11</v>
      </c>
      <c r="AL721" s="26">
        <f>IFERROR(Table2[[#This Row],[Calories]]/Table2[[#This Row],[Splat]],"")</f>
        <v>53.666666666666664</v>
      </c>
      <c r="AM721">
        <f>COUNTIF(N$2:$N$938,N721)</f>
        <v>11</v>
      </c>
      <c r="AN721" t="str">
        <f>VLOOKUP(N721,'Helpful Tables'!A:D,4,FALSE)</f>
        <v>Massachusetts</v>
      </c>
      <c r="AO721" s="24">
        <f>COUNTIF(AN:AN,Table2[[#This Row],[State]])/COUNTA(AN:AN)</f>
        <v>1.7057569296375266E-2</v>
      </c>
      <c r="AP721">
        <f>VLOOKUP(N721,'Helpful Tables'!A:B,2,FALSE)</f>
        <v>42.350487000000001</v>
      </c>
      <c r="AQ721">
        <f>VLOOKUP(N721,'Helpful Tables'!A:C,3,FALSE)</f>
        <v>-71.152720000000002</v>
      </c>
      <c r="AR721">
        <f>COUNTIF(P$2:$P$938,P721)</f>
        <v>1</v>
      </c>
      <c r="AS721" cm="1">
        <f t="array" ref="AS721">_xlfn.IFS(E721&lt;6,((E721/D721)*60)*0.5,AND(E721&gt;=6,E721&lt;9),((E721/D721)*60)*0.75,AND(E721&gt;=9,E721&lt;=11),((E721/D721)*60)*0.9,AND(E721=12),((E721/D721)*60)*1,AND(E721&gt;=13,E721&lt;=15),((E721/D721)*60)*1.2,AND(E721&gt;=16,E721&lt;=19),((E721/D721)*60)*1.5,E721&gt;=20,((E721/D721)*60)*1.8)</f>
        <v>12.413793103448276</v>
      </c>
      <c r="AT721" cm="1">
        <f t="array" ref="AT721">_xlfn.IFS(F721&lt;550,((F721/D721)*60)*0.5,AND(F721&gt;=550,F721&lt;575),((F721/D721)*60)*0.75,AND(F721&gt;=575,F721&lt;600),((F721/D721)*60)*0.9,AND(F721=600),((F721/D721)*60)*1,AND(F721&gt;=601,F721&lt;=625),((F721/D721)*60)*1.2,AND(F721&gt;=626,F721&lt;=650),((F721/D721)*60)*1.5,F721&gt;=651,((F721/D721)*60)*1.8)</f>
        <v>999.31034482758628</v>
      </c>
      <c r="AU721">
        <f t="shared" si="193"/>
        <v>10</v>
      </c>
      <c r="AV721">
        <f t="shared" si="208"/>
        <v>406.68965517241384</v>
      </c>
      <c r="AW721">
        <f t="shared" si="194"/>
        <v>56.8</v>
      </c>
      <c r="AX721" t="str">
        <f t="shared" si="206"/>
        <v>Nov-2024</v>
      </c>
      <c r="AY721">
        <f>ROUNDUP(Table2[[#This Row],[Month]]/3,0)</f>
        <v>4</v>
      </c>
    </row>
    <row r="722" spans="1:51" x14ac:dyDescent="0.2">
      <c r="A722">
        <v>721</v>
      </c>
      <c r="B722">
        <f t="shared" si="195"/>
        <v>14</v>
      </c>
      <c r="C722" s="22">
        <v>45626</v>
      </c>
      <c r="D722">
        <f>SUM(Table2[[#This Row],[Gray Min]:[Red Min]])</f>
        <v>60</v>
      </c>
      <c r="E722">
        <v>7</v>
      </c>
      <c r="F722">
        <v>547</v>
      </c>
      <c r="G722">
        <v>0</v>
      </c>
      <c r="H722">
        <v>0</v>
      </c>
      <c r="I722">
        <v>28</v>
      </c>
      <c r="J722">
        <v>15</v>
      </c>
      <c r="K722">
        <v>10</v>
      </c>
      <c r="L722">
        <v>7</v>
      </c>
      <c r="M722">
        <v>0</v>
      </c>
      <c r="N722" t="s">
        <v>125</v>
      </c>
      <c r="O722" t="s">
        <v>159</v>
      </c>
      <c r="P722" t="s">
        <v>222</v>
      </c>
      <c r="Q722">
        <f t="shared" si="207"/>
        <v>2</v>
      </c>
      <c r="R722" t="str">
        <f t="shared" si="196"/>
        <v>11-2024</v>
      </c>
      <c r="S722" t="s">
        <v>117</v>
      </c>
      <c r="T722" t="str">
        <f t="shared" si="197"/>
        <v>Saturday</v>
      </c>
      <c r="U722">
        <f t="shared" si="198"/>
        <v>0</v>
      </c>
      <c r="V722" s="24">
        <f>IFERROR(Table2[[#This Row],[Gray Min]]/Table2[[#This Row],[ClassLength]],"")</f>
        <v>0.46666666666666667</v>
      </c>
      <c r="W722" s="24">
        <f>IFERROR(Table2[[#This Row],[Blue Min]]/Table2[[#This Row],[ClassLength]],"")</f>
        <v>0.25</v>
      </c>
      <c r="X722" s="24">
        <f>IFERROR(Table2[[#This Row],[Green Min]]/Table2[[#This Row],[ClassLength]],"")</f>
        <v>0.16666666666666666</v>
      </c>
      <c r="Y722" s="24">
        <f>IFERROR(Table2[[#This Row],[Orange Min]]/Table2[[#This Row],[ClassLength]],"")</f>
        <v>0.11666666666666667</v>
      </c>
      <c r="Z722" s="24">
        <f>IFERROR(Table2[[#This Row],[Red Min]]/Table2[[#This Row],[ClassLength]],"")</f>
        <v>0</v>
      </c>
      <c r="AA722" s="25">
        <v>169</v>
      </c>
      <c r="AB722" s="25">
        <f t="shared" si="209"/>
        <v>12.071428571428571</v>
      </c>
      <c r="AC722" s="26">
        <f t="shared" si="199"/>
        <v>634.21428571428567</v>
      </c>
      <c r="AD722" s="26">
        <f t="shared" si="200"/>
        <v>14.785714285714286</v>
      </c>
      <c r="AE722">
        <f t="shared" si="201"/>
        <v>2024</v>
      </c>
      <c r="AG722">
        <v>12</v>
      </c>
      <c r="AH722" s="26">
        <f t="shared" si="202"/>
        <v>9.1166666666666671</v>
      </c>
      <c r="AI722" t="str">
        <f t="shared" si="203"/>
        <v>AM</v>
      </c>
      <c r="AJ722" t="str">
        <f t="shared" si="204"/>
        <v>11-2024-5</v>
      </c>
      <c r="AK722">
        <f t="shared" si="205"/>
        <v>11</v>
      </c>
      <c r="AL722" s="26">
        <f>IFERROR(Table2[[#This Row],[Calories]]/Table2[[#This Row],[Splat]],"")</f>
        <v>78.142857142857139</v>
      </c>
      <c r="AM722">
        <f>COUNTIF(N$2:$N$938,N722)</f>
        <v>258</v>
      </c>
      <c r="AN722" t="str">
        <f>VLOOKUP(N722,'Helpful Tables'!A:D,4,FALSE)</f>
        <v>Oregon</v>
      </c>
      <c r="AO722" s="24">
        <f>COUNTIF(AN:AN,Table2[[#This Row],[State]])/COUNTA(AN:AN)</f>
        <v>0.36140724946695096</v>
      </c>
      <c r="AP722">
        <f>VLOOKUP(N722,'Helpful Tables'!A:B,2,FALSE)</f>
        <v>45.534162000000002</v>
      </c>
      <c r="AQ722">
        <f>VLOOKUP(N722,'Helpful Tables'!A:C,3,FALSE)</f>
        <v>-122.69670000000001</v>
      </c>
      <c r="AR722">
        <f>COUNTIF(P$2:$P$938,P722)</f>
        <v>32</v>
      </c>
      <c r="AS722" cm="1">
        <f t="array" ref="AS722">_xlfn.IFS(E722&lt;6,((E722/D722)*60)*0.5,AND(E722&gt;=6,E722&lt;9),((E722/D722)*60)*0.75,AND(E722&gt;=9,E722&lt;=11),((E722/D722)*60)*0.9,AND(E722=12),((E722/D722)*60)*1,AND(E722&gt;=13,E722&lt;=15),((E722/D722)*60)*1.2,AND(E722&gt;=16,E722&lt;=19),((E722/D722)*60)*1.5,E722&gt;=20,((E722/D722)*60)*1.8)</f>
        <v>5.25</v>
      </c>
      <c r="AT722" cm="1">
        <f t="array" ref="AT722">_xlfn.IFS(F722&lt;550,((F722/D722)*60)*0.5,AND(F722&gt;=550,F722&lt;575),((F722/D722)*60)*0.75,AND(F722&gt;=575,F722&lt;600),((F722/D722)*60)*0.9,AND(F722=600),((F722/D722)*60)*1,AND(F722&gt;=601,F722&lt;=625),((F722/D722)*60)*1.2,AND(F722&gt;=626,F722&lt;=650),((F722/D722)*60)*1.5,F722&gt;=651,((F722/D722)*60)*1.8)</f>
        <v>273.5</v>
      </c>
      <c r="AU722">
        <f t="shared" si="193"/>
        <v>-29</v>
      </c>
      <c r="AV722">
        <f t="shared" si="208"/>
        <v>105.7</v>
      </c>
      <c r="AW722">
        <f t="shared" si="194"/>
        <v>2.4</v>
      </c>
      <c r="AX722" t="str">
        <f t="shared" si="206"/>
        <v>Nov-2024</v>
      </c>
      <c r="AY722">
        <f>ROUNDUP(Table2[[#This Row],[Month]]/3,0)</f>
        <v>4</v>
      </c>
    </row>
    <row r="723" spans="1:51" x14ac:dyDescent="0.2">
      <c r="A723">
        <v>722</v>
      </c>
      <c r="B723">
        <f t="shared" si="195"/>
        <v>12</v>
      </c>
      <c r="C723" s="22">
        <v>45628</v>
      </c>
      <c r="D723">
        <f>SUM(Table2[[#This Row],[Gray Min]:[Red Min]])</f>
        <v>61</v>
      </c>
      <c r="E723">
        <v>17</v>
      </c>
      <c r="F723">
        <v>718</v>
      </c>
      <c r="G723">
        <v>0</v>
      </c>
      <c r="H723">
        <v>0</v>
      </c>
      <c r="I723">
        <v>8</v>
      </c>
      <c r="J723">
        <v>13</v>
      </c>
      <c r="K723">
        <v>23</v>
      </c>
      <c r="L723">
        <v>13</v>
      </c>
      <c r="M723">
        <v>4</v>
      </c>
      <c r="N723" t="s">
        <v>125</v>
      </c>
      <c r="O723" t="s">
        <v>127</v>
      </c>
      <c r="P723" t="s">
        <v>220</v>
      </c>
      <c r="Q723">
        <f t="shared" si="207"/>
        <v>2</v>
      </c>
      <c r="R723" t="str">
        <f t="shared" si="196"/>
        <v>12-2024</v>
      </c>
      <c r="S723" t="s">
        <v>104</v>
      </c>
      <c r="T723" t="str">
        <f t="shared" si="197"/>
        <v>Monday</v>
      </c>
      <c r="U723">
        <f t="shared" si="198"/>
        <v>1</v>
      </c>
      <c r="V723" s="24">
        <f>IFERROR(Table2[[#This Row],[Gray Min]]/Table2[[#This Row],[ClassLength]],"")</f>
        <v>0.13114754098360656</v>
      </c>
      <c r="W723" s="24">
        <f>IFERROR(Table2[[#This Row],[Blue Min]]/Table2[[#This Row],[ClassLength]],"")</f>
        <v>0.21311475409836064</v>
      </c>
      <c r="X723" s="24">
        <f>IFERROR(Table2[[#This Row],[Green Min]]/Table2[[#This Row],[ClassLength]],"")</f>
        <v>0.37704918032786883</v>
      </c>
      <c r="Y723" s="24">
        <f>IFERROR(Table2[[#This Row],[Orange Min]]/Table2[[#This Row],[ClassLength]],"")</f>
        <v>0.21311475409836064</v>
      </c>
      <c r="Z723" s="24">
        <f>IFERROR(Table2[[#This Row],[Red Min]]/Table2[[#This Row],[ClassLength]],"")</f>
        <v>6.5573770491803282E-2</v>
      </c>
      <c r="AA723" s="25">
        <v>169</v>
      </c>
      <c r="AB723" s="25">
        <f t="shared" si="209"/>
        <v>14.083333333333334</v>
      </c>
      <c r="AC723" s="26">
        <f t="shared" si="199"/>
        <v>651.33333333333337</v>
      </c>
      <c r="AD723" s="26">
        <f t="shared" si="200"/>
        <v>14.75</v>
      </c>
      <c r="AE723">
        <f t="shared" si="201"/>
        <v>2024</v>
      </c>
      <c r="AG723">
        <v>12</v>
      </c>
      <c r="AH723" s="26">
        <f t="shared" si="202"/>
        <v>11.770491803278688</v>
      </c>
      <c r="AI723" t="str">
        <f t="shared" si="203"/>
        <v>PM</v>
      </c>
      <c r="AJ723" t="str">
        <f t="shared" si="204"/>
        <v>12-2024-1</v>
      </c>
      <c r="AK723">
        <f t="shared" si="205"/>
        <v>12</v>
      </c>
      <c r="AL723" s="26">
        <f>IFERROR(Table2[[#This Row],[Calories]]/Table2[[#This Row],[Splat]],"")</f>
        <v>42.235294117647058</v>
      </c>
      <c r="AM723">
        <f>COUNTIF(N$2:$N$938,N723)</f>
        <v>258</v>
      </c>
      <c r="AN723" t="str">
        <f>VLOOKUP(N723,'Helpful Tables'!A:D,4,FALSE)</f>
        <v>Oregon</v>
      </c>
      <c r="AO723" s="24">
        <f>COUNTIF(AN:AN,Table2[[#This Row],[State]])/COUNTA(AN:AN)</f>
        <v>0.36140724946695096</v>
      </c>
      <c r="AP723">
        <f>VLOOKUP(N723,'Helpful Tables'!A:B,2,FALSE)</f>
        <v>45.534162000000002</v>
      </c>
      <c r="AQ723">
        <f>VLOOKUP(N723,'Helpful Tables'!A:C,3,FALSE)</f>
        <v>-122.69670000000001</v>
      </c>
      <c r="AR723">
        <f>COUNTIF(P$2:$P$938,P723)</f>
        <v>43</v>
      </c>
      <c r="AS723" cm="1">
        <f t="array" ref="AS723">_xlfn.IFS(E723&lt;6,((E723/D723)*60)*0.5,AND(E723&gt;=6,E723&lt;9),((E723/D723)*60)*0.75,AND(E723&gt;=9,E723&lt;=11),((E723/D723)*60)*0.9,AND(E723=12),((E723/D723)*60)*1,AND(E723&gt;=13,E723&lt;=15),((E723/D723)*60)*1.2,AND(E723&gt;=16,E723&lt;=19),((E723/D723)*60)*1.5,E723&gt;=20,((E723/D723)*60)*1.8)</f>
        <v>25.081967213114751</v>
      </c>
      <c r="AT723" cm="1">
        <f t="array" ref="AT723">_xlfn.IFS(F723&lt;550,((F723/D723)*60)*0.5,AND(F723&gt;=550,F723&lt;575),((F723/D723)*60)*0.75,AND(F723&gt;=575,F723&lt;600),((F723/D723)*60)*0.9,AND(F723=600),((F723/D723)*60)*1,AND(F723&gt;=601,F723&lt;=625),((F723/D723)*60)*1.2,AND(F723&gt;=626,F723&lt;=650),((F723/D723)*60)*1.5,F723&gt;=651,((F723/D723)*60)*1.8)</f>
        <v>1271.2131147540983</v>
      </c>
      <c r="AU723">
        <f t="shared" si="193"/>
        <v>26.6</v>
      </c>
      <c r="AV723">
        <f t="shared" si="208"/>
        <v>523.83803278688526</v>
      </c>
      <c r="AW723">
        <f t="shared" si="194"/>
        <v>91.8</v>
      </c>
      <c r="AX723" t="str">
        <f t="shared" si="206"/>
        <v>Dec-2024</v>
      </c>
      <c r="AY723">
        <f>ROUNDUP(Table2[[#This Row],[Month]]/3,0)</f>
        <v>4</v>
      </c>
    </row>
    <row r="724" spans="1:51" x14ac:dyDescent="0.2">
      <c r="A724">
        <v>723</v>
      </c>
      <c r="B724">
        <f t="shared" si="195"/>
        <v>12</v>
      </c>
      <c r="C724" s="22">
        <v>45631</v>
      </c>
      <c r="D724">
        <f>SUM(Table2[[#This Row],[Gray Min]:[Red Min]])</f>
        <v>57</v>
      </c>
      <c r="E724">
        <v>16</v>
      </c>
      <c r="F724">
        <v>686</v>
      </c>
      <c r="G724">
        <v>0</v>
      </c>
      <c r="H724">
        <v>0</v>
      </c>
      <c r="I724">
        <v>5</v>
      </c>
      <c r="J724">
        <v>14</v>
      </c>
      <c r="K724">
        <v>22</v>
      </c>
      <c r="L724">
        <v>13</v>
      </c>
      <c r="M724">
        <v>3</v>
      </c>
      <c r="N724" t="s">
        <v>125</v>
      </c>
      <c r="O724" t="s">
        <v>127</v>
      </c>
      <c r="P724" t="s">
        <v>222</v>
      </c>
      <c r="Q724">
        <f t="shared" si="207"/>
        <v>3</v>
      </c>
      <c r="R724" t="str">
        <f t="shared" si="196"/>
        <v>12-2024</v>
      </c>
      <c r="S724" t="s">
        <v>104</v>
      </c>
      <c r="T724" t="str">
        <f t="shared" si="197"/>
        <v>Thursday</v>
      </c>
      <c r="U724">
        <f t="shared" si="198"/>
        <v>1</v>
      </c>
      <c r="V724" s="24">
        <f>IFERROR(Table2[[#This Row],[Gray Min]]/Table2[[#This Row],[ClassLength]],"")</f>
        <v>8.771929824561403E-2</v>
      </c>
      <c r="W724" s="24">
        <f>IFERROR(Table2[[#This Row],[Blue Min]]/Table2[[#This Row],[ClassLength]],"")</f>
        <v>0.24561403508771928</v>
      </c>
      <c r="X724" s="24">
        <f>IFERROR(Table2[[#This Row],[Green Min]]/Table2[[#This Row],[ClassLength]],"")</f>
        <v>0.38596491228070173</v>
      </c>
      <c r="Y724" s="24">
        <f>IFERROR(Table2[[#This Row],[Orange Min]]/Table2[[#This Row],[ClassLength]],"")</f>
        <v>0.22807017543859648</v>
      </c>
      <c r="Z724" s="24">
        <f>IFERROR(Table2[[#This Row],[Red Min]]/Table2[[#This Row],[ClassLength]],"")</f>
        <v>5.2631578947368418E-2</v>
      </c>
      <c r="AA724" s="25">
        <v>169</v>
      </c>
      <c r="AB724" s="25">
        <f t="shared" si="209"/>
        <v>14.083333333333334</v>
      </c>
      <c r="AC724" s="26">
        <f t="shared" si="199"/>
        <v>651.33333333333337</v>
      </c>
      <c r="AD724" s="26">
        <f t="shared" si="200"/>
        <v>14.75</v>
      </c>
      <c r="AE724">
        <f t="shared" si="201"/>
        <v>2024</v>
      </c>
      <c r="AG724">
        <v>12</v>
      </c>
      <c r="AH724" s="26">
        <f t="shared" si="202"/>
        <v>12.035087719298245</v>
      </c>
      <c r="AI724" t="str">
        <f t="shared" si="203"/>
        <v>PM</v>
      </c>
      <c r="AJ724" t="str">
        <f t="shared" si="204"/>
        <v>12-2024-1</v>
      </c>
      <c r="AK724">
        <f t="shared" si="205"/>
        <v>12</v>
      </c>
      <c r="AL724" s="26">
        <f>IFERROR(Table2[[#This Row],[Calories]]/Table2[[#This Row],[Splat]],"")</f>
        <v>42.875</v>
      </c>
      <c r="AM724">
        <f>COUNTIF(N$2:$N$938,N724)</f>
        <v>258</v>
      </c>
      <c r="AN724" t="str">
        <f>VLOOKUP(N724,'Helpful Tables'!A:D,4,FALSE)</f>
        <v>Oregon</v>
      </c>
      <c r="AO724" s="24">
        <f>COUNTIF(AN:AN,Table2[[#This Row],[State]])/COUNTA(AN:AN)</f>
        <v>0.36140724946695096</v>
      </c>
      <c r="AP724">
        <f>VLOOKUP(N724,'Helpful Tables'!A:B,2,FALSE)</f>
        <v>45.534162000000002</v>
      </c>
      <c r="AQ724">
        <f>VLOOKUP(N724,'Helpful Tables'!A:C,3,FALSE)</f>
        <v>-122.69670000000001</v>
      </c>
      <c r="AR724">
        <f>COUNTIF(P$2:$P$938,P724)</f>
        <v>32</v>
      </c>
      <c r="AS724" cm="1">
        <f t="array" ref="AS724">_xlfn.IFS(E724&lt;6,((E724/D724)*60)*0.5,AND(E724&gt;=6,E724&lt;9),((E724/D724)*60)*0.75,AND(E724&gt;=9,E724&lt;=11),((E724/D724)*60)*0.9,AND(E724=12),((E724/D724)*60)*1,AND(E724&gt;=13,E724&lt;=15),((E724/D724)*60)*1.2,AND(E724&gt;=16,E724&lt;=19),((E724/D724)*60)*1.5,E724&gt;=20,((E724/D724)*60)*1.8)</f>
        <v>25.263157894736842</v>
      </c>
      <c r="AT724" cm="1">
        <f t="array" ref="AT724">_xlfn.IFS(F724&lt;550,((F724/D724)*60)*0.5,AND(F724&gt;=550,F724&lt;575),((F724/D724)*60)*0.75,AND(F724&gt;=575,F724&lt;600),((F724/D724)*60)*0.9,AND(F724=600),((F724/D724)*60)*1,AND(F724&gt;=601,F724&lt;=625),((F724/D724)*60)*1.2,AND(F724&gt;=626,F724&lt;=650),((F724/D724)*60)*1.5,F724&gt;=651,((F724/D724)*60)*1.8)</f>
        <v>1299.7894736842104</v>
      </c>
      <c r="AU724">
        <f t="shared" si="193"/>
        <v>26.4</v>
      </c>
      <c r="AV724">
        <f t="shared" si="208"/>
        <v>535.30105263157884</v>
      </c>
      <c r="AW724">
        <f t="shared" si="194"/>
        <v>95.3</v>
      </c>
      <c r="AX724" t="str">
        <f t="shared" si="206"/>
        <v>Dec-2024</v>
      </c>
      <c r="AY724">
        <f>ROUNDUP(Table2[[#This Row],[Month]]/3,0)</f>
        <v>4</v>
      </c>
    </row>
    <row r="725" spans="1:51" x14ac:dyDescent="0.2">
      <c r="A725">
        <v>724</v>
      </c>
      <c r="B725">
        <f t="shared" si="195"/>
        <v>12</v>
      </c>
      <c r="C725" s="22">
        <v>45633</v>
      </c>
      <c r="D725">
        <f>SUM(Table2[[#This Row],[Gray Min]:[Red Min]])</f>
        <v>61</v>
      </c>
      <c r="E725">
        <v>9</v>
      </c>
      <c r="F725">
        <v>562</v>
      </c>
      <c r="G725">
        <v>0</v>
      </c>
      <c r="H725">
        <v>0</v>
      </c>
      <c r="I725">
        <v>26</v>
      </c>
      <c r="J725">
        <v>15</v>
      </c>
      <c r="K725">
        <v>11</v>
      </c>
      <c r="L725">
        <v>8</v>
      </c>
      <c r="M725">
        <v>1</v>
      </c>
      <c r="N725" t="s">
        <v>125</v>
      </c>
      <c r="O725" t="s">
        <v>159</v>
      </c>
      <c r="P725" t="s">
        <v>220</v>
      </c>
      <c r="Q725">
        <f t="shared" si="207"/>
        <v>2</v>
      </c>
      <c r="R725" t="str">
        <f t="shared" si="196"/>
        <v>12-2024</v>
      </c>
      <c r="S725" t="s">
        <v>117</v>
      </c>
      <c r="T725" t="str">
        <f t="shared" si="197"/>
        <v>Saturday</v>
      </c>
      <c r="U725">
        <f t="shared" si="198"/>
        <v>0</v>
      </c>
      <c r="V725" s="24">
        <f>IFERROR(Table2[[#This Row],[Gray Min]]/Table2[[#This Row],[ClassLength]],"")</f>
        <v>0.42622950819672129</v>
      </c>
      <c r="W725" s="24">
        <f>IFERROR(Table2[[#This Row],[Blue Min]]/Table2[[#This Row],[ClassLength]],"")</f>
        <v>0.24590163934426229</v>
      </c>
      <c r="X725" s="24">
        <f>IFERROR(Table2[[#This Row],[Green Min]]/Table2[[#This Row],[ClassLength]],"")</f>
        <v>0.18032786885245902</v>
      </c>
      <c r="Y725" s="24">
        <f>IFERROR(Table2[[#This Row],[Orange Min]]/Table2[[#This Row],[ClassLength]],"")</f>
        <v>0.13114754098360656</v>
      </c>
      <c r="Z725" s="24">
        <f>IFERROR(Table2[[#This Row],[Red Min]]/Table2[[#This Row],[ClassLength]],"")</f>
        <v>1.6393442622950821E-2</v>
      </c>
      <c r="AA725" s="25">
        <v>169</v>
      </c>
      <c r="AB725" s="25">
        <f t="shared" si="209"/>
        <v>14.083333333333334</v>
      </c>
      <c r="AC725" s="26">
        <f t="shared" si="199"/>
        <v>651.33333333333337</v>
      </c>
      <c r="AD725" s="26">
        <f t="shared" si="200"/>
        <v>14.75</v>
      </c>
      <c r="AE725">
        <f t="shared" si="201"/>
        <v>2024</v>
      </c>
      <c r="AG725">
        <v>12</v>
      </c>
      <c r="AH725" s="26">
        <f t="shared" si="202"/>
        <v>9.2131147540983598</v>
      </c>
      <c r="AI725" t="str">
        <f t="shared" si="203"/>
        <v>AM</v>
      </c>
      <c r="AJ725" t="str">
        <f t="shared" si="204"/>
        <v>12-2024-1</v>
      </c>
      <c r="AK725">
        <f t="shared" si="205"/>
        <v>12</v>
      </c>
      <c r="AL725" s="26">
        <f>IFERROR(Table2[[#This Row],[Calories]]/Table2[[#This Row],[Splat]],"")</f>
        <v>62.444444444444443</v>
      </c>
      <c r="AM725">
        <f>COUNTIF(N$2:$N$938,N725)</f>
        <v>258</v>
      </c>
      <c r="AN725" t="str">
        <f>VLOOKUP(N725,'Helpful Tables'!A:D,4,FALSE)</f>
        <v>Oregon</v>
      </c>
      <c r="AO725" s="24">
        <f>COUNTIF(AN:AN,Table2[[#This Row],[State]])/COUNTA(AN:AN)</f>
        <v>0.36140724946695096</v>
      </c>
      <c r="AP725">
        <f>VLOOKUP(N725,'Helpful Tables'!A:B,2,FALSE)</f>
        <v>45.534162000000002</v>
      </c>
      <c r="AQ725">
        <f>VLOOKUP(N725,'Helpful Tables'!A:C,3,FALSE)</f>
        <v>-122.69670000000001</v>
      </c>
      <c r="AR725">
        <f>COUNTIF(P$2:$P$938,P725)</f>
        <v>43</v>
      </c>
      <c r="AS725" cm="1">
        <f t="array" ref="AS725">_xlfn.IFS(E725&lt;6,((E725/D725)*60)*0.5,AND(E725&gt;=6,E725&lt;9),((E725/D725)*60)*0.75,AND(E725&gt;=9,E725&lt;=11),((E725/D725)*60)*0.9,AND(E725=12),((E725/D725)*60)*1,AND(E725&gt;=13,E725&lt;=15),((E725/D725)*60)*1.2,AND(E725&gt;=16,E725&lt;=19),((E725/D725)*60)*1.5,E725&gt;=20,((E725/D725)*60)*1.8)</f>
        <v>7.9672131147540988</v>
      </c>
      <c r="AT725" cm="1">
        <f t="array" ref="AT725">_xlfn.IFS(F725&lt;550,((F725/D725)*60)*0.5,AND(F725&gt;=550,F725&lt;575),((F725/D725)*60)*0.75,AND(F725&gt;=575,F725&lt;600),((F725/D725)*60)*0.9,AND(F725=600),((F725/D725)*60)*1,AND(F725&gt;=601,F725&lt;=625),((F725/D725)*60)*1.2,AND(F725&gt;=626,F725&lt;=650),((F725/D725)*60)*1.5,F725&gt;=651,((F725/D725)*60)*1.8)</f>
        <v>414.59016393442619</v>
      </c>
      <c r="AU725">
        <f t="shared" si="193"/>
        <v>-22.6</v>
      </c>
      <c r="AV725">
        <f t="shared" si="208"/>
        <v>164.50295081967212</v>
      </c>
      <c r="AW725">
        <f t="shared" si="194"/>
        <v>7.6</v>
      </c>
      <c r="AX725" t="str">
        <f t="shared" si="206"/>
        <v>Dec-2024</v>
      </c>
      <c r="AY725">
        <f>ROUNDUP(Table2[[#This Row],[Month]]/3,0)</f>
        <v>4</v>
      </c>
    </row>
    <row r="726" spans="1:51" x14ac:dyDescent="0.2">
      <c r="A726">
        <v>725</v>
      </c>
      <c r="B726">
        <f t="shared" si="195"/>
        <v>12</v>
      </c>
      <c r="C726" s="22">
        <v>45635</v>
      </c>
      <c r="D726">
        <f>SUM(Table2[[#This Row],[Gray Min]:[Red Min]])</f>
        <v>61</v>
      </c>
      <c r="E726">
        <v>15</v>
      </c>
      <c r="F726">
        <v>660</v>
      </c>
      <c r="G726">
        <v>0</v>
      </c>
      <c r="H726">
        <v>0</v>
      </c>
      <c r="I726">
        <v>15</v>
      </c>
      <c r="J726">
        <v>13</v>
      </c>
      <c r="K726">
        <v>18</v>
      </c>
      <c r="L726">
        <v>13</v>
      </c>
      <c r="M726">
        <v>2</v>
      </c>
      <c r="N726" t="s">
        <v>125</v>
      </c>
      <c r="O726" t="s">
        <v>215</v>
      </c>
      <c r="P726" t="s">
        <v>220</v>
      </c>
      <c r="Q726">
        <f t="shared" si="207"/>
        <v>2</v>
      </c>
      <c r="R726" t="str">
        <f t="shared" si="196"/>
        <v>12-2024</v>
      </c>
      <c r="S726" t="s">
        <v>117</v>
      </c>
      <c r="T726" t="str">
        <f t="shared" si="197"/>
        <v>Monday</v>
      </c>
      <c r="U726">
        <f t="shared" si="198"/>
        <v>1</v>
      </c>
      <c r="V726" s="24">
        <f>IFERROR(Table2[[#This Row],[Gray Min]]/Table2[[#This Row],[ClassLength]],"")</f>
        <v>0.24590163934426229</v>
      </c>
      <c r="W726" s="24">
        <f>IFERROR(Table2[[#This Row],[Blue Min]]/Table2[[#This Row],[ClassLength]],"")</f>
        <v>0.21311475409836064</v>
      </c>
      <c r="X726" s="24">
        <f>IFERROR(Table2[[#This Row],[Green Min]]/Table2[[#This Row],[ClassLength]],"")</f>
        <v>0.29508196721311475</v>
      </c>
      <c r="Y726" s="24">
        <f>IFERROR(Table2[[#This Row],[Orange Min]]/Table2[[#This Row],[ClassLength]],"")</f>
        <v>0.21311475409836064</v>
      </c>
      <c r="Z726" s="24">
        <f>IFERROR(Table2[[#This Row],[Red Min]]/Table2[[#This Row],[ClassLength]],"")</f>
        <v>3.2786885245901641E-2</v>
      </c>
      <c r="AA726" s="25">
        <v>169</v>
      </c>
      <c r="AB726" s="25">
        <f t="shared" si="209"/>
        <v>14.083333333333334</v>
      </c>
      <c r="AC726" s="26">
        <f t="shared" si="199"/>
        <v>651.33333333333337</v>
      </c>
      <c r="AD726" s="26">
        <f t="shared" si="200"/>
        <v>14.75</v>
      </c>
      <c r="AE726">
        <f t="shared" si="201"/>
        <v>2024</v>
      </c>
      <c r="AG726">
        <v>12</v>
      </c>
      <c r="AH726" s="26">
        <f t="shared" si="202"/>
        <v>10.819672131147541</v>
      </c>
      <c r="AI726" t="str">
        <f t="shared" si="203"/>
        <v>PM</v>
      </c>
      <c r="AJ726" t="str">
        <f t="shared" si="204"/>
        <v>12-2024-2</v>
      </c>
      <c r="AK726">
        <f t="shared" si="205"/>
        <v>12</v>
      </c>
      <c r="AL726" s="26">
        <f>IFERROR(Table2[[#This Row],[Calories]]/Table2[[#This Row],[Splat]],"")</f>
        <v>44</v>
      </c>
      <c r="AM726">
        <f>COUNTIF(N$2:$N$938,N726)</f>
        <v>258</v>
      </c>
      <c r="AN726" t="str">
        <f>VLOOKUP(N726,'Helpful Tables'!A:D,4,FALSE)</f>
        <v>Oregon</v>
      </c>
      <c r="AO726" s="24">
        <f>COUNTIF(AN:AN,Table2[[#This Row],[State]])/COUNTA(AN:AN)</f>
        <v>0.36140724946695096</v>
      </c>
      <c r="AP726">
        <f>VLOOKUP(N726,'Helpful Tables'!A:B,2,FALSE)</f>
        <v>45.534162000000002</v>
      </c>
      <c r="AQ726">
        <f>VLOOKUP(N726,'Helpful Tables'!A:C,3,FALSE)</f>
        <v>-122.69670000000001</v>
      </c>
      <c r="AR726">
        <f>COUNTIF(P$2:$P$938,P726)</f>
        <v>43</v>
      </c>
      <c r="AS726" cm="1">
        <f t="array" ref="AS726">_xlfn.IFS(E726&lt;6,((E726/D726)*60)*0.5,AND(E726&gt;=6,E726&lt;9),((E726/D726)*60)*0.75,AND(E726&gt;=9,E726&lt;=11),((E726/D726)*60)*0.9,AND(E726=12),((E726/D726)*60)*1,AND(E726&gt;=13,E726&lt;=15),((E726/D726)*60)*1.2,AND(E726&gt;=16,E726&lt;=19),((E726/D726)*60)*1.5,E726&gt;=20,((E726/D726)*60)*1.8)</f>
        <v>17.704918032786885</v>
      </c>
      <c r="AT726" cm="1">
        <f t="array" ref="AT726">_xlfn.IFS(F726&lt;550,((F726/D726)*60)*0.5,AND(F726&gt;=550,F726&lt;575),((F726/D726)*60)*0.75,AND(F726&gt;=575,F726&lt;600),((F726/D726)*60)*0.9,AND(F726=600),((F726/D726)*60)*1,AND(F726&gt;=601,F726&lt;=625),((F726/D726)*60)*1.2,AND(F726&gt;=626,F726&lt;=650),((F726/D726)*60)*1.5,F726&gt;=651,((F726/D726)*60)*1.8)</f>
        <v>1168.5245901639346</v>
      </c>
      <c r="AU726">
        <f t="shared" si="193"/>
        <v>9.2000000000000028</v>
      </c>
      <c r="AV726">
        <f t="shared" si="208"/>
        <v>476.3318032786886</v>
      </c>
      <c r="AW726">
        <f t="shared" si="194"/>
        <v>68.600000000000009</v>
      </c>
      <c r="AX726" t="str">
        <f t="shared" si="206"/>
        <v>Dec-2024</v>
      </c>
      <c r="AY726">
        <f>ROUNDUP(Table2[[#This Row],[Month]]/3,0)</f>
        <v>4</v>
      </c>
    </row>
    <row r="727" spans="1:51" x14ac:dyDescent="0.2">
      <c r="A727">
        <v>726</v>
      </c>
      <c r="B727">
        <f t="shared" si="195"/>
        <v>12</v>
      </c>
      <c r="C727" s="22">
        <v>45637</v>
      </c>
      <c r="D727">
        <f>SUM(Table2[[#This Row],[Gray Min]:[Red Min]])</f>
        <v>60</v>
      </c>
      <c r="E727">
        <v>17</v>
      </c>
      <c r="F727">
        <v>652</v>
      </c>
      <c r="G727">
        <v>0</v>
      </c>
      <c r="H727">
        <v>0</v>
      </c>
      <c r="I727">
        <v>13</v>
      </c>
      <c r="J727">
        <v>21</v>
      </c>
      <c r="K727">
        <v>9</v>
      </c>
      <c r="L727">
        <v>13</v>
      </c>
      <c r="M727">
        <v>4</v>
      </c>
      <c r="N727" t="s">
        <v>125</v>
      </c>
      <c r="O727" t="s">
        <v>127</v>
      </c>
      <c r="P727" t="s">
        <v>216</v>
      </c>
      <c r="Q727">
        <f t="shared" si="207"/>
        <v>2</v>
      </c>
      <c r="R727" t="str">
        <f t="shared" si="196"/>
        <v>12-2024</v>
      </c>
      <c r="S727" t="s">
        <v>104</v>
      </c>
      <c r="T727" t="str">
        <f t="shared" si="197"/>
        <v>Wednesday</v>
      </c>
      <c r="U727">
        <f t="shared" si="198"/>
        <v>1</v>
      </c>
      <c r="V727" s="24">
        <f>IFERROR(Table2[[#This Row],[Gray Min]]/Table2[[#This Row],[ClassLength]],"")</f>
        <v>0.21666666666666667</v>
      </c>
      <c r="W727" s="24">
        <f>IFERROR(Table2[[#This Row],[Blue Min]]/Table2[[#This Row],[ClassLength]],"")</f>
        <v>0.35</v>
      </c>
      <c r="X727" s="24">
        <f>IFERROR(Table2[[#This Row],[Green Min]]/Table2[[#This Row],[ClassLength]],"")</f>
        <v>0.15</v>
      </c>
      <c r="Y727" s="24">
        <f>IFERROR(Table2[[#This Row],[Orange Min]]/Table2[[#This Row],[ClassLength]],"")</f>
        <v>0.21666666666666667</v>
      </c>
      <c r="Z727" s="24">
        <f>IFERROR(Table2[[#This Row],[Red Min]]/Table2[[#This Row],[ClassLength]],"")</f>
        <v>6.6666666666666666E-2</v>
      </c>
      <c r="AA727" s="25">
        <v>169</v>
      </c>
      <c r="AB727" s="25">
        <f t="shared" si="209"/>
        <v>14.083333333333334</v>
      </c>
      <c r="AC727" s="26">
        <f t="shared" si="199"/>
        <v>651.33333333333337</v>
      </c>
      <c r="AD727" s="26">
        <f t="shared" si="200"/>
        <v>14.75</v>
      </c>
      <c r="AE727">
        <f t="shared" si="201"/>
        <v>2024</v>
      </c>
      <c r="AG727">
        <v>12</v>
      </c>
      <c r="AH727" s="26">
        <f t="shared" si="202"/>
        <v>10.866666666666667</v>
      </c>
      <c r="AI727" t="str">
        <f t="shared" si="203"/>
        <v>PM</v>
      </c>
      <c r="AJ727" t="str">
        <f t="shared" si="204"/>
        <v>12-2024-2</v>
      </c>
      <c r="AK727">
        <f t="shared" si="205"/>
        <v>12</v>
      </c>
      <c r="AL727" s="26">
        <f>IFERROR(Table2[[#This Row],[Calories]]/Table2[[#This Row],[Splat]],"")</f>
        <v>38.352941176470587</v>
      </c>
      <c r="AM727">
        <f>COUNTIF(N$2:$N$938,N727)</f>
        <v>258</v>
      </c>
      <c r="AN727" t="str">
        <f>VLOOKUP(N727,'Helpful Tables'!A:D,4,FALSE)</f>
        <v>Oregon</v>
      </c>
      <c r="AO727" s="24">
        <f>COUNTIF(AN:AN,Table2[[#This Row],[State]])/COUNTA(AN:AN)</f>
        <v>0.36140724946695096</v>
      </c>
      <c r="AP727">
        <f>VLOOKUP(N727,'Helpful Tables'!A:B,2,FALSE)</f>
        <v>45.534162000000002</v>
      </c>
      <c r="AQ727">
        <f>VLOOKUP(N727,'Helpful Tables'!A:C,3,FALSE)</f>
        <v>-122.69670000000001</v>
      </c>
      <c r="AR727">
        <f>COUNTIF(P$2:$P$938,P727)</f>
        <v>25</v>
      </c>
      <c r="AS727" cm="1">
        <f t="array" ref="AS727">_xlfn.IFS(E727&lt;6,((E727/D727)*60)*0.5,AND(E727&gt;=6,E727&lt;9),((E727/D727)*60)*0.75,AND(E727&gt;=9,E727&lt;=11),((E727/D727)*60)*0.9,AND(E727=12),((E727/D727)*60)*1,AND(E727&gt;=13,E727&lt;=15),((E727/D727)*60)*1.2,AND(E727&gt;=16,E727&lt;=19),((E727/D727)*60)*1.5,E727&gt;=20,((E727/D727)*60)*1.8)</f>
        <v>25.5</v>
      </c>
      <c r="AT727" cm="1">
        <f t="array" ref="AT727">_xlfn.IFS(F727&lt;550,((F727/D727)*60)*0.5,AND(F727&gt;=550,F727&lt;575),((F727/D727)*60)*0.75,AND(F727&gt;=575,F727&lt;600),((F727/D727)*60)*0.9,AND(F727=600),((F727/D727)*60)*1,AND(F727&gt;=601,F727&lt;=625),((F727/D727)*60)*1.2,AND(F727&gt;=626,F727&lt;=650),((F727/D727)*60)*1.5,F727&gt;=651,((F727/D727)*60)*1.8)</f>
        <v>1173.6000000000001</v>
      </c>
      <c r="AU727">
        <f t="shared" si="193"/>
        <v>-5.0000000000000036</v>
      </c>
      <c r="AV727">
        <f t="shared" si="208"/>
        <v>478.64000000000004</v>
      </c>
      <c r="AW727">
        <f t="shared" si="194"/>
        <v>69.3</v>
      </c>
      <c r="AX727" t="str">
        <f t="shared" si="206"/>
        <v>Dec-2024</v>
      </c>
      <c r="AY727">
        <f>ROUNDUP(Table2[[#This Row],[Month]]/3,0)</f>
        <v>4</v>
      </c>
    </row>
    <row r="728" spans="1:51" x14ac:dyDescent="0.2">
      <c r="A728">
        <v>727</v>
      </c>
      <c r="B728">
        <f t="shared" si="195"/>
        <v>12</v>
      </c>
      <c r="C728" s="22">
        <v>45639</v>
      </c>
      <c r="D728">
        <f>SUM(Table2[[#This Row],[Gray Min]:[Red Min]])</f>
        <v>57</v>
      </c>
      <c r="E728">
        <v>14</v>
      </c>
      <c r="F728">
        <v>625</v>
      </c>
      <c r="G728">
        <v>0</v>
      </c>
      <c r="H728">
        <v>0</v>
      </c>
      <c r="I728">
        <v>20</v>
      </c>
      <c r="J728">
        <v>8</v>
      </c>
      <c r="K728">
        <v>15</v>
      </c>
      <c r="L728">
        <v>12</v>
      </c>
      <c r="M728">
        <v>2</v>
      </c>
      <c r="N728" t="s">
        <v>125</v>
      </c>
      <c r="O728" t="s">
        <v>127</v>
      </c>
      <c r="P728" t="s">
        <v>222</v>
      </c>
      <c r="Q728">
        <f t="shared" si="207"/>
        <v>2</v>
      </c>
      <c r="R728" t="str">
        <f t="shared" si="196"/>
        <v>12-2024</v>
      </c>
      <c r="S728" t="s">
        <v>104</v>
      </c>
      <c r="T728" t="str">
        <f t="shared" si="197"/>
        <v>Friday</v>
      </c>
      <c r="U728">
        <f t="shared" si="198"/>
        <v>1</v>
      </c>
      <c r="V728" s="24">
        <f>IFERROR(Table2[[#This Row],[Gray Min]]/Table2[[#This Row],[ClassLength]],"")</f>
        <v>0.35087719298245612</v>
      </c>
      <c r="W728" s="24">
        <f>IFERROR(Table2[[#This Row],[Blue Min]]/Table2[[#This Row],[ClassLength]],"")</f>
        <v>0.14035087719298245</v>
      </c>
      <c r="X728" s="24">
        <f>IFERROR(Table2[[#This Row],[Green Min]]/Table2[[#This Row],[ClassLength]],"")</f>
        <v>0.26315789473684209</v>
      </c>
      <c r="Y728" s="24">
        <f>IFERROR(Table2[[#This Row],[Orange Min]]/Table2[[#This Row],[ClassLength]],"")</f>
        <v>0.21052631578947367</v>
      </c>
      <c r="Z728" s="24">
        <f>IFERROR(Table2[[#This Row],[Red Min]]/Table2[[#This Row],[ClassLength]],"")</f>
        <v>3.5087719298245612E-2</v>
      </c>
      <c r="AA728" s="25">
        <v>169</v>
      </c>
      <c r="AB728" s="25">
        <f t="shared" si="209"/>
        <v>14.083333333333334</v>
      </c>
      <c r="AC728" s="26">
        <f t="shared" si="199"/>
        <v>651.33333333333337</v>
      </c>
      <c r="AD728" s="26">
        <f t="shared" si="200"/>
        <v>14.75</v>
      </c>
      <c r="AE728">
        <f t="shared" si="201"/>
        <v>2024</v>
      </c>
      <c r="AG728">
        <v>12</v>
      </c>
      <c r="AH728" s="26">
        <f t="shared" si="202"/>
        <v>10.964912280701755</v>
      </c>
      <c r="AI728" t="str">
        <f t="shared" si="203"/>
        <v>PM</v>
      </c>
      <c r="AJ728" t="str">
        <f t="shared" si="204"/>
        <v>12-2024-2</v>
      </c>
      <c r="AK728">
        <f t="shared" si="205"/>
        <v>12</v>
      </c>
      <c r="AL728" s="26">
        <f>IFERROR(Table2[[#This Row],[Calories]]/Table2[[#This Row],[Splat]],"")</f>
        <v>44.642857142857146</v>
      </c>
      <c r="AM728">
        <f>COUNTIF(N$2:$N$938,N728)</f>
        <v>258</v>
      </c>
      <c r="AN728" t="str">
        <f>VLOOKUP(N728,'Helpful Tables'!A:D,4,FALSE)</f>
        <v>Oregon</v>
      </c>
      <c r="AO728" s="24">
        <f>COUNTIF(AN:AN,Table2[[#This Row],[State]])/COUNTA(AN:AN)</f>
        <v>0.36140724946695096</v>
      </c>
      <c r="AP728">
        <f>VLOOKUP(N728,'Helpful Tables'!A:B,2,FALSE)</f>
        <v>45.534162000000002</v>
      </c>
      <c r="AQ728">
        <f>VLOOKUP(N728,'Helpful Tables'!A:C,3,FALSE)</f>
        <v>-122.69670000000001</v>
      </c>
      <c r="AR728">
        <f>COUNTIF(P$2:$P$938,P728)</f>
        <v>32</v>
      </c>
      <c r="AS728" cm="1">
        <f t="array" ref="AS728">_xlfn.IFS(E728&lt;6,((E728/D728)*60)*0.5,AND(E728&gt;=6,E728&lt;9),((E728/D728)*60)*0.75,AND(E728&gt;=9,E728&lt;=11),((E728/D728)*60)*0.9,AND(E728=12),((E728/D728)*60)*1,AND(E728&gt;=13,E728&lt;=15),((E728/D728)*60)*1.2,AND(E728&gt;=16,E728&lt;=19),((E728/D728)*60)*1.5,E728&gt;=20,((E728/D728)*60)*1.8)</f>
        <v>17.684210526315788</v>
      </c>
      <c r="AT728" cm="1">
        <f t="array" ref="AT728">_xlfn.IFS(F728&lt;550,((F728/D728)*60)*0.5,AND(F728&gt;=550,F728&lt;575),((F728/D728)*60)*0.75,AND(F728&gt;=575,F728&lt;600),((F728/D728)*60)*0.9,AND(F728=600),((F728/D728)*60)*1,AND(F728&gt;=601,F728&lt;=625),((F728/D728)*60)*1.2,AND(F728&gt;=626,F728&lt;=650),((F728/D728)*60)*1.5,F728&gt;=651,((F728/D728)*60)*1.8)</f>
        <v>789.47368421052636</v>
      </c>
      <c r="AU728">
        <f t="shared" si="193"/>
        <v>3.8000000000000043</v>
      </c>
      <c r="AV728">
        <f t="shared" si="208"/>
        <v>323.62315789473689</v>
      </c>
      <c r="AW728">
        <f t="shared" si="194"/>
        <v>38.4</v>
      </c>
      <c r="AX728" t="str">
        <f t="shared" si="206"/>
        <v>Dec-2024</v>
      </c>
      <c r="AY728">
        <f>ROUNDUP(Table2[[#This Row],[Month]]/3,0)</f>
        <v>4</v>
      </c>
    </row>
    <row r="729" spans="1:51" x14ac:dyDescent="0.2">
      <c r="A729">
        <v>728</v>
      </c>
      <c r="B729">
        <f t="shared" si="195"/>
        <v>12</v>
      </c>
      <c r="C729" s="22">
        <v>45640</v>
      </c>
      <c r="D729">
        <f>SUM(Table2[[#This Row],[Gray Min]:[Red Min]])</f>
        <v>58</v>
      </c>
      <c r="E729">
        <v>18</v>
      </c>
      <c r="F729">
        <v>669</v>
      </c>
      <c r="G729">
        <v>125</v>
      </c>
      <c r="H729">
        <v>164</v>
      </c>
      <c r="I729">
        <v>10</v>
      </c>
      <c r="J729">
        <v>18</v>
      </c>
      <c r="K729">
        <v>12</v>
      </c>
      <c r="L729">
        <v>15</v>
      </c>
      <c r="M729">
        <v>3</v>
      </c>
      <c r="N729" t="s">
        <v>208</v>
      </c>
      <c r="O729" t="s">
        <v>76</v>
      </c>
      <c r="P729" t="s">
        <v>213</v>
      </c>
      <c r="Q729">
        <f t="shared" si="207"/>
        <v>1</v>
      </c>
      <c r="R729" t="str">
        <f t="shared" si="196"/>
        <v>12-2024</v>
      </c>
      <c r="S729" t="s">
        <v>104</v>
      </c>
      <c r="T729" t="str">
        <f t="shared" si="197"/>
        <v>Saturday</v>
      </c>
      <c r="U729">
        <f t="shared" si="198"/>
        <v>1</v>
      </c>
      <c r="V729" s="24">
        <f>IFERROR(Table2[[#This Row],[Gray Min]]/Table2[[#This Row],[ClassLength]],"")</f>
        <v>0.17241379310344829</v>
      </c>
      <c r="W729" s="24">
        <f>IFERROR(Table2[[#This Row],[Blue Min]]/Table2[[#This Row],[ClassLength]],"")</f>
        <v>0.31034482758620691</v>
      </c>
      <c r="X729" s="24">
        <f>IFERROR(Table2[[#This Row],[Green Min]]/Table2[[#This Row],[ClassLength]],"")</f>
        <v>0.20689655172413793</v>
      </c>
      <c r="Y729" s="24">
        <f>IFERROR(Table2[[#This Row],[Orange Min]]/Table2[[#This Row],[ClassLength]],"")</f>
        <v>0.25862068965517243</v>
      </c>
      <c r="Z729" s="24">
        <f>IFERROR(Table2[[#This Row],[Red Min]]/Table2[[#This Row],[ClassLength]],"")</f>
        <v>5.1724137931034482E-2</v>
      </c>
      <c r="AA729" s="25">
        <v>169</v>
      </c>
      <c r="AB729" s="25">
        <f t="shared" si="209"/>
        <v>14.083333333333334</v>
      </c>
      <c r="AC729" s="26">
        <f t="shared" si="199"/>
        <v>651.33333333333337</v>
      </c>
      <c r="AD729" s="26">
        <f t="shared" si="200"/>
        <v>14.75</v>
      </c>
      <c r="AE729">
        <f t="shared" si="201"/>
        <v>2024</v>
      </c>
      <c r="AG729">
        <v>12</v>
      </c>
      <c r="AH729" s="26">
        <f t="shared" si="202"/>
        <v>11.53448275862069</v>
      </c>
      <c r="AI729" t="str">
        <f t="shared" si="203"/>
        <v>AM</v>
      </c>
      <c r="AJ729" t="str">
        <f t="shared" si="204"/>
        <v>12-2024-2</v>
      </c>
      <c r="AK729">
        <f t="shared" si="205"/>
        <v>12</v>
      </c>
      <c r="AL729" s="26">
        <f>IFERROR(Table2[[#This Row],[Calories]]/Table2[[#This Row],[Splat]],"")</f>
        <v>37.166666666666664</v>
      </c>
      <c r="AM729">
        <f>COUNTIF(N$2:$N$938,N729)</f>
        <v>78</v>
      </c>
      <c r="AN729" t="str">
        <f>VLOOKUP(N729,'Helpful Tables'!A:D,4,FALSE)</f>
        <v>Oregon</v>
      </c>
      <c r="AO729" s="24">
        <f>COUNTIF(AN:AN,Table2[[#This Row],[State]])/COUNTA(AN:AN)</f>
        <v>0.36140724946695096</v>
      </c>
      <c r="AP729">
        <f>VLOOKUP(N729,'Helpful Tables'!A:B,2,FALSE)</f>
        <v>45.525092999999998</v>
      </c>
      <c r="AQ729">
        <f>VLOOKUP(N729,'Helpful Tables'!A:C,3,FALSE)</f>
        <v>-122.681383</v>
      </c>
      <c r="AR729">
        <f>COUNTIF(P$2:$P$938,P729)</f>
        <v>40</v>
      </c>
      <c r="AS729" cm="1">
        <f t="array" ref="AS729">_xlfn.IFS(E729&lt;6,((E729/D729)*60)*0.5,AND(E729&gt;=6,E729&lt;9),((E729/D729)*60)*0.75,AND(E729&gt;=9,E729&lt;=11),((E729/D729)*60)*0.9,AND(E729=12),((E729/D729)*60)*1,AND(E729&gt;=13,E729&lt;=15),((E729/D729)*60)*1.2,AND(E729&gt;=16,E729&lt;=19),((E729/D729)*60)*1.5,E729&gt;=20,((E729/D729)*60)*1.8)</f>
        <v>27.931034482758619</v>
      </c>
      <c r="AT729" cm="1">
        <f t="array" ref="AT729">_xlfn.IFS(F729&lt;550,((F729/D729)*60)*0.5,AND(F729&gt;=550,F729&lt;575),((F729/D729)*60)*0.75,AND(F729&gt;=575,F729&lt;600),((F729/D729)*60)*0.9,AND(F729=600),((F729/D729)*60)*1,AND(F729&gt;=601,F729&lt;=625),((F729/D729)*60)*1.2,AND(F729&gt;=626,F729&lt;=650),((F729/D729)*60)*1.5,F729&gt;=651,((F729/D729)*60)*1.8)</f>
        <v>1245.7241379310346</v>
      </c>
      <c r="AU729">
        <f t="shared" si="193"/>
        <v>6.5999999999999979</v>
      </c>
      <c r="AV729">
        <f t="shared" si="208"/>
        <v>510.78206896551728</v>
      </c>
      <c r="AW729">
        <f t="shared" si="194"/>
        <v>86</v>
      </c>
      <c r="AX729" t="str">
        <f t="shared" si="206"/>
        <v>Dec-2024</v>
      </c>
      <c r="AY729">
        <f>ROUNDUP(Table2[[#This Row],[Month]]/3,0)</f>
        <v>4</v>
      </c>
    </row>
    <row r="730" spans="1:51" x14ac:dyDescent="0.2">
      <c r="A730">
        <v>729</v>
      </c>
      <c r="B730">
        <f t="shared" si="195"/>
        <v>12</v>
      </c>
      <c r="C730" s="22">
        <v>45642</v>
      </c>
      <c r="D730">
        <f>SUM(Table2[[#This Row],[Gray Min]:[Red Min]])</f>
        <v>61</v>
      </c>
      <c r="E730">
        <v>13</v>
      </c>
      <c r="F730">
        <v>656</v>
      </c>
      <c r="G730">
        <v>123</v>
      </c>
      <c r="H730">
        <v>166</v>
      </c>
      <c r="I730">
        <v>15</v>
      </c>
      <c r="J730">
        <v>17</v>
      </c>
      <c r="K730">
        <v>16</v>
      </c>
      <c r="L730">
        <v>13</v>
      </c>
      <c r="M730">
        <v>0</v>
      </c>
      <c r="N730" t="s">
        <v>125</v>
      </c>
      <c r="O730" t="s">
        <v>127</v>
      </c>
      <c r="P730" t="s">
        <v>220</v>
      </c>
      <c r="Q730">
        <f t="shared" si="207"/>
        <v>2</v>
      </c>
      <c r="R730" t="str">
        <f t="shared" si="196"/>
        <v>12-2024</v>
      </c>
      <c r="S730" t="s">
        <v>104</v>
      </c>
      <c r="T730" t="str">
        <f t="shared" si="197"/>
        <v>Monday</v>
      </c>
      <c r="U730">
        <f t="shared" si="198"/>
        <v>1</v>
      </c>
      <c r="V730" s="24">
        <f>IFERROR(Table2[[#This Row],[Gray Min]]/Table2[[#This Row],[ClassLength]],"")</f>
        <v>0.24590163934426229</v>
      </c>
      <c r="W730" s="24">
        <f>IFERROR(Table2[[#This Row],[Blue Min]]/Table2[[#This Row],[ClassLength]],"")</f>
        <v>0.27868852459016391</v>
      </c>
      <c r="X730" s="24">
        <f>IFERROR(Table2[[#This Row],[Green Min]]/Table2[[#This Row],[ClassLength]],"")</f>
        <v>0.26229508196721313</v>
      </c>
      <c r="Y730" s="24">
        <f>IFERROR(Table2[[#This Row],[Orange Min]]/Table2[[#This Row],[ClassLength]],"")</f>
        <v>0.21311475409836064</v>
      </c>
      <c r="Z730" s="24">
        <f>IFERROR(Table2[[#This Row],[Red Min]]/Table2[[#This Row],[ClassLength]],"")</f>
        <v>0</v>
      </c>
      <c r="AA730" s="25">
        <v>169</v>
      </c>
      <c r="AB730" s="25">
        <f t="shared" si="209"/>
        <v>14.083333333333334</v>
      </c>
      <c r="AC730" s="26">
        <f t="shared" si="199"/>
        <v>651.33333333333337</v>
      </c>
      <c r="AD730" s="26">
        <f t="shared" si="200"/>
        <v>14.75</v>
      </c>
      <c r="AE730">
        <f t="shared" si="201"/>
        <v>2024</v>
      </c>
      <c r="AG730">
        <v>12</v>
      </c>
      <c r="AH730" s="26">
        <f t="shared" si="202"/>
        <v>10.754098360655737</v>
      </c>
      <c r="AI730" t="str">
        <f t="shared" si="203"/>
        <v>PM</v>
      </c>
      <c r="AJ730" t="str">
        <f t="shared" si="204"/>
        <v>12-2024-3</v>
      </c>
      <c r="AK730">
        <f t="shared" si="205"/>
        <v>12</v>
      </c>
      <c r="AL730" s="26">
        <f>IFERROR(Table2[[#This Row],[Calories]]/Table2[[#This Row],[Splat]],"")</f>
        <v>50.46153846153846</v>
      </c>
      <c r="AM730">
        <f>COUNTIF(N$2:$N$938,N730)</f>
        <v>258</v>
      </c>
      <c r="AN730" t="str">
        <f>VLOOKUP(N730,'Helpful Tables'!A:D,4,FALSE)</f>
        <v>Oregon</v>
      </c>
      <c r="AO730" s="24">
        <f>COUNTIF(AN:AN,Table2[[#This Row],[State]])/COUNTA(AN:AN)</f>
        <v>0.36140724946695096</v>
      </c>
      <c r="AP730">
        <f>VLOOKUP(N730,'Helpful Tables'!A:B,2,FALSE)</f>
        <v>45.534162000000002</v>
      </c>
      <c r="AQ730">
        <f>VLOOKUP(N730,'Helpful Tables'!A:C,3,FALSE)</f>
        <v>-122.69670000000001</v>
      </c>
      <c r="AR730">
        <f>COUNTIF(P$2:$P$938,P730)</f>
        <v>43</v>
      </c>
      <c r="AS730" cm="1">
        <f t="array" ref="AS730">_xlfn.IFS(E730&lt;6,((E730/D730)*60)*0.5,AND(E730&gt;=6,E730&lt;9),((E730/D730)*60)*0.75,AND(E730&gt;=9,E730&lt;=11),((E730/D730)*60)*0.9,AND(E730=12),((E730/D730)*60)*1,AND(E730&gt;=13,E730&lt;=15),((E730/D730)*60)*1.2,AND(E730&gt;=16,E730&lt;=19),((E730/D730)*60)*1.5,E730&gt;=20,((E730/D730)*60)*1.8)</f>
        <v>15.344262295081965</v>
      </c>
      <c r="AT730" cm="1">
        <f t="array" ref="AT730">_xlfn.IFS(F730&lt;550,((F730/D730)*60)*0.5,AND(F730&gt;=550,F730&lt;575),((F730/D730)*60)*0.75,AND(F730&gt;=575,F730&lt;600),((F730/D730)*60)*0.9,AND(F730=600),((F730/D730)*60)*1,AND(F730&gt;=601,F730&lt;=625),((F730/D730)*60)*1.2,AND(F730&gt;=626,F730&lt;=650),((F730/D730)*60)*1.5,F730&gt;=651,((F730/D730)*60)*1.8)</f>
        <v>1161.4426229508197</v>
      </c>
      <c r="AU730">
        <f t="shared" si="193"/>
        <v>-0.60000000000000142</v>
      </c>
      <c r="AV730">
        <f t="shared" si="208"/>
        <v>470.59475409836068</v>
      </c>
      <c r="AW730">
        <f t="shared" si="194"/>
        <v>67.600000000000009</v>
      </c>
      <c r="AX730" t="str">
        <f t="shared" si="206"/>
        <v>Dec-2024</v>
      </c>
      <c r="AY730">
        <f>ROUNDUP(Table2[[#This Row],[Month]]/3,0)</f>
        <v>4</v>
      </c>
    </row>
    <row r="731" spans="1:51" x14ac:dyDescent="0.2">
      <c r="A731">
        <v>730</v>
      </c>
      <c r="B731">
        <f t="shared" si="195"/>
        <v>12</v>
      </c>
      <c r="C731" s="22">
        <v>45643</v>
      </c>
      <c r="D731">
        <f>SUM(Table2[[#This Row],[Gray Min]:[Red Min]])</f>
        <v>61</v>
      </c>
      <c r="E731">
        <v>17</v>
      </c>
      <c r="F731">
        <v>670</v>
      </c>
      <c r="G731">
        <v>128</v>
      </c>
      <c r="H731">
        <v>167</v>
      </c>
      <c r="I731">
        <v>12</v>
      </c>
      <c r="J731">
        <v>18</v>
      </c>
      <c r="K731">
        <v>14</v>
      </c>
      <c r="L731">
        <v>16</v>
      </c>
      <c r="M731">
        <v>1</v>
      </c>
      <c r="N731" t="s">
        <v>125</v>
      </c>
      <c r="O731" t="s">
        <v>127</v>
      </c>
      <c r="P731" t="s">
        <v>220</v>
      </c>
      <c r="Q731">
        <f t="shared" si="207"/>
        <v>1</v>
      </c>
      <c r="R731" t="str">
        <f t="shared" si="196"/>
        <v>12-2024</v>
      </c>
      <c r="S731" t="s">
        <v>104</v>
      </c>
      <c r="T731" t="str">
        <f t="shared" si="197"/>
        <v>Tuesday</v>
      </c>
      <c r="U731">
        <f t="shared" si="198"/>
        <v>1</v>
      </c>
      <c r="V731" s="24">
        <f>IFERROR(Table2[[#This Row],[Gray Min]]/Table2[[#This Row],[ClassLength]],"")</f>
        <v>0.19672131147540983</v>
      </c>
      <c r="W731" s="24">
        <f>IFERROR(Table2[[#This Row],[Blue Min]]/Table2[[#This Row],[ClassLength]],"")</f>
        <v>0.29508196721311475</v>
      </c>
      <c r="X731" s="24">
        <f>IFERROR(Table2[[#This Row],[Green Min]]/Table2[[#This Row],[ClassLength]],"")</f>
        <v>0.22950819672131148</v>
      </c>
      <c r="Y731" s="24">
        <f>IFERROR(Table2[[#This Row],[Orange Min]]/Table2[[#This Row],[ClassLength]],"")</f>
        <v>0.26229508196721313</v>
      </c>
      <c r="Z731" s="24">
        <f>IFERROR(Table2[[#This Row],[Red Min]]/Table2[[#This Row],[ClassLength]],"")</f>
        <v>1.6393442622950821E-2</v>
      </c>
      <c r="AA731" s="25">
        <v>169</v>
      </c>
      <c r="AB731" s="25">
        <f t="shared" si="209"/>
        <v>14.083333333333334</v>
      </c>
      <c r="AC731" s="26">
        <f t="shared" si="199"/>
        <v>651.33333333333337</v>
      </c>
      <c r="AD731" s="26">
        <f t="shared" si="200"/>
        <v>14.75</v>
      </c>
      <c r="AE731">
        <f t="shared" si="201"/>
        <v>2024</v>
      </c>
      <c r="AG731">
        <v>12</v>
      </c>
      <c r="AH731" s="26">
        <f t="shared" si="202"/>
        <v>10.983606557377049</v>
      </c>
      <c r="AI731" t="str">
        <f t="shared" si="203"/>
        <v>PM</v>
      </c>
      <c r="AJ731" t="str">
        <f t="shared" si="204"/>
        <v>12-2024-3</v>
      </c>
      <c r="AK731">
        <f t="shared" si="205"/>
        <v>12</v>
      </c>
      <c r="AL731" s="26">
        <f>IFERROR(Table2[[#This Row],[Calories]]/Table2[[#This Row],[Splat]],"")</f>
        <v>39.411764705882355</v>
      </c>
      <c r="AM731">
        <f>COUNTIF(N$2:$N$938,N731)</f>
        <v>258</v>
      </c>
      <c r="AN731" t="str">
        <f>VLOOKUP(N731,'Helpful Tables'!A:D,4,FALSE)</f>
        <v>Oregon</v>
      </c>
      <c r="AO731" s="24">
        <f>COUNTIF(AN:AN,Table2[[#This Row],[State]])/COUNTA(AN:AN)</f>
        <v>0.36140724946695096</v>
      </c>
      <c r="AP731">
        <f>VLOOKUP(N731,'Helpful Tables'!A:B,2,FALSE)</f>
        <v>45.534162000000002</v>
      </c>
      <c r="AQ731">
        <f>VLOOKUP(N731,'Helpful Tables'!A:C,3,FALSE)</f>
        <v>-122.69670000000001</v>
      </c>
      <c r="AR731">
        <f>COUNTIF(P$2:$P$938,P731)</f>
        <v>43</v>
      </c>
      <c r="AS731" cm="1">
        <f t="array" ref="AS731">_xlfn.IFS(E731&lt;6,((E731/D731)*60)*0.5,AND(E731&gt;=6,E731&lt;9),((E731/D731)*60)*0.75,AND(E731&gt;=9,E731&lt;=11),((E731/D731)*60)*0.9,AND(E731=12),((E731/D731)*60)*1,AND(E731&gt;=13,E731&lt;=15),((E731/D731)*60)*1.2,AND(E731&gt;=16,E731&lt;=19),((E731/D731)*60)*1.5,E731&gt;=20,((E731/D731)*60)*1.8)</f>
        <v>25.081967213114751</v>
      </c>
      <c r="AT731" cm="1">
        <f t="array" ref="AT731">_xlfn.IFS(F731&lt;550,((F731/D731)*60)*0.5,AND(F731&gt;=550,F731&lt;575),((F731/D731)*60)*0.75,AND(F731&gt;=575,F731&lt;600),((F731/D731)*60)*0.9,AND(F731=600),((F731/D731)*60)*1,AND(F731&gt;=601,F731&lt;=625),((F731/D731)*60)*1.2,AND(F731&gt;=626,F731&lt;=650),((F731/D731)*60)*1.5,F731&gt;=651,((F731/D731)*60)*1.8)</f>
        <v>1186.2295081967213</v>
      </c>
      <c r="AU731">
        <f t="shared" si="193"/>
        <v>4.8999999999999986</v>
      </c>
      <c r="AV731">
        <f t="shared" si="208"/>
        <v>485.50459016393449</v>
      </c>
      <c r="AW731">
        <f t="shared" si="194"/>
        <v>71.599999999999994</v>
      </c>
      <c r="AX731" t="str">
        <f t="shared" si="206"/>
        <v>Dec-2024</v>
      </c>
      <c r="AY731">
        <f>ROUNDUP(Table2[[#This Row],[Month]]/3,0)</f>
        <v>4</v>
      </c>
    </row>
    <row r="732" spans="1:51" x14ac:dyDescent="0.2">
      <c r="A732">
        <v>731</v>
      </c>
      <c r="B732">
        <f t="shared" si="195"/>
        <v>12</v>
      </c>
      <c r="C732" s="22">
        <v>45645</v>
      </c>
      <c r="D732">
        <f>SUM(Table2[[#This Row],[Gray Min]:[Red Min]])</f>
        <v>58</v>
      </c>
      <c r="E732">
        <v>15</v>
      </c>
      <c r="F732">
        <v>632</v>
      </c>
      <c r="G732">
        <v>125</v>
      </c>
      <c r="H732">
        <v>164</v>
      </c>
      <c r="I732">
        <v>14</v>
      </c>
      <c r="J732">
        <v>14</v>
      </c>
      <c r="K732">
        <v>15</v>
      </c>
      <c r="L732">
        <v>14</v>
      </c>
      <c r="M732">
        <v>1</v>
      </c>
      <c r="N732" t="s">
        <v>125</v>
      </c>
      <c r="O732" t="s">
        <v>127</v>
      </c>
      <c r="P732" t="s">
        <v>222</v>
      </c>
      <c r="Q732">
        <f t="shared" si="207"/>
        <v>2</v>
      </c>
      <c r="R732" t="str">
        <f t="shared" si="196"/>
        <v>12-2024</v>
      </c>
      <c r="S732" t="s">
        <v>104</v>
      </c>
      <c r="T732" t="str">
        <f t="shared" si="197"/>
        <v>Thursday</v>
      </c>
      <c r="U732">
        <f t="shared" si="198"/>
        <v>1</v>
      </c>
      <c r="V732" s="24">
        <f>IFERROR(Table2[[#This Row],[Gray Min]]/Table2[[#This Row],[ClassLength]],"")</f>
        <v>0.2413793103448276</v>
      </c>
      <c r="W732" s="24">
        <f>IFERROR(Table2[[#This Row],[Blue Min]]/Table2[[#This Row],[ClassLength]],"")</f>
        <v>0.2413793103448276</v>
      </c>
      <c r="X732" s="24">
        <f>IFERROR(Table2[[#This Row],[Green Min]]/Table2[[#This Row],[ClassLength]],"")</f>
        <v>0.25862068965517243</v>
      </c>
      <c r="Y732" s="24">
        <f>IFERROR(Table2[[#This Row],[Orange Min]]/Table2[[#This Row],[ClassLength]],"")</f>
        <v>0.2413793103448276</v>
      </c>
      <c r="Z732" s="24">
        <f>IFERROR(Table2[[#This Row],[Red Min]]/Table2[[#This Row],[ClassLength]],"")</f>
        <v>1.7241379310344827E-2</v>
      </c>
      <c r="AA732" s="25">
        <v>169</v>
      </c>
      <c r="AB732" s="25">
        <f t="shared" si="209"/>
        <v>14.083333333333334</v>
      </c>
      <c r="AC732" s="26">
        <f t="shared" si="199"/>
        <v>651.33333333333337</v>
      </c>
      <c r="AD732" s="26">
        <f t="shared" si="200"/>
        <v>14.75</v>
      </c>
      <c r="AE732">
        <f t="shared" si="201"/>
        <v>2024</v>
      </c>
      <c r="AG732">
        <v>12</v>
      </c>
      <c r="AH732" s="26">
        <f t="shared" si="202"/>
        <v>10.896551724137931</v>
      </c>
      <c r="AI732" t="str">
        <f t="shared" si="203"/>
        <v>PM</v>
      </c>
      <c r="AJ732" t="str">
        <f t="shared" si="204"/>
        <v>12-2024-3</v>
      </c>
      <c r="AK732">
        <f t="shared" si="205"/>
        <v>12</v>
      </c>
      <c r="AL732" s="26">
        <f>IFERROR(Table2[[#This Row],[Calories]]/Table2[[#This Row],[Splat]],"")</f>
        <v>42.133333333333333</v>
      </c>
      <c r="AM732">
        <f>COUNTIF(N$2:$N$938,N732)</f>
        <v>258</v>
      </c>
      <c r="AN732" t="str">
        <f>VLOOKUP(N732,'Helpful Tables'!A:D,4,FALSE)</f>
        <v>Oregon</v>
      </c>
      <c r="AO732" s="24">
        <f>COUNTIF(AN:AN,Table2[[#This Row],[State]])/COUNTA(AN:AN)</f>
        <v>0.36140724946695096</v>
      </c>
      <c r="AP732">
        <f>VLOOKUP(N732,'Helpful Tables'!A:B,2,FALSE)</f>
        <v>45.534162000000002</v>
      </c>
      <c r="AQ732">
        <f>VLOOKUP(N732,'Helpful Tables'!A:C,3,FALSE)</f>
        <v>-122.69670000000001</v>
      </c>
      <c r="AR732">
        <f>COUNTIF(P$2:$P$938,P732)</f>
        <v>32</v>
      </c>
      <c r="AS732" cm="1">
        <f t="array" ref="AS732">_xlfn.IFS(E732&lt;6,((E732/D732)*60)*0.5,AND(E732&gt;=6,E732&lt;9),((E732/D732)*60)*0.75,AND(E732&gt;=9,E732&lt;=11),((E732/D732)*60)*0.9,AND(E732=12),((E732/D732)*60)*1,AND(E732&gt;=13,E732&lt;=15),((E732/D732)*60)*1.2,AND(E732&gt;=16,E732&lt;=19),((E732/D732)*60)*1.5,E732&gt;=20,((E732/D732)*60)*1.8)</f>
        <v>18.620689655172413</v>
      </c>
      <c r="AT732" cm="1">
        <f t="array" ref="AT732">_xlfn.IFS(F732&lt;550,((F732/D732)*60)*0.5,AND(F732&gt;=550,F732&lt;575),((F732/D732)*60)*0.75,AND(F732&gt;=575,F732&lt;600),((F732/D732)*60)*0.9,AND(F732=600),((F732/D732)*60)*1,AND(F732&gt;=601,F732&lt;=625),((F732/D732)*60)*1.2,AND(F732&gt;=626,F732&lt;=650),((F732/D732)*60)*1.5,F732&gt;=651,((F732/D732)*60)*1.8)</f>
        <v>980.68965517241372</v>
      </c>
      <c r="AU732">
        <f t="shared" si="193"/>
        <v>5.4999999999999964</v>
      </c>
      <c r="AV732">
        <f t="shared" si="208"/>
        <v>400.8241379310345</v>
      </c>
      <c r="AW732">
        <f t="shared" si="194"/>
        <v>53.400000000000006</v>
      </c>
      <c r="AX732" t="str">
        <f t="shared" si="206"/>
        <v>Dec-2024</v>
      </c>
      <c r="AY732">
        <f>ROUNDUP(Table2[[#This Row],[Month]]/3,0)</f>
        <v>4</v>
      </c>
    </row>
    <row r="733" spans="1:51" x14ac:dyDescent="0.2">
      <c r="A733">
        <v>732</v>
      </c>
      <c r="B733">
        <f t="shared" si="195"/>
        <v>12</v>
      </c>
      <c r="C733" s="22">
        <v>45655</v>
      </c>
      <c r="D733">
        <f>SUM(Table2[[#This Row],[Gray Min]:[Red Min]])</f>
        <v>59</v>
      </c>
      <c r="E733">
        <v>12</v>
      </c>
      <c r="F733">
        <v>621</v>
      </c>
      <c r="G733">
        <v>123</v>
      </c>
      <c r="H733">
        <v>166</v>
      </c>
      <c r="I733">
        <v>19</v>
      </c>
      <c r="J733">
        <v>10</v>
      </c>
      <c r="K733">
        <v>18</v>
      </c>
      <c r="L733">
        <v>10</v>
      </c>
      <c r="M733">
        <v>2</v>
      </c>
      <c r="N733" t="s">
        <v>125</v>
      </c>
      <c r="O733" t="s">
        <v>79</v>
      </c>
      <c r="P733" t="s">
        <v>222</v>
      </c>
      <c r="Q733">
        <f t="shared" si="207"/>
        <v>10</v>
      </c>
      <c r="R733" t="str">
        <f t="shared" si="196"/>
        <v>12-2024</v>
      </c>
      <c r="S733" t="s">
        <v>117</v>
      </c>
      <c r="T733" t="str">
        <f t="shared" si="197"/>
        <v>Sunday</v>
      </c>
      <c r="U733">
        <f t="shared" si="198"/>
        <v>1</v>
      </c>
      <c r="V733" s="24">
        <f>IFERROR(Table2[[#This Row],[Gray Min]]/Table2[[#This Row],[ClassLength]],"")</f>
        <v>0.32203389830508472</v>
      </c>
      <c r="W733" s="24">
        <f>IFERROR(Table2[[#This Row],[Blue Min]]/Table2[[#This Row],[ClassLength]],"")</f>
        <v>0.16949152542372881</v>
      </c>
      <c r="X733" s="24">
        <f>IFERROR(Table2[[#This Row],[Green Min]]/Table2[[#This Row],[ClassLength]],"")</f>
        <v>0.30508474576271188</v>
      </c>
      <c r="Y733" s="24">
        <f>IFERROR(Table2[[#This Row],[Orange Min]]/Table2[[#This Row],[ClassLength]],"")</f>
        <v>0.16949152542372881</v>
      </c>
      <c r="Z733" s="24">
        <f>IFERROR(Table2[[#This Row],[Red Min]]/Table2[[#This Row],[ClassLength]],"")</f>
        <v>3.3898305084745763E-2</v>
      </c>
      <c r="AA733" s="25">
        <v>169</v>
      </c>
      <c r="AB733" s="25">
        <f t="shared" si="209"/>
        <v>14.083333333333334</v>
      </c>
      <c r="AC733" s="26">
        <f t="shared" si="199"/>
        <v>651.33333333333337</v>
      </c>
      <c r="AD733" s="26">
        <f t="shared" si="200"/>
        <v>14.75</v>
      </c>
      <c r="AE733">
        <f t="shared" si="201"/>
        <v>2024</v>
      </c>
      <c r="AG733">
        <v>12</v>
      </c>
      <c r="AH733" s="26">
        <f t="shared" si="202"/>
        <v>10.525423728813559</v>
      </c>
      <c r="AI733" t="str">
        <f t="shared" si="203"/>
        <v>AM</v>
      </c>
      <c r="AJ733" t="str">
        <f t="shared" si="204"/>
        <v>12-2024-5</v>
      </c>
      <c r="AK733">
        <f t="shared" si="205"/>
        <v>12</v>
      </c>
      <c r="AL733" s="26">
        <f>IFERROR(Table2[[#This Row],[Calories]]/Table2[[#This Row],[Splat]],"")</f>
        <v>51.75</v>
      </c>
      <c r="AM733">
        <f>COUNTIF(N$2:$N$938,N733)</f>
        <v>258</v>
      </c>
      <c r="AN733" t="str">
        <f>VLOOKUP(N733,'Helpful Tables'!A:D,4,FALSE)</f>
        <v>Oregon</v>
      </c>
      <c r="AO733" s="24">
        <f>COUNTIF(AN:AN,Table2[[#This Row],[State]])/COUNTA(AN:AN)</f>
        <v>0.36140724946695096</v>
      </c>
      <c r="AP733">
        <f>VLOOKUP(N733,'Helpful Tables'!A:B,2,FALSE)</f>
        <v>45.534162000000002</v>
      </c>
      <c r="AQ733">
        <f>VLOOKUP(N733,'Helpful Tables'!A:C,3,FALSE)</f>
        <v>-122.69670000000001</v>
      </c>
      <c r="AR733">
        <f>COUNTIF(P$2:$P$938,P733)</f>
        <v>32</v>
      </c>
      <c r="AS733" cm="1">
        <f t="array" ref="AS733">_xlfn.IFS(E733&lt;6,((E733/D733)*60)*0.5,AND(E733&gt;=6,E733&lt;9),((E733/D733)*60)*0.75,AND(E733&gt;=9,E733&lt;=11),((E733/D733)*60)*0.9,AND(E733=12),((E733/D733)*60)*1,AND(E733&gt;=13,E733&lt;=15),((E733/D733)*60)*1.2,AND(E733&gt;=16,E733&lt;=19),((E733/D733)*60)*1.5,E733&gt;=20,((E733/D733)*60)*1.8)</f>
        <v>12.203389830508476</v>
      </c>
      <c r="AT733" cm="1">
        <f t="array" ref="AT733">_xlfn.IFS(F733&lt;550,((F733/D733)*60)*0.5,AND(F733&gt;=550,F733&lt;575),((F733/D733)*60)*0.75,AND(F733&gt;=575,F733&lt;600),((F733/D733)*60)*0.9,AND(F733=600),((F733/D733)*60)*1,AND(F733&gt;=601,F733&lt;=625),((F733/D733)*60)*1.2,AND(F733&gt;=626,F733&lt;=650),((F733/D733)*60)*1.5,F733&gt;=651,((F733/D733)*60)*1.8)</f>
        <v>757.83050847457616</v>
      </c>
      <c r="AU733">
        <f t="shared" si="193"/>
        <v>3.8000000000000007</v>
      </c>
      <c r="AV733">
        <f t="shared" si="208"/>
        <v>308.77355932203386</v>
      </c>
      <c r="AW733">
        <f t="shared" si="194"/>
        <v>30.9</v>
      </c>
      <c r="AX733" t="str">
        <f t="shared" si="206"/>
        <v>Dec-2024</v>
      </c>
      <c r="AY733">
        <f>ROUNDUP(Table2[[#This Row],[Month]]/3,0)</f>
        <v>4</v>
      </c>
    </row>
    <row r="734" spans="1:51" x14ac:dyDescent="0.2">
      <c r="A734">
        <v>733</v>
      </c>
      <c r="B734">
        <f t="shared" si="195"/>
        <v>12</v>
      </c>
      <c r="C734" s="22">
        <v>45657</v>
      </c>
      <c r="D734">
        <f>SUM(Table2[[#This Row],[Gray Min]:[Red Min]])</f>
        <v>59</v>
      </c>
      <c r="E734">
        <v>14</v>
      </c>
      <c r="F734">
        <v>665</v>
      </c>
      <c r="G734">
        <v>128</v>
      </c>
      <c r="H734">
        <v>167</v>
      </c>
      <c r="I734">
        <v>14</v>
      </c>
      <c r="J734">
        <v>7</v>
      </c>
      <c r="K734">
        <v>24</v>
      </c>
      <c r="L734">
        <v>12</v>
      </c>
      <c r="M734">
        <v>2</v>
      </c>
      <c r="N734" t="s">
        <v>208</v>
      </c>
      <c r="O734" t="s">
        <v>76</v>
      </c>
      <c r="P734" t="s">
        <v>209</v>
      </c>
      <c r="Q734">
        <f t="shared" si="207"/>
        <v>2</v>
      </c>
      <c r="R734" t="str">
        <f t="shared" si="196"/>
        <v>12-2024</v>
      </c>
      <c r="S734" t="s">
        <v>117</v>
      </c>
      <c r="T734" t="str">
        <f t="shared" si="197"/>
        <v>Tuesday</v>
      </c>
      <c r="U734">
        <f t="shared" si="198"/>
        <v>1</v>
      </c>
      <c r="V734" s="24">
        <f>IFERROR(Table2[[#This Row],[Gray Min]]/Table2[[#This Row],[ClassLength]],"")</f>
        <v>0.23728813559322035</v>
      </c>
      <c r="W734" s="24">
        <f>IFERROR(Table2[[#This Row],[Blue Min]]/Table2[[#This Row],[ClassLength]],"")</f>
        <v>0.11864406779661017</v>
      </c>
      <c r="X734" s="24">
        <f>IFERROR(Table2[[#This Row],[Green Min]]/Table2[[#This Row],[ClassLength]],"")</f>
        <v>0.40677966101694918</v>
      </c>
      <c r="Y734" s="24">
        <f>IFERROR(Table2[[#This Row],[Orange Min]]/Table2[[#This Row],[ClassLength]],"")</f>
        <v>0.20338983050847459</v>
      </c>
      <c r="Z734" s="24">
        <f>IFERROR(Table2[[#This Row],[Red Min]]/Table2[[#This Row],[ClassLength]],"")</f>
        <v>3.3898305084745763E-2</v>
      </c>
      <c r="AA734" s="25">
        <v>169</v>
      </c>
      <c r="AB734" s="25">
        <f t="shared" si="209"/>
        <v>14.083333333333334</v>
      </c>
      <c r="AC734" s="26">
        <f t="shared" si="199"/>
        <v>651.33333333333337</v>
      </c>
      <c r="AD734" s="26">
        <f t="shared" si="200"/>
        <v>14.75</v>
      </c>
      <c r="AE734">
        <f t="shared" si="201"/>
        <v>2024</v>
      </c>
      <c r="AG734">
        <v>12</v>
      </c>
      <c r="AH734" s="26">
        <f t="shared" si="202"/>
        <v>11.271186440677965</v>
      </c>
      <c r="AI734" t="str">
        <f t="shared" si="203"/>
        <v>AM</v>
      </c>
      <c r="AJ734" t="str">
        <f t="shared" si="204"/>
        <v>12-2024-5</v>
      </c>
      <c r="AK734">
        <f t="shared" si="205"/>
        <v>12</v>
      </c>
      <c r="AL734" s="26">
        <f>IFERROR(Table2[[#This Row],[Calories]]/Table2[[#This Row],[Splat]],"")</f>
        <v>47.5</v>
      </c>
      <c r="AM734">
        <f>COUNTIF(N$2:$N$938,N734)</f>
        <v>78</v>
      </c>
      <c r="AN734" t="str">
        <f>VLOOKUP(N734,'Helpful Tables'!A:D,4,FALSE)</f>
        <v>Oregon</v>
      </c>
      <c r="AO734" s="24">
        <f>COUNTIF(AN:AN,Table2[[#This Row],[State]])/COUNTA(AN:AN)</f>
        <v>0.36140724946695096</v>
      </c>
      <c r="AP734">
        <f>VLOOKUP(N734,'Helpful Tables'!A:B,2,FALSE)</f>
        <v>45.525092999999998</v>
      </c>
      <c r="AQ734">
        <f>VLOOKUP(N734,'Helpful Tables'!A:C,3,FALSE)</f>
        <v>-122.681383</v>
      </c>
      <c r="AR734">
        <f>COUNTIF(P$2:$P$938,P734)</f>
        <v>20</v>
      </c>
      <c r="AS734" cm="1">
        <f t="array" ref="AS734">_xlfn.IFS(E734&lt;6,((E734/D734)*60)*0.5,AND(E734&gt;=6,E734&lt;9),((E734/D734)*60)*0.75,AND(E734&gt;=9,E734&lt;=11),((E734/D734)*60)*0.9,AND(E734=12),((E734/D734)*60)*1,AND(E734&gt;=13,E734&lt;=15),((E734/D734)*60)*1.2,AND(E734&gt;=16,E734&lt;=19),((E734/D734)*60)*1.5,E734&gt;=20,((E734/D734)*60)*1.8)</f>
        <v>17.084745762711865</v>
      </c>
      <c r="AT734" cm="1">
        <f t="array" ref="AT734">_xlfn.IFS(F734&lt;550,((F734/D734)*60)*0.5,AND(F734&gt;=550,F734&lt;575),((F734/D734)*60)*0.75,AND(F734&gt;=575,F734&lt;600),((F734/D734)*60)*0.9,AND(F734=600),((F734/D734)*60)*1,AND(F734&gt;=601,F734&lt;=625),((F734/D734)*60)*1.2,AND(F734&gt;=626,F734&lt;=650),((F734/D734)*60)*1.5,F734&gt;=651,((F734/D734)*60)*1.8)</f>
        <v>1217.2881355932202</v>
      </c>
      <c r="AU734">
        <f t="shared" ref="AU734:AU797" si="210">(I734*-1.2)+(J734*-1.1)+(K734*1.2)+(L734*1.3)+(M734*1.5)</f>
        <v>22.9</v>
      </c>
      <c r="AV734">
        <f t="shared" si="208"/>
        <v>498.32915254237281</v>
      </c>
      <c r="AW734">
        <f t="shared" ref="AW734:AW797" si="211">PERCENTRANK(AV:AV,AV734)*100</f>
        <v>78.3</v>
      </c>
      <c r="AX734" t="str">
        <f t="shared" si="206"/>
        <v>Dec-2024</v>
      </c>
      <c r="AY734">
        <f>ROUNDUP(Table2[[#This Row],[Month]]/3,0)</f>
        <v>4</v>
      </c>
    </row>
    <row r="735" spans="1:51" x14ac:dyDescent="0.2">
      <c r="A735">
        <v>734</v>
      </c>
      <c r="B735">
        <f t="shared" si="195"/>
        <v>16</v>
      </c>
      <c r="C735" s="22">
        <v>45658</v>
      </c>
      <c r="D735">
        <f>SUM(Table2[[#This Row],[Gray Min]:[Red Min]])</f>
        <v>60</v>
      </c>
      <c r="E735">
        <v>22</v>
      </c>
      <c r="F735">
        <v>609</v>
      </c>
      <c r="G735">
        <v>119</v>
      </c>
      <c r="H735">
        <v>172</v>
      </c>
      <c r="I735">
        <v>28</v>
      </c>
      <c r="J735">
        <v>4</v>
      </c>
      <c r="K735">
        <v>6</v>
      </c>
      <c r="L735">
        <v>17</v>
      </c>
      <c r="M735">
        <v>5</v>
      </c>
      <c r="N735" t="s">
        <v>125</v>
      </c>
      <c r="O735" t="s">
        <v>83</v>
      </c>
      <c r="P735" t="s">
        <v>220</v>
      </c>
      <c r="Q735">
        <f t="shared" si="207"/>
        <v>1</v>
      </c>
      <c r="R735" t="str">
        <f t="shared" si="196"/>
        <v>1-2025</v>
      </c>
      <c r="S735" t="s">
        <v>104</v>
      </c>
      <c r="T735" t="str">
        <f t="shared" si="197"/>
        <v>Wednesday</v>
      </c>
      <c r="U735">
        <f t="shared" si="198"/>
        <v>1</v>
      </c>
      <c r="V735" s="24">
        <f>IFERROR(Table2[[#This Row],[Gray Min]]/Table2[[#This Row],[ClassLength]],"")</f>
        <v>0.46666666666666667</v>
      </c>
      <c r="W735" s="24">
        <f>IFERROR(Table2[[#This Row],[Blue Min]]/Table2[[#This Row],[ClassLength]],"")</f>
        <v>6.6666666666666666E-2</v>
      </c>
      <c r="X735" s="24">
        <f>IFERROR(Table2[[#This Row],[Green Min]]/Table2[[#This Row],[ClassLength]],"")</f>
        <v>0.1</v>
      </c>
      <c r="Y735" s="24">
        <f>IFERROR(Table2[[#This Row],[Orange Min]]/Table2[[#This Row],[ClassLength]],"")</f>
        <v>0.28333333333333333</v>
      </c>
      <c r="Z735" s="24">
        <f>IFERROR(Table2[[#This Row],[Red Min]]/Table2[[#This Row],[ClassLength]],"")</f>
        <v>8.3333333333333329E-2</v>
      </c>
      <c r="AA735" s="25">
        <v>169</v>
      </c>
      <c r="AB735" s="25">
        <f t="shared" si="209"/>
        <v>10.5625</v>
      </c>
      <c r="AC735" s="26">
        <f t="shared" si="199"/>
        <v>639.0625</v>
      </c>
      <c r="AD735" s="26">
        <f t="shared" si="200"/>
        <v>13.875</v>
      </c>
      <c r="AE735">
        <f t="shared" si="201"/>
        <v>2025</v>
      </c>
      <c r="AG735">
        <v>12</v>
      </c>
      <c r="AH735" s="26">
        <f t="shared" si="202"/>
        <v>10.15</v>
      </c>
      <c r="AI735" t="str">
        <f t="shared" si="203"/>
        <v>PM</v>
      </c>
      <c r="AJ735" t="str">
        <f t="shared" si="204"/>
        <v>1-2025-1</v>
      </c>
      <c r="AK735">
        <f t="shared" si="205"/>
        <v>1</v>
      </c>
      <c r="AL735" s="26">
        <f>IFERROR(Table2[[#This Row],[Calories]]/Table2[[#This Row],[Splat]],"")</f>
        <v>27.681818181818183</v>
      </c>
      <c r="AM735">
        <f>COUNTIF(N$2:$N$938,N735)</f>
        <v>258</v>
      </c>
      <c r="AN735" t="str">
        <f>VLOOKUP(N735,'Helpful Tables'!A:D,4,FALSE)</f>
        <v>Oregon</v>
      </c>
      <c r="AO735" s="24">
        <f>COUNTIF(AN:AN,Table2[[#This Row],[State]])/COUNTA(AN:AN)</f>
        <v>0.36140724946695096</v>
      </c>
      <c r="AP735">
        <f>VLOOKUP(N735,'Helpful Tables'!A:B,2,FALSE)</f>
        <v>45.534162000000002</v>
      </c>
      <c r="AQ735">
        <f>VLOOKUP(N735,'Helpful Tables'!A:C,3,FALSE)</f>
        <v>-122.69670000000001</v>
      </c>
      <c r="AR735">
        <f>COUNTIF(P$2:$P$938,P735)</f>
        <v>43</v>
      </c>
      <c r="AS735" cm="1">
        <f t="array" ref="AS735">_xlfn.IFS(E735&lt;6,((E735/D735)*60)*0.5,AND(E735&gt;=6,E735&lt;9),((E735/D735)*60)*0.75,AND(E735&gt;=9,E735&lt;=11),((E735/D735)*60)*0.9,AND(E735=12),((E735/D735)*60)*1,AND(E735&gt;=13,E735&lt;=15),((E735/D735)*60)*1.2,AND(E735&gt;=16,E735&lt;=19),((E735/D735)*60)*1.5,E735&gt;=20,((E735/D735)*60)*1.8)</f>
        <v>39.6</v>
      </c>
      <c r="AT735" cm="1">
        <f t="array" ref="AT735">_xlfn.IFS(F735&lt;550,((F735/D735)*60)*0.5,AND(F735&gt;=550,F735&lt;575),((F735/D735)*60)*0.75,AND(F735&gt;=575,F735&lt;600),((F735/D735)*60)*0.9,AND(F735=600),((F735/D735)*60)*1,AND(F735&gt;=601,F735&lt;=625),((F735/D735)*60)*1.2,AND(F735&gt;=626,F735&lt;=650),((F735/D735)*60)*1.5,F735&gt;=651,((F735/D735)*60)*1.8)</f>
        <v>730.8</v>
      </c>
      <c r="AU735">
        <f t="shared" si="210"/>
        <v>-1.1999999999999993</v>
      </c>
      <c r="AV735">
        <f t="shared" si="208"/>
        <v>307.91999999999996</v>
      </c>
      <c r="AW735">
        <f t="shared" si="211"/>
        <v>30.2</v>
      </c>
      <c r="AX735" t="str">
        <f t="shared" si="206"/>
        <v>Jan-2025</v>
      </c>
      <c r="AY735">
        <f>ROUNDUP(Table2[[#This Row],[Month]]/3,0)</f>
        <v>1</v>
      </c>
    </row>
    <row r="736" spans="1:51" x14ac:dyDescent="0.2">
      <c r="A736">
        <v>735</v>
      </c>
      <c r="B736">
        <f t="shared" si="195"/>
        <v>16</v>
      </c>
      <c r="C736" s="22">
        <v>45661</v>
      </c>
      <c r="D736">
        <f>SUM(Table2[[#This Row],[Gray Min]:[Red Min]])</f>
        <v>57</v>
      </c>
      <c r="E736">
        <v>12</v>
      </c>
      <c r="F736">
        <v>624</v>
      </c>
      <c r="G736">
        <v>125</v>
      </c>
      <c r="H736">
        <v>168</v>
      </c>
      <c r="I736">
        <v>11</v>
      </c>
      <c r="J736">
        <v>19</v>
      </c>
      <c r="K736">
        <v>15</v>
      </c>
      <c r="L736">
        <v>11</v>
      </c>
      <c r="M736">
        <v>1</v>
      </c>
      <c r="N736" t="s">
        <v>125</v>
      </c>
      <c r="O736" t="s">
        <v>159</v>
      </c>
      <c r="P736" t="s">
        <v>226</v>
      </c>
      <c r="Q736">
        <f t="shared" si="207"/>
        <v>3</v>
      </c>
      <c r="R736" t="str">
        <f t="shared" si="196"/>
        <v>1-2025</v>
      </c>
      <c r="S736" t="s">
        <v>117</v>
      </c>
      <c r="T736" t="str">
        <f t="shared" si="197"/>
        <v>Saturday</v>
      </c>
      <c r="U736">
        <f t="shared" si="198"/>
        <v>1</v>
      </c>
      <c r="V736" s="24">
        <f>IFERROR(Table2[[#This Row],[Gray Min]]/Table2[[#This Row],[ClassLength]],"")</f>
        <v>0.19298245614035087</v>
      </c>
      <c r="W736" s="24">
        <f>IFERROR(Table2[[#This Row],[Blue Min]]/Table2[[#This Row],[ClassLength]],"")</f>
        <v>0.33333333333333331</v>
      </c>
      <c r="X736" s="24">
        <f>IFERROR(Table2[[#This Row],[Green Min]]/Table2[[#This Row],[ClassLength]],"")</f>
        <v>0.26315789473684209</v>
      </c>
      <c r="Y736" s="24">
        <f>IFERROR(Table2[[#This Row],[Orange Min]]/Table2[[#This Row],[ClassLength]],"")</f>
        <v>0.19298245614035087</v>
      </c>
      <c r="Z736" s="24">
        <f>IFERROR(Table2[[#This Row],[Red Min]]/Table2[[#This Row],[ClassLength]],"")</f>
        <v>1.7543859649122806E-2</v>
      </c>
      <c r="AA736" s="25">
        <v>169</v>
      </c>
      <c r="AB736" s="25">
        <f t="shared" si="209"/>
        <v>10.5625</v>
      </c>
      <c r="AC736" s="26">
        <f t="shared" si="199"/>
        <v>639.0625</v>
      </c>
      <c r="AD736" s="26">
        <f t="shared" si="200"/>
        <v>13.875</v>
      </c>
      <c r="AE736">
        <f t="shared" si="201"/>
        <v>2025</v>
      </c>
      <c r="AG736">
        <v>12</v>
      </c>
      <c r="AH736" s="26">
        <f t="shared" si="202"/>
        <v>10.947368421052632</v>
      </c>
      <c r="AI736" t="str">
        <f t="shared" si="203"/>
        <v>AM</v>
      </c>
      <c r="AJ736" t="str">
        <f t="shared" si="204"/>
        <v>1-2025-1</v>
      </c>
      <c r="AK736">
        <f t="shared" si="205"/>
        <v>1</v>
      </c>
      <c r="AL736" s="26">
        <f>IFERROR(Table2[[#This Row],[Calories]]/Table2[[#This Row],[Splat]],"")</f>
        <v>52</v>
      </c>
      <c r="AM736">
        <f>COUNTIF(N$2:$N$938,N736)</f>
        <v>258</v>
      </c>
      <c r="AN736" t="str">
        <f>VLOOKUP(N736,'Helpful Tables'!A:D,4,FALSE)</f>
        <v>Oregon</v>
      </c>
      <c r="AO736" s="24">
        <f>COUNTIF(AN:AN,Table2[[#This Row],[State]])/COUNTA(AN:AN)</f>
        <v>0.36140724946695096</v>
      </c>
      <c r="AP736">
        <f>VLOOKUP(N736,'Helpful Tables'!A:B,2,FALSE)</f>
        <v>45.534162000000002</v>
      </c>
      <c r="AQ736">
        <f>VLOOKUP(N736,'Helpful Tables'!A:C,3,FALSE)</f>
        <v>-122.69670000000001</v>
      </c>
      <c r="AR736">
        <f>COUNTIF(P$2:$P$938,P736)</f>
        <v>1</v>
      </c>
      <c r="AS736" cm="1">
        <f t="array" ref="AS736">_xlfn.IFS(E736&lt;6,((E736/D736)*60)*0.5,AND(E736&gt;=6,E736&lt;9),((E736/D736)*60)*0.75,AND(E736&gt;=9,E736&lt;=11),((E736/D736)*60)*0.9,AND(E736=12),((E736/D736)*60)*1,AND(E736&gt;=13,E736&lt;=15),((E736/D736)*60)*1.2,AND(E736&gt;=16,E736&lt;=19),((E736/D736)*60)*1.5,E736&gt;=20,((E736/D736)*60)*1.8)</f>
        <v>12.631578947368421</v>
      </c>
      <c r="AT736" cm="1">
        <f t="array" ref="AT736">_xlfn.IFS(F736&lt;550,((F736/D736)*60)*0.5,AND(F736&gt;=550,F736&lt;575),((F736/D736)*60)*0.75,AND(F736&gt;=575,F736&lt;600),((F736/D736)*60)*0.9,AND(F736=600),((F736/D736)*60)*1,AND(F736&gt;=601,F736&lt;=625),((F736/D736)*60)*1.2,AND(F736&gt;=626,F736&lt;=650),((F736/D736)*60)*1.5,F736&gt;=651,((F736/D736)*60)*1.8)</f>
        <v>788.21052631578948</v>
      </c>
      <c r="AU736">
        <f t="shared" si="210"/>
        <v>-0.30000000000000071</v>
      </c>
      <c r="AV736">
        <f t="shared" si="208"/>
        <v>320.27684210526314</v>
      </c>
      <c r="AW736">
        <f t="shared" si="211"/>
        <v>37.200000000000003</v>
      </c>
      <c r="AX736" t="str">
        <f t="shared" si="206"/>
        <v>Jan-2025</v>
      </c>
      <c r="AY736">
        <f>ROUNDUP(Table2[[#This Row],[Month]]/3,0)</f>
        <v>1</v>
      </c>
    </row>
    <row r="737" spans="1:51" x14ac:dyDescent="0.2">
      <c r="A737">
        <v>736</v>
      </c>
      <c r="B737">
        <f t="shared" si="195"/>
        <v>16</v>
      </c>
      <c r="C737" s="22">
        <v>45663</v>
      </c>
      <c r="D737">
        <f>SUM(Table2[[#This Row],[Gray Min]:[Red Min]])</f>
        <v>61</v>
      </c>
      <c r="E737">
        <v>10</v>
      </c>
      <c r="F737">
        <v>650</v>
      </c>
      <c r="G737">
        <v>124</v>
      </c>
      <c r="H737">
        <v>167</v>
      </c>
      <c r="I737">
        <v>14</v>
      </c>
      <c r="J737">
        <v>19</v>
      </c>
      <c r="K737">
        <v>18</v>
      </c>
      <c r="L737">
        <v>9</v>
      </c>
      <c r="M737">
        <v>1</v>
      </c>
      <c r="N737" t="s">
        <v>125</v>
      </c>
      <c r="O737" t="s">
        <v>127</v>
      </c>
      <c r="P737" t="s">
        <v>220</v>
      </c>
      <c r="Q737">
        <f t="shared" si="207"/>
        <v>2</v>
      </c>
      <c r="R737" t="str">
        <f t="shared" si="196"/>
        <v>1-2025</v>
      </c>
      <c r="S737" t="s">
        <v>104</v>
      </c>
      <c r="T737" t="str">
        <f t="shared" si="197"/>
        <v>Monday</v>
      </c>
      <c r="U737">
        <f t="shared" si="198"/>
        <v>0</v>
      </c>
      <c r="V737" s="24">
        <f>IFERROR(Table2[[#This Row],[Gray Min]]/Table2[[#This Row],[ClassLength]],"")</f>
        <v>0.22950819672131148</v>
      </c>
      <c r="W737" s="24">
        <f>IFERROR(Table2[[#This Row],[Blue Min]]/Table2[[#This Row],[ClassLength]],"")</f>
        <v>0.31147540983606559</v>
      </c>
      <c r="X737" s="24">
        <f>IFERROR(Table2[[#This Row],[Green Min]]/Table2[[#This Row],[ClassLength]],"")</f>
        <v>0.29508196721311475</v>
      </c>
      <c r="Y737" s="24">
        <f>IFERROR(Table2[[#This Row],[Orange Min]]/Table2[[#This Row],[ClassLength]],"")</f>
        <v>0.14754098360655737</v>
      </c>
      <c r="Z737" s="24">
        <f>IFERROR(Table2[[#This Row],[Red Min]]/Table2[[#This Row],[ClassLength]],"")</f>
        <v>1.6393442622950821E-2</v>
      </c>
      <c r="AA737" s="25">
        <v>169</v>
      </c>
      <c r="AB737" s="25">
        <f t="shared" si="209"/>
        <v>10.5625</v>
      </c>
      <c r="AC737" s="26">
        <f t="shared" si="199"/>
        <v>639.0625</v>
      </c>
      <c r="AD737" s="26">
        <f t="shared" si="200"/>
        <v>13.875</v>
      </c>
      <c r="AE737">
        <f t="shared" si="201"/>
        <v>2025</v>
      </c>
      <c r="AG737">
        <v>12</v>
      </c>
      <c r="AH737" s="26">
        <f t="shared" si="202"/>
        <v>10.655737704918034</v>
      </c>
      <c r="AI737" t="str">
        <f t="shared" si="203"/>
        <v>PM</v>
      </c>
      <c r="AJ737" t="str">
        <f t="shared" si="204"/>
        <v>1-2025-2</v>
      </c>
      <c r="AK737">
        <f t="shared" si="205"/>
        <v>1</v>
      </c>
      <c r="AL737" s="26">
        <f>IFERROR(Table2[[#This Row],[Calories]]/Table2[[#This Row],[Splat]],"")</f>
        <v>65</v>
      </c>
      <c r="AM737">
        <f>COUNTIF(N$2:$N$938,N737)</f>
        <v>258</v>
      </c>
      <c r="AN737" t="str">
        <f>VLOOKUP(N737,'Helpful Tables'!A:D,4,FALSE)</f>
        <v>Oregon</v>
      </c>
      <c r="AO737" s="24">
        <f>COUNTIF(AN:AN,Table2[[#This Row],[State]])/COUNTA(AN:AN)</f>
        <v>0.36140724946695096</v>
      </c>
      <c r="AP737">
        <f>VLOOKUP(N737,'Helpful Tables'!A:B,2,FALSE)</f>
        <v>45.534162000000002</v>
      </c>
      <c r="AQ737">
        <f>VLOOKUP(N737,'Helpful Tables'!A:C,3,FALSE)</f>
        <v>-122.69670000000001</v>
      </c>
      <c r="AR737">
        <f>COUNTIF(P$2:$P$938,P737)</f>
        <v>43</v>
      </c>
      <c r="AS737" cm="1">
        <f t="array" ref="AS737">_xlfn.IFS(E737&lt;6,((E737/D737)*60)*0.5,AND(E737&gt;=6,E737&lt;9),((E737/D737)*60)*0.75,AND(E737&gt;=9,E737&lt;=11),((E737/D737)*60)*0.9,AND(E737=12),((E737/D737)*60)*1,AND(E737&gt;=13,E737&lt;=15),((E737/D737)*60)*1.2,AND(E737&gt;=16,E737&lt;=19),((E737/D737)*60)*1.5,E737&gt;=20,((E737/D737)*60)*1.8)</f>
        <v>8.8524590163934409</v>
      </c>
      <c r="AT737" cm="1">
        <f t="array" ref="AT737">_xlfn.IFS(F737&lt;550,((F737/D737)*60)*0.5,AND(F737&gt;=550,F737&lt;575),((F737/D737)*60)*0.75,AND(F737&gt;=575,F737&lt;600),((F737/D737)*60)*0.9,AND(F737=600),((F737/D737)*60)*1,AND(F737&gt;=601,F737&lt;=625),((F737/D737)*60)*1.2,AND(F737&gt;=626,F737&lt;=650),((F737/D737)*60)*1.5,F737&gt;=651,((F737/D737)*60)*1.8)</f>
        <v>959.01639344262298</v>
      </c>
      <c r="AU737">
        <f t="shared" si="210"/>
        <v>-2.9000000000000039</v>
      </c>
      <c r="AV737">
        <f t="shared" si="208"/>
        <v>386.56754098360665</v>
      </c>
      <c r="AW737">
        <f t="shared" si="211"/>
        <v>47.099999999999994</v>
      </c>
      <c r="AX737" t="str">
        <f t="shared" si="206"/>
        <v>Jan-2025</v>
      </c>
      <c r="AY737">
        <f>ROUNDUP(Table2[[#This Row],[Month]]/3,0)</f>
        <v>1</v>
      </c>
    </row>
    <row r="738" spans="1:51" x14ac:dyDescent="0.2">
      <c r="A738">
        <v>737</v>
      </c>
      <c r="B738">
        <f t="shared" si="195"/>
        <v>16</v>
      </c>
      <c r="C738" s="22">
        <v>45665</v>
      </c>
      <c r="D738">
        <f>SUM(Table2[[#This Row],[Gray Min]:[Red Min]])</f>
        <v>59</v>
      </c>
      <c r="E738">
        <v>14</v>
      </c>
      <c r="F738">
        <v>636</v>
      </c>
      <c r="G738">
        <v>125</v>
      </c>
      <c r="H738">
        <v>165</v>
      </c>
      <c r="I738">
        <v>16</v>
      </c>
      <c r="J738">
        <v>13</v>
      </c>
      <c r="K738">
        <v>16</v>
      </c>
      <c r="L738">
        <v>11</v>
      </c>
      <c r="M738">
        <v>3</v>
      </c>
      <c r="N738" t="s">
        <v>125</v>
      </c>
      <c r="O738" t="s">
        <v>127</v>
      </c>
      <c r="P738" t="s">
        <v>222</v>
      </c>
      <c r="Q738">
        <f t="shared" si="207"/>
        <v>2</v>
      </c>
      <c r="R738" t="str">
        <f t="shared" si="196"/>
        <v>1-2025</v>
      </c>
      <c r="S738" t="s">
        <v>104</v>
      </c>
      <c r="T738" t="str">
        <f t="shared" si="197"/>
        <v>Wednesday</v>
      </c>
      <c r="U738">
        <f t="shared" si="198"/>
        <v>1</v>
      </c>
      <c r="V738" s="24">
        <f>IFERROR(Table2[[#This Row],[Gray Min]]/Table2[[#This Row],[ClassLength]],"")</f>
        <v>0.2711864406779661</v>
      </c>
      <c r="W738" s="24">
        <f>IFERROR(Table2[[#This Row],[Blue Min]]/Table2[[#This Row],[ClassLength]],"")</f>
        <v>0.22033898305084745</v>
      </c>
      <c r="X738" s="24">
        <f>IFERROR(Table2[[#This Row],[Green Min]]/Table2[[#This Row],[ClassLength]],"")</f>
        <v>0.2711864406779661</v>
      </c>
      <c r="Y738" s="24">
        <f>IFERROR(Table2[[#This Row],[Orange Min]]/Table2[[#This Row],[ClassLength]],"")</f>
        <v>0.1864406779661017</v>
      </c>
      <c r="Z738" s="24">
        <f>IFERROR(Table2[[#This Row],[Red Min]]/Table2[[#This Row],[ClassLength]],"")</f>
        <v>5.0847457627118647E-2</v>
      </c>
      <c r="AA738" s="25">
        <v>169</v>
      </c>
      <c r="AB738" s="25">
        <f t="shared" si="209"/>
        <v>10.5625</v>
      </c>
      <c r="AC738" s="26">
        <f t="shared" si="199"/>
        <v>639.0625</v>
      </c>
      <c r="AD738" s="26">
        <f t="shared" si="200"/>
        <v>13.875</v>
      </c>
      <c r="AE738">
        <f t="shared" si="201"/>
        <v>2025</v>
      </c>
      <c r="AG738">
        <v>12</v>
      </c>
      <c r="AH738" s="26">
        <f t="shared" si="202"/>
        <v>10.779661016949152</v>
      </c>
      <c r="AI738" t="str">
        <f t="shared" si="203"/>
        <v>PM</v>
      </c>
      <c r="AJ738" t="str">
        <f t="shared" si="204"/>
        <v>1-2025-2</v>
      </c>
      <c r="AK738">
        <f t="shared" si="205"/>
        <v>1</v>
      </c>
      <c r="AL738" s="26">
        <f>IFERROR(Table2[[#This Row],[Calories]]/Table2[[#This Row],[Splat]],"")</f>
        <v>45.428571428571431</v>
      </c>
      <c r="AM738">
        <f>COUNTIF(N$2:$N$938,N738)</f>
        <v>258</v>
      </c>
      <c r="AN738" t="str">
        <f>VLOOKUP(N738,'Helpful Tables'!A:D,4,FALSE)</f>
        <v>Oregon</v>
      </c>
      <c r="AO738" s="24">
        <f>COUNTIF(AN:AN,Table2[[#This Row],[State]])/COUNTA(AN:AN)</f>
        <v>0.36140724946695096</v>
      </c>
      <c r="AP738">
        <f>VLOOKUP(N738,'Helpful Tables'!A:B,2,FALSE)</f>
        <v>45.534162000000002</v>
      </c>
      <c r="AQ738">
        <f>VLOOKUP(N738,'Helpful Tables'!A:C,3,FALSE)</f>
        <v>-122.69670000000001</v>
      </c>
      <c r="AR738">
        <f>COUNTIF(P$2:$P$938,P738)</f>
        <v>32</v>
      </c>
      <c r="AS738" cm="1">
        <f t="array" ref="AS738">_xlfn.IFS(E738&lt;6,((E738/D738)*60)*0.5,AND(E738&gt;=6,E738&lt;9),((E738/D738)*60)*0.75,AND(E738&gt;=9,E738&lt;=11),((E738/D738)*60)*0.9,AND(E738=12),((E738/D738)*60)*1,AND(E738&gt;=13,E738&lt;=15),((E738/D738)*60)*1.2,AND(E738&gt;=16,E738&lt;=19),((E738/D738)*60)*1.5,E738&gt;=20,((E738/D738)*60)*1.8)</f>
        <v>17.084745762711865</v>
      </c>
      <c r="AT738" cm="1">
        <f t="array" ref="AT738">_xlfn.IFS(F738&lt;550,((F738/D738)*60)*0.5,AND(F738&gt;=550,F738&lt;575),((F738/D738)*60)*0.75,AND(F738&gt;=575,F738&lt;600),((F738/D738)*60)*0.9,AND(F738=600),((F738/D738)*60)*1,AND(F738&gt;=601,F738&lt;=625),((F738/D738)*60)*1.2,AND(F738&gt;=626,F738&lt;=650),((F738/D738)*60)*1.5,F738&gt;=651,((F738/D738)*60)*1.8)</f>
        <v>970.16949152542372</v>
      </c>
      <c r="AU738">
        <f t="shared" si="210"/>
        <v>4.5</v>
      </c>
      <c r="AV738">
        <f t="shared" si="208"/>
        <v>395.80169491525425</v>
      </c>
      <c r="AW738">
        <f t="shared" si="211"/>
        <v>51</v>
      </c>
      <c r="AX738" t="str">
        <f t="shared" si="206"/>
        <v>Jan-2025</v>
      </c>
      <c r="AY738">
        <f>ROUNDUP(Table2[[#This Row],[Month]]/3,0)</f>
        <v>1</v>
      </c>
    </row>
    <row r="739" spans="1:51" x14ac:dyDescent="0.2">
      <c r="A739">
        <v>738</v>
      </c>
      <c r="B739">
        <f t="shared" si="195"/>
        <v>16</v>
      </c>
      <c r="C739" s="22">
        <v>45666</v>
      </c>
      <c r="D739">
        <f>SUM(Table2[[#This Row],[Gray Min]:[Red Min]])</f>
        <v>56</v>
      </c>
      <c r="E739">
        <v>13</v>
      </c>
      <c r="F739">
        <v>590</v>
      </c>
      <c r="G739">
        <v>122</v>
      </c>
      <c r="H739">
        <v>160</v>
      </c>
      <c r="I739">
        <v>16</v>
      </c>
      <c r="J739">
        <v>19</v>
      </c>
      <c r="K739">
        <v>8</v>
      </c>
      <c r="L739">
        <v>13</v>
      </c>
      <c r="M739">
        <v>0</v>
      </c>
      <c r="N739" t="s">
        <v>208</v>
      </c>
      <c r="O739" t="s">
        <v>53</v>
      </c>
      <c r="P739" t="s">
        <v>227</v>
      </c>
      <c r="Q739">
        <f t="shared" si="207"/>
        <v>1</v>
      </c>
      <c r="R739" t="str">
        <f t="shared" si="196"/>
        <v>1-2025</v>
      </c>
      <c r="S739" t="s">
        <v>104</v>
      </c>
      <c r="T739" t="str">
        <f t="shared" si="197"/>
        <v>Thursday</v>
      </c>
      <c r="U739">
        <f t="shared" si="198"/>
        <v>1</v>
      </c>
      <c r="V739" s="24">
        <f>IFERROR(Table2[[#This Row],[Gray Min]]/Table2[[#This Row],[ClassLength]],"")</f>
        <v>0.2857142857142857</v>
      </c>
      <c r="W739" s="24">
        <f>IFERROR(Table2[[#This Row],[Blue Min]]/Table2[[#This Row],[ClassLength]],"")</f>
        <v>0.3392857142857143</v>
      </c>
      <c r="X739" s="24">
        <f>IFERROR(Table2[[#This Row],[Green Min]]/Table2[[#This Row],[ClassLength]],"")</f>
        <v>0.14285714285714285</v>
      </c>
      <c r="Y739" s="24">
        <f>IFERROR(Table2[[#This Row],[Orange Min]]/Table2[[#This Row],[ClassLength]],"")</f>
        <v>0.23214285714285715</v>
      </c>
      <c r="Z739" s="24">
        <f>IFERROR(Table2[[#This Row],[Red Min]]/Table2[[#This Row],[ClassLength]],"")</f>
        <v>0</v>
      </c>
      <c r="AA739" s="25">
        <v>169</v>
      </c>
      <c r="AB739" s="25">
        <f t="shared" si="209"/>
        <v>10.5625</v>
      </c>
      <c r="AC739" s="26">
        <f t="shared" si="199"/>
        <v>639.0625</v>
      </c>
      <c r="AD739" s="26">
        <f t="shared" si="200"/>
        <v>13.875</v>
      </c>
      <c r="AE739">
        <f t="shared" si="201"/>
        <v>2025</v>
      </c>
      <c r="AG739">
        <v>12</v>
      </c>
      <c r="AH739" s="26">
        <f t="shared" si="202"/>
        <v>10.535714285714286</v>
      </c>
      <c r="AI739" t="str">
        <f t="shared" si="203"/>
        <v>PM</v>
      </c>
      <c r="AJ739" t="str">
        <f t="shared" si="204"/>
        <v>1-2025-2</v>
      </c>
      <c r="AK739">
        <f t="shared" si="205"/>
        <v>1</v>
      </c>
      <c r="AL739" s="26">
        <f>IFERROR(Table2[[#This Row],[Calories]]/Table2[[#This Row],[Splat]],"")</f>
        <v>45.384615384615387</v>
      </c>
      <c r="AM739">
        <f>COUNTIF(N$2:$N$938,N739)</f>
        <v>78</v>
      </c>
      <c r="AN739" t="str">
        <f>VLOOKUP(N739,'Helpful Tables'!A:D,4,FALSE)</f>
        <v>Oregon</v>
      </c>
      <c r="AO739" s="24">
        <f>COUNTIF(AN:AN,Table2[[#This Row],[State]])/COUNTA(AN:AN)</f>
        <v>0.36140724946695096</v>
      </c>
      <c r="AP739">
        <f>VLOOKUP(N739,'Helpful Tables'!A:B,2,FALSE)</f>
        <v>45.525092999999998</v>
      </c>
      <c r="AQ739">
        <f>VLOOKUP(N739,'Helpful Tables'!A:C,3,FALSE)</f>
        <v>-122.681383</v>
      </c>
      <c r="AR739">
        <f>COUNTIF(P$2:$P$938,P739)</f>
        <v>2</v>
      </c>
      <c r="AS739" cm="1">
        <f t="array" ref="AS739">_xlfn.IFS(E739&lt;6,((E739/D739)*60)*0.5,AND(E739&gt;=6,E739&lt;9),((E739/D739)*60)*0.75,AND(E739&gt;=9,E739&lt;=11),((E739/D739)*60)*0.9,AND(E739=12),((E739/D739)*60)*1,AND(E739&gt;=13,E739&lt;=15),((E739/D739)*60)*1.2,AND(E739&gt;=16,E739&lt;=19),((E739/D739)*60)*1.5,E739&gt;=20,((E739/D739)*60)*1.8)</f>
        <v>16.714285714285715</v>
      </c>
      <c r="AT739" cm="1">
        <f t="array" ref="AT739">_xlfn.IFS(F739&lt;550,((F739/D739)*60)*0.5,AND(F739&gt;=550,F739&lt;575),((F739/D739)*60)*0.75,AND(F739&gt;=575,F739&lt;600),((F739/D739)*60)*0.9,AND(F739=600),((F739/D739)*60)*1,AND(F739&gt;=601,F739&lt;=625),((F739/D739)*60)*1.2,AND(F739&gt;=626,F739&lt;=650),((F739/D739)*60)*1.5,F739&gt;=651,((F739/D739)*60)*1.8)</f>
        <v>568.92857142857156</v>
      </c>
      <c r="AU739">
        <f t="shared" si="210"/>
        <v>-13.599999999999998</v>
      </c>
      <c r="AV739">
        <f t="shared" si="208"/>
        <v>231.53714285714292</v>
      </c>
      <c r="AW739">
        <f t="shared" si="211"/>
        <v>20.100000000000001</v>
      </c>
      <c r="AX739" t="str">
        <f t="shared" si="206"/>
        <v>Jan-2025</v>
      </c>
      <c r="AY739">
        <f>ROUNDUP(Table2[[#This Row],[Month]]/3,0)</f>
        <v>1</v>
      </c>
    </row>
    <row r="740" spans="1:51" x14ac:dyDescent="0.2">
      <c r="A740">
        <v>739</v>
      </c>
      <c r="B740">
        <f t="shared" si="195"/>
        <v>16</v>
      </c>
      <c r="C740" s="22">
        <v>45669</v>
      </c>
      <c r="D740">
        <f>SUM(Table2[[#This Row],[Gray Min]:[Red Min]])</f>
        <v>60</v>
      </c>
      <c r="E740">
        <v>13</v>
      </c>
      <c r="F740">
        <v>615</v>
      </c>
      <c r="G740">
        <v>120</v>
      </c>
      <c r="H740">
        <v>165</v>
      </c>
      <c r="I740">
        <v>20</v>
      </c>
      <c r="J740">
        <v>19</v>
      </c>
      <c r="K740">
        <v>8</v>
      </c>
      <c r="L740">
        <v>11</v>
      </c>
      <c r="M740">
        <v>2</v>
      </c>
      <c r="N740" t="s">
        <v>125</v>
      </c>
      <c r="O740" t="s">
        <v>159</v>
      </c>
      <c r="P740" t="s">
        <v>222</v>
      </c>
      <c r="Q740">
        <f t="shared" si="207"/>
        <v>3</v>
      </c>
      <c r="R740" t="str">
        <f t="shared" si="196"/>
        <v>1-2025</v>
      </c>
      <c r="S740" t="s">
        <v>117</v>
      </c>
      <c r="T740" t="str">
        <f t="shared" si="197"/>
        <v>Sunday</v>
      </c>
      <c r="U740">
        <f t="shared" si="198"/>
        <v>1</v>
      </c>
      <c r="V740" s="24">
        <f>IFERROR(Table2[[#This Row],[Gray Min]]/Table2[[#This Row],[ClassLength]],"")</f>
        <v>0.33333333333333331</v>
      </c>
      <c r="W740" s="24">
        <f>IFERROR(Table2[[#This Row],[Blue Min]]/Table2[[#This Row],[ClassLength]],"")</f>
        <v>0.31666666666666665</v>
      </c>
      <c r="X740" s="24">
        <f>IFERROR(Table2[[#This Row],[Green Min]]/Table2[[#This Row],[ClassLength]],"")</f>
        <v>0.13333333333333333</v>
      </c>
      <c r="Y740" s="24">
        <f>IFERROR(Table2[[#This Row],[Orange Min]]/Table2[[#This Row],[ClassLength]],"")</f>
        <v>0.18333333333333332</v>
      </c>
      <c r="Z740" s="24">
        <f>IFERROR(Table2[[#This Row],[Red Min]]/Table2[[#This Row],[ClassLength]],"")</f>
        <v>3.3333333333333333E-2</v>
      </c>
      <c r="AA740" s="25">
        <v>169</v>
      </c>
      <c r="AB740" s="25">
        <f t="shared" si="209"/>
        <v>10.5625</v>
      </c>
      <c r="AC740" s="26">
        <f t="shared" si="199"/>
        <v>639.0625</v>
      </c>
      <c r="AD740" s="26">
        <f t="shared" si="200"/>
        <v>13.875</v>
      </c>
      <c r="AE740">
        <f t="shared" si="201"/>
        <v>2025</v>
      </c>
      <c r="AG740">
        <v>12</v>
      </c>
      <c r="AH740" s="26">
        <f t="shared" si="202"/>
        <v>10.25</v>
      </c>
      <c r="AI740" t="str">
        <f t="shared" si="203"/>
        <v>AM</v>
      </c>
      <c r="AJ740" t="str">
        <f t="shared" si="204"/>
        <v>1-2025-3</v>
      </c>
      <c r="AK740">
        <f t="shared" si="205"/>
        <v>1</v>
      </c>
      <c r="AL740" s="26">
        <f>IFERROR(Table2[[#This Row],[Calories]]/Table2[[#This Row],[Splat]],"")</f>
        <v>47.307692307692307</v>
      </c>
      <c r="AM740">
        <f>COUNTIF(N$2:$N$938,N740)</f>
        <v>258</v>
      </c>
      <c r="AN740" t="str">
        <f>VLOOKUP(N740,'Helpful Tables'!A:D,4,FALSE)</f>
        <v>Oregon</v>
      </c>
      <c r="AO740" s="24">
        <f>COUNTIF(AN:AN,Table2[[#This Row],[State]])/COUNTA(AN:AN)</f>
        <v>0.36140724946695096</v>
      </c>
      <c r="AP740">
        <f>VLOOKUP(N740,'Helpful Tables'!A:B,2,FALSE)</f>
        <v>45.534162000000002</v>
      </c>
      <c r="AQ740">
        <f>VLOOKUP(N740,'Helpful Tables'!A:C,3,FALSE)</f>
        <v>-122.69670000000001</v>
      </c>
      <c r="AR740">
        <f>COUNTIF(P$2:$P$938,P740)</f>
        <v>32</v>
      </c>
      <c r="AS740" cm="1">
        <f t="array" ref="AS740">_xlfn.IFS(E740&lt;6,((E740/D740)*60)*0.5,AND(E740&gt;=6,E740&lt;9),((E740/D740)*60)*0.75,AND(E740&gt;=9,E740&lt;=11),((E740/D740)*60)*0.9,AND(E740=12),((E740/D740)*60)*1,AND(E740&gt;=13,E740&lt;=15),((E740/D740)*60)*1.2,AND(E740&gt;=16,E740&lt;=19),((E740/D740)*60)*1.5,E740&gt;=20,((E740/D740)*60)*1.8)</f>
        <v>15.6</v>
      </c>
      <c r="AT740" cm="1">
        <f t="array" ref="AT740">_xlfn.IFS(F740&lt;550,((F740/D740)*60)*0.5,AND(F740&gt;=550,F740&lt;575),((F740/D740)*60)*0.75,AND(F740&gt;=575,F740&lt;600),((F740/D740)*60)*0.9,AND(F740=600),((F740/D740)*60)*1,AND(F740&gt;=601,F740&lt;=625),((F740/D740)*60)*1.2,AND(F740&gt;=626,F740&lt;=650),((F740/D740)*60)*1.5,F740&gt;=651,((F740/D740)*60)*1.8)</f>
        <v>738</v>
      </c>
      <c r="AU740">
        <f t="shared" si="210"/>
        <v>-18.000000000000004</v>
      </c>
      <c r="AV740">
        <f t="shared" si="208"/>
        <v>297.83999999999997</v>
      </c>
      <c r="AW740">
        <f t="shared" si="211"/>
        <v>26.3</v>
      </c>
      <c r="AX740" t="str">
        <f t="shared" si="206"/>
        <v>Jan-2025</v>
      </c>
      <c r="AY740">
        <f>ROUNDUP(Table2[[#This Row],[Month]]/3,0)</f>
        <v>1</v>
      </c>
    </row>
    <row r="741" spans="1:51" x14ac:dyDescent="0.2">
      <c r="A741">
        <v>740</v>
      </c>
      <c r="B741">
        <f t="shared" si="195"/>
        <v>16</v>
      </c>
      <c r="C741" s="22">
        <v>45671</v>
      </c>
      <c r="D741">
        <f>SUM(Table2[[#This Row],[Gray Min]:[Red Min]])</f>
        <v>59</v>
      </c>
      <c r="E741">
        <v>16</v>
      </c>
      <c r="F741">
        <v>676</v>
      </c>
      <c r="G741">
        <v>130</v>
      </c>
      <c r="H741">
        <v>171</v>
      </c>
      <c r="I741">
        <v>8</v>
      </c>
      <c r="J741">
        <v>19</v>
      </c>
      <c r="K741">
        <v>16</v>
      </c>
      <c r="L741">
        <v>11</v>
      </c>
      <c r="M741">
        <v>5</v>
      </c>
      <c r="N741" t="s">
        <v>125</v>
      </c>
      <c r="O741" t="s">
        <v>127</v>
      </c>
      <c r="P741" t="s">
        <v>222</v>
      </c>
      <c r="Q741">
        <f t="shared" si="207"/>
        <v>2</v>
      </c>
      <c r="R741" t="str">
        <f t="shared" si="196"/>
        <v>1-2025</v>
      </c>
      <c r="S741" t="s">
        <v>104</v>
      </c>
      <c r="T741" t="str">
        <f t="shared" si="197"/>
        <v>Tuesday</v>
      </c>
      <c r="U741">
        <f t="shared" si="198"/>
        <v>1</v>
      </c>
      <c r="V741" s="24">
        <f>IFERROR(Table2[[#This Row],[Gray Min]]/Table2[[#This Row],[ClassLength]],"")</f>
        <v>0.13559322033898305</v>
      </c>
      <c r="W741" s="24">
        <f>IFERROR(Table2[[#This Row],[Blue Min]]/Table2[[#This Row],[ClassLength]],"")</f>
        <v>0.32203389830508472</v>
      </c>
      <c r="X741" s="24">
        <f>IFERROR(Table2[[#This Row],[Green Min]]/Table2[[#This Row],[ClassLength]],"")</f>
        <v>0.2711864406779661</v>
      </c>
      <c r="Y741" s="24">
        <f>IFERROR(Table2[[#This Row],[Orange Min]]/Table2[[#This Row],[ClassLength]],"")</f>
        <v>0.1864406779661017</v>
      </c>
      <c r="Z741" s="24">
        <f>IFERROR(Table2[[#This Row],[Red Min]]/Table2[[#This Row],[ClassLength]],"")</f>
        <v>8.4745762711864403E-2</v>
      </c>
      <c r="AA741" s="25">
        <v>169</v>
      </c>
      <c r="AB741" s="25">
        <f t="shared" si="209"/>
        <v>10.5625</v>
      </c>
      <c r="AC741" s="26">
        <f t="shared" si="199"/>
        <v>639.0625</v>
      </c>
      <c r="AD741" s="26">
        <f t="shared" si="200"/>
        <v>13.875</v>
      </c>
      <c r="AE741">
        <f t="shared" si="201"/>
        <v>2025</v>
      </c>
      <c r="AG741">
        <v>12</v>
      </c>
      <c r="AH741" s="26">
        <f t="shared" si="202"/>
        <v>11.457627118644067</v>
      </c>
      <c r="AI741" t="str">
        <f t="shared" si="203"/>
        <v>PM</v>
      </c>
      <c r="AJ741" t="str">
        <f t="shared" si="204"/>
        <v>1-2025-3</v>
      </c>
      <c r="AK741">
        <f t="shared" si="205"/>
        <v>1</v>
      </c>
      <c r="AL741" s="26">
        <f>IFERROR(Table2[[#This Row],[Calories]]/Table2[[#This Row],[Splat]],"")</f>
        <v>42.25</v>
      </c>
      <c r="AM741">
        <f>COUNTIF(N$2:$N$938,N741)</f>
        <v>258</v>
      </c>
      <c r="AN741" t="str">
        <f>VLOOKUP(N741,'Helpful Tables'!A:D,4,FALSE)</f>
        <v>Oregon</v>
      </c>
      <c r="AO741" s="24">
        <f>COUNTIF(AN:AN,Table2[[#This Row],[State]])/COUNTA(AN:AN)</f>
        <v>0.36140724946695096</v>
      </c>
      <c r="AP741">
        <f>VLOOKUP(N741,'Helpful Tables'!A:B,2,FALSE)</f>
        <v>45.534162000000002</v>
      </c>
      <c r="AQ741">
        <f>VLOOKUP(N741,'Helpful Tables'!A:C,3,FALSE)</f>
        <v>-122.69670000000001</v>
      </c>
      <c r="AR741">
        <f>COUNTIF(P$2:$P$938,P741)</f>
        <v>32</v>
      </c>
      <c r="AS741" cm="1">
        <f t="array" ref="AS741">_xlfn.IFS(E741&lt;6,((E741/D741)*60)*0.5,AND(E741&gt;=6,E741&lt;9),((E741/D741)*60)*0.75,AND(E741&gt;=9,E741&lt;=11),((E741/D741)*60)*0.9,AND(E741=12),((E741/D741)*60)*1,AND(E741&gt;=13,E741&lt;=15),((E741/D741)*60)*1.2,AND(E741&gt;=16,E741&lt;=19),((E741/D741)*60)*1.5,E741&gt;=20,((E741/D741)*60)*1.8)</f>
        <v>24.406779661016948</v>
      </c>
      <c r="AT741" cm="1">
        <f t="array" ref="AT741">_xlfn.IFS(F741&lt;550,((F741/D741)*60)*0.5,AND(F741&gt;=550,F741&lt;575),((F741/D741)*60)*0.75,AND(F741&gt;=575,F741&lt;600),((F741/D741)*60)*0.9,AND(F741=600),((F741/D741)*60)*1,AND(F741&gt;=601,F741&lt;=625),((F741/D741)*60)*1.2,AND(F741&gt;=626,F741&lt;=650),((F741/D741)*60)*1.5,F741&gt;=651,((F741/D741)*60)*1.8)</f>
        <v>1237.4237288135594</v>
      </c>
      <c r="AU741">
        <f t="shared" si="210"/>
        <v>10.5</v>
      </c>
      <c r="AV741">
        <f t="shared" si="208"/>
        <v>506.83220338983057</v>
      </c>
      <c r="AW741">
        <f t="shared" si="211"/>
        <v>83.6</v>
      </c>
      <c r="AX741" t="str">
        <f t="shared" si="206"/>
        <v>Jan-2025</v>
      </c>
      <c r="AY741">
        <f>ROUNDUP(Table2[[#This Row],[Month]]/3,0)</f>
        <v>1</v>
      </c>
    </row>
    <row r="742" spans="1:51" x14ac:dyDescent="0.2">
      <c r="A742">
        <v>741</v>
      </c>
      <c r="B742">
        <f t="shared" si="195"/>
        <v>16</v>
      </c>
      <c r="C742" s="22">
        <v>45673</v>
      </c>
      <c r="D742">
        <f>SUM(Table2[[#This Row],[Gray Min]:[Red Min]])</f>
        <v>59</v>
      </c>
      <c r="E742">
        <v>15</v>
      </c>
      <c r="F742">
        <v>674</v>
      </c>
      <c r="G742">
        <v>128</v>
      </c>
      <c r="H742">
        <v>168</v>
      </c>
      <c r="I742">
        <v>8</v>
      </c>
      <c r="J742">
        <v>16</v>
      </c>
      <c r="K742">
        <v>20</v>
      </c>
      <c r="L742">
        <v>14</v>
      </c>
      <c r="M742">
        <v>1</v>
      </c>
      <c r="N742" t="s">
        <v>125</v>
      </c>
      <c r="O742" t="s">
        <v>215</v>
      </c>
      <c r="P742" t="s">
        <v>222</v>
      </c>
      <c r="Q742">
        <f t="shared" si="207"/>
        <v>2</v>
      </c>
      <c r="R742" t="str">
        <f t="shared" si="196"/>
        <v>1-2025</v>
      </c>
      <c r="S742" t="s">
        <v>117</v>
      </c>
      <c r="T742" t="str">
        <f t="shared" si="197"/>
        <v>Thursday</v>
      </c>
      <c r="U742">
        <f t="shared" si="198"/>
        <v>1</v>
      </c>
      <c r="V742" s="24">
        <f>IFERROR(Table2[[#This Row],[Gray Min]]/Table2[[#This Row],[ClassLength]],"")</f>
        <v>0.13559322033898305</v>
      </c>
      <c r="W742" s="24">
        <f>IFERROR(Table2[[#This Row],[Blue Min]]/Table2[[#This Row],[ClassLength]],"")</f>
        <v>0.2711864406779661</v>
      </c>
      <c r="X742" s="24">
        <f>IFERROR(Table2[[#This Row],[Green Min]]/Table2[[#This Row],[ClassLength]],"")</f>
        <v>0.33898305084745761</v>
      </c>
      <c r="Y742" s="24">
        <f>IFERROR(Table2[[#This Row],[Orange Min]]/Table2[[#This Row],[ClassLength]],"")</f>
        <v>0.23728813559322035</v>
      </c>
      <c r="Z742" s="24">
        <f>IFERROR(Table2[[#This Row],[Red Min]]/Table2[[#This Row],[ClassLength]],"")</f>
        <v>1.6949152542372881E-2</v>
      </c>
      <c r="AA742" s="25">
        <v>169</v>
      </c>
      <c r="AB742" s="25">
        <f t="shared" si="209"/>
        <v>10.5625</v>
      </c>
      <c r="AC742" s="26">
        <f t="shared" si="199"/>
        <v>639.0625</v>
      </c>
      <c r="AD742" s="26">
        <f t="shared" si="200"/>
        <v>13.875</v>
      </c>
      <c r="AE742">
        <f t="shared" si="201"/>
        <v>2025</v>
      </c>
      <c r="AG742">
        <v>12</v>
      </c>
      <c r="AH742" s="26">
        <f t="shared" si="202"/>
        <v>11.423728813559322</v>
      </c>
      <c r="AI742" t="str">
        <f t="shared" si="203"/>
        <v>PM</v>
      </c>
      <c r="AJ742" t="str">
        <f t="shared" si="204"/>
        <v>1-2025-3</v>
      </c>
      <c r="AK742">
        <f t="shared" si="205"/>
        <v>1</v>
      </c>
      <c r="AL742" s="26">
        <f>IFERROR(Table2[[#This Row],[Calories]]/Table2[[#This Row],[Splat]],"")</f>
        <v>44.93333333333333</v>
      </c>
      <c r="AM742">
        <f>COUNTIF(N$2:$N$938,N742)</f>
        <v>258</v>
      </c>
      <c r="AN742" t="str">
        <f>VLOOKUP(N742,'Helpful Tables'!A:D,4,FALSE)</f>
        <v>Oregon</v>
      </c>
      <c r="AO742" s="24">
        <f>COUNTIF(AN:AN,Table2[[#This Row],[State]])/COUNTA(AN:AN)</f>
        <v>0.36140724946695096</v>
      </c>
      <c r="AP742">
        <f>VLOOKUP(N742,'Helpful Tables'!A:B,2,FALSE)</f>
        <v>45.534162000000002</v>
      </c>
      <c r="AQ742">
        <f>VLOOKUP(N742,'Helpful Tables'!A:C,3,FALSE)</f>
        <v>-122.69670000000001</v>
      </c>
      <c r="AR742">
        <f>COUNTIF(P$2:$P$938,P742)</f>
        <v>32</v>
      </c>
      <c r="AS742" cm="1">
        <f t="array" ref="AS742">_xlfn.IFS(E742&lt;6,((E742/D742)*60)*0.5,AND(E742&gt;=6,E742&lt;9),((E742/D742)*60)*0.75,AND(E742&gt;=9,E742&lt;=11),((E742/D742)*60)*0.9,AND(E742=12),((E742/D742)*60)*1,AND(E742&gt;=13,E742&lt;=15),((E742/D742)*60)*1.2,AND(E742&gt;=16,E742&lt;=19),((E742/D742)*60)*1.5,E742&gt;=20,((E742/D742)*60)*1.8)</f>
        <v>18.305084745762709</v>
      </c>
      <c r="AT742" cm="1">
        <f t="array" ref="AT742">_xlfn.IFS(F742&lt;550,((F742/D742)*60)*0.5,AND(F742&gt;=550,F742&lt;575),((F742/D742)*60)*0.75,AND(F742&gt;=575,F742&lt;600),((F742/D742)*60)*0.9,AND(F742=600),((F742/D742)*60)*1,AND(F742&gt;=601,F742&lt;=625),((F742/D742)*60)*1.2,AND(F742&gt;=626,F742&lt;=650),((F742/D742)*60)*1.5,F742&gt;=651,((F742/D742)*60)*1.8)</f>
        <v>1233.7627118644068</v>
      </c>
      <c r="AU742">
        <f t="shared" si="210"/>
        <v>16.499999999999996</v>
      </c>
      <c r="AV742">
        <f t="shared" si="208"/>
        <v>504.12711864406788</v>
      </c>
      <c r="AW742">
        <f t="shared" si="211"/>
        <v>81.899999999999991</v>
      </c>
      <c r="AX742" t="str">
        <f t="shared" si="206"/>
        <v>Jan-2025</v>
      </c>
      <c r="AY742">
        <f>ROUNDUP(Table2[[#This Row],[Month]]/3,0)</f>
        <v>1</v>
      </c>
    </row>
    <row r="743" spans="1:51" x14ac:dyDescent="0.2">
      <c r="A743">
        <v>742</v>
      </c>
      <c r="B743">
        <f t="shared" si="195"/>
        <v>16</v>
      </c>
      <c r="C743" s="22">
        <v>45674</v>
      </c>
      <c r="D743">
        <f>SUM(Table2[[#This Row],[Gray Min]:[Red Min]])</f>
        <v>58</v>
      </c>
      <c r="E743">
        <v>15</v>
      </c>
      <c r="F743">
        <v>657</v>
      </c>
      <c r="G743">
        <v>127</v>
      </c>
      <c r="H743">
        <v>160</v>
      </c>
      <c r="I743">
        <v>9</v>
      </c>
      <c r="J743">
        <v>20</v>
      </c>
      <c r="K743">
        <v>14</v>
      </c>
      <c r="L743">
        <v>15</v>
      </c>
      <c r="M743">
        <v>0</v>
      </c>
      <c r="N743" t="s">
        <v>208</v>
      </c>
      <c r="O743" t="s">
        <v>53</v>
      </c>
      <c r="P743" t="s">
        <v>209</v>
      </c>
      <c r="Q743">
        <f t="shared" si="207"/>
        <v>1</v>
      </c>
      <c r="R743" t="str">
        <f t="shared" si="196"/>
        <v>1-2025</v>
      </c>
      <c r="S743" t="s">
        <v>104</v>
      </c>
      <c r="T743" t="str">
        <f t="shared" si="197"/>
        <v>Friday</v>
      </c>
      <c r="U743">
        <f t="shared" si="198"/>
        <v>1</v>
      </c>
      <c r="V743" s="24">
        <f>IFERROR(Table2[[#This Row],[Gray Min]]/Table2[[#This Row],[ClassLength]],"")</f>
        <v>0.15517241379310345</v>
      </c>
      <c r="W743" s="24">
        <f>IFERROR(Table2[[#This Row],[Blue Min]]/Table2[[#This Row],[ClassLength]],"")</f>
        <v>0.34482758620689657</v>
      </c>
      <c r="X743" s="24">
        <f>IFERROR(Table2[[#This Row],[Green Min]]/Table2[[#This Row],[ClassLength]],"")</f>
        <v>0.2413793103448276</v>
      </c>
      <c r="Y743" s="24">
        <f>IFERROR(Table2[[#This Row],[Orange Min]]/Table2[[#This Row],[ClassLength]],"")</f>
        <v>0.25862068965517243</v>
      </c>
      <c r="Z743" s="24">
        <f>IFERROR(Table2[[#This Row],[Red Min]]/Table2[[#This Row],[ClassLength]],"")</f>
        <v>0</v>
      </c>
      <c r="AA743" s="25">
        <v>169</v>
      </c>
      <c r="AB743" s="25">
        <f t="shared" si="209"/>
        <v>10.5625</v>
      </c>
      <c r="AC743" s="26">
        <f t="shared" si="199"/>
        <v>639.0625</v>
      </c>
      <c r="AD743" s="26">
        <f t="shared" si="200"/>
        <v>13.875</v>
      </c>
      <c r="AE743">
        <f t="shared" si="201"/>
        <v>2025</v>
      </c>
      <c r="AG743">
        <v>12</v>
      </c>
      <c r="AH743" s="26">
        <f t="shared" si="202"/>
        <v>11.327586206896552</v>
      </c>
      <c r="AI743" t="str">
        <f t="shared" si="203"/>
        <v>PM</v>
      </c>
      <c r="AJ743" t="str">
        <f t="shared" si="204"/>
        <v>1-2025-3</v>
      </c>
      <c r="AK743">
        <f t="shared" si="205"/>
        <v>1</v>
      </c>
      <c r="AL743" s="26">
        <f>IFERROR(Table2[[#This Row],[Calories]]/Table2[[#This Row],[Splat]],"")</f>
        <v>43.8</v>
      </c>
      <c r="AM743">
        <f>COUNTIF(N$2:$N$938,N743)</f>
        <v>78</v>
      </c>
      <c r="AN743" t="str">
        <f>VLOOKUP(N743,'Helpful Tables'!A:D,4,FALSE)</f>
        <v>Oregon</v>
      </c>
      <c r="AO743" s="24">
        <f>COUNTIF(AN:AN,Table2[[#This Row],[State]])/COUNTA(AN:AN)</f>
        <v>0.36140724946695096</v>
      </c>
      <c r="AP743">
        <f>VLOOKUP(N743,'Helpful Tables'!A:B,2,FALSE)</f>
        <v>45.525092999999998</v>
      </c>
      <c r="AQ743">
        <f>VLOOKUP(N743,'Helpful Tables'!A:C,3,FALSE)</f>
        <v>-122.681383</v>
      </c>
      <c r="AR743">
        <f>COUNTIF(P$2:$P$938,P743)</f>
        <v>20</v>
      </c>
      <c r="AS743" cm="1">
        <f t="array" ref="AS743">_xlfn.IFS(E743&lt;6,((E743/D743)*60)*0.5,AND(E743&gt;=6,E743&lt;9),((E743/D743)*60)*0.75,AND(E743&gt;=9,E743&lt;=11),((E743/D743)*60)*0.9,AND(E743=12),((E743/D743)*60)*1,AND(E743&gt;=13,E743&lt;=15),((E743/D743)*60)*1.2,AND(E743&gt;=16,E743&lt;=19),((E743/D743)*60)*1.5,E743&gt;=20,((E743/D743)*60)*1.8)</f>
        <v>18.620689655172413</v>
      </c>
      <c r="AT743" cm="1">
        <f t="array" ref="AT743">_xlfn.IFS(F743&lt;550,((F743/D743)*60)*0.5,AND(F743&gt;=550,F743&lt;575),((F743/D743)*60)*0.75,AND(F743&gt;=575,F743&lt;600),((F743/D743)*60)*0.9,AND(F743=600),((F743/D743)*60)*1,AND(F743&gt;=601,F743&lt;=625),((F743/D743)*60)*1.2,AND(F743&gt;=626,F743&lt;=650),((F743/D743)*60)*1.5,F743&gt;=651,((F743/D743)*60)*1.8)</f>
        <v>1223.3793103448277</v>
      </c>
      <c r="AU743">
        <f t="shared" si="210"/>
        <v>3.5000000000000036</v>
      </c>
      <c r="AV743">
        <f t="shared" si="208"/>
        <v>497.50000000000006</v>
      </c>
      <c r="AW743">
        <f t="shared" si="211"/>
        <v>77.5</v>
      </c>
      <c r="AX743" t="str">
        <f t="shared" si="206"/>
        <v>Jan-2025</v>
      </c>
      <c r="AY743">
        <f>ROUNDUP(Table2[[#This Row],[Month]]/3,0)</f>
        <v>1</v>
      </c>
    </row>
    <row r="744" spans="1:51" x14ac:dyDescent="0.2">
      <c r="A744">
        <v>743</v>
      </c>
      <c r="B744">
        <f t="shared" si="195"/>
        <v>16</v>
      </c>
      <c r="C744" s="22">
        <v>45676</v>
      </c>
      <c r="D744">
        <f>SUM(Table2[[#This Row],[Gray Min]:[Red Min]])</f>
        <v>58</v>
      </c>
      <c r="E744">
        <v>4</v>
      </c>
      <c r="F744">
        <v>532</v>
      </c>
      <c r="G744">
        <v>114</v>
      </c>
      <c r="H744">
        <v>157</v>
      </c>
      <c r="I744">
        <v>29</v>
      </c>
      <c r="J744">
        <v>10</v>
      </c>
      <c r="K744">
        <v>15</v>
      </c>
      <c r="L744">
        <v>4</v>
      </c>
      <c r="M744">
        <v>0</v>
      </c>
      <c r="N744" t="s">
        <v>125</v>
      </c>
      <c r="O744" t="s">
        <v>79</v>
      </c>
      <c r="P744" t="s">
        <v>222</v>
      </c>
      <c r="Q744">
        <f t="shared" si="207"/>
        <v>2</v>
      </c>
      <c r="R744" t="str">
        <f t="shared" si="196"/>
        <v>1-2025</v>
      </c>
      <c r="S744" t="s">
        <v>117</v>
      </c>
      <c r="T744" t="str">
        <f t="shared" si="197"/>
        <v>Sunday</v>
      </c>
      <c r="U744">
        <f t="shared" si="198"/>
        <v>0</v>
      </c>
      <c r="V744" s="24">
        <f>IFERROR(Table2[[#This Row],[Gray Min]]/Table2[[#This Row],[ClassLength]],"")</f>
        <v>0.5</v>
      </c>
      <c r="W744" s="24">
        <f>IFERROR(Table2[[#This Row],[Blue Min]]/Table2[[#This Row],[ClassLength]],"")</f>
        <v>0.17241379310344829</v>
      </c>
      <c r="X744" s="24">
        <f>IFERROR(Table2[[#This Row],[Green Min]]/Table2[[#This Row],[ClassLength]],"")</f>
        <v>0.25862068965517243</v>
      </c>
      <c r="Y744" s="24">
        <f>IFERROR(Table2[[#This Row],[Orange Min]]/Table2[[#This Row],[ClassLength]],"")</f>
        <v>6.8965517241379309E-2</v>
      </c>
      <c r="Z744" s="24">
        <f>IFERROR(Table2[[#This Row],[Red Min]]/Table2[[#This Row],[ClassLength]],"")</f>
        <v>0</v>
      </c>
      <c r="AA744" s="25">
        <v>169</v>
      </c>
      <c r="AB744" s="25">
        <f t="shared" si="209"/>
        <v>10.5625</v>
      </c>
      <c r="AC744" s="26">
        <f t="shared" si="199"/>
        <v>639.0625</v>
      </c>
      <c r="AD744" s="26">
        <f t="shared" si="200"/>
        <v>13.875</v>
      </c>
      <c r="AE744">
        <f t="shared" si="201"/>
        <v>2025</v>
      </c>
      <c r="AG744">
        <v>12</v>
      </c>
      <c r="AH744" s="26">
        <f t="shared" si="202"/>
        <v>9.1724137931034484</v>
      </c>
      <c r="AI744" t="str">
        <f t="shared" si="203"/>
        <v>AM</v>
      </c>
      <c r="AJ744" t="str">
        <f t="shared" si="204"/>
        <v>1-2025-4</v>
      </c>
      <c r="AK744">
        <f t="shared" si="205"/>
        <v>1</v>
      </c>
      <c r="AL744" s="26">
        <f>IFERROR(Table2[[#This Row],[Calories]]/Table2[[#This Row],[Splat]],"")</f>
        <v>133</v>
      </c>
      <c r="AM744">
        <f>COUNTIF(N$2:$N$938,N744)</f>
        <v>258</v>
      </c>
      <c r="AN744" t="str">
        <f>VLOOKUP(N744,'Helpful Tables'!A:D,4,FALSE)</f>
        <v>Oregon</v>
      </c>
      <c r="AO744" s="24">
        <f>COUNTIF(AN:AN,Table2[[#This Row],[State]])/COUNTA(AN:AN)</f>
        <v>0.36140724946695096</v>
      </c>
      <c r="AP744">
        <f>VLOOKUP(N744,'Helpful Tables'!A:B,2,FALSE)</f>
        <v>45.534162000000002</v>
      </c>
      <c r="AQ744">
        <f>VLOOKUP(N744,'Helpful Tables'!A:C,3,FALSE)</f>
        <v>-122.69670000000001</v>
      </c>
      <c r="AR744">
        <f>COUNTIF(P$2:$P$938,P744)</f>
        <v>32</v>
      </c>
      <c r="AS744" cm="1">
        <f t="array" ref="AS744">_xlfn.IFS(E744&lt;6,((E744/D744)*60)*0.5,AND(E744&gt;=6,E744&lt;9),((E744/D744)*60)*0.75,AND(E744&gt;=9,E744&lt;=11),((E744/D744)*60)*0.9,AND(E744=12),((E744/D744)*60)*1,AND(E744&gt;=13,E744&lt;=15),((E744/D744)*60)*1.2,AND(E744&gt;=16,E744&lt;=19),((E744/D744)*60)*1.5,E744&gt;=20,((E744/D744)*60)*1.8)</f>
        <v>2.0689655172413794</v>
      </c>
      <c r="AT744" cm="1">
        <f t="array" ref="AT744">_xlfn.IFS(F744&lt;550,((F744/D744)*60)*0.5,AND(F744&gt;=550,F744&lt;575),((F744/D744)*60)*0.75,AND(F744&gt;=575,F744&lt;600),((F744/D744)*60)*0.9,AND(F744=600),((F744/D744)*60)*1,AND(F744&gt;=601,F744&lt;=625),((F744/D744)*60)*1.2,AND(F744&gt;=626,F744&lt;=650),((F744/D744)*60)*1.5,F744&gt;=651,((F744/D744)*60)*1.8)</f>
        <v>275.17241379310343</v>
      </c>
      <c r="AU744">
        <f t="shared" si="210"/>
        <v>-22.599999999999998</v>
      </c>
      <c r="AV744">
        <f t="shared" si="208"/>
        <v>106.37655172413794</v>
      </c>
      <c r="AW744">
        <f t="shared" si="211"/>
        <v>2.7</v>
      </c>
      <c r="AX744" t="str">
        <f t="shared" si="206"/>
        <v>Jan-2025</v>
      </c>
      <c r="AY744">
        <f>ROUNDUP(Table2[[#This Row],[Month]]/3,0)</f>
        <v>1</v>
      </c>
    </row>
    <row r="745" spans="1:51" x14ac:dyDescent="0.2">
      <c r="A745">
        <v>744</v>
      </c>
      <c r="B745">
        <f t="shared" si="195"/>
        <v>16</v>
      </c>
      <c r="C745" s="22">
        <v>45678</v>
      </c>
      <c r="D745">
        <f>SUM(Table2[[#This Row],[Gray Min]:[Red Min]])</f>
        <v>58</v>
      </c>
      <c r="E745">
        <v>12</v>
      </c>
      <c r="F745">
        <v>563</v>
      </c>
      <c r="G745">
        <v>116</v>
      </c>
      <c r="H745">
        <v>168</v>
      </c>
      <c r="I745">
        <v>23</v>
      </c>
      <c r="J745">
        <v>16</v>
      </c>
      <c r="K745">
        <v>7</v>
      </c>
      <c r="L745">
        <v>11</v>
      </c>
      <c r="M745">
        <v>1</v>
      </c>
      <c r="N745" t="s">
        <v>228</v>
      </c>
      <c r="O745" t="s">
        <v>39</v>
      </c>
      <c r="P745" t="s">
        <v>217</v>
      </c>
      <c r="Q745">
        <f t="shared" si="207"/>
        <v>2</v>
      </c>
      <c r="R745" t="str">
        <f t="shared" si="196"/>
        <v>1-2025</v>
      </c>
      <c r="S745" t="s">
        <v>117</v>
      </c>
      <c r="T745" t="str">
        <f t="shared" si="197"/>
        <v>Tuesday</v>
      </c>
      <c r="U745">
        <f t="shared" si="198"/>
        <v>1</v>
      </c>
      <c r="V745" s="24">
        <f>IFERROR(Table2[[#This Row],[Gray Min]]/Table2[[#This Row],[ClassLength]],"")</f>
        <v>0.39655172413793105</v>
      </c>
      <c r="W745" s="24">
        <f>IFERROR(Table2[[#This Row],[Blue Min]]/Table2[[#This Row],[ClassLength]],"")</f>
        <v>0.27586206896551724</v>
      </c>
      <c r="X745" s="24">
        <f>IFERROR(Table2[[#This Row],[Green Min]]/Table2[[#This Row],[ClassLength]],"")</f>
        <v>0.1206896551724138</v>
      </c>
      <c r="Y745" s="24">
        <f>IFERROR(Table2[[#This Row],[Orange Min]]/Table2[[#This Row],[ClassLength]],"")</f>
        <v>0.18965517241379309</v>
      </c>
      <c r="Z745" s="24">
        <f>IFERROR(Table2[[#This Row],[Red Min]]/Table2[[#This Row],[ClassLength]],"")</f>
        <v>1.7241379310344827E-2</v>
      </c>
      <c r="AA745" s="25">
        <v>169</v>
      </c>
      <c r="AB745" s="25">
        <f t="shared" si="209"/>
        <v>10.5625</v>
      </c>
      <c r="AC745" s="26">
        <f t="shared" si="199"/>
        <v>639.0625</v>
      </c>
      <c r="AD745" s="26">
        <f t="shared" si="200"/>
        <v>13.875</v>
      </c>
      <c r="AE745">
        <f t="shared" si="201"/>
        <v>2025</v>
      </c>
      <c r="AG745">
        <v>12</v>
      </c>
      <c r="AH745" s="26">
        <f t="shared" si="202"/>
        <v>9.7068965517241388</v>
      </c>
      <c r="AI745" t="str">
        <f t="shared" si="203"/>
        <v>PM</v>
      </c>
      <c r="AJ745" t="str">
        <f t="shared" si="204"/>
        <v>1-2025-4</v>
      </c>
      <c r="AK745">
        <f t="shared" si="205"/>
        <v>1</v>
      </c>
      <c r="AL745" s="26">
        <f>IFERROR(Table2[[#This Row],[Calories]]/Table2[[#This Row],[Splat]],"")</f>
        <v>46.916666666666664</v>
      </c>
      <c r="AM745">
        <f>COUNTIF(N$2:$N$938,N745)</f>
        <v>1</v>
      </c>
      <c r="AN745" t="str">
        <f>VLOOKUP(N745,'Helpful Tables'!A:D,4,FALSE)</f>
        <v>Washington</v>
      </c>
      <c r="AO745" s="24">
        <f>COUNTIF(AN:AN,Table2[[#This Row],[State]])/COUNTA(AN:AN)</f>
        <v>2.1321961620469083E-3</v>
      </c>
      <c r="AP745">
        <f>VLOOKUP(N745,'Helpful Tables'!A:B,2,FALSE)</f>
        <v>45.679749999999999</v>
      </c>
      <c r="AQ745">
        <f>VLOOKUP(N745,'Helpful Tables'!A:C,3,FALSE)</f>
        <v>-122.667</v>
      </c>
      <c r="AR745">
        <f>COUNTIF(P$2:$P$938,P745)</f>
        <v>7</v>
      </c>
      <c r="AS745" cm="1">
        <f t="array" ref="AS745">_xlfn.IFS(E745&lt;6,((E745/D745)*60)*0.5,AND(E745&gt;=6,E745&lt;9),((E745/D745)*60)*0.75,AND(E745&gt;=9,E745&lt;=11),((E745/D745)*60)*0.9,AND(E745=12),((E745/D745)*60)*1,AND(E745&gt;=13,E745&lt;=15),((E745/D745)*60)*1.2,AND(E745&gt;=16,E745&lt;=19),((E745/D745)*60)*1.5,E745&gt;=20,((E745/D745)*60)*1.8)</f>
        <v>12.413793103448276</v>
      </c>
      <c r="AT745" cm="1">
        <f t="array" ref="AT745">_xlfn.IFS(F745&lt;550,((F745/D745)*60)*0.5,AND(F745&gt;=550,F745&lt;575),((F745/D745)*60)*0.75,AND(F745&gt;=575,F745&lt;600),((F745/D745)*60)*0.9,AND(F745=600),((F745/D745)*60)*1,AND(F745&gt;=601,F745&lt;=625),((F745/D745)*60)*1.2,AND(F745&gt;=626,F745&lt;=650),((F745/D745)*60)*1.5,F745&gt;=651,((F745/D745)*60)*1.8)</f>
        <v>436.81034482758628</v>
      </c>
      <c r="AU745">
        <f t="shared" si="210"/>
        <v>-21.000000000000004</v>
      </c>
      <c r="AV745">
        <f t="shared" si="208"/>
        <v>175.48965517241385</v>
      </c>
      <c r="AW745">
        <f t="shared" si="211"/>
        <v>9.6</v>
      </c>
      <c r="AX745" t="str">
        <f t="shared" si="206"/>
        <v>Jan-2025</v>
      </c>
      <c r="AY745">
        <f>ROUNDUP(Table2[[#This Row],[Month]]/3,0)</f>
        <v>1</v>
      </c>
    </row>
    <row r="746" spans="1:51" x14ac:dyDescent="0.2">
      <c r="A746">
        <v>745</v>
      </c>
      <c r="B746">
        <f t="shared" si="195"/>
        <v>16</v>
      </c>
      <c r="C746" s="22">
        <v>45680</v>
      </c>
      <c r="D746">
        <f>SUM(Table2[[#This Row],[Gray Min]:[Red Min]])</f>
        <v>59</v>
      </c>
      <c r="E746">
        <v>14</v>
      </c>
      <c r="F746">
        <v>672</v>
      </c>
      <c r="G746">
        <v>128</v>
      </c>
      <c r="H746">
        <v>176</v>
      </c>
      <c r="I746">
        <v>9</v>
      </c>
      <c r="J746">
        <v>19</v>
      </c>
      <c r="K746">
        <v>17</v>
      </c>
      <c r="L746">
        <v>12</v>
      </c>
      <c r="M746">
        <v>2</v>
      </c>
      <c r="N746" t="s">
        <v>125</v>
      </c>
      <c r="O746" t="s">
        <v>127</v>
      </c>
      <c r="P746" t="s">
        <v>222</v>
      </c>
      <c r="Q746">
        <f t="shared" si="207"/>
        <v>2</v>
      </c>
      <c r="R746" t="str">
        <f t="shared" si="196"/>
        <v>1-2025</v>
      </c>
      <c r="S746" t="s">
        <v>104</v>
      </c>
      <c r="T746" t="str">
        <f t="shared" si="197"/>
        <v>Thursday</v>
      </c>
      <c r="U746">
        <f t="shared" si="198"/>
        <v>1</v>
      </c>
      <c r="V746" s="24">
        <f>IFERROR(Table2[[#This Row],[Gray Min]]/Table2[[#This Row],[ClassLength]],"")</f>
        <v>0.15254237288135594</v>
      </c>
      <c r="W746" s="24">
        <f>IFERROR(Table2[[#This Row],[Blue Min]]/Table2[[#This Row],[ClassLength]],"")</f>
        <v>0.32203389830508472</v>
      </c>
      <c r="X746" s="24">
        <f>IFERROR(Table2[[#This Row],[Green Min]]/Table2[[#This Row],[ClassLength]],"")</f>
        <v>0.28813559322033899</v>
      </c>
      <c r="Y746" s="24">
        <f>IFERROR(Table2[[#This Row],[Orange Min]]/Table2[[#This Row],[ClassLength]],"")</f>
        <v>0.20338983050847459</v>
      </c>
      <c r="Z746" s="24">
        <f>IFERROR(Table2[[#This Row],[Red Min]]/Table2[[#This Row],[ClassLength]],"")</f>
        <v>3.3898305084745763E-2</v>
      </c>
      <c r="AA746" s="25">
        <v>169</v>
      </c>
      <c r="AB746" s="25">
        <f t="shared" si="209"/>
        <v>10.5625</v>
      </c>
      <c r="AC746" s="26">
        <f t="shared" si="199"/>
        <v>639.0625</v>
      </c>
      <c r="AD746" s="26">
        <f t="shared" si="200"/>
        <v>13.875</v>
      </c>
      <c r="AE746">
        <f t="shared" si="201"/>
        <v>2025</v>
      </c>
      <c r="AG746">
        <v>12</v>
      </c>
      <c r="AH746" s="26">
        <f t="shared" si="202"/>
        <v>11.389830508474576</v>
      </c>
      <c r="AI746" t="str">
        <f t="shared" si="203"/>
        <v>PM</v>
      </c>
      <c r="AJ746" t="str">
        <f t="shared" si="204"/>
        <v>1-2025-4</v>
      </c>
      <c r="AK746">
        <f t="shared" si="205"/>
        <v>1</v>
      </c>
      <c r="AL746" s="26">
        <f>IFERROR(Table2[[#This Row],[Calories]]/Table2[[#This Row],[Splat]],"")</f>
        <v>48</v>
      </c>
      <c r="AM746">
        <f>COUNTIF(N$2:$N$938,N746)</f>
        <v>258</v>
      </c>
      <c r="AN746" t="str">
        <f>VLOOKUP(N746,'Helpful Tables'!A:D,4,FALSE)</f>
        <v>Oregon</v>
      </c>
      <c r="AO746" s="24">
        <f>COUNTIF(AN:AN,Table2[[#This Row],[State]])/COUNTA(AN:AN)</f>
        <v>0.36140724946695096</v>
      </c>
      <c r="AP746">
        <f>VLOOKUP(N746,'Helpful Tables'!A:B,2,FALSE)</f>
        <v>45.534162000000002</v>
      </c>
      <c r="AQ746">
        <f>VLOOKUP(N746,'Helpful Tables'!A:C,3,FALSE)</f>
        <v>-122.69670000000001</v>
      </c>
      <c r="AR746">
        <f>COUNTIF(P$2:$P$938,P746)</f>
        <v>32</v>
      </c>
      <c r="AS746" cm="1">
        <f t="array" ref="AS746">_xlfn.IFS(E746&lt;6,((E746/D746)*60)*0.5,AND(E746&gt;=6,E746&lt;9),((E746/D746)*60)*0.75,AND(E746&gt;=9,E746&lt;=11),((E746/D746)*60)*0.9,AND(E746=12),((E746/D746)*60)*1,AND(E746&gt;=13,E746&lt;=15),((E746/D746)*60)*1.2,AND(E746&gt;=16,E746&lt;=19),((E746/D746)*60)*1.5,E746&gt;=20,((E746/D746)*60)*1.8)</f>
        <v>17.084745762711865</v>
      </c>
      <c r="AT746" cm="1">
        <f t="array" ref="AT746">_xlfn.IFS(F746&lt;550,((F746/D746)*60)*0.5,AND(F746&gt;=550,F746&lt;575),((F746/D746)*60)*0.75,AND(F746&gt;=575,F746&lt;600),((F746/D746)*60)*0.9,AND(F746=600),((F746/D746)*60)*1,AND(F746&gt;=601,F746&lt;=625),((F746/D746)*60)*1.2,AND(F746&gt;=626,F746&lt;=650),((F746/D746)*60)*1.5,F746&gt;=651,((F746/D746)*60)*1.8)</f>
        <v>1230.1016949152543</v>
      </c>
      <c r="AU746">
        <f t="shared" si="210"/>
        <v>7.2999999999999972</v>
      </c>
      <c r="AV746">
        <f t="shared" si="208"/>
        <v>500.33457627118645</v>
      </c>
      <c r="AW746">
        <f t="shared" si="211"/>
        <v>79.2</v>
      </c>
      <c r="AX746" t="str">
        <f t="shared" si="206"/>
        <v>Jan-2025</v>
      </c>
      <c r="AY746">
        <f>ROUNDUP(Table2[[#This Row],[Month]]/3,0)</f>
        <v>1</v>
      </c>
    </row>
    <row r="747" spans="1:51" x14ac:dyDescent="0.2">
      <c r="A747">
        <v>746</v>
      </c>
      <c r="B747">
        <f t="shared" si="195"/>
        <v>16</v>
      </c>
      <c r="C747" s="22">
        <v>45682</v>
      </c>
      <c r="D747">
        <f>SUM(Table2[[#This Row],[Gray Min]:[Red Min]])</f>
        <v>58</v>
      </c>
      <c r="E747">
        <v>12</v>
      </c>
      <c r="F747">
        <v>630</v>
      </c>
      <c r="G747">
        <v>125</v>
      </c>
      <c r="H747">
        <v>165</v>
      </c>
      <c r="I747">
        <v>16</v>
      </c>
      <c r="J747">
        <v>16</v>
      </c>
      <c r="K747">
        <v>14</v>
      </c>
      <c r="L747">
        <v>11</v>
      </c>
      <c r="M747">
        <v>1</v>
      </c>
      <c r="N747" t="s">
        <v>125</v>
      </c>
      <c r="O747" t="s">
        <v>159</v>
      </c>
      <c r="P747" t="s">
        <v>218</v>
      </c>
      <c r="Q747">
        <f t="shared" si="207"/>
        <v>2</v>
      </c>
      <c r="R747" t="str">
        <f t="shared" si="196"/>
        <v>1-2025</v>
      </c>
      <c r="S747" t="s">
        <v>117</v>
      </c>
      <c r="T747" t="str">
        <f t="shared" si="197"/>
        <v>Saturday</v>
      </c>
      <c r="U747">
        <f t="shared" si="198"/>
        <v>1</v>
      </c>
      <c r="V747" s="24">
        <f>IFERROR(Table2[[#This Row],[Gray Min]]/Table2[[#This Row],[ClassLength]],"")</f>
        <v>0.27586206896551724</v>
      </c>
      <c r="W747" s="24">
        <f>IFERROR(Table2[[#This Row],[Blue Min]]/Table2[[#This Row],[ClassLength]],"")</f>
        <v>0.27586206896551724</v>
      </c>
      <c r="X747" s="24">
        <f>IFERROR(Table2[[#This Row],[Green Min]]/Table2[[#This Row],[ClassLength]],"")</f>
        <v>0.2413793103448276</v>
      </c>
      <c r="Y747" s="24">
        <f>IFERROR(Table2[[#This Row],[Orange Min]]/Table2[[#This Row],[ClassLength]],"")</f>
        <v>0.18965517241379309</v>
      </c>
      <c r="Z747" s="24">
        <f>IFERROR(Table2[[#This Row],[Red Min]]/Table2[[#This Row],[ClassLength]],"")</f>
        <v>1.7241379310344827E-2</v>
      </c>
      <c r="AA747" s="25">
        <v>169</v>
      </c>
      <c r="AB747" s="25">
        <f t="shared" si="209"/>
        <v>10.5625</v>
      </c>
      <c r="AC747" s="26">
        <f t="shared" si="199"/>
        <v>639.0625</v>
      </c>
      <c r="AD747" s="26">
        <f t="shared" si="200"/>
        <v>13.875</v>
      </c>
      <c r="AE747">
        <f t="shared" si="201"/>
        <v>2025</v>
      </c>
      <c r="AG747">
        <v>12</v>
      </c>
      <c r="AH747" s="26">
        <f t="shared" si="202"/>
        <v>10.862068965517242</v>
      </c>
      <c r="AI747" t="str">
        <f t="shared" si="203"/>
        <v>AM</v>
      </c>
      <c r="AJ747" t="str">
        <f t="shared" si="204"/>
        <v>1-2025-4</v>
      </c>
      <c r="AK747">
        <f t="shared" si="205"/>
        <v>1</v>
      </c>
      <c r="AL747" s="26">
        <f>IFERROR(Table2[[#This Row],[Calories]]/Table2[[#This Row],[Splat]],"")</f>
        <v>52.5</v>
      </c>
      <c r="AM747">
        <f>COUNTIF(N$2:$N$938,N747)</f>
        <v>258</v>
      </c>
      <c r="AN747" t="str">
        <f>VLOOKUP(N747,'Helpful Tables'!A:D,4,FALSE)</f>
        <v>Oregon</v>
      </c>
      <c r="AO747" s="24">
        <f>COUNTIF(AN:AN,Table2[[#This Row],[State]])/COUNTA(AN:AN)</f>
        <v>0.36140724946695096</v>
      </c>
      <c r="AP747">
        <f>VLOOKUP(N747,'Helpful Tables'!A:B,2,FALSE)</f>
        <v>45.534162000000002</v>
      </c>
      <c r="AQ747">
        <f>VLOOKUP(N747,'Helpful Tables'!A:C,3,FALSE)</f>
        <v>-122.69670000000001</v>
      </c>
      <c r="AR747">
        <f>COUNTIF(P$2:$P$938,P747)</f>
        <v>9</v>
      </c>
      <c r="AS747" cm="1">
        <f t="array" ref="AS747">_xlfn.IFS(E747&lt;6,((E747/D747)*60)*0.5,AND(E747&gt;=6,E747&lt;9),((E747/D747)*60)*0.75,AND(E747&gt;=9,E747&lt;=11),((E747/D747)*60)*0.9,AND(E747=12),((E747/D747)*60)*1,AND(E747&gt;=13,E747&lt;=15),((E747/D747)*60)*1.2,AND(E747&gt;=16,E747&lt;=19),((E747/D747)*60)*1.5,E747&gt;=20,((E747/D747)*60)*1.8)</f>
        <v>12.413793103448276</v>
      </c>
      <c r="AT747" cm="1">
        <f t="array" ref="AT747">_xlfn.IFS(F747&lt;550,((F747/D747)*60)*0.5,AND(F747&gt;=550,F747&lt;575),((F747/D747)*60)*0.75,AND(F747&gt;=575,F747&lt;600),((F747/D747)*60)*0.9,AND(F747=600),((F747/D747)*60)*1,AND(F747&gt;=601,F747&lt;=625),((F747/D747)*60)*1.2,AND(F747&gt;=626,F747&lt;=650),((F747/D747)*60)*1.5,F747&gt;=651,((F747/D747)*60)*1.8)</f>
        <v>977.58620689655186</v>
      </c>
      <c r="AU747">
        <f t="shared" si="210"/>
        <v>-4.1999999999999957</v>
      </c>
      <c r="AV747">
        <f t="shared" si="208"/>
        <v>395.16000000000008</v>
      </c>
      <c r="AW747">
        <f t="shared" si="211"/>
        <v>50.4</v>
      </c>
      <c r="AX747" t="str">
        <f t="shared" si="206"/>
        <v>Jan-2025</v>
      </c>
      <c r="AY747">
        <f>ROUNDUP(Table2[[#This Row],[Month]]/3,0)</f>
        <v>1</v>
      </c>
    </row>
    <row r="748" spans="1:51" x14ac:dyDescent="0.2">
      <c r="A748">
        <v>747</v>
      </c>
      <c r="B748">
        <f t="shared" si="195"/>
        <v>16</v>
      </c>
      <c r="C748" s="22">
        <v>45684</v>
      </c>
      <c r="D748">
        <f>SUM(Table2[[#This Row],[Gray Min]:[Red Min]])</f>
        <v>61</v>
      </c>
      <c r="E748">
        <v>17</v>
      </c>
      <c r="F748">
        <v>672</v>
      </c>
      <c r="G748">
        <v>127</v>
      </c>
      <c r="H748">
        <v>166</v>
      </c>
      <c r="I748">
        <v>13</v>
      </c>
      <c r="J748">
        <v>18</v>
      </c>
      <c r="K748">
        <v>13</v>
      </c>
      <c r="L748">
        <v>16</v>
      </c>
      <c r="M748">
        <v>1</v>
      </c>
      <c r="N748" t="s">
        <v>125</v>
      </c>
      <c r="O748" t="s">
        <v>127</v>
      </c>
      <c r="P748" t="s">
        <v>220</v>
      </c>
      <c r="Q748">
        <f t="shared" si="207"/>
        <v>2</v>
      </c>
      <c r="R748" t="str">
        <f t="shared" si="196"/>
        <v>1-2025</v>
      </c>
      <c r="S748" t="s">
        <v>104</v>
      </c>
      <c r="T748" t="str">
        <f t="shared" si="197"/>
        <v>Monday</v>
      </c>
      <c r="U748">
        <f t="shared" si="198"/>
        <v>1</v>
      </c>
      <c r="V748" s="24">
        <f>IFERROR(Table2[[#This Row],[Gray Min]]/Table2[[#This Row],[ClassLength]],"")</f>
        <v>0.21311475409836064</v>
      </c>
      <c r="W748" s="24">
        <f>IFERROR(Table2[[#This Row],[Blue Min]]/Table2[[#This Row],[ClassLength]],"")</f>
        <v>0.29508196721311475</v>
      </c>
      <c r="X748" s="24">
        <f>IFERROR(Table2[[#This Row],[Green Min]]/Table2[[#This Row],[ClassLength]],"")</f>
        <v>0.21311475409836064</v>
      </c>
      <c r="Y748" s="24">
        <f>IFERROR(Table2[[#This Row],[Orange Min]]/Table2[[#This Row],[ClassLength]],"")</f>
        <v>0.26229508196721313</v>
      </c>
      <c r="Z748" s="24">
        <f>IFERROR(Table2[[#This Row],[Red Min]]/Table2[[#This Row],[ClassLength]],"")</f>
        <v>1.6393442622950821E-2</v>
      </c>
      <c r="AA748" s="25">
        <v>169</v>
      </c>
      <c r="AB748" s="25">
        <f t="shared" si="209"/>
        <v>10.5625</v>
      </c>
      <c r="AC748" s="26">
        <f t="shared" si="199"/>
        <v>639.0625</v>
      </c>
      <c r="AD748" s="26">
        <f t="shared" si="200"/>
        <v>13.875</v>
      </c>
      <c r="AE748">
        <f t="shared" si="201"/>
        <v>2025</v>
      </c>
      <c r="AG748">
        <v>12</v>
      </c>
      <c r="AH748" s="26">
        <f t="shared" si="202"/>
        <v>11.016393442622951</v>
      </c>
      <c r="AI748" t="str">
        <f t="shared" si="203"/>
        <v>PM</v>
      </c>
      <c r="AJ748" t="str">
        <f t="shared" si="204"/>
        <v>1-2025-5</v>
      </c>
      <c r="AK748">
        <f t="shared" si="205"/>
        <v>1</v>
      </c>
      <c r="AL748" s="26">
        <f>IFERROR(Table2[[#This Row],[Calories]]/Table2[[#This Row],[Splat]],"")</f>
        <v>39.529411764705884</v>
      </c>
      <c r="AM748">
        <f>COUNTIF(N$2:$N$938,N748)</f>
        <v>258</v>
      </c>
      <c r="AN748" t="str">
        <f>VLOOKUP(N748,'Helpful Tables'!A:D,4,FALSE)</f>
        <v>Oregon</v>
      </c>
      <c r="AO748" s="24">
        <f>COUNTIF(AN:AN,Table2[[#This Row],[State]])/COUNTA(AN:AN)</f>
        <v>0.36140724946695096</v>
      </c>
      <c r="AP748">
        <f>VLOOKUP(N748,'Helpful Tables'!A:B,2,FALSE)</f>
        <v>45.534162000000002</v>
      </c>
      <c r="AQ748">
        <f>VLOOKUP(N748,'Helpful Tables'!A:C,3,FALSE)</f>
        <v>-122.69670000000001</v>
      </c>
      <c r="AR748">
        <f>COUNTIF(P$2:$P$938,P748)</f>
        <v>43</v>
      </c>
      <c r="AS748" cm="1">
        <f t="array" ref="AS748">_xlfn.IFS(E748&lt;6,((E748/D748)*60)*0.5,AND(E748&gt;=6,E748&lt;9),((E748/D748)*60)*0.75,AND(E748&gt;=9,E748&lt;=11),((E748/D748)*60)*0.9,AND(E748=12),((E748/D748)*60)*1,AND(E748&gt;=13,E748&lt;=15),((E748/D748)*60)*1.2,AND(E748&gt;=16,E748&lt;=19),((E748/D748)*60)*1.5,E748&gt;=20,((E748/D748)*60)*1.8)</f>
        <v>25.081967213114751</v>
      </c>
      <c r="AT748" cm="1">
        <f t="array" ref="AT748">_xlfn.IFS(F748&lt;550,((F748/D748)*60)*0.5,AND(F748&gt;=550,F748&lt;575),((F748/D748)*60)*0.75,AND(F748&gt;=575,F748&lt;600),((F748/D748)*60)*0.9,AND(F748=600),((F748/D748)*60)*1,AND(F748&gt;=601,F748&lt;=625),((F748/D748)*60)*1.2,AND(F748&gt;=626,F748&lt;=650),((F748/D748)*60)*1.5,F748&gt;=651,((F748/D748)*60)*1.8)</f>
        <v>1189.7704918032787</v>
      </c>
      <c r="AU748">
        <f t="shared" si="210"/>
        <v>2.5000000000000036</v>
      </c>
      <c r="AV748">
        <f t="shared" si="208"/>
        <v>486.44098360655738</v>
      </c>
      <c r="AW748">
        <f t="shared" si="211"/>
        <v>71.899999999999991</v>
      </c>
      <c r="AX748" t="str">
        <f t="shared" si="206"/>
        <v>Jan-2025</v>
      </c>
      <c r="AY748">
        <f>ROUNDUP(Table2[[#This Row],[Month]]/3,0)</f>
        <v>1</v>
      </c>
    </row>
    <row r="749" spans="1:51" x14ac:dyDescent="0.2">
      <c r="A749">
        <v>748</v>
      </c>
      <c r="B749">
        <f t="shared" si="195"/>
        <v>16</v>
      </c>
      <c r="C749" s="22">
        <v>45686</v>
      </c>
      <c r="D749">
        <f>SUM(Table2[[#This Row],[Gray Min]:[Red Min]])</f>
        <v>60</v>
      </c>
      <c r="E749">
        <v>15</v>
      </c>
      <c r="F749">
        <v>707</v>
      </c>
      <c r="G749">
        <v>130</v>
      </c>
      <c r="H749">
        <v>169</v>
      </c>
      <c r="I749">
        <v>8</v>
      </c>
      <c r="J749">
        <v>15</v>
      </c>
      <c r="K749">
        <v>22</v>
      </c>
      <c r="L749">
        <v>12</v>
      </c>
      <c r="M749">
        <v>3</v>
      </c>
      <c r="N749" t="s">
        <v>125</v>
      </c>
      <c r="O749" t="s">
        <v>127</v>
      </c>
      <c r="P749" t="s">
        <v>216</v>
      </c>
      <c r="Q749">
        <f t="shared" si="207"/>
        <v>2</v>
      </c>
      <c r="R749" t="str">
        <f t="shared" si="196"/>
        <v>1-2025</v>
      </c>
      <c r="S749" t="s">
        <v>104</v>
      </c>
      <c r="T749" t="str">
        <f t="shared" si="197"/>
        <v>Wednesday</v>
      </c>
      <c r="U749">
        <f t="shared" si="198"/>
        <v>1</v>
      </c>
      <c r="V749" s="24">
        <f>IFERROR(Table2[[#This Row],[Gray Min]]/Table2[[#This Row],[ClassLength]],"")</f>
        <v>0.13333333333333333</v>
      </c>
      <c r="W749" s="24">
        <f>IFERROR(Table2[[#This Row],[Blue Min]]/Table2[[#This Row],[ClassLength]],"")</f>
        <v>0.25</v>
      </c>
      <c r="X749" s="24">
        <f>IFERROR(Table2[[#This Row],[Green Min]]/Table2[[#This Row],[ClassLength]],"")</f>
        <v>0.36666666666666664</v>
      </c>
      <c r="Y749" s="24">
        <f>IFERROR(Table2[[#This Row],[Orange Min]]/Table2[[#This Row],[ClassLength]],"")</f>
        <v>0.2</v>
      </c>
      <c r="Z749" s="24">
        <f>IFERROR(Table2[[#This Row],[Red Min]]/Table2[[#This Row],[ClassLength]],"")</f>
        <v>0.05</v>
      </c>
      <c r="AA749" s="25">
        <v>169</v>
      </c>
      <c r="AB749" s="25">
        <f t="shared" si="209"/>
        <v>10.5625</v>
      </c>
      <c r="AC749" s="26">
        <f t="shared" si="199"/>
        <v>639.0625</v>
      </c>
      <c r="AD749" s="26">
        <f t="shared" si="200"/>
        <v>13.875</v>
      </c>
      <c r="AE749">
        <f t="shared" si="201"/>
        <v>2025</v>
      </c>
      <c r="AG749">
        <v>12</v>
      </c>
      <c r="AH749" s="26">
        <f t="shared" si="202"/>
        <v>11.783333333333333</v>
      </c>
      <c r="AI749" t="str">
        <f t="shared" si="203"/>
        <v>PM</v>
      </c>
      <c r="AJ749" t="str">
        <f t="shared" si="204"/>
        <v>1-2025-5</v>
      </c>
      <c r="AK749">
        <f t="shared" si="205"/>
        <v>1</v>
      </c>
      <c r="AL749" s="26">
        <f>IFERROR(Table2[[#This Row],[Calories]]/Table2[[#This Row],[Splat]],"")</f>
        <v>47.133333333333333</v>
      </c>
      <c r="AM749">
        <f>COUNTIF(N$2:$N$938,N749)</f>
        <v>258</v>
      </c>
      <c r="AN749" t="str">
        <f>VLOOKUP(N749,'Helpful Tables'!A:D,4,FALSE)</f>
        <v>Oregon</v>
      </c>
      <c r="AO749" s="24">
        <f>COUNTIF(AN:AN,Table2[[#This Row],[State]])/COUNTA(AN:AN)</f>
        <v>0.36140724946695096</v>
      </c>
      <c r="AP749">
        <f>VLOOKUP(N749,'Helpful Tables'!A:B,2,FALSE)</f>
        <v>45.534162000000002</v>
      </c>
      <c r="AQ749">
        <f>VLOOKUP(N749,'Helpful Tables'!A:C,3,FALSE)</f>
        <v>-122.69670000000001</v>
      </c>
      <c r="AR749">
        <f>COUNTIF(P$2:$P$938,P749)</f>
        <v>25</v>
      </c>
      <c r="AS749" cm="1">
        <f t="array" ref="AS749">_xlfn.IFS(E749&lt;6,((E749/D749)*60)*0.5,AND(E749&gt;=6,E749&lt;9),((E749/D749)*60)*0.75,AND(E749&gt;=9,E749&lt;=11),((E749/D749)*60)*0.9,AND(E749=12),((E749/D749)*60)*1,AND(E749&gt;=13,E749&lt;=15),((E749/D749)*60)*1.2,AND(E749&gt;=16,E749&lt;=19),((E749/D749)*60)*1.5,E749&gt;=20,((E749/D749)*60)*1.8)</f>
        <v>18</v>
      </c>
      <c r="AT749" cm="1">
        <f t="array" ref="AT749">_xlfn.IFS(F749&lt;550,((F749/D749)*60)*0.5,AND(F749&gt;=550,F749&lt;575),((F749/D749)*60)*0.75,AND(F749&gt;=575,F749&lt;600),((F749/D749)*60)*0.9,AND(F749=600),((F749/D749)*60)*1,AND(F749&gt;=601,F749&lt;=625),((F749/D749)*60)*1.2,AND(F749&gt;=626,F749&lt;=650),((F749/D749)*60)*1.5,F749&gt;=651,((F749/D749)*60)*1.8)</f>
        <v>1272.6000000000001</v>
      </c>
      <c r="AU749">
        <f t="shared" si="210"/>
        <v>20.399999999999999</v>
      </c>
      <c r="AV749">
        <f t="shared" si="208"/>
        <v>520.32000000000016</v>
      </c>
      <c r="AW749">
        <f t="shared" si="211"/>
        <v>90.3</v>
      </c>
      <c r="AX749" t="str">
        <f t="shared" si="206"/>
        <v>Jan-2025</v>
      </c>
      <c r="AY749">
        <f>ROUNDUP(Table2[[#This Row],[Month]]/3,0)</f>
        <v>1</v>
      </c>
    </row>
    <row r="750" spans="1:51" x14ac:dyDescent="0.2">
      <c r="A750">
        <v>749</v>
      </c>
      <c r="B750">
        <f t="shared" si="195"/>
        <v>16</v>
      </c>
      <c r="C750" s="22">
        <v>45688</v>
      </c>
      <c r="D750">
        <f>SUM(Table2[[#This Row],[Gray Min]:[Red Min]])</f>
        <v>61</v>
      </c>
      <c r="E750">
        <v>18</v>
      </c>
      <c r="F750">
        <v>718</v>
      </c>
      <c r="G750">
        <v>132</v>
      </c>
      <c r="H750">
        <v>166</v>
      </c>
      <c r="I750">
        <v>7</v>
      </c>
      <c r="J750">
        <v>17</v>
      </c>
      <c r="K750">
        <v>19</v>
      </c>
      <c r="L750">
        <v>14</v>
      </c>
      <c r="M750">
        <v>4</v>
      </c>
      <c r="N750" t="s">
        <v>125</v>
      </c>
      <c r="O750" t="s">
        <v>127</v>
      </c>
      <c r="P750" t="s">
        <v>222</v>
      </c>
      <c r="Q750">
        <f t="shared" si="207"/>
        <v>2</v>
      </c>
      <c r="R750" t="str">
        <f t="shared" si="196"/>
        <v>1-2025</v>
      </c>
      <c r="S750" t="s">
        <v>104</v>
      </c>
      <c r="T750" t="str">
        <f t="shared" si="197"/>
        <v>Friday</v>
      </c>
      <c r="U750">
        <f t="shared" si="198"/>
        <v>1</v>
      </c>
      <c r="V750" s="24">
        <f>IFERROR(Table2[[#This Row],[Gray Min]]/Table2[[#This Row],[ClassLength]],"")</f>
        <v>0.11475409836065574</v>
      </c>
      <c r="W750" s="24">
        <f>IFERROR(Table2[[#This Row],[Blue Min]]/Table2[[#This Row],[ClassLength]],"")</f>
        <v>0.27868852459016391</v>
      </c>
      <c r="X750" s="24">
        <f>IFERROR(Table2[[#This Row],[Green Min]]/Table2[[#This Row],[ClassLength]],"")</f>
        <v>0.31147540983606559</v>
      </c>
      <c r="Y750" s="24">
        <f>IFERROR(Table2[[#This Row],[Orange Min]]/Table2[[#This Row],[ClassLength]],"")</f>
        <v>0.22950819672131148</v>
      </c>
      <c r="Z750" s="24">
        <f>IFERROR(Table2[[#This Row],[Red Min]]/Table2[[#This Row],[ClassLength]],"")</f>
        <v>6.5573770491803282E-2</v>
      </c>
      <c r="AA750" s="25">
        <v>169</v>
      </c>
      <c r="AB750" s="25">
        <f t="shared" si="209"/>
        <v>10.5625</v>
      </c>
      <c r="AC750" s="26">
        <f t="shared" si="199"/>
        <v>639.0625</v>
      </c>
      <c r="AD750" s="26">
        <f t="shared" si="200"/>
        <v>13.875</v>
      </c>
      <c r="AE750">
        <f t="shared" si="201"/>
        <v>2025</v>
      </c>
      <c r="AG750">
        <v>12</v>
      </c>
      <c r="AH750" s="26">
        <f t="shared" si="202"/>
        <v>11.770491803278688</v>
      </c>
      <c r="AI750" t="str">
        <f t="shared" si="203"/>
        <v>PM</v>
      </c>
      <c r="AJ750" t="str">
        <f t="shared" si="204"/>
        <v>1-2025-5</v>
      </c>
      <c r="AK750">
        <f t="shared" si="205"/>
        <v>1</v>
      </c>
      <c r="AL750" s="26">
        <f>IFERROR(Table2[[#This Row],[Calories]]/Table2[[#This Row],[Splat]],"")</f>
        <v>39.888888888888886</v>
      </c>
      <c r="AM750">
        <f>COUNTIF(N$2:$N$938,N750)</f>
        <v>258</v>
      </c>
      <c r="AN750" t="str">
        <f>VLOOKUP(N750,'Helpful Tables'!A:D,4,FALSE)</f>
        <v>Oregon</v>
      </c>
      <c r="AO750" s="24">
        <f>COUNTIF(AN:AN,Table2[[#This Row],[State]])/COUNTA(AN:AN)</f>
        <v>0.36140724946695096</v>
      </c>
      <c r="AP750">
        <f>VLOOKUP(N750,'Helpful Tables'!A:B,2,FALSE)</f>
        <v>45.534162000000002</v>
      </c>
      <c r="AQ750">
        <f>VLOOKUP(N750,'Helpful Tables'!A:C,3,FALSE)</f>
        <v>-122.69670000000001</v>
      </c>
      <c r="AR750">
        <f>COUNTIF(P$2:$P$938,P750)</f>
        <v>32</v>
      </c>
      <c r="AS750" cm="1">
        <f t="array" ref="AS750">_xlfn.IFS(E750&lt;6,((E750/D750)*60)*0.5,AND(E750&gt;=6,E750&lt;9),((E750/D750)*60)*0.75,AND(E750&gt;=9,E750&lt;=11),((E750/D750)*60)*0.9,AND(E750=12),((E750/D750)*60)*1,AND(E750&gt;=13,E750&lt;=15),((E750/D750)*60)*1.2,AND(E750&gt;=16,E750&lt;=19),((E750/D750)*60)*1.5,E750&gt;=20,((E750/D750)*60)*1.8)</f>
        <v>26.557377049180328</v>
      </c>
      <c r="AT750" cm="1">
        <f t="array" ref="AT750">_xlfn.IFS(F750&lt;550,((F750/D750)*60)*0.5,AND(F750&gt;=550,F750&lt;575),((F750/D750)*60)*0.75,AND(F750&gt;=575,F750&lt;600),((F750/D750)*60)*0.9,AND(F750=600),((F750/D750)*60)*1,AND(F750&gt;=601,F750&lt;=625),((F750/D750)*60)*1.2,AND(F750&gt;=626,F750&lt;=650),((F750/D750)*60)*1.5,F750&gt;=651,((F750/D750)*60)*1.8)</f>
        <v>1271.2131147540983</v>
      </c>
      <c r="AU750">
        <f t="shared" si="210"/>
        <v>19.899999999999999</v>
      </c>
      <c r="AV750">
        <f t="shared" si="208"/>
        <v>523.08819672131153</v>
      </c>
      <c r="AW750">
        <f t="shared" si="211"/>
        <v>91.5</v>
      </c>
      <c r="AX750" t="str">
        <f t="shared" si="206"/>
        <v>Jan-2025</v>
      </c>
      <c r="AY750">
        <f>ROUNDUP(Table2[[#This Row],[Month]]/3,0)</f>
        <v>1</v>
      </c>
    </row>
    <row r="751" spans="1:51" x14ac:dyDescent="0.2">
      <c r="A751">
        <v>750</v>
      </c>
      <c r="B751">
        <f t="shared" si="195"/>
        <v>12</v>
      </c>
      <c r="C751" s="22">
        <v>45690</v>
      </c>
      <c r="D751">
        <f>SUM(Table2[[#This Row],[Gray Min]:[Red Min]])</f>
        <v>59</v>
      </c>
      <c r="E751">
        <v>15</v>
      </c>
      <c r="F751">
        <v>659</v>
      </c>
      <c r="G751">
        <v>126</v>
      </c>
      <c r="H751">
        <v>167</v>
      </c>
      <c r="I751">
        <v>8</v>
      </c>
      <c r="J751">
        <v>23</v>
      </c>
      <c r="K751">
        <v>13</v>
      </c>
      <c r="L751">
        <v>13</v>
      </c>
      <c r="M751">
        <v>2</v>
      </c>
      <c r="N751" t="s">
        <v>208</v>
      </c>
      <c r="O751" t="s">
        <v>76</v>
      </c>
      <c r="P751" t="s">
        <v>209</v>
      </c>
      <c r="Q751">
        <f t="shared" si="207"/>
        <v>2</v>
      </c>
      <c r="R751" t="str">
        <f t="shared" si="196"/>
        <v>2-2025</v>
      </c>
      <c r="S751" t="s">
        <v>104</v>
      </c>
      <c r="T751" t="str">
        <f t="shared" si="197"/>
        <v>Sunday</v>
      </c>
      <c r="U751">
        <f t="shared" si="198"/>
        <v>1</v>
      </c>
      <c r="V751" s="24">
        <f>IFERROR(Table2[[#This Row],[Gray Min]]/Table2[[#This Row],[ClassLength]],"")</f>
        <v>0.13559322033898305</v>
      </c>
      <c r="W751" s="24">
        <f>IFERROR(Table2[[#This Row],[Blue Min]]/Table2[[#This Row],[ClassLength]],"")</f>
        <v>0.38983050847457629</v>
      </c>
      <c r="X751" s="24">
        <f>IFERROR(Table2[[#This Row],[Green Min]]/Table2[[#This Row],[ClassLength]],"")</f>
        <v>0.22033898305084745</v>
      </c>
      <c r="Y751" s="24">
        <f>IFERROR(Table2[[#This Row],[Orange Min]]/Table2[[#This Row],[ClassLength]],"")</f>
        <v>0.22033898305084745</v>
      </c>
      <c r="Z751" s="24">
        <f>IFERROR(Table2[[#This Row],[Red Min]]/Table2[[#This Row],[ClassLength]],"")</f>
        <v>3.3898305084745763E-2</v>
      </c>
      <c r="AA751" s="25">
        <v>169</v>
      </c>
      <c r="AB751" s="25">
        <f t="shared" si="209"/>
        <v>14.083333333333334</v>
      </c>
      <c r="AC751" s="26">
        <f t="shared" si="199"/>
        <v>628.33333333333337</v>
      </c>
      <c r="AD751" s="26">
        <f t="shared" si="200"/>
        <v>14.416666666666666</v>
      </c>
      <c r="AE751">
        <f t="shared" si="201"/>
        <v>2025</v>
      </c>
      <c r="AG751">
        <v>12</v>
      </c>
      <c r="AH751" s="26">
        <f t="shared" si="202"/>
        <v>11.169491525423728</v>
      </c>
      <c r="AI751" t="str">
        <f t="shared" si="203"/>
        <v>AM</v>
      </c>
      <c r="AJ751" t="str">
        <f t="shared" si="204"/>
        <v>2-2025-2</v>
      </c>
      <c r="AK751">
        <f t="shared" si="205"/>
        <v>2</v>
      </c>
      <c r="AL751" s="26">
        <f>IFERROR(Table2[[#This Row],[Calories]]/Table2[[#This Row],[Splat]],"")</f>
        <v>43.93333333333333</v>
      </c>
      <c r="AM751">
        <f>COUNTIF(N$2:$N$938,N751)</f>
        <v>78</v>
      </c>
      <c r="AN751" t="str">
        <f>VLOOKUP(N751,'Helpful Tables'!A:D,4,FALSE)</f>
        <v>Oregon</v>
      </c>
      <c r="AO751" s="24">
        <f>COUNTIF(AN:AN,Table2[[#This Row],[State]])/COUNTA(AN:AN)</f>
        <v>0.36140724946695096</v>
      </c>
      <c r="AP751">
        <f>VLOOKUP(N751,'Helpful Tables'!A:B,2,FALSE)</f>
        <v>45.525092999999998</v>
      </c>
      <c r="AQ751">
        <f>VLOOKUP(N751,'Helpful Tables'!A:C,3,FALSE)</f>
        <v>-122.681383</v>
      </c>
      <c r="AR751">
        <f>COUNTIF(P$2:$P$938,P751)</f>
        <v>20</v>
      </c>
      <c r="AS751" cm="1">
        <f t="array" ref="AS751">_xlfn.IFS(E751&lt;6,((E751/D751)*60)*0.5,AND(E751&gt;=6,E751&lt;9),((E751/D751)*60)*0.75,AND(E751&gt;=9,E751&lt;=11),((E751/D751)*60)*0.9,AND(E751=12),((E751/D751)*60)*1,AND(E751&gt;=13,E751&lt;=15),((E751/D751)*60)*1.2,AND(E751&gt;=16,E751&lt;=19),((E751/D751)*60)*1.5,E751&gt;=20,((E751/D751)*60)*1.8)</f>
        <v>18.305084745762709</v>
      </c>
      <c r="AT751" cm="1">
        <f t="array" ref="AT751">_xlfn.IFS(F751&lt;550,((F751/D751)*60)*0.5,AND(F751&gt;=550,F751&lt;575),((F751/D751)*60)*0.75,AND(F751&gt;=575,F751&lt;600),((F751/D751)*60)*0.9,AND(F751=600),((F751/D751)*60)*1,AND(F751&gt;=601,F751&lt;=625),((F751/D751)*60)*1.2,AND(F751&gt;=626,F751&lt;=650),((F751/D751)*60)*1.5,F751&gt;=651,((F751/D751)*60)*1.8)</f>
        <v>1206.3050847457628</v>
      </c>
      <c r="AU751">
        <f t="shared" si="210"/>
        <v>0.60000000000000497</v>
      </c>
      <c r="AV751">
        <f t="shared" si="208"/>
        <v>489.96406779661027</v>
      </c>
      <c r="AW751">
        <f t="shared" si="211"/>
        <v>74</v>
      </c>
      <c r="AX751" t="str">
        <f t="shared" si="206"/>
        <v>Feb-2025</v>
      </c>
      <c r="AY751">
        <f>ROUNDUP(Table2[[#This Row],[Month]]/3,0)</f>
        <v>1</v>
      </c>
    </row>
    <row r="752" spans="1:51" x14ac:dyDescent="0.2">
      <c r="A752">
        <v>751</v>
      </c>
      <c r="B752">
        <f t="shared" si="195"/>
        <v>12</v>
      </c>
      <c r="C752" s="22">
        <v>45692</v>
      </c>
      <c r="D752">
        <f>SUM(Table2[[#This Row],[Gray Min]:[Red Min]])</f>
        <v>63</v>
      </c>
      <c r="E752">
        <v>18</v>
      </c>
      <c r="F752">
        <v>682</v>
      </c>
      <c r="G752">
        <v>124</v>
      </c>
      <c r="H752">
        <v>164</v>
      </c>
      <c r="I752">
        <v>17</v>
      </c>
      <c r="J752">
        <v>16</v>
      </c>
      <c r="K752">
        <v>12</v>
      </c>
      <c r="L752">
        <v>17</v>
      </c>
      <c r="M752">
        <v>1</v>
      </c>
      <c r="N752" t="s">
        <v>125</v>
      </c>
      <c r="O752" t="s">
        <v>127</v>
      </c>
      <c r="P752" t="s">
        <v>216</v>
      </c>
      <c r="Q752">
        <f t="shared" si="207"/>
        <v>2</v>
      </c>
      <c r="R752" t="str">
        <f t="shared" si="196"/>
        <v>2-2025</v>
      </c>
      <c r="S752" t="s">
        <v>104</v>
      </c>
      <c r="T752" t="str">
        <f t="shared" si="197"/>
        <v>Tuesday</v>
      </c>
      <c r="U752">
        <f t="shared" si="198"/>
        <v>1</v>
      </c>
      <c r="V752" s="24">
        <f>IFERROR(Table2[[#This Row],[Gray Min]]/Table2[[#This Row],[ClassLength]],"")</f>
        <v>0.26984126984126983</v>
      </c>
      <c r="W752" s="24">
        <f>IFERROR(Table2[[#This Row],[Blue Min]]/Table2[[#This Row],[ClassLength]],"")</f>
        <v>0.25396825396825395</v>
      </c>
      <c r="X752" s="24">
        <f>IFERROR(Table2[[#This Row],[Green Min]]/Table2[[#This Row],[ClassLength]],"")</f>
        <v>0.19047619047619047</v>
      </c>
      <c r="Y752" s="24">
        <f>IFERROR(Table2[[#This Row],[Orange Min]]/Table2[[#This Row],[ClassLength]],"")</f>
        <v>0.26984126984126983</v>
      </c>
      <c r="Z752" s="24">
        <f>IFERROR(Table2[[#This Row],[Red Min]]/Table2[[#This Row],[ClassLength]],"")</f>
        <v>1.5873015873015872E-2</v>
      </c>
      <c r="AA752" s="25">
        <v>169</v>
      </c>
      <c r="AB752" s="25">
        <f t="shared" si="209"/>
        <v>14.083333333333334</v>
      </c>
      <c r="AC752" s="26">
        <f t="shared" si="199"/>
        <v>628.33333333333337</v>
      </c>
      <c r="AD752" s="26">
        <f t="shared" si="200"/>
        <v>14.416666666666666</v>
      </c>
      <c r="AE752">
        <f t="shared" si="201"/>
        <v>2025</v>
      </c>
      <c r="AG752">
        <v>12</v>
      </c>
      <c r="AH752" s="26">
        <f t="shared" si="202"/>
        <v>10.825396825396826</v>
      </c>
      <c r="AI752" t="str">
        <f t="shared" si="203"/>
        <v>PM</v>
      </c>
      <c r="AJ752" t="str">
        <f t="shared" si="204"/>
        <v>2-2025-2</v>
      </c>
      <c r="AK752">
        <f t="shared" si="205"/>
        <v>2</v>
      </c>
      <c r="AL752" s="26">
        <f>IFERROR(Table2[[#This Row],[Calories]]/Table2[[#This Row],[Splat]],"")</f>
        <v>37.888888888888886</v>
      </c>
      <c r="AM752">
        <f>COUNTIF(N$2:$N$938,N752)</f>
        <v>258</v>
      </c>
      <c r="AN752" t="str">
        <f>VLOOKUP(N752,'Helpful Tables'!A:D,4,FALSE)</f>
        <v>Oregon</v>
      </c>
      <c r="AO752" s="24">
        <f>COUNTIF(AN:AN,Table2[[#This Row],[State]])/COUNTA(AN:AN)</f>
        <v>0.36140724946695096</v>
      </c>
      <c r="AP752">
        <f>VLOOKUP(N752,'Helpful Tables'!A:B,2,FALSE)</f>
        <v>45.534162000000002</v>
      </c>
      <c r="AQ752">
        <f>VLOOKUP(N752,'Helpful Tables'!A:C,3,FALSE)</f>
        <v>-122.69670000000001</v>
      </c>
      <c r="AR752">
        <f>COUNTIF(P$2:$P$938,P752)</f>
        <v>25</v>
      </c>
      <c r="AS752" cm="1">
        <f t="array" ref="AS752">_xlfn.IFS(E752&lt;6,((E752/D752)*60)*0.5,AND(E752&gt;=6,E752&lt;9),((E752/D752)*60)*0.75,AND(E752&gt;=9,E752&lt;=11),((E752/D752)*60)*0.9,AND(E752=12),((E752/D752)*60)*1,AND(E752&gt;=13,E752&lt;=15),((E752/D752)*60)*1.2,AND(E752&gt;=16,E752&lt;=19),((E752/D752)*60)*1.5,E752&gt;=20,((E752/D752)*60)*1.8)</f>
        <v>25.714285714285715</v>
      </c>
      <c r="AT752" cm="1">
        <f t="array" ref="AT752">_xlfn.IFS(F752&lt;550,((F752/D752)*60)*0.5,AND(F752&gt;=550,F752&lt;575),((F752/D752)*60)*0.75,AND(F752&gt;=575,F752&lt;600),((F752/D752)*60)*0.9,AND(F752=600),((F752/D752)*60)*1,AND(F752&gt;=601,F752&lt;=625),((F752/D752)*60)*1.2,AND(F752&gt;=626,F752&lt;=650),((F752/D752)*60)*1.5,F752&gt;=651,((F752/D752)*60)*1.8)</f>
        <v>1169.1428571428571</v>
      </c>
      <c r="AU752">
        <f t="shared" si="210"/>
        <v>0</v>
      </c>
      <c r="AV752">
        <f t="shared" si="208"/>
        <v>477.94285714285712</v>
      </c>
      <c r="AW752">
        <f t="shared" si="211"/>
        <v>69.199999999999989</v>
      </c>
      <c r="AX752" t="str">
        <f t="shared" si="206"/>
        <v>Feb-2025</v>
      </c>
      <c r="AY752">
        <f>ROUNDUP(Table2[[#This Row],[Month]]/3,0)</f>
        <v>1</v>
      </c>
    </row>
    <row r="753" spans="1:51" x14ac:dyDescent="0.2">
      <c r="A753">
        <v>752</v>
      </c>
      <c r="B753">
        <f t="shared" si="195"/>
        <v>12</v>
      </c>
      <c r="C753" s="22">
        <v>45694</v>
      </c>
      <c r="D753">
        <f>SUM(Table2[[#This Row],[Gray Min]:[Red Min]])</f>
        <v>59</v>
      </c>
      <c r="E753">
        <v>16</v>
      </c>
      <c r="F753">
        <v>689</v>
      </c>
      <c r="G753">
        <v>130</v>
      </c>
      <c r="H753">
        <v>167</v>
      </c>
      <c r="I753">
        <v>6</v>
      </c>
      <c r="J753">
        <v>23</v>
      </c>
      <c r="K753">
        <v>14</v>
      </c>
      <c r="L753">
        <v>14</v>
      </c>
      <c r="M753">
        <v>2</v>
      </c>
      <c r="N753" t="s">
        <v>125</v>
      </c>
      <c r="O753" t="s">
        <v>127</v>
      </c>
      <c r="P753" t="s">
        <v>220</v>
      </c>
      <c r="Q753">
        <f t="shared" si="207"/>
        <v>2</v>
      </c>
      <c r="R753" t="str">
        <f t="shared" si="196"/>
        <v>2-2025</v>
      </c>
      <c r="S753" t="s">
        <v>104</v>
      </c>
      <c r="T753" t="str">
        <f t="shared" si="197"/>
        <v>Thursday</v>
      </c>
      <c r="U753">
        <f t="shared" si="198"/>
        <v>1</v>
      </c>
      <c r="V753" s="24">
        <f>IFERROR(Table2[[#This Row],[Gray Min]]/Table2[[#This Row],[ClassLength]],"")</f>
        <v>0.10169491525423729</v>
      </c>
      <c r="W753" s="24">
        <f>IFERROR(Table2[[#This Row],[Blue Min]]/Table2[[#This Row],[ClassLength]],"")</f>
        <v>0.38983050847457629</v>
      </c>
      <c r="X753" s="24">
        <f>IFERROR(Table2[[#This Row],[Green Min]]/Table2[[#This Row],[ClassLength]],"")</f>
        <v>0.23728813559322035</v>
      </c>
      <c r="Y753" s="24">
        <f>IFERROR(Table2[[#This Row],[Orange Min]]/Table2[[#This Row],[ClassLength]],"")</f>
        <v>0.23728813559322035</v>
      </c>
      <c r="Z753" s="24">
        <f>IFERROR(Table2[[#This Row],[Red Min]]/Table2[[#This Row],[ClassLength]],"")</f>
        <v>3.3898305084745763E-2</v>
      </c>
      <c r="AA753" s="25">
        <v>169</v>
      </c>
      <c r="AB753" s="25">
        <f t="shared" si="209"/>
        <v>14.083333333333334</v>
      </c>
      <c r="AC753" s="26">
        <f t="shared" si="199"/>
        <v>628.33333333333337</v>
      </c>
      <c r="AD753" s="26">
        <f t="shared" si="200"/>
        <v>14.416666666666666</v>
      </c>
      <c r="AE753">
        <f t="shared" si="201"/>
        <v>2025</v>
      </c>
      <c r="AG753">
        <v>12</v>
      </c>
      <c r="AH753" s="26">
        <f t="shared" si="202"/>
        <v>11.677966101694915</v>
      </c>
      <c r="AI753" t="str">
        <f t="shared" si="203"/>
        <v>PM</v>
      </c>
      <c r="AJ753" t="str">
        <f t="shared" si="204"/>
        <v>2-2025-2</v>
      </c>
      <c r="AK753">
        <f t="shared" si="205"/>
        <v>2</v>
      </c>
      <c r="AL753" s="26">
        <f>IFERROR(Table2[[#This Row],[Calories]]/Table2[[#This Row],[Splat]],"")</f>
        <v>43.0625</v>
      </c>
      <c r="AM753">
        <f>COUNTIF(N$2:$N$938,N753)</f>
        <v>258</v>
      </c>
      <c r="AN753" t="str">
        <f>VLOOKUP(N753,'Helpful Tables'!A:D,4,FALSE)</f>
        <v>Oregon</v>
      </c>
      <c r="AO753" s="24">
        <f>COUNTIF(AN:AN,Table2[[#This Row],[State]])/COUNTA(AN:AN)</f>
        <v>0.36140724946695096</v>
      </c>
      <c r="AP753">
        <f>VLOOKUP(N753,'Helpful Tables'!A:B,2,FALSE)</f>
        <v>45.534162000000002</v>
      </c>
      <c r="AQ753">
        <f>VLOOKUP(N753,'Helpful Tables'!A:C,3,FALSE)</f>
        <v>-122.69670000000001</v>
      </c>
      <c r="AR753">
        <f>COUNTIF(P$2:$P$938,P753)</f>
        <v>43</v>
      </c>
      <c r="AS753" cm="1">
        <f t="array" ref="AS753">_xlfn.IFS(E753&lt;6,((E753/D753)*60)*0.5,AND(E753&gt;=6,E753&lt;9),((E753/D753)*60)*0.75,AND(E753&gt;=9,E753&lt;=11),((E753/D753)*60)*0.9,AND(E753=12),((E753/D753)*60)*1,AND(E753&gt;=13,E753&lt;=15),((E753/D753)*60)*1.2,AND(E753&gt;=16,E753&lt;=19),((E753/D753)*60)*1.5,E753&gt;=20,((E753/D753)*60)*1.8)</f>
        <v>24.406779661016948</v>
      </c>
      <c r="AT753" cm="1">
        <f t="array" ref="AT753">_xlfn.IFS(F753&lt;550,((F753/D753)*60)*0.5,AND(F753&gt;=550,F753&lt;575),((F753/D753)*60)*0.75,AND(F753&gt;=575,F753&lt;600),((F753/D753)*60)*0.9,AND(F753=600),((F753/D753)*60)*1,AND(F753&gt;=601,F753&lt;=625),((F753/D753)*60)*1.2,AND(F753&gt;=626,F753&lt;=650),((F753/D753)*60)*1.5,F753&gt;=651,((F753/D753)*60)*1.8)</f>
        <v>1261.2203389830509</v>
      </c>
      <c r="AU753">
        <f t="shared" si="210"/>
        <v>5.5</v>
      </c>
      <c r="AV753">
        <f t="shared" si="208"/>
        <v>515.3508474576272</v>
      </c>
      <c r="AW753">
        <f t="shared" si="211"/>
        <v>88.1</v>
      </c>
      <c r="AX753" t="str">
        <f t="shared" si="206"/>
        <v>Feb-2025</v>
      </c>
      <c r="AY753">
        <f>ROUNDUP(Table2[[#This Row],[Month]]/3,0)</f>
        <v>1</v>
      </c>
    </row>
    <row r="754" spans="1:51" x14ac:dyDescent="0.2">
      <c r="A754">
        <v>753</v>
      </c>
      <c r="B754">
        <f t="shared" si="195"/>
        <v>12</v>
      </c>
      <c r="C754" s="22">
        <v>45696</v>
      </c>
      <c r="D754">
        <f>SUM(Table2[[#This Row],[Gray Min]:[Red Min]])</f>
        <v>57</v>
      </c>
      <c r="E754">
        <v>6</v>
      </c>
      <c r="F754">
        <v>580</v>
      </c>
      <c r="G754">
        <v>120</v>
      </c>
      <c r="H754">
        <v>162</v>
      </c>
      <c r="I754">
        <v>20</v>
      </c>
      <c r="J754">
        <v>11</v>
      </c>
      <c r="K754">
        <v>20</v>
      </c>
      <c r="L754">
        <v>6</v>
      </c>
      <c r="M754">
        <v>0</v>
      </c>
      <c r="N754" t="s">
        <v>125</v>
      </c>
      <c r="O754" t="s">
        <v>159</v>
      </c>
      <c r="P754" t="s">
        <v>218</v>
      </c>
      <c r="Q754">
        <f t="shared" si="207"/>
        <v>2</v>
      </c>
      <c r="R754" t="str">
        <f t="shared" si="196"/>
        <v>2-2025</v>
      </c>
      <c r="S754" t="s">
        <v>117</v>
      </c>
      <c r="T754" t="str">
        <f t="shared" si="197"/>
        <v>Saturday</v>
      </c>
      <c r="U754">
        <f t="shared" si="198"/>
        <v>0</v>
      </c>
      <c r="V754" s="24">
        <f>IFERROR(Table2[[#This Row],[Gray Min]]/Table2[[#This Row],[ClassLength]],"")</f>
        <v>0.35087719298245612</v>
      </c>
      <c r="W754" s="24">
        <f>IFERROR(Table2[[#This Row],[Blue Min]]/Table2[[#This Row],[ClassLength]],"")</f>
        <v>0.19298245614035087</v>
      </c>
      <c r="X754" s="24">
        <f>IFERROR(Table2[[#This Row],[Green Min]]/Table2[[#This Row],[ClassLength]],"")</f>
        <v>0.35087719298245612</v>
      </c>
      <c r="Y754" s="24">
        <f>IFERROR(Table2[[#This Row],[Orange Min]]/Table2[[#This Row],[ClassLength]],"")</f>
        <v>0.10526315789473684</v>
      </c>
      <c r="Z754" s="24">
        <f>IFERROR(Table2[[#This Row],[Red Min]]/Table2[[#This Row],[ClassLength]],"")</f>
        <v>0</v>
      </c>
      <c r="AA754" s="25">
        <v>169</v>
      </c>
      <c r="AB754" s="25">
        <f t="shared" si="209"/>
        <v>14.083333333333334</v>
      </c>
      <c r="AC754" s="26">
        <f t="shared" si="199"/>
        <v>628.33333333333337</v>
      </c>
      <c r="AD754" s="26">
        <f t="shared" si="200"/>
        <v>14.416666666666666</v>
      </c>
      <c r="AE754">
        <f t="shared" si="201"/>
        <v>2025</v>
      </c>
      <c r="AG754">
        <v>12</v>
      </c>
      <c r="AH754" s="26">
        <f t="shared" si="202"/>
        <v>10.175438596491228</v>
      </c>
      <c r="AI754" t="str">
        <f t="shared" si="203"/>
        <v>AM</v>
      </c>
      <c r="AJ754" t="str">
        <f t="shared" si="204"/>
        <v>2-2025-2</v>
      </c>
      <c r="AK754">
        <f t="shared" si="205"/>
        <v>2</v>
      </c>
      <c r="AL754" s="26">
        <f>IFERROR(Table2[[#This Row],[Calories]]/Table2[[#This Row],[Splat]],"")</f>
        <v>96.666666666666671</v>
      </c>
      <c r="AM754">
        <f>COUNTIF(N$2:$N$938,N754)</f>
        <v>258</v>
      </c>
      <c r="AN754" t="str">
        <f>VLOOKUP(N754,'Helpful Tables'!A:D,4,FALSE)</f>
        <v>Oregon</v>
      </c>
      <c r="AO754" s="24">
        <f>COUNTIF(AN:AN,Table2[[#This Row],[State]])/COUNTA(AN:AN)</f>
        <v>0.36140724946695096</v>
      </c>
      <c r="AP754">
        <f>VLOOKUP(N754,'Helpful Tables'!A:B,2,FALSE)</f>
        <v>45.534162000000002</v>
      </c>
      <c r="AQ754">
        <f>VLOOKUP(N754,'Helpful Tables'!A:C,3,FALSE)</f>
        <v>-122.69670000000001</v>
      </c>
      <c r="AR754">
        <f>COUNTIF(P$2:$P$938,P754)</f>
        <v>9</v>
      </c>
      <c r="AS754" cm="1">
        <f t="array" ref="AS754">_xlfn.IFS(E754&lt;6,((E754/D754)*60)*0.5,AND(E754&gt;=6,E754&lt;9),((E754/D754)*60)*0.75,AND(E754&gt;=9,E754&lt;=11),((E754/D754)*60)*0.9,AND(E754=12),((E754/D754)*60)*1,AND(E754&gt;=13,E754&lt;=15),((E754/D754)*60)*1.2,AND(E754&gt;=16,E754&lt;=19),((E754/D754)*60)*1.5,E754&gt;=20,((E754/D754)*60)*1.8)</f>
        <v>4.7368421052631575</v>
      </c>
      <c r="AT754" cm="1">
        <f t="array" ref="AT754">_xlfn.IFS(F754&lt;550,((F754/D754)*60)*0.5,AND(F754&gt;=550,F754&lt;575),((F754/D754)*60)*0.75,AND(F754&gt;=575,F754&lt;600),((F754/D754)*60)*0.9,AND(F754=600),((F754/D754)*60)*1,AND(F754&gt;=601,F754&lt;=625),((F754/D754)*60)*1.2,AND(F754&gt;=626,F754&lt;=650),((F754/D754)*60)*1.5,F754&gt;=651,((F754/D754)*60)*1.8)</f>
        <v>549.47368421052624</v>
      </c>
      <c r="AU754">
        <f t="shared" si="210"/>
        <v>-4.3000000000000007</v>
      </c>
      <c r="AV754">
        <f t="shared" si="208"/>
        <v>220.82421052631577</v>
      </c>
      <c r="AW754">
        <f t="shared" si="211"/>
        <v>17</v>
      </c>
      <c r="AX754" t="str">
        <f t="shared" si="206"/>
        <v>Feb-2025</v>
      </c>
      <c r="AY754">
        <f>ROUNDUP(Table2[[#This Row],[Month]]/3,0)</f>
        <v>1</v>
      </c>
    </row>
    <row r="755" spans="1:51" x14ac:dyDescent="0.2">
      <c r="A755">
        <v>754</v>
      </c>
      <c r="B755">
        <f t="shared" si="195"/>
        <v>12</v>
      </c>
      <c r="C755" s="22">
        <v>45699</v>
      </c>
      <c r="D755">
        <f>SUM(Table2[[#This Row],[Gray Min]:[Red Min]])</f>
        <v>60</v>
      </c>
      <c r="E755">
        <v>16</v>
      </c>
      <c r="F755">
        <v>559</v>
      </c>
      <c r="G755">
        <v>114</v>
      </c>
      <c r="H755">
        <v>174</v>
      </c>
      <c r="I755">
        <v>25</v>
      </c>
      <c r="J755">
        <v>11</v>
      </c>
      <c r="K755">
        <v>8</v>
      </c>
      <c r="L755">
        <v>11</v>
      </c>
      <c r="M755">
        <v>5</v>
      </c>
      <c r="N755" t="s">
        <v>125</v>
      </c>
      <c r="O755" t="s">
        <v>127</v>
      </c>
      <c r="P755" t="s">
        <v>216</v>
      </c>
      <c r="Q755">
        <f t="shared" si="207"/>
        <v>3</v>
      </c>
      <c r="R755" t="str">
        <f t="shared" si="196"/>
        <v>2-2025</v>
      </c>
      <c r="S755" t="s">
        <v>104</v>
      </c>
      <c r="T755" t="str">
        <f t="shared" si="197"/>
        <v>Tuesday</v>
      </c>
      <c r="U755">
        <f t="shared" si="198"/>
        <v>1</v>
      </c>
      <c r="V755" s="24">
        <f>IFERROR(Table2[[#This Row],[Gray Min]]/Table2[[#This Row],[ClassLength]],"")</f>
        <v>0.41666666666666669</v>
      </c>
      <c r="W755" s="24">
        <f>IFERROR(Table2[[#This Row],[Blue Min]]/Table2[[#This Row],[ClassLength]],"")</f>
        <v>0.18333333333333332</v>
      </c>
      <c r="X755" s="24">
        <f>IFERROR(Table2[[#This Row],[Green Min]]/Table2[[#This Row],[ClassLength]],"")</f>
        <v>0.13333333333333333</v>
      </c>
      <c r="Y755" s="24">
        <f>IFERROR(Table2[[#This Row],[Orange Min]]/Table2[[#This Row],[ClassLength]],"")</f>
        <v>0.18333333333333332</v>
      </c>
      <c r="Z755" s="24">
        <f>IFERROR(Table2[[#This Row],[Red Min]]/Table2[[#This Row],[ClassLength]],"")</f>
        <v>8.3333333333333329E-2</v>
      </c>
      <c r="AA755" s="25">
        <v>169</v>
      </c>
      <c r="AB755" s="25">
        <f t="shared" si="209"/>
        <v>14.083333333333334</v>
      </c>
      <c r="AC755" s="26">
        <f t="shared" si="199"/>
        <v>628.33333333333337</v>
      </c>
      <c r="AD755" s="26">
        <f t="shared" si="200"/>
        <v>14.416666666666666</v>
      </c>
      <c r="AE755">
        <f t="shared" si="201"/>
        <v>2025</v>
      </c>
      <c r="AG755">
        <v>12</v>
      </c>
      <c r="AH755" s="26">
        <f t="shared" si="202"/>
        <v>9.3166666666666664</v>
      </c>
      <c r="AI755" t="str">
        <f t="shared" si="203"/>
        <v>PM</v>
      </c>
      <c r="AJ755" t="str">
        <f t="shared" si="204"/>
        <v>2-2025-3</v>
      </c>
      <c r="AK755">
        <f t="shared" si="205"/>
        <v>2</v>
      </c>
      <c r="AL755" s="26">
        <f>IFERROR(Table2[[#This Row],[Calories]]/Table2[[#This Row],[Splat]],"")</f>
        <v>34.9375</v>
      </c>
      <c r="AM755">
        <f>COUNTIF(N$2:$N$938,N755)</f>
        <v>258</v>
      </c>
      <c r="AN755" t="str">
        <f>VLOOKUP(N755,'Helpful Tables'!A:D,4,FALSE)</f>
        <v>Oregon</v>
      </c>
      <c r="AO755" s="24">
        <f>COUNTIF(AN:AN,Table2[[#This Row],[State]])/COUNTA(AN:AN)</f>
        <v>0.36140724946695096</v>
      </c>
      <c r="AP755">
        <f>VLOOKUP(N755,'Helpful Tables'!A:B,2,FALSE)</f>
        <v>45.534162000000002</v>
      </c>
      <c r="AQ755">
        <f>VLOOKUP(N755,'Helpful Tables'!A:C,3,FALSE)</f>
        <v>-122.69670000000001</v>
      </c>
      <c r="AR755">
        <f>COUNTIF(P$2:$P$938,P755)</f>
        <v>25</v>
      </c>
      <c r="AS755" cm="1">
        <f t="array" ref="AS755">_xlfn.IFS(E755&lt;6,((E755/D755)*60)*0.5,AND(E755&gt;=6,E755&lt;9),((E755/D755)*60)*0.75,AND(E755&gt;=9,E755&lt;=11),((E755/D755)*60)*0.9,AND(E755=12),((E755/D755)*60)*1,AND(E755&gt;=13,E755&lt;=15),((E755/D755)*60)*1.2,AND(E755&gt;=16,E755&lt;=19),((E755/D755)*60)*1.5,E755&gt;=20,((E755/D755)*60)*1.8)</f>
        <v>24</v>
      </c>
      <c r="AT755" cm="1">
        <f t="array" ref="AT755">_xlfn.IFS(F755&lt;550,((F755/D755)*60)*0.5,AND(F755&gt;=550,F755&lt;575),((F755/D755)*60)*0.75,AND(F755&gt;=575,F755&lt;600),((F755/D755)*60)*0.9,AND(F755=600),((F755/D755)*60)*1,AND(F755&gt;=601,F755&lt;=625),((F755/D755)*60)*1.2,AND(F755&gt;=626,F755&lt;=650),((F755/D755)*60)*1.5,F755&gt;=651,((F755/D755)*60)*1.8)</f>
        <v>419.25</v>
      </c>
      <c r="AU755">
        <f t="shared" si="210"/>
        <v>-10.7</v>
      </c>
      <c r="AV755">
        <f t="shared" si="208"/>
        <v>175.16000000000003</v>
      </c>
      <c r="AW755">
        <f t="shared" si="211"/>
        <v>9.1999999999999993</v>
      </c>
      <c r="AX755" t="str">
        <f t="shared" si="206"/>
        <v>Feb-2025</v>
      </c>
      <c r="AY755">
        <f>ROUNDUP(Table2[[#This Row],[Month]]/3,0)</f>
        <v>1</v>
      </c>
    </row>
    <row r="756" spans="1:51" x14ac:dyDescent="0.2">
      <c r="A756">
        <v>755</v>
      </c>
      <c r="B756">
        <f t="shared" si="195"/>
        <v>12</v>
      </c>
      <c r="C756" s="22">
        <v>45700</v>
      </c>
      <c r="D756">
        <f>SUM(Table2[[#This Row],[Gray Min]:[Red Min]])</f>
        <v>60</v>
      </c>
      <c r="E756">
        <v>14</v>
      </c>
      <c r="F756">
        <v>638</v>
      </c>
      <c r="G756">
        <v>124</v>
      </c>
      <c r="H756">
        <v>165</v>
      </c>
      <c r="I756">
        <v>18</v>
      </c>
      <c r="J756">
        <v>11</v>
      </c>
      <c r="K756">
        <v>17</v>
      </c>
      <c r="L756">
        <v>12</v>
      </c>
      <c r="M756">
        <v>2</v>
      </c>
      <c r="N756" t="s">
        <v>125</v>
      </c>
      <c r="O756" t="s">
        <v>127</v>
      </c>
      <c r="P756" t="s">
        <v>216</v>
      </c>
      <c r="Q756">
        <f t="shared" si="207"/>
        <v>1</v>
      </c>
      <c r="R756" t="str">
        <f t="shared" si="196"/>
        <v>2-2025</v>
      </c>
      <c r="S756" t="s">
        <v>104</v>
      </c>
      <c r="T756" t="str">
        <f t="shared" si="197"/>
        <v>Wednesday</v>
      </c>
      <c r="U756">
        <f t="shared" si="198"/>
        <v>1</v>
      </c>
      <c r="V756" s="24">
        <f>IFERROR(Table2[[#This Row],[Gray Min]]/Table2[[#This Row],[ClassLength]],"")</f>
        <v>0.3</v>
      </c>
      <c r="W756" s="24">
        <f>IFERROR(Table2[[#This Row],[Blue Min]]/Table2[[#This Row],[ClassLength]],"")</f>
        <v>0.18333333333333332</v>
      </c>
      <c r="X756" s="24">
        <f>IFERROR(Table2[[#This Row],[Green Min]]/Table2[[#This Row],[ClassLength]],"")</f>
        <v>0.28333333333333333</v>
      </c>
      <c r="Y756" s="24">
        <f>IFERROR(Table2[[#This Row],[Orange Min]]/Table2[[#This Row],[ClassLength]],"")</f>
        <v>0.2</v>
      </c>
      <c r="Z756" s="24">
        <f>IFERROR(Table2[[#This Row],[Red Min]]/Table2[[#This Row],[ClassLength]],"")</f>
        <v>3.3333333333333333E-2</v>
      </c>
      <c r="AA756" s="25">
        <v>169</v>
      </c>
      <c r="AB756" s="25">
        <f t="shared" si="209"/>
        <v>14.083333333333334</v>
      </c>
      <c r="AC756" s="26">
        <f t="shared" si="199"/>
        <v>628.33333333333337</v>
      </c>
      <c r="AD756" s="26">
        <f t="shared" si="200"/>
        <v>14.416666666666666</v>
      </c>
      <c r="AE756">
        <f t="shared" si="201"/>
        <v>2025</v>
      </c>
      <c r="AG756">
        <v>12</v>
      </c>
      <c r="AH756" s="26">
        <f t="shared" si="202"/>
        <v>10.633333333333333</v>
      </c>
      <c r="AI756" t="str">
        <f t="shared" si="203"/>
        <v>PM</v>
      </c>
      <c r="AJ756" t="str">
        <f t="shared" si="204"/>
        <v>2-2025-3</v>
      </c>
      <c r="AK756">
        <f t="shared" si="205"/>
        <v>2</v>
      </c>
      <c r="AL756" s="26">
        <f>IFERROR(Table2[[#This Row],[Calories]]/Table2[[#This Row],[Splat]],"")</f>
        <v>45.571428571428569</v>
      </c>
      <c r="AM756">
        <f>COUNTIF(N$2:$N$938,N756)</f>
        <v>258</v>
      </c>
      <c r="AN756" t="str">
        <f>VLOOKUP(N756,'Helpful Tables'!A:D,4,FALSE)</f>
        <v>Oregon</v>
      </c>
      <c r="AO756" s="24">
        <f>COUNTIF(AN:AN,Table2[[#This Row],[State]])/COUNTA(AN:AN)</f>
        <v>0.36140724946695096</v>
      </c>
      <c r="AP756">
        <f>VLOOKUP(N756,'Helpful Tables'!A:B,2,FALSE)</f>
        <v>45.534162000000002</v>
      </c>
      <c r="AQ756">
        <f>VLOOKUP(N756,'Helpful Tables'!A:C,3,FALSE)</f>
        <v>-122.69670000000001</v>
      </c>
      <c r="AR756">
        <f>COUNTIF(P$2:$P$938,P756)</f>
        <v>25</v>
      </c>
      <c r="AS756" cm="1">
        <f t="array" ref="AS756">_xlfn.IFS(E756&lt;6,((E756/D756)*60)*0.5,AND(E756&gt;=6,E756&lt;9),((E756/D756)*60)*0.75,AND(E756&gt;=9,E756&lt;=11),((E756/D756)*60)*0.9,AND(E756=12),((E756/D756)*60)*1,AND(E756&gt;=13,E756&lt;=15),((E756/D756)*60)*1.2,AND(E756&gt;=16,E756&lt;=19),((E756/D756)*60)*1.5,E756&gt;=20,((E756/D756)*60)*1.8)</f>
        <v>16.8</v>
      </c>
      <c r="AT756" cm="1">
        <f t="array" ref="AT756">_xlfn.IFS(F756&lt;550,((F756/D756)*60)*0.5,AND(F756&gt;=550,F756&lt;575),((F756/D756)*60)*0.75,AND(F756&gt;=575,F756&lt;600),((F756/D756)*60)*0.9,AND(F756=600),((F756/D756)*60)*1,AND(F756&gt;=601,F756&lt;=625),((F756/D756)*60)*1.2,AND(F756&gt;=626,F756&lt;=650),((F756/D756)*60)*1.5,F756&gt;=651,((F756/D756)*60)*1.8)</f>
        <v>957</v>
      </c>
      <c r="AU756">
        <f t="shared" si="210"/>
        <v>5.2999999999999972</v>
      </c>
      <c r="AV756">
        <f t="shared" si="208"/>
        <v>390.58000000000004</v>
      </c>
      <c r="AW756">
        <f t="shared" si="211"/>
        <v>48.6</v>
      </c>
      <c r="AX756" t="str">
        <f t="shared" si="206"/>
        <v>Feb-2025</v>
      </c>
      <c r="AY756">
        <f>ROUNDUP(Table2[[#This Row],[Month]]/3,0)</f>
        <v>1</v>
      </c>
    </row>
    <row r="757" spans="1:51" x14ac:dyDescent="0.2">
      <c r="A757">
        <v>756</v>
      </c>
      <c r="B757">
        <f t="shared" si="195"/>
        <v>12</v>
      </c>
      <c r="C757" s="22">
        <v>45702</v>
      </c>
      <c r="D757">
        <f>SUM(Table2[[#This Row],[Gray Min]:[Red Min]])</f>
        <v>59</v>
      </c>
      <c r="E757">
        <v>19</v>
      </c>
      <c r="F757">
        <v>669</v>
      </c>
      <c r="G757">
        <v>128</v>
      </c>
      <c r="H757">
        <v>169</v>
      </c>
      <c r="I757">
        <v>15</v>
      </c>
      <c r="J757">
        <v>13</v>
      </c>
      <c r="K757">
        <v>12</v>
      </c>
      <c r="L757">
        <v>14</v>
      </c>
      <c r="M757">
        <v>5</v>
      </c>
      <c r="N757" t="s">
        <v>125</v>
      </c>
      <c r="O757" t="s">
        <v>127</v>
      </c>
      <c r="P757" t="s">
        <v>210</v>
      </c>
      <c r="Q757">
        <f t="shared" si="207"/>
        <v>2</v>
      </c>
      <c r="R757" t="str">
        <f t="shared" si="196"/>
        <v>2-2025</v>
      </c>
      <c r="S757" t="s">
        <v>104</v>
      </c>
      <c r="T757" t="str">
        <f t="shared" si="197"/>
        <v>Friday</v>
      </c>
      <c r="U757">
        <f t="shared" si="198"/>
        <v>1</v>
      </c>
      <c r="V757" s="24">
        <f>IFERROR(Table2[[#This Row],[Gray Min]]/Table2[[#This Row],[ClassLength]],"")</f>
        <v>0.25423728813559321</v>
      </c>
      <c r="W757" s="24">
        <f>IFERROR(Table2[[#This Row],[Blue Min]]/Table2[[#This Row],[ClassLength]],"")</f>
        <v>0.22033898305084745</v>
      </c>
      <c r="X757" s="24">
        <f>IFERROR(Table2[[#This Row],[Green Min]]/Table2[[#This Row],[ClassLength]],"")</f>
        <v>0.20338983050847459</v>
      </c>
      <c r="Y757" s="24">
        <f>IFERROR(Table2[[#This Row],[Orange Min]]/Table2[[#This Row],[ClassLength]],"")</f>
        <v>0.23728813559322035</v>
      </c>
      <c r="Z757" s="24">
        <f>IFERROR(Table2[[#This Row],[Red Min]]/Table2[[#This Row],[ClassLength]],"")</f>
        <v>8.4745762711864403E-2</v>
      </c>
      <c r="AA757" s="25">
        <v>169</v>
      </c>
      <c r="AB757" s="25">
        <f t="shared" si="209"/>
        <v>14.083333333333334</v>
      </c>
      <c r="AC757" s="26">
        <f t="shared" si="199"/>
        <v>628.33333333333337</v>
      </c>
      <c r="AD757" s="26">
        <f t="shared" si="200"/>
        <v>14.416666666666666</v>
      </c>
      <c r="AE757">
        <f t="shared" si="201"/>
        <v>2025</v>
      </c>
      <c r="AG757">
        <v>12</v>
      </c>
      <c r="AH757" s="26">
        <f t="shared" si="202"/>
        <v>11.338983050847459</v>
      </c>
      <c r="AI757" t="str">
        <f t="shared" si="203"/>
        <v>PM</v>
      </c>
      <c r="AJ757" t="str">
        <f t="shared" si="204"/>
        <v>2-2025-3</v>
      </c>
      <c r="AK757">
        <f t="shared" si="205"/>
        <v>2</v>
      </c>
      <c r="AL757" s="26">
        <f>IFERROR(Table2[[#This Row],[Calories]]/Table2[[#This Row],[Splat]],"")</f>
        <v>35.210526315789473</v>
      </c>
      <c r="AM757">
        <f>COUNTIF(N$2:$N$938,N757)</f>
        <v>258</v>
      </c>
      <c r="AN757" t="str">
        <f>VLOOKUP(N757,'Helpful Tables'!A:D,4,FALSE)</f>
        <v>Oregon</v>
      </c>
      <c r="AO757" s="24">
        <f>COUNTIF(AN:AN,Table2[[#This Row],[State]])/COUNTA(AN:AN)</f>
        <v>0.36140724946695096</v>
      </c>
      <c r="AP757">
        <f>VLOOKUP(N757,'Helpful Tables'!A:B,2,FALSE)</f>
        <v>45.534162000000002</v>
      </c>
      <c r="AQ757">
        <f>VLOOKUP(N757,'Helpful Tables'!A:C,3,FALSE)</f>
        <v>-122.69670000000001</v>
      </c>
      <c r="AR757">
        <f>COUNTIF(P$2:$P$938,P757)</f>
        <v>16</v>
      </c>
      <c r="AS757" cm="1">
        <f t="array" ref="AS757">_xlfn.IFS(E757&lt;6,((E757/D757)*60)*0.5,AND(E757&gt;=6,E757&lt;9),((E757/D757)*60)*0.75,AND(E757&gt;=9,E757&lt;=11),((E757/D757)*60)*0.9,AND(E757=12),((E757/D757)*60)*1,AND(E757&gt;=13,E757&lt;=15),((E757/D757)*60)*1.2,AND(E757&gt;=16,E757&lt;=19),((E757/D757)*60)*1.5,E757&gt;=20,((E757/D757)*60)*1.8)</f>
        <v>28.983050847457626</v>
      </c>
      <c r="AT757" cm="1">
        <f t="array" ref="AT757">_xlfn.IFS(F757&lt;550,((F757/D757)*60)*0.5,AND(F757&gt;=550,F757&lt;575),((F757/D757)*60)*0.75,AND(F757&gt;=575,F757&lt;600),((F757/D757)*60)*0.9,AND(F757=600),((F757/D757)*60)*1,AND(F757&gt;=601,F757&lt;=625),((F757/D757)*60)*1.2,AND(F757&gt;=626,F757&lt;=650),((F757/D757)*60)*1.5,F757&gt;=651,((F757/D757)*60)*1.8)</f>
        <v>1224.6101694915255</v>
      </c>
      <c r="AU757">
        <f t="shared" si="210"/>
        <v>7.8000000000000007</v>
      </c>
      <c r="AV757">
        <f t="shared" si="208"/>
        <v>502.99728813559329</v>
      </c>
      <c r="AW757">
        <f t="shared" si="211"/>
        <v>80.900000000000006</v>
      </c>
      <c r="AX757" t="str">
        <f t="shared" si="206"/>
        <v>Feb-2025</v>
      </c>
      <c r="AY757">
        <f>ROUNDUP(Table2[[#This Row],[Month]]/3,0)</f>
        <v>1</v>
      </c>
    </row>
    <row r="758" spans="1:51" x14ac:dyDescent="0.2">
      <c r="A758">
        <v>757</v>
      </c>
      <c r="B758">
        <f t="shared" si="195"/>
        <v>12</v>
      </c>
      <c r="C758" s="22">
        <v>45703</v>
      </c>
      <c r="D758">
        <f>SUM(Table2[[#This Row],[Gray Min]:[Red Min]])</f>
        <v>56</v>
      </c>
      <c r="E758">
        <v>11</v>
      </c>
      <c r="F758">
        <v>555</v>
      </c>
      <c r="G758">
        <v>119</v>
      </c>
      <c r="H758">
        <v>167</v>
      </c>
      <c r="I758">
        <v>20</v>
      </c>
      <c r="J758">
        <v>16</v>
      </c>
      <c r="K758">
        <v>9</v>
      </c>
      <c r="L758">
        <v>9</v>
      </c>
      <c r="M758">
        <v>2</v>
      </c>
      <c r="N758" t="s">
        <v>208</v>
      </c>
      <c r="O758" t="s">
        <v>76</v>
      </c>
      <c r="P758" t="s">
        <v>227</v>
      </c>
      <c r="Q758">
        <f t="shared" si="207"/>
        <v>1</v>
      </c>
      <c r="R758" t="str">
        <f t="shared" si="196"/>
        <v>2-2025</v>
      </c>
      <c r="S758" t="s">
        <v>117</v>
      </c>
      <c r="T758" t="str">
        <f t="shared" si="197"/>
        <v>Saturday</v>
      </c>
      <c r="U758">
        <f t="shared" si="198"/>
        <v>0</v>
      </c>
      <c r="V758" s="24">
        <f>IFERROR(Table2[[#This Row],[Gray Min]]/Table2[[#This Row],[ClassLength]],"")</f>
        <v>0.35714285714285715</v>
      </c>
      <c r="W758" s="24">
        <f>IFERROR(Table2[[#This Row],[Blue Min]]/Table2[[#This Row],[ClassLength]],"")</f>
        <v>0.2857142857142857</v>
      </c>
      <c r="X758" s="24">
        <f>IFERROR(Table2[[#This Row],[Green Min]]/Table2[[#This Row],[ClassLength]],"")</f>
        <v>0.16071428571428573</v>
      </c>
      <c r="Y758" s="24">
        <f>IFERROR(Table2[[#This Row],[Orange Min]]/Table2[[#This Row],[ClassLength]],"")</f>
        <v>0.16071428571428573</v>
      </c>
      <c r="Z758" s="24">
        <f>IFERROR(Table2[[#This Row],[Red Min]]/Table2[[#This Row],[ClassLength]],"")</f>
        <v>3.5714285714285712E-2</v>
      </c>
      <c r="AA758" s="25">
        <v>169</v>
      </c>
      <c r="AB758" s="25">
        <f t="shared" si="209"/>
        <v>14.083333333333334</v>
      </c>
      <c r="AC758" s="26">
        <f t="shared" si="199"/>
        <v>628.33333333333337</v>
      </c>
      <c r="AD758" s="26">
        <f t="shared" si="200"/>
        <v>14.416666666666666</v>
      </c>
      <c r="AE758">
        <f t="shared" si="201"/>
        <v>2025</v>
      </c>
      <c r="AG758">
        <v>12</v>
      </c>
      <c r="AH758" s="26">
        <f t="shared" si="202"/>
        <v>9.9107142857142865</v>
      </c>
      <c r="AI758" t="str">
        <f t="shared" si="203"/>
        <v>AM</v>
      </c>
      <c r="AJ758" t="str">
        <f t="shared" si="204"/>
        <v>2-2025-3</v>
      </c>
      <c r="AK758">
        <f t="shared" si="205"/>
        <v>2</v>
      </c>
      <c r="AL758" s="26">
        <f>IFERROR(Table2[[#This Row],[Calories]]/Table2[[#This Row],[Splat]],"")</f>
        <v>50.454545454545453</v>
      </c>
      <c r="AM758">
        <f>COUNTIF(N$2:$N$938,N758)</f>
        <v>78</v>
      </c>
      <c r="AN758" t="str">
        <f>VLOOKUP(N758,'Helpful Tables'!A:D,4,FALSE)</f>
        <v>Oregon</v>
      </c>
      <c r="AO758" s="24">
        <f>COUNTIF(AN:AN,Table2[[#This Row],[State]])/COUNTA(AN:AN)</f>
        <v>0.36140724946695096</v>
      </c>
      <c r="AP758">
        <f>VLOOKUP(N758,'Helpful Tables'!A:B,2,FALSE)</f>
        <v>45.525092999999998</v>
      </c>
      <c r="AQ758">
        <f>VLOOKUP(N758,'Helpful Tables'!A:C,3,FALSE)</f>
        <v>-122.681383</v>
      </c>
      <c r="AR758">
        <f>COUNTIF(P$2:$P$938,P758)</f>
        <v>2</v>
      </c>
      <c r="AS758" cm="1">
        <f t="array" ref="AS758">_xlfn.IFS(E758&lt;6,((E758/D758)*60)*0.5,AND(E758&gt;=6,E758&lt;9),((E758/D758)*60)*0.75,AND(E758&gt;=9,E758&lt;=11),((E758/D758)*60)*0.9,AND(E758=12),((E758/D758)*60)*1,AND(E758&gt;=13,E758&lt;=15),((E758/D758)*60)*1.2,AND(E758&gt;=16,E758&lt;=19),((E758/D758)*60)*1.5,E758&gt;=20,((E758/D758)*60)*1.8)</f>
        <v>10.607142857142856</v>
      </c>
      <c r="AT758" cm="1">
        <f t="array" ref="AT758">_xlfn.IFS(F758&lt;550,((F758/D758)*60)*0.5,AND(F758&gt;=550,F758&lt;575),((F758/D758)*60)*0.75,AND(F758&gt;=575,F758&lt;600),((F758/D758)*60)*0.9,AND(F758=600),((F758/D758)*60)*1,AND(F758&gt;=601,F758&lt;=625),((F758/D758)*60)*1.2,AND(F758&gt;=626,F758&lt;=650),((F758/D758)*60)*1.5,F758&gt;=651,((F758/D758)*60)*1.8)</f>
        <v>445.98214285714289</v>
      </c>
      <c r="AU758">
        <f t="shared" si="210"/>
        <v>-16.100000000000001</v>
      </c>
      <c r="AV758">
        <f t="shared" si="208"/>
        <v>179.4157142857143</v>
      </c>
      <c r="AW758">
        <f t="shared" si="211"/>
        <v>10.6</v>
      </c>
      <c r="AX758" t="str">
        <f t="shared" si="206"/>
        <v>Feb-2025</v>
      </c>
      <c r="AY758">
        <f>ROUNDUP(Table2[[#This Row],[Month]]/3,0)</f>
        <v>1</v>
      </c>
    </row>
    <row r="759" spans="1:51" x14ac:dyDescent="0.2">
      <c r="A759">
        <v>758</v>
      </c>
      <c r="B759">
        <f t="shared" si="195"/>
        <v>12</v>
      </c>
      <c r="C759" s="22">
        <v>45705</v>
      </c>
      <c r="D759">
        <f>SUM(Table2[[#This Row],[Gray Min]:[Red Min]])</f>
        <v>57</v>
      </c>
      <c r="E759">
        <v>15</v>
      </c>
      <c r="F759">
        <v>632</v>
      </c>
      <c r="G759">
        <v>126</v>
      </c>
      <c r="H759">
        <v>160</v>
      </c>
      <c r="I759">
        <v>12</v>
      </c>
      <c r="J759">
        <v>18</v>
      </c>
      <c r="K759">
        <v>12</v>
      </c>
      <c r="L759">
        <v>15</v>
      </c>
      <c r="M759">
        <v>0</v>
      </c>
      <c r="N759" t="s">
        <v>125</v>
      </c>
      <c r="O759" t="s">
        <v>76</v>
      </c>
      <c r="P759" t="s">
        <v>223</v>
      </c>
      <c r="Q759">
        <f t="shared" si="207"/>
        <v>2</v>
      </c>
      <c r="R759" t="str">
        <f t="shared" si="196"/>
        <v>2-2025</v>
      </c>
      <c r="S759" t="s">
        <v>104</v>
      </c>
      <c r="T759" t="str">
        <f t="shared" si="197"/>
        <v>Monday</v>
      </c>
      <c r="U759">
        <f t="shared" si="198"/>
        <v>1</v>
      </c>
      <c r="V759" s="24">
        <f>IFERROR(Table2[[#This Row],[Gray Min]]/Table2[[#This Row],[ClassLength]],"")</f>
        <v>0.21052631578947367</v>
      </c>
      <c r="W759" s="24">
        <f>IFERROR(Table2[[#This Row],[Blue Min]]/Table2[[#This Row],[ClassLength]],"")</f>
        <v>0.31578947368421051</v>
      </c>
      <c r="X759" s="24">
        <f>IFERROR(Table2[[#This Row],[Green Min]]/Table2[[#This Row],[ClassLength]],"")</f>
        <v>0.21052631578947367</v>
      </c>
      <c r="Y759" s="24">
        <f>IFERROR(Table2[[#This Row],[Orange Min]]/Table2[[#This Row],[ClassLength]],"")</f>
        <v>0.26315789473684209</v>
      </c>
      <c r="Z759" s="24">
        <f>IFERROR(Table2[[#This Row],[Red Min]]/Table2[[#This Row],[ClassLength]],"")</f>
        <v>0</v>
      </c>
      <c r="AA759" s="25">
        <v>169</v>
      </c>
      <c r="AB759" s="25">
        <f t="shared" si="209"/>
        <v>14.083333333333334</v>
      </c>
      <c r="AC759" s="26">
        <f t="shared" si="199"/>
        <v>628.33333333333337</v>
      </c>
      <c r="AD759" s="26">
        <f t="shared" si="200"/>
        <v>14.416666666666666</v>
      </c>
      <c r="AE759">
        <f t="shared" si="201"/>
        <v>2025</v>
      </c>
      <c r="AG759">
        <v>12</v>
      </c>
      <c r="AH759" s="26">
        <f t="shared" si="202"/>
        <v>11.087719298245615</v>
      </c>
      <c r="AI759" t="str">
        <f t="shared" si="203"/>
        <v>AM</v>
      </c>
      <c r="AJ759" t="str">
        <f t="shared" si="204"/>
        <v>2-2025-4</v>
      </c>
      <c r="AK759">
        <f t="shared" si="205"/>
        <v>2</v>
      </c>
      <c r="AL759" s="26">
        <f>IFERROR(Table2[[#This Row],[Calories]]/Table2[[#This Row],[Splat]],"")</f>
        <v>42.133333333333333</v>
      </c>
      <c r="AM759">
        <f>COUNTIF(N$2:$N$938,N759)</f>
        <v>258</v>
      </c>
      <c r="AN759" t="str">
        <f>VLOOKUP(N759,'Helpful Tables'!A:D,4,FALSE)</f>
        <v>Oregon</v>
      </c>
      <c r="AO759" s="24">
        <f>COUNTIF(AN:AN,Table2[[#This Row],[State]])/COUNTA(AN:AN)</f>
        <v>0.36140724946695096</v>
      </c>
      <c r="AP759">
        <f>VLOOKUP(N759,'Helpful Tables'!A:B,2,FALSE)</f>
        <v>45.534162000000002</v>
      </c>
      <c r="AQ759">
        <f>VLOOKUP(N759,'Helpful Tables'!A:C,3,FALSE)</f>
        <v>-122.69670000000001</v>
      </c>
      <c r="AR759">
        <f>COUNTIF(P$2:$P$938,P759)</f>
        <v>3</v>
      </c>
      <c r="AS759" cm="1">
        <f t="array" ref="AS759">_xlfn.IFS(E759&lt;6,((E759/D759)*60)*0.5,AND(E759&gt;=6,E759&lt;9),((E759/D759)*60)*0.75,AND(E759&gt;=9,E759&lt;=11),((E759/D759)*60)*0.9,AND(E759=12),((E759/D759)*60)*1,AND(E759&gt;=13,E759&lt;=15),((E759/D759)*60)*1.2,AND(E759&gt;=16,E759&lt;=19),((E759/D759)*60)*1.5,E759&gt;=20,((E759/D759)*60)*1.8)</f>
        <v>18.94736842105263</v>
      </c>
      <c r="AT759" cm="1">
        <f t="array" ref="AT759">_xlfn.IFS(F759&lt;550,((F759/D759)*60)*0.5,AND(F759&gt;=550,F759&lt;575),((F759/D759)*60)*0.75,AND(F759&gt;=575,F759&lt;600),((F759/D759)*60)*0.9,AND(F759=600),((F759/D759)*60)*1,AND(F759&gt;=601,F759&lt;=625),((F759/D759)*60)*1.2,AND(F759&gt;=626,F759&lt;=650),((F759/D759)*60)*1.5,F759&gt;=651,((F759/D759)*60)*1.8)</f>
        <v>997.89473684210532</v>
      </c>
      <c r="AU759">
        <f t="shared" si="210"/>
        <v>-0.30000000000000426</v>
      </c>
      <c r="AV759">
        <f t="shared" si="208"/>
        <v>406.67684210526318</v>
      </c>
      <c r="AW759">
        <f t="shared" si="211"/>
        <v>56.699999999999996</v>
      </c>
      <c r="AX759" t="str">
        <f t="shared" si="206"/>
        <v>Feb-2025</v>
      </c>
      <c r="AY759">
        <f>ROUNDUP(Table2[[#This Row],[Month]]/3,0)</f>
        <v>1</v>
      </c>
    </row>
    <row r="760" spans="1:51" x14ac:dyDescent="0.2">
      <c r="A760">
        <v>759</v>
      </c>
      <c r="B760">
        <f t="shared" si="195"/>
        <v>12</v>
      </c>
      <c r="C760" s="22">
        <v>45706</v>
      </c>
      <c r="D760">
        <f>SUM(Table2[[#This Row],[Gray Min]:[Red Min]])</f>
        <v>59</v>
      </c>
      <c r="E760">
        <v>14</v>
      </c>
      <c r="F760">
        <v>621</v>
      </c>
      <c r="G760">
        <v>122</v>
      </c>
      <c r="H760">
        <v>168</v>
      </c>
      <c r="I760">
        <v>19</v>
      </c>
      <c r="J760">
        <v>15</v>
      </c>
      <c r="K760">
        <v>11</v>
      </c>
      <c r="L760">
        <v>13</v>
      </c>
      <c r="M760">
        <v>1</v>
      </c>
      <c r="N760" t="s">
        <v>125</v>
      </c>
      <c r="O760" t="s">
        <v>127</v>
      </c>
      <c r="P760" t="s">
        <v>220</v>
      </c>
      <c r="Q760">
        <f t="shared" si="207"/>
        <v>1</v>
      </c>
      <c r="R760" t="str">
        <f t="shared" si="196"/>
        <v>2-2025</v>
      </c>
      <c r="S760" t="s">
        <v>104</v>
      </c>
      <c r="T760" t="str">
        <f t="shared" si="197"/>
        <v>Tuesday</v>
      </c>
      <c r="U760">
        <f t="shared" si="198"/>
        <v>1</v>
      </c>
      <c r="V760" s="24">
        <f>IFERROR(Table2[[#This Row],[Gray Min]]/Table2[[#This Row],[ClassLength]],"")</f>
        <v>0.32203389830508472</v>
      </c>
      <c r="W760" s="24">
        <f>IFERROR(Table2[[#This Row],[Blue Min]]/Table2[[#This Row],[ClassLength]],"")</f>
        <v>0.25423728813559321</v>
      </c>
      <c r="X760" s="24">
        <f>IFERROR(Table2[[#This Row],[Green Min]]/Table2[[#This Row],[ClassLength]],"")</f>
        <v>0.1864406779661017</v>
      </c>
      <c r="Y760" s="24">
        <f>IFERROR(Table2[[#This Row],[Orange Min]]/Table2[[#This Row],[ClassLength]],"")</f>
        <v>0.22033898305084745</v>
      </c>
      <c r="Z760" s="24">
        <f>IFERROR(Table2[[#This Row],[Red Min]]/Table2[[#This Row],[ClassLength]],"")</f>
        <v>1.6949152542372881E-2</v>
      </c>
      <c r="AA760" s="25">
        <v>169</v>
      </c>
      <c r="AB760" s="25">
        <f t="shared" si="209"/>
        <v>14.083333333333334</v>
      </c>
      <c r="AC760" s="26">
        <f t="shared" si="199"/>
        <v>628.33333333333337</v>
      </c>
      <c r="AD760" s="26">
        <f t="shared" si="200"/>
        <v>14.416666666666666</v>
      </c>
      <c r="AE760">
        <f t="shared" si="201"/>
        <v>2025</v>
      </c>
      <c r="AG760">
        <v>12</v>
      </c>
      <c r="AH760" s="26">
        <f t="shared" si="202"/>
        <v>10.525423728813559</v>
      </c>
      <c r="AI760" t="str">
        <f t="shared" si="203"/>
        <v>PM</v>
      </c>
      <c r="AJ760" t="str">
        <f t="shared" si="204"/>
        <v>2-2025-4</v>
      </c>
      <c r="AK760">
        <f t="shared" si="205"/>
        <v>2</v>
      </c>
      <c r="AL760" s="26">
        <f>IFERROR(Table2[[#This Row],[Calories]]/Table2[[#This Row],[Splat]],"")</f>
        <v>44.357142857142854</v>
      </c>
      <c r="AM760">
        <f>COUNTIF(N$2:$N$938,N760)</f>
        <v>258</v>
      </c>
      <c r="AN760" t="str">
        <f>VLOOKUP(N760,'Helpful Tables'!A:D,4,FALSE)</f>
        <v>Oregon</v>
      </c>
      <c r="AO760" s="24">
        <f>COUNTIF(AN:AN,Table2[[#This Row],[State]])/COUNTA(AN:AN)</f>
        <v>0.36140724946695096</v>
      </c>
      <c r="AP760">
        <f>VLOOKUP(N760,'Helpful Tables'!A:B,2,FALSE)</f>
        <v>45.534162000000002</v>
      </c>
      <c r="AQ760">
        <f>VLOOKUP(N760,'Helpful Tables'!A:C,3,FALSE)</f>
        <v>-122.69670000000001</v>
      </c>
      <c r="AR760">
        <f>COUNTIF(P$2:$P$938,P760)</f>
        <v>43</v>
      </c>
      <c r="AS760" cm="1">
        <f t="array" ref="AS760">_xlfn.IFS(E760&lt;6,((E760/D760)*60)*0.5,AND(E760&gt;=6,E760&lt;9),((E760/D760)*60)*0.75,AND(E760&gt;=9,E760&lt;=11),((E760/D760)*60)*0.9,AND(E760=12),((E760/D760)*60)*1,AND(E760&gt;=13,E760&lt;=15),((E760/D760)*60)*1.2,AND(E760&gt;=16,E760&lt;=19),((E760/D760)*60)*1.5,E760&gt;=20,((E760/D760)*60)*1.8)</f>
        <v>17.084745762711865</v>
      </c>
      <c r="AT760" cm="1">
        <f t="array" ref="AT760">_xlfn.IFS(F760&lt;550,((F760/D760)*60)*0.5,AND(F760&gt;=550,F760&lt;575),((F760/D760)*60)*0.75,AND(F760&gt;=575,F760&lt;600),((F760/D760)*60)*0.9,AND(F760=600),((F760/D760)*60)*1,AND(F760&gt;=601,F760&lt;=625),((F760/D760)*60)*1.2,AND(F760&gt;=626,F760&lt;=650),((F760/D760)*60)*1.5,F760&gt;=651,((F760/D760)*60)*1.8)</f>
        <v>757.83050847457616</v>
      </c>
      <c r="AU760">
        <f t="shared" si="210"/>
        <v>-7.6999999999999957</v>
      </c>
      <c r="AV760">
        <f t="shared" si="208"/>
        <v>308.42610169491519</v>
      </c>
      <c r="AW760">
        <f t="shared" si="211"/>
        <v>30.5</v>
      </c>
      <c r="AX760" t="str">
        <f t="shared" si="206"/>
        <v>Feb-2025</v>
      </c>
      <c r="AY760">
        <f>ROUNDUP(Table2[[#This Row],[Month]]/3,0)</f>
        <v>1</v>
      </c>
    </row>
    <row r="761" spans="1:51" x14ac:dyDescent="0.2">
      <c r="A761">
        <v>760</v>
      </c>
      <c r="B761">
        <f t="shared" si="195"/>
        <v>12</v>
      </c>
      <c r="C761" s="22">
        <v>45712</v>
      </c>
      <c r="D761">
        <f>SUM(Table2[[#This Row],[Gray Min]:[Red Min]])</f>
        <v>61</v>
      </c>
      <c r="E761">
        <v>15</v>
      </c>
      <c r="F761">
        <v>641</v>
      </c>
      <c r="G761">
        <v>124</v>
      </c>
      <c r="H761">
        <v>167</v>
      </c>
      <c r="I761">
        <v>20</v>
      </c>
      <c r="J761">
        <v>12</v>
      </c>
      <c r="K761">
        <v>14</v>
      </c>
      <c r="L761">
        <v>13</v>
      </c>
      <c r="M761">
        <v>2</v>
      </c>
      <c r="N761" t="s">
        <v>125</v>
      </c>
      <c r="O761" t="s">
        <v>127</v>
      </c>
      <c r="P761" t="s">
        <v>218</v>
      </c>
      <c r="Q761">
        <f t="shared" si="207"/>
        <v>6</v>
      </c>
      <c r="R761" t="str">
        <f t="shared" si="196"/>
        <v>2-2025</v>
      </c>
      <c r="S761" t="s">
        <v>104</v>
      </c>
      <c r="T761" t="str">
        <f t="shared" si="197"/>
        <v>Monday</v>
      </c>
      <c r="U761">
        <f t="shared" si="198"/>
        <v>1</v>
      </c>
      <c r="V761" s="24">
        <f>IFERROR(Table2[[#This Row],[Gray Min]]/Table2[[#This Row],[ClassLength]],"")</f>
        <v>0.32786885245901637</v>
      </c>
      <c r="W761" s="24">
        <f>IFERROR(Table2[[#This Row],[Blue Min]]/Table2[[#This Row],[ClassLength]],"")</f>
        <v>0.19672131147540983</v>
      </c>
      <c r="X761" s="24">
        <f>IFERROR(Table2[[#This Row],[Green Min]]/Table2[[#This Row],[ClassLength]],"")</f>
        <v>0.22950819672131148</v>
      </c>
      <c r="Y761" s="24">
        <f>IFERROR(Table2[[#This Row],[Orange Min]]/Table2[[#This Row],[ClassLength]],"")</f>
        <v>0.21311475409836064</v>
      </c>
      <c r="Z761" s="24">
        <f>IFERROR(Table2[[#This Row],[Red Min]]/Table2[[#This Row],[ClassLength]],"")</f>
        <v>3.2786885245901641E-2</v>
      </c>
      <c r="AA761" s="25">
        <v>169</v>
      </c>
      <c r="AB761" s="25">
        <f t="shared" si="209"/>
        <v>14.083333333333334</v>
      </c>
      <c r="AC761" s="26">
        <f t="shared" si="199"/>
        <v>628.33333333333337</v>
      </c>
      <c r="AD761" s="26">
        <f t="shared" si="200"/>
        <v>14.416666666666666</v>
      </c>
      <c r="AE761">
        <f t="shared" si="201"/>
        <v>2025</v>
      </c>
      <c r="AG761">
        <v>12</v>
      </c>
      <c r="AH761" s="26">
        <f t="shared" si="202"/>
        <v>10.508196721311476</v>
      </c>
      <c r="AI761" t="str">
        <f t="shared" si="203"/>
        <v>PM</v>
      </c>
      <c r="AJ761" t="str">
        <f t="shared" si="204"/>
        <v>2-2025-5</v>
      </c>
      <c r="AK761">
        <f t="shared" si="205"/>
        <v>2</v>
      </c>
      <c r="AL761" s="26">
        <f>IFERROR(Table2[[#This Row],[Calories]]/Table2[[#This Row],[Splat]],"")</f>
        <v>42.733333333333334</v>
      </c>
      <c r="AM761">
        <f>COUNTIF(N$2:$N$938,N761)</f>
        <v>258</v>
      </c>
      <c r="AN761" t="str">
        <f>VLOOKUP(N761,'Helpful Tables'!A:D,4,FALSE)</f>
        <v>Oregon</v>
      </c>
      <c r="AO761" s="24">
        <f>COUNTIF(AN:AN,Table2[[#This Row],[State]])/COUNTA(AN:AN)</f>
        <v>0.36140724946695096</v>
      </c>
      <c r="AP761">
        <f>VLOOKUP(N761,'Helpful Tables'!A:B,2,FALSE)</f>
        <v>45.534162000000002</v>
      </c>
      <c r="AQ761">
        <f>VLOOKUP(N761,'Helpful Tables'!A:C,3,FALSE)</f>
        <v>-122.69670000000001</v>
      </c>
      <c r="AR761">
        <f>COUNTIF(P$2:$P$938,P761)</f>
        <v>9</v>
      </c>
      <c r="AS761" cm="1">
        <f t="array" ref="AS761">_xlfn.IFS(E761&lt;6,((E761/D761)*60)*0.5,AND(E761&gt;=6,E761&lt;9),((E761/D761)*60)*0.75,AND(E761&gt;=9,E761&lt;=11),((E761/D761)*60)*0.9,AND(E761=12),((E761/D761)*60)*1,AND(E761&gt;=13,E761&lt;=15),((E761/D761)*60)*1.2,AND(E761&gt;=16,E761&lt;=19),((E761/D761)*60)*1.5,E761&gt;=20,((E761/D761)*60)*1.8)</f>
        <v>17.704918032786885</v>
      </c>
      <c r="AT761" cm="1">
        <f t="array" ref="AT761">_xlfn.IFS(F761&lt;550,((F761/D761)*60)*0.5,AND(F761&gt;=550,F761&lt;575),((F761/D761)*60)*0.75,AND(F761&gt;=575,F761&lt;600),((F761/D761)*60)*0.9,AND(F761=600),((F761/D761)*60)*1,AND(F761&gt;=601,F761&lt;=625),((F761/D761)*60)*1.2,AND(F761&gt;=626,F761&lt;=650),((F761/D761)*60)*1.5,F761&gt;=651,((F761/D761)*60)*1.8)</f>
        <v>945.73770491803293</v>
      </c>
      <c r="AU761">
        <f t="shared" si="210"/>
        <v>-0.5</v>
      </c>
      <c r="AV761">
        <f t="shared" si="208"/>
        <v>385.27704918032794</v>
      </c>
      <c r="AW761">
        <f t="shared" si="211"/>
        <v>46.9</v>
      </c>
      <c r="AX761" t="str">
        <f t="shared" si="206"/>
        <v>Feb-2025</v>
      </c>
      <c r="AY761">
        <f>ROUNDUP(Table2[[#This Row],[Month]]/3,0)</f>
        <v>1</v>
      </c>
    </row>
    <row r="762" spans="1:51" x14ac:dyDescent="0.2">
      <c r="A762">
        <v>761</v>
      </c>
      <c r="B762">
        <f t="shared" si="195"/>
        <v>12</v>
      </c>
      <c r="C762" s="22">
        <v>45713</v>
      </c>
      <c r="D762">
        <f>SUM(Table2[[#This Row],[Gray Min]:[Red Min]])</f>
        <v>57</v>
      </c>
      <c r="E762">
        <v>14</v>
      </c>
      <c r="F762">
        <v>615</v>
      </c>
      <c r="G762">
        <v>125</v>
      </c>
      <c r="H762">
        <v>167</v>
      </c>
      <c r="I762">
        <v>15</v>
      </c>
      <c r="J762">
        <v>14</v>
      </c>
      <c r="K762">
        <v>14</v>
      </c>
      <c r="L762">
        <v>13</v>
      </c>
      <c r="M762">
        <v>1</v>
      </c>
      <c r="N762" t="s">
        <v>125</v>
      </c>
      <c r="O762" t="s">
        <v>127</v>
      </c>
      <c r="P762" t="s">
        <v>220</v>
      </c>
      <c r="Q762">
        <f t="shared" si="207"/>
        <v>1</v>
      </c>
      <c r="R762" t="str">
        <f t="shared" si="196"/>
        <v>2-2025</v>
      </c>
      <c r="S762" t="s">
        <v>104</v>
      </c>
      <c r="T762" t="str">
        <f t="shared" si="197"/>
        <v>Tuesday</v>
      </c>
      <c r="U762">
        <f t="shared" si="198"/>
        <v>1</v>
      </c>
      <c r="V762" s="24">
        <f>IFERROR(Table2[[#This Row],[Gray Min]]/Table2[[#This Row],[ClassLength]],"")</f>
        <v>0.26315789473684209</v>
      </c>
      <c r="W762" s="24">
        <f>IFERROR(Table2[[#This Row],[Blue Min]]/Table2[[#This Row],[ClassLength]],"")</f>
        <v>0.24561403508771928</v>
      </c>
      <c r="X762" s="24">
        <f>IFERROR(Table2[[#This Row],[Green Min]]/Table2[[#This Row],[ClassLength]],"")</f>
        <v>0.24561403508771928</v>
      </c>
      <c r="Y762" s="24">
        <f>IFERROR(Table2[[#This Row],[Orange Min]]/Table2[[#This Row],[ClassLength]],"")</f>
        <v>0.22807017543859648</v>
      </c>
      <c r="Z762" s="24">
        <f>IFERROR(Table2[[#This Row],[Red Min]]/Table2[[#This Row],[ClassLength]],"")</f>
        <v>1.7543859649122806E-2</v>
      </c>
      <c r="AA762" s="25">
        <v>169</v>
      </c>
      <c r="AB762" s="25">
        <f t="shared" si="209"/>
        <v>14.083333333333334</v>
      </c>
      <c r="AC762" s="26">
        <f t="shared" si="199"/>
        <v>628.33333333333337</v>
      </c>
      <c r="AD762" s="26">
        <f t="shared" si="200"/>
        <v>14.416666666666666</v>
      </c>
      <c r="AE762">
        <f t="shared" si="201"/>
        <v>2025</v>
      </c>
      <c r="AG762">
        <v>12</v>
      </c>
      <c r="AH762" s="26">
        <f t="shared" si="202"/>
        <v>10.789473684210526</v>
      </c>
      <c r="AI762" t="str">
        <f t="shared" si="203"/>
        <v>PM</v>
      </c>
      <c r="AJ762" t="str">
        <f t="shared" si="204"/>
        <v>2-2025-5</v>
      </c>
      <c r="AK762">
        <f t="shared" si="205"/>
        <v>2</v>
      </c>
      <c r="AL762" s="26">
        <f>IFERROR(Table2[[#This Row],[Calories]]/Table2[[#This Row],[Splat]],"")</f>
        <v>43.928571428571431</v>
      </c>
      <c r="AM762">
        <f>COUNTIF(N$2:$N$938,N762)</f>
        <v>258</v>
      </c>
      <c r="AN762" t="str">
        <f>VLOOKUP(N762,'Helpful Tables'!A:D,4,FALSE)</f>
        <v>Oregon</v>
      </c>
      <c r="AO762" s="24">
        <f>COUNTIF(AN:AN,Table2[[#This Row],[State]])/COUNTA(AN:AN)</f>
        <v>0.36140724946695096</v>
      </c>
      <c r="AP762">
        <f>VLOOKUP(N762,'Helpful Tables'!A:B,2,FALSE)</f>
        <v>45.534162000000002</v>
      </c>
      <c r="AQ762">
        <f>VLOOKUP(N762,'Helpful Tables'!A:C,3,FALSE)</f>
        <v>-122.69670000000001</v>
      </c>
      <c r="AR762">
        <f>COUNTIF(P$2:$P$938,P762)</f>
        <v>43</v>
      </c>
      <c r="AS762" cm="1">
        <f t="array" ref="AS762">_xlfn.IFS(E762&lt;6,((E762/D762)*60)*0.5,AND(E762&gt;=6,E762&lt;9),((E762/D762)*60)*0.75,AND(E762&gt;=9,E762&lt;=11),((E762/D762)*60)*0.9,AND(E762=12),((E762/D762)*60)*1,AND(E762&gt;=13,E762&lt;=15),((E762/D762)*60)*1.2,AND(E762&gt;=16,E762&lt;=19),((E762/D762)*60)*1.5,E762&gt;=20,((E762/D762)*60)*1.8)</f>
        <v>17.684210526315788</v>
      </c>
      <c r="AT762" cm="1">
        <f t="array" ref="AT762">_xlfn.IFS(F762&lt;550,((F762/D762)*60)*0.5,AND(F762&gt;=550,F762&lt;575),((F762/D762)*60)*0.75,AND(F762&gt;=575,F762&lt;600),((F762/D762)*60)*0.9,AND(F762=600),((F762/D762)*60)*1,AND(F762&gt;=601,F762&lt;=625),((F762/D762)*60)*1.2,AND(F762&gt;=626,F762&lt;=650),((F762/D762)*60)*1.5,F762&gt;=651,((F762/D762)*60)*1.8)</f>
        <v>776.8421052631578</v>
      </c>
      <c r="AU762">
        <f t="shared" si="210"/>
        <v>1.7999999999999972</v>
      </c>
      <c r="AV762">
        <f t="shared" si="208"/>
        <v>318.17052631578946</v>
      </c>
      <c r="AW762">
        <f t="shared" si="211"/>
        <v>35.9</v>
      </c>
      <c r="AX762" t="str">
        <f t="shared" si="206"/>
        <v>Feb-2025</v>
      </c>
      <c r="AY762">
        <f>ROUNDUP(Table2[[#This Row],[Month]]/3,0)</f>
        <v>1</v>
      </c>
    </row>
    <row r="763" spans="1:51" x14ac:dyDescent="0.2">
      <c r="A763">
        <v>762</v>
      </c>
      <c r="B763">
        <f t="shared" si="195"/>
        <v>16</v>
      </c>
      <c r="C763" s="22">
        <v>45717</v>
      </c>
      <c r="D763">
        <f>SUM(Table2[[#This Row],[Gray Min]:[Red Min]])</f>
        <v>57</v>
      </c>
      <c r="E763">
        <v>18</v>
      </c>
      <c r="F763">
        <v>670</v>
      </c>
      <c r="G763">
        <v>129</v>
      </c>
      <c r="H763">
        <v>167</v>
      </c>
      <c r="I763">
        <v>14</v>
      </c>
      <c r="J763">
        <v>11</v>
      </c>
      <c r="K763">
        <v>14</v>
      </c>
      <c r="L763">
        <v>14</v>
      </c>
      <c r="M763">
        <v>4</v>
      </c>
      <c r="N763" t="s">
        <v>208</v>
      </c>
      <c r="O763" t="s">
        <v>76</v>
      </c>
      <c r="P763" t="s">
        <v>213</v>
      </c>
      <c r="Q763">
        <f t="shared" si="207"/>
        <v>4</v>
      </c>
      <c r="R763" t="str">
        <f t="shared" si="196"/>
        <v>3-2025</v>
      </c>
      <c r="S763" t="s">
        <v>104</v>
      </c>
      <c r="T763" t="str">
        <f t="shared" si="197"/>
        <v>Saturday</v>
      </c>
      <c r="U763">
        <f t="shared" si="198"/>
        <v>1</v>
      </c>
      <c r="V763" s="24">
        <f>IFERROR(Table2[[#This Row],[Gray Min]]/Table2[[#This Row],[ClassLength]],"")</f>
        <v>0.24561403508771928</v>
      </c>
      <c r="W763" s="24">
        <f>IFERROR(Table2[[#This Row],[Blue Min]]/Table2[[#This Row],[ClassLength]],"")</f>
        <v>0.19298245614035087</v>
      </c>
      <c r="X763" s="24">
        <f>IFERROR(Table2[[#This Row],[Green Min]]/Table2[[#This Row],[ClassLength]],"")</f>
        <v>0.24561403508771928</v>
      </c>
      <c r="Y763" s="24">
        <f>IFERROR(Table2[[#This Row],[Orange Min]]/Table2[[#This Row],[ClassLength]],"")</f>
        <v>0.24561403508771928</v>
      </c>
      <c r="Z763" s="24">
        <f>IFERROR(Table2[[#This Row],[Red Min]]/Table2[[#This Row],[ClassLength]],"")</f>
        <v>7.0175438596491224E-2</v>
      </c>
      <c r="AA763" s="25">
        <v>169</v>
      </c>
      <c r="AB763" s="25">
        <f t="shared" si="209"/>
        <v>10.5625</v>
      </c>
      <c r="AC763" s="26">
        <f t="shared" si="199"/>
        <v>619.3125</v>
      </c>
      <c r="AD763" s="26">
        <f t="shared" si="200"/>
        <v>13.9375</v>
      </c>
      <c r="AE763">
        <f t="shared" si="201"/>
        <v>2025</v>
      </c>
      <c r="AG763">
        <v>12</v>
      </c>
      <c r="AH763" s="26">
        <f t="shared" si="202"/>
        <v>11.754385964912281</v>
      </c>
      <c r="AI763" t="str">
        <f t="shared" si="203"/>
        <v>AM</v>
      </c>
      <c r="AJ763" t="str">
        <f t="shared" si="204"/>
        <v>3-2025-1</v>
      </c>
      <c r="AK763">
        <f t="shared" si="205"/>
        <v>3</v>
      </c>
      <c r="AL763" s="26">
        <f>IFERROR(Table2[[#This Row],[Calories]]/Table2[[#This Row],[Splat]],"")</f>
        <v>37.222222222222221</v>
      </c>
      <c r="AM763">
        <f>COUNTIF(N$2:$N$938,N763)</f>
        <v>78</v>
      </c>
      <c r="AN763" t="str">
        <f>VLOOKUP(N763,'Helpful Tables'!A:D,4,FALSE)</f>
        <v>Oregon</v>
      </c>
      <c r="AO763" s="24">
        <f>COUNTIF(AN:AN,Table2[[#This Row],[State]])/COUNTA(AN:AN)</f>
        <v>0.36140724946695096</v>
      </c>
      <c r="AP763">
        <f>VLOOKUP(N763,'Helpful Tables'!A:B,2,FALSE)</f>
        <v>45.525092999999998</v>
      </c>
      <c r="AQ763">
        <f>VLOOKUP(N763,'Helpful Tables'!A:C,3,FALSE)</f>
        <v>-122.681383</v>
      </c>
      <c r="AR763">
        <f>COUNTIF(P$2:$P$938,P763)</f>
        <v>40</v>
      </c>
      <c r="AS763" cm="1">
        <f t="array" ref="AS763">_xlfn.IFS(E763&lt;6,((E763/D763)*60)*0.5,AND(E763&gt;=6,E763&lt;9),((E763/D763)*60)*0.75,AND(E763&gt;=9,E763&lt;=11),((E763/D763)*60)*0.9,AND(E763=12),((E763/D763)*60)*1,AND(E763&gt;=13,E763&lt;=15),((E763/D763)*60)*1.2,AND(E763&gt;=16,E763&lt;=19),((E763/D763)*60)*1.5,E763&gt;=20,((E763/D763)*60)*1.8)</f>
        <v>28.421052631578945</v>
      </c>
      <c r="AT763" cm="1">
        <f t="array" ref="AT763">_xlfn.IFS(F763&lt;550,((F763/D763)*60)*0.5,AND(F763&gt;=550,F763&lt;575),((F763/D763)*60)*0.75,AND(F763&gt;=575,F763&lt;600),((F763/D763)*60)*0.9,AND(F763=600),((F763/D763)*60)*1,AND(F763&gt;=601,F763&lt;=625),((F763/D763)*60)*1.2,AND(F763&gt;=626,F763&lt;=650),((F763/D763)*60)*1.5,F763&gt;=651,((F763/D763)*60)*1.8)</f>
        <v>1269.4736842105265</v>
      </c>
      <c r="AU763">
        <f t="shared" si="210"/>
        <v>12.099999999999998</v>
      </c>
      <c r="AV763">
        <f t="shared" si="208"/>
        <v>521.57789473684215</v>
      </c>
      <c r="AW763">
        <f t="shared" si="211"/>
        <v>90.7</v>
      </c>
      <c r="AX763" t="str">
        <f t="shared" si="206"/>
        <v>Mar-2025</v>
      </c>
      <c r="AY763">
        <f>ROUNDUP(Table2[[#This Row],[Month]]/3,0)</f>
        <v>1</v>
      </c>
    </row>
    <row r="764" spans="1:51" x14ac:dyDescent="0.2">
      <c r="A764">
        <v>763</v>
      </c>
      <c r="B764">
        <f t="shared" si="195"/>
        <v>16</v>
      </c>
      <c r="C764" s="22">
        <v>45718</v>
      </c>
      <c r="D764">
        <f>SUM(Table2[[#This Row],[Gray Min]:[Red Min]])</f>
        <v>58</v>
      </c>
      <c r="E764">
        <v>16</v>
      </c>
      <c r="F764">
        <v>625</v>
      </c>
      <c r="G764">
        <v>124</v>
      </c>
      <c r="H764">
        <v>163</v>
      </c>
      <c r="I764">
        <v>16</v>
      </c>
      <c r="J764">
        <v>15</v>
      </c>
      <c r="K764">
        <v>11</v>
      </c>
      <c r="L764">
        <v>16</v>
      </c>
      <c r="M764">
        <v>0</v>
      </c>
      <c r="N764" t="s">
        <v>125</v>
      </c>
      <c r="O764" t="s">
        <v>79</v>
      </c>
      <c r="P764" t="s">
        <v>222</v>
      </c>
      <c r="Q764">
        <f t="shared" si="207"/>
        <v>1</v>
      </c>
      <c r="R764" t="str">
        <f t="shared" si="196"/>
        <v>3-2025</v>
      </c>
      <c r="S764" t="s">
        <v>104</v>
      </c>
      <c r="T764" t="str">
        <f t="shared" si="197"/>
        <v>Sunday</v>
      </c>
      <c r="U764">
        <f t="shared" si="198"/>
        <v>1</v>
      </c>
      <c r="V764" s="24">
        <f>IFERROR(Table2[[#This Row],[Gray Min]]/Table2[[#This Row],[ClassLength]],"")</f>
        <v>0.27586206896551724</v>
      </c>
      <c r="W764" s="24">
        <f>IFERROR(Table2[[#This Row],[Blue Min]]/Table2[[#This Row],[ClassLength]],"")</f>
        <v>0.25862068965517243</v>
      </c>
      <c r="X764" s="24">
        <f>IFERROR(Table2[[#This Row],[Green Min]]/Table2[[#This Row],[ClassLength]],"")</f>
        <v>0.18965517241379309</v>
      </c>
      <c r="Y764" s="24">
        <f>IFERROR(Table2[[#This Row],[Orange Min]]/Table2[[#This Row],[ClassLength]],"")</f>
        <v>0.27586206896551724</v>
      </c>
      <c r="Z764" s="24">
        <f>IFERROR(Table2[[#This Row],[Red Min]]/Table2[[#This Row],[ClassLength]],"")</f>
        <v>0</v>
      </c>
      <c r="AA764" s="25">
        <v>169</v>
      </c>
      <c r="AB764" s="25">
        <f t="shared" si="209"/>
        <v>10.5625</v>
      </c>
      <c r="AC764" s="26">
        <f t="shared" si="199"/>
        <v>619.3125</v>
      </c>
      <c r="AD764" s="26">
        <f t="shared" si="200"/>
        <v>13.9375</v>
      </c>
      <c r="AE764">
        <f t="shared" si="201"/>
        <v>2025</v>
      </c>
      <c r="AG764">
        <v>12</v>
      </c>
      <c r="AH764" s="26">
        <f t="shared" si="202"/>
        <v>10.775862068965518</v>
      </c>
      <c r="AI764" t="str">
        <f t="shared" si="203"/>
        <v>AM</v>
      </c>
      <c r="AJ764" t="str">
        <f t="shared" si="204"/>
        <v>3-2025-2</v>
      </c>
      <c r="AK764">
        <f t="shared" si="205"/>
        <v>3</v>
      </c>
      <c r="AL764" s="26">
        <f>IFERROR(Table2[[#This Row],[Calories]]/Table2[[#This Row],[Splat]],"")</f>
        <v>39.0625</v>
      </c>
      <c r="AM764">
        <f>COUNTIF(N$2:$N$938,N764)</f>
        <v>258</v>
      </c>
      <c r="AN764" t="str">
        <f>VLOOKUP(N764,'Helpful Tables'!A:D,4,FALSE)</f>
        <v>Oregon</v>
      </c>
      <c r="AO764" s="24">
        <f>COUNTIF(AN:AN,Table2[[#This Row],[State]])/COUNTA(AN:AN)</f>
        <v>0.36140724946695096</v>
      </c>
      <c r="AP764">
        <f>VLOOKUP(N764,'Helpful Tables'!A:B,2,FALSE)</f>
        <v>45.534162000000002</v>
      </c>
      <c r="AQ764">
        <f>VLOOKUP(N764,'Helpful Tables'!A:C,3,FALSE)</f>
        <v>-122.69670000000001</v>
      </c>
      <c r="AR764">
        <f>COUNTIF(P$2:$P$938,P764)</f>
        <v>32</v>
      </c>
      <c r="AS764" cm="1">
        <f t="array" ref="AS764">_xlfn.IFS(E764&lt;6,((E764/D764)*60)*0.5,AND(E764&gt;=6,E764&lt;9),((E764/D764)*60)*0.75,AND(E764&gt;=9,E764&lt;=11),((E764/D764)*60)*0.9,AND(E764=12),((E764/D764)*60)*1,AND(E764&gt;=13,E764&lt;=15),((E764/D764)*60)*1.2,AND(E764&gt;=16,E764&lt;=19),((E764/D764)*60)*1.5,E764&gt;=20,((E764/D764)*60)*1.8)</f>
        <v>24.827586206896555</v>
      </c>
      <c r="AT764" cm="1">
        <f t="array" ref="AT764">_xlfn.IFS(F764&lt;550,((F764/D764)*60)*0.5,AND(F764&gt;=550,F764&lt;575),((F764/D764)*60)*0.75,AND(F764&gt;=575,F764&lt;600),((F764/D764)*60)*0.9,AND(F764=600),((F764/D764)*60)*1,AND(F764&gt;=601,F764&lt;=625),((F764/D764)*60)*1.2,AND(F764&gt;=626,F764&lt;=650),((F764/D764)*60)*1.5,F764&gt;=651,((F764/D764)*60)*1.8)</f>
        <v>775.86206896551721</v>
      </c>
      <c r="AU764">
        <f t="shared" si="210"/>
        <v>-1.7000000000000028</v>
      </c>
      <c r="AV764">
        <f t="shared" si="208"/>
        <v>319.93586206896555</v>
      </c>
      <c r="AW764">
        <f t="shared" si="211"/>
        <v>37</v>
      </c>
      <c r="AX764" t="str">
        <f t="shared" si="206"/>
        <v>Mar-2025</v>
      </c>
      <c r="AY764">
        <f>ROUNDUP(Table2[[#This Row],[Month]]/3,0)</f>
        <v>1</v>
      </c>
    </row>
    <row r="765" spans="1:51" x14ac:dyDescent="0.2">
      <c r="A765">
        <v>764</v>
      </c>
      <c r="B765">
        <f t="shared" si="195"/>
        <v>16</v>
      </c>
      <c r="C765" s="22">
        <v>45720</v>
      </c>
      <c r="D765">
        <f>SUM(Table2[[#This Row],[Gray Min]:[Red Min]])</f>
        <v>60</v>
      </c>
      <c r="E765">
        <v>14</v>
      </c>
      <c r="F765">
        <v>647</v>
      </c>
      <c r="G765">
        <v>124</v>
      </c>
      <c r="H765">
        <v>159</v>
      </c>
      <c r="I765">
        <v>14</v>
      </c>
      <c r="J765">
        <v>18</v>
      </c>
      <c r="K765">
        <v>14</v>
      </c>
      <c r="L765">
        <v>14</v>
      </c>
      <c r="M765">
        <v>0</v>
      </c>
      <c r="N765" t="s">
        <v>125</v>
      </c>
      <c r="O765" t="s">
        <v>127</v>
      </c>
      <c r="P765" t="s">
        <v>220</v>
      </c>
      <c r="Q765">
        <f t="shared" si="207"/>
        <v>2</v>
      </c>
      <c r="R765" t="str">
        <f t="shared" si="196"/>
        <v>3-2025</v>
      </c>
      <c r="S765" t="s">
        <v>104</v>
      </c>
      <c r="T765" t="str">
        <f t="shared" si="197"/>
        <v>Tuesday</v>
      </c>
      <c r="U765">
        <f t="shared" si="198"/>
        <v>1</v>
      </c>
      <c r="V765" s="24">
        <f>IFERROR(Table2[[#This Row],[Gray Min]]/Table2[[#This Row],[ClassLength]],"")</f>
        <v>0.23333333333333334</v>
      </c>
      <c r="W765" s="24">
        <f>IFERROR(Table2[[#This Row],[Blue Min]]/Table2[[#This Row],[ClassLength]],"")</f>
        <v>0.3</v>
      </c>
      <c r="X765" s="24">
        <f>IFERROR(Table2[[#This Row],[Green Min]]/Table2[[#This Row],[ClassLength]],"")</f>
        <v>0.23333333333333334</v>
      </c>
      <c r="Y765" s="24">
        <f>IFERROR(Table2[[#This Row],[Orange Min]]/Table2[[#This Row],[ClassLength]],"")</f>
        <v>0.23333333333333334</v>
      </c>
      <c r="Z765" s="24">
        <f>IFERROR(Table2[[#This Row],[Red Min]]/Table2[[#This Row],[ClassLength]],"")</f>
        <v>0</v>
      </c>
      <c r="AA765" s="25">
        <v>169</v>
      </c>
      <c r="AB765" s="25">
        <f t="shared" si="209"/>
        <v>10.5625</v>
      </c>
      <c r="AC765" s="26">
        <f t="shared" si="199"/>
        <v>619.3125</v>
      </c>
      <c r="AD765" s="26">
        <f t="shared" si="200"/>
        <v>13.9375</v>
      </c>
      <c r="AE765">
        <f t="shared" si="201"/>
        <v>2025</v>
      </c>
      <c r="AG765">
        <v>12</v>
      </c>
      <c r="AH765" s="26">
        <f t="shared" si="202"/>
        <v>10.783333333333333</v>
      </c>
      <c r="AI765" t="str">
        <f t="shared" si="203"/>
        <v>PM</v>
      </c>
      <c r="AJ765" t="str">
        <f t="shared" si="204"/>
        <v>3-2025-2</v>
      </c>
      <c r="AK765">
        <f t="shared" si="205"/>
        <v>3</v>
      </c>
      <c r="AL765" s="26">
        <f>IFERROR(Table2[[#This Row],[Calories]]/Table2[[#This Row],[Splat]],"")</f>
        <v>46.214285714285715</v>
      </c>
      <c r="AM765">
        <f>COUNTIF(N$2:$N$938,N765)</f>
        <v>258</v>
      </c>
      <c r="AN765" t="str">
        <f>VLOOKUP(N765,'Helpful Tables'!A:D,4,FALSE)</f>
        <v>Oregon</v>
      </c>
      <c r="AO765" s="24">
        <f>COUNTIF(AN:AN,Table2[[#This Row],[State]])/COUNTA(AN:AN)</f>
        <v>0.36140724946695096</v>
      </c>
      <c r="AP765">
        <f>VLOOKUP(N765,'Helpful Tables'!A:B,2,FALSE)</f>
        <v>45.534162000000002</v>
      </c>
      <c r="AQ765">
        <f>VLOOKUP(N765,'Helpful Tables'!A:C,3,FALSE)</f>
        <v>-122.69670000000001</v>
      </c>
      <c r="AR765">
        <f>COUNTIF(P$2:$P$938,P765)</f>
        <v>43</v>
      </c>
      <c r="AS765" cm="1">
        <f t="array" ref="AS765">_xlfn.IFS(E765&lt;6,((E765/D765)*60)*0.5,AND(E765&gt;=6,E765&lt;9),((E765/D765)*60)*0.75,AND(E765&gt;=9,E765&lt;=11),((E765/D765)*60)*0.9,AND(E765=12),((E765/D765)*60)*1,AND(E765&gt;=13,E765&lt;=15),((E765/D765)*60)*1.2,AND(E765&gt;=16,E765&lt;=19),((E765/D765)*60)*1.5,E765&gt;=20,((E765/D765)*60)*1.8)</f>
        <v>16.8</v>
      </c>
      <c r="AT765" cm="1">
        <f t="array" ref="AT765">_xlfn.IFS(F765&lt;550,((F765/D765)*60)*0.5,AND(F765&gt;=550,F765&lt;575),((F765/D765)*60)*0.75,AND(F765&gt;=575,F765&lt;600),((F765/D765)*60)*0.9,AND(F765=600),((F765/D765)*60)*1,AND(F765&gt;=601,F765&lt;=625),((F765/D765)*60)*1.2,AND(F765&gt;=626,F765&lt;=650),((F765/D765)*60)*1.5,F765&gt;=651,((F765/D765)*60)*1.8)</f>
        <v>970.5</v>
      </c>
      <c r="AU765">
        <f t="shared" si="210"/>
        <v>-1.6000000000000014</v>
      </c>
      <c r="AV765">
        <f t="shared" si="208"/>
        <v>394.60000000000008</v>
      </c>
      <c r="AW765">
        <f t="shared" si="211"/>
        <v>50.1</v>
      </c>
      <c r="AX765" t="str">
        <f t="shared" si="206"/>
        <v>Mar-2025</v>
      </c>
      <c r="AY765">
        <f>ROUNDUP(Table2[[#This Row],[Month]]/3,0)</f>
        <v>1</v>
      </c>
    </row>
    <row r="766" spans="1:51" x14ac:dyDescent="0.2">
      <c r="A766">
        <v>765</v>
      </c>
      <c r="B766">
        <f t="shared" si="195"/>
        <v>16</v>
      </c>
      <c r="C766" s="22">
        <v>45722</v>
      </c>
      <c r="D766">
        <f>SUM(Table2[[#This Row],[Gray Min]:[Red Min]])</f>
        <v>58</v>
      </c>
      <c r="E766">
        <v>17</v>
      </c>
      <c r="F766">
        <v>648</v>
      </c>
      <c r="G766">
        <v>128</v>
      </c>
      <c r="H766">
        <v>166</v>
      </c>
      <c r="I766">
        <v>8</v>
      </c>
      <c r="J766">
        <v>23</v>
      </c>
      <c r="K766">
        <v>10</v>
      </c>
      <c r="L766">
        <v>16</v>
      </c>
      <c r="M766">
        <v>1</v>
      </c>
      <c r="N766" t="s">
        <v>125</v>
      </c>
      <c r="O766" t="s">
        <v>127</v>
      </c>
      <c r="P766" t="s">
        <v>222</v>
      </c>
      <c r="Q766">
        <f t="shared" si="207"/>
        <v>2</v>
      </c>
      <c r="R766" t="str">
        <f t="shared" si="196"/>
        <v>3-2025</v>
      </c>
      <c r="S766" t="s">
        <v>104</v>
      </c>
      <c r="T766" t="str">
        <f t="shared" si="197"/>
        <v>Thursday</v>
      </c>
      <c r="U766">
        <f t="shared" si="198"/>
        <v>1</v>
      </c>
      <c r="V766" s="24">
        <f>IFERROR(Table2[[#This Row],[Gray Min]]/Table2[[#This Row],[ClassLength]],"")</f>
        <v>0.13793103448275862</v>
      </c>
      <c r="W766" s="24">
        <f>IFERROR(Table2[[#This Row],[Blue Min]]/Table2[[#This Row],[ClassLength]],"")</f>
        <v>0.39655172413793105</v>
      </c>
      <c r="X766" s="24">
        <f>IFERROR(Table2[[#This Row],[Green Min]]/Table2[[#This Row],[ClassLength]],"")</f>
        <v>0.17241379310344829</v>
      </c>
      <c r="Y766" s="24">
        <f>IFERROR(Table2[[#This Row],[Orange Min]]/Table2[[#This Row],[ClassLength]],"")</f>
        <v>0.27586206896551724</v>
      </c>
      <c r="Z766" s="24">
        <f>IFERROR(Table2[[#This Row],[Red Min]]/Table2[[#This Row],[ClassLength]],"")</f>
        <v>1.7241379310344827E-2</v>
      </c>
      <c r="AA766" s="25">
        <v>169</v>
      </c>
      <c r="AB766" s="25">
        <f t="shared" si="209"/>
        <v>10.5625</v>
      </c>
      <c r="AC766" s="26">
        <f t="shared" si="199"/>
        <v>619.3125</v>
      </c>
      <c r="AD766" s="26">
        <f t="shared" si="200"/>
        <v>13.9375</v>
      </c>
      <c r="AE766">
        <f t="shared" si="201"/>
        <v>2025</v>
      </c>
      <c r="AG766">
        <v>12</v>
      </c>
      <c r="AH766" s="26">
        <f t="shared" si="202"/>
        <v>11.172413793103448</v>
      </c>
      <c r="AI766" t="str">
        <f t="shared" si="203"/>
        <v>PM</v>
      </c>
      <c r="AJ766" t="str">
        <f t="shared" si="204"/>
        <v>3-2025-2</v>
      </c>
      <c r="AK766">
        <f t="shared" si="205"/>
        <v>3</v>
      </c>
      <c r="AL766" s="26">
        <f>IFERROR(Table2[[#This Row],[Calories]]/Table2[[#This Row],[Splat]],"")</f>
        <v>38.117647058823529</v>
      </c>
      <c r="AM766">
        <f>COUNTIF(N$2:$N$938,N766)</f>
        <v>258</v>
      </c>
      <c r="AN766" t="str">
        <f>VLOOKUP(N766,'Helpful Tables'!A:D,4,FALSE)</f>
        <v>Oregon</v>
      </c>
      <c r="AO766" s="24">
        <f>COUNTIF(AN:AN,Table2[[#This Row],[State]])/COUNTA(AN:AN)</f>
        <v>0.36140724946695096</v>
      </c>
      <c r="AP766">
        <f>VLOOKUP(N766,'Helpful Tables'!A:B,2,FALSE)</f>
        <v>45.534162000000002</v>
      </c>
      <c r="AQ766">
        <f>VLOOKUP(N766,'Helpful Tables'!A:C,3,FALSE)</f>
        <v>-122.69670000000001</v>
      </c>
      <c r="AR766">
        <f>COUNTIF(P$2:$P$938,P766)</f>
        <v>32</v>
      </c>
      <c r="AS766" cm="1">
        <f t="array" ref="AS766">_xlfn.IFS(E766&lt;6,((E766/D766)*60)*0.5,AND(E766&gt;=6,E766&lt;9),((E766/D766)*60)*0.75,AND(E766&gt;=9,E766&lt;=11),((E766/D766)*60)*0.9,AND(E766=12),((E766/D766)*60)*1,AND(E766&gt;=13,E766&lt;=15),((E766/D766)*60)*1.2,AND(E766&gt;=16,E766&lt;=19),((E766/D766)*60)*1.5,E766&gt;=20,((E766/D766)*60)*1.8)</f>
        <v>26.379310344827584</v>
      </c>
      <c r="AT766" cm="1">
        <f t="array" ref="AT766">_xlfn.IFS(F766&lt;550,((F766/D766)*60)*0.5,AND(F766&gt;=550,F766&lt;575),((F766/D766)*60)*0.75,AND(F766&gt;=575,F766&lt;600),((F766/D766)*60)*0.9,AND(F766=600),((F766/D766)*60)*1,AND(F766&gt;=601,F766&lt;=625),((F766/D766)*60)*1.2,AND(F766&gt;=626,F766&lt;=650),((F766/D766)*60)*1.5,F766&gt;=651,((F766/D766)*60)*1.8)</f>
        <v>1005.5172413793102</v>
      </c>
      <c r="AU766">
        <f t="shared" si="210"/>
        <v>-0.59999999999999787</v>
      </c>
      <c r="AV766">
        <f t="shared" si="208"/>
        <v>412.63862068965517</v>
      </c>
      <c r="AW766">
        <f t="shared" si="211"/>
        <v>59.3</v>
      </c>
      <c r="AX766" t="str">
        <f t="shared" si="206"/>
        <v>Mar-2025</v>
      </c>
      <c r="AY766">
        <f>ROUNDUP(Table2[[#This Row],[Month]]/3,0)</f>
        <v>1</v>
      </c>
    </row>
    <row r="767" spans="1:51" x14ac:dyDescent="0.2">
      <c r="A767">
        <v>766</v>
      </c>
      <c r="B767">
        <f t="shared" si="195"/>
        <v>16</v>
      </c>
      <c r="C767" s="22">
        <v>45723</v>
      </c>
      <c r="D767">
        <f>SUM(Table2[[#This Row],[Gray Min]:[Red Min]])</f>
        <v>59</v>
      </c>
      <c r="E767">
        <v>10</v>
      </c>
      <c r="F767">
        <v>584</v>
      </c>
      <c r="G767">
        <v>118</v>
      </c>
      <c r="H767">
        <v>160</v>
      </c>
      <c r="I767">
        <v>25</v>
      </c>
      <c r="J767">
        <v>11</v>
      </c>
      <c r="K767">
        <v>13</v>
      </c>
      <c r="L767">
        <v>10</v>
      </c>
      <c r="M767">
        <v>0</v>
      </c>
      <c r="N767" t="s">
        <v>125</v>
      </c>
      <c r="O767" t="s">
        <v>127</v>
      </c>
      <c r="P767" t="s">
        <v>222</v>
      </c>
      <c r="Q767">
        <f t="shared" si="207"/>
        <v>1</v>
      </c>
      <c r="R767" t="str">
        <f t="shared" si="196"/>
        <v>3-2025</v>
      </c>
      <c r="S767" t="s">
        <v>104</v>
      </c>
      <c r="T767" t="str">
        <f t="shared" si="197"/>
        <v>Friday</v>
      </c>
      <c r="U767">
        <f t="shared" si="198"/>
        <v>0</v>
      </c>
      <c r="V767" s="24">
        <f>IFERROR(Table2[[#This Row],[Gray Min]]/Table2[[#This Row],[ClassLength]],"")</f>
        <v>0.42372881355932202</v>
      </c>
      <c r="W767" s="24">
        <f>IFERROR(Table2[[#This Row],[Blue Min]]/Table2[[#This Row],[ClassLength]],"")</f>
        <v>0.1864406779661017</v>
      </c>
      <c r="X767" s="24">
        <f>IFERROR(Table2[[#This Row],[Green Min]]/Table2[[#This Row],[ClassLength]],"")</f>
        <v>0.22033898305084745</v>
      </c>
      <c r="Y767" s="24">
        <f>IFERROR(Table2[[#This Row],[Orange Min]]/Table2[[#This Row],[ClassLength]],"")</f>
        <v>0.16949152542372881</v>
      </c>
      <c r="Z767" s="24">
        <f>IFERROR(Table2[[#This Row],[Red Min]]/Table2[[#This Row],[ClassLength]],"")</f>
        <v>0</v>
      </c>
      <c r="AA767" s="25">
        <v>169</v>
      </c>
      <c r="AB767" s="25">
        <f t="shared" si="209"/>
        <v>10.5625</v>
      </c>
      <c r="AC767" s="26">
        <f t="shared" si="199"/>
        <v>619.3125</v>
      </c>
      <c r="AD767" s="26">
        <f t="shared" si="200"/>
        <v>13.9375</v>
      </c>
      <c r="AE767">
        <f t="shared" si="201"/>
        <v>2025</v>
      </c>
      <c r="AG767">
        <v>12</v>
      </c>
      <c r="AH767" s="26">
        <f t="shared" si="202"/>
        <v>9.898305084745763</v>
      </c>
      <c r="AI767" t="str">
        <f t="shared" si="203"/>
        <v>PM</v>
      </c>
      <c r="AJ767" t="str">
        <f t="shared" si="204"/>
        <v>3-2025-2</v>
      </c>
      <c r="AK767">
        <f t="shared" si="205"/>
        <v>3</v>
      </c>
      <c r="AL767" s="26">
        <f>IFERROR(Table2[[#This Row],[Calories]]/Table2[[#This Row],[Splat]],"")</f>
        <v>58.4</v>
      </c>
      <c r="AM767">
        <f>COUNTIF(N$2:$N$938,N767)</f>
        <v>258</v>
      </c>
      <c r="AN767" t="str">
        <f>VLOOKUP(N767,'Helpful Tables'!A:D,4,FALSE)</f>
        <v>Oregon</v>
      </c>
      <c r="AO767" s="24">
        <f>COUNTIF(AN:AN,Table2[[#This Row],[State]])/COUNTA(AN:AN)</f>
        <v>0.36140724946695096</v>
      </c>
      <c r="AP767">
        <f>VLOOKUP(N767,'Helpful Tables'!A:B,2,FALSE)</f>
        <v>45.534162000000002</v>
      </c>
      <c r="AQ767">
        <f>VLOOKUP(N767,'Helpful Tables'!A:C,3,FALSE)</f>
        <v>-122.69670000000001</v>
      </c>
      <c r="AR767">
        <f>COUNTIF(P$2:$P$938,P767)</f>
        <v>32</v>
      </c>
      <c r="AS767" cm="1">
        <f t="array" ref="AS767">_xlfn.IFS(E767&lt;6,((E767/D767)*60)*0.5,AND(E767&gt;=6,E767&lt;9),((E767/D767)*60)*0.75,AND(E767&gt;=9,E767&lt;=11),((E767/D767)*60)*0.9,AND(E767=12),((E767/D767)*60)*1,AND(E767&gt;=13,E767&lt;=15),((E767/D767)*60)*1.2,AND(E767&gt;=16,E767&lt;=19),((E767/D767)*60)*1.5,E767&gt;=20,((E767/D767)*60)*1.8)</f>
        <v>9.1525423728813564</v>
      </c>
      <c r="AT767" cm="1">
        <f t="array" ref="AT767">_xlfn.IFS(F767&lt;550,((F767/D767)*60)*0.5,AND(F767&gt;=550,F767&lt;575),((F767/D767)*60)*0.75,AND(F767&gt;=575,F767&lt;600),((F767/D767)*60)*0.9,AND(F767=600),((F767/D767)*60)*1,AND(F767&gt;=601,F767&lt;=625),((F767/D767)*60)*1.2,AND(F767&gt;=626,F767&lt;=650),((F767/D767)*60)*1.5,F767&gt;=651,((F767/D767)*60)*1.8)</f>
        <v>534.50847457627117</v>
      </c>
      <c r="AU767">
        <f t="shared" si="210"/>
        <v>-13.5</v>
      </c>
      <c r="AV767">
        <f t="shared" si="208"/>
        <v>214.76440677966104</v>
      </c>
      <c r="AW767">
        <f t="shared" si="211"/>
        <v>15.2</v>
      </c>
      <c r="AX767" t="str">
        <f t="shared" si="206"/>
        <v>Mar-2025</v>
      </c>
      <c r="AY767">
        <f>ROUNDUP(Table2[[#This Row],[Month]]/3,0)</f>
        <v>1</v>
      </c>
    </row>
    <row r="768" spans="1:51" x14ac:dyDescent="0.2">
      <c r="A768">
        <v>767</v>
      </c>
      <c r="B768">
        <f t="shared" si="195"/>
        <v>16</v>
      </c>
      <c r="C768" s="22">
        <v>45726</v>
      </c>
      <c r="D768">
        <f>SUM(Table2[[#This Row],[Gray Min]:[Red Min]])</f>
        <v>55</v>
      </c>
      <c r="E768">
        <v>4</v>
      </c>
      <c r="F768">
        <v>363</v>
      </c>
      <c r="G768">
        <v>96</v>
      </c>
      <c r="H768">
        <v>158</v>
      </c>
      <c r="I768">
        <v>38</v>
      </c>
      <c r="J768">
        <v>4</v>
      </c>
      <c r="K768">
        <v>9</v>
      </c>
      <c r="L768">
        <v>4</v>
      </c>
      <c r="M768">
        <v>0</v>
      </c>
      <c r="N768" t="s">
        <v>125</v>
      </c>
      <c r="O768" t="s">
        <v>127</v>
      </c>
      <c r="P768" t="s">
        <v>220</v>
      </c>
      <c r="Q768">
        <f t="shared" si="207"/>
        <v>3</v>
      </c>
      <c r="R768" t="str">
        <f t="shared" si="196"/>
        <v>3-2025</v>
      </c>
      <c r="S768" t="s">
        <v>117</v>
      </c>
      <c r="T768" t="str">
        <f t="shared" si="197"/>
        <v>Monday</v>
      </c>
      <c r="U768">
        <f t="shared" si="198"/>
        <v>0</v>
      </c>
      <c r="V768" s="24">
        <f>IFERROR(Table2[[#This Row],[Gray Min]]/Table2[[#This Row],[ClassLength]],"")</f>
        <v>0.69090909090909092</v>
      </c>
      <c r="W768" s="24">
        <f>IFERROR(Table2[[#This Row],[Blue Min]]/Table2[[#This Row],[ClassLength]],"")</f>
        <v>7.2727272727272724E-2</v>
      </c>
      <c r="X768" s="24">
        <f>IFERROR(Table2[[#This Row],[Green Min]]/Table2[[#This Row],[ClassLength]],"")</f>
        <v>0.16363636363636364</v>
      </c>
      <c r="Y768" s="24">
        <f>IFERROR(Table2[[#This Row],[Orange Min]]/Table2[[#This Row],[ClassLength]],"")</f>
        <v>7.2727272727272724E-2</v>
      </c>
      <c r="Z768" s="24">
        <f>IFERROR(Table2[[#This Row],[Red Min]]/Table2[[#This Row],[ClassLength]],"")</f>
        <v>0</v>
      </c>
      <c r="AA768" s="25">
        <v>169</v>
      </c>
      <c r="AB768" s="25">
        <f t="shared" si="209"/>
        <v>10.5625</v>
      </c>
      <c r="AC768" s="26">
        <f t="shared" si="199"/>
        <v>619.3125</v>
      </c>
      <c r="AD768" s="26">
        <f t="shared" si="200"/>
        <v>13.9375</v>
      </c>
      <c r="AE768">
        <f t="shared" si="201"/>
        <v>2025</v>
      </c>
      <c r="AG768">
        <v>12</v>
      </c>
      <c r="AH768" s="26">
        <f t="shared" si="202"/>
        <v>6.6</v>
      </c>
      <c r="AI768" t="str">
        <f t="shared" si="203"/>
        <v>PM</v>
      </c>
      <c r="AJ768" t="str">
        <f t="shared" si="204"/>
        <v>3-2025-3</v>
      </c>
      <c r="AK768">
        <f t="shared" si="205"/>
        <v>3</v>
      </c>
      <c r="AL768" s="26">
        <f>IFERROR(Table2[[#This Row],[Calories]]/Table2[[#This Row],[Splat]],"")</f>
        <v>90.75</v>
      </c>
      <c r="AM768">
        <f>COUNTIF(N$2:$N$938,N768)</f>
        <v>258</v>
      </c>
      <c r="AN768" t="str">
        <f>VLOOKUP(N768,'Helpful Tables'!A:D,4,FALSE)</f>
        <v>Oregon</v>
      </c>
      <c r="AO768" s="24">
        <f>COUNTIF(AN:AN,Table2[[#This Row],[State]])/COUNTA(AN:AN)</f>
        <v>0.36140724946695096</v>
      </c>
      <c r="AP768">
        <f>VLOOKUP(N768,'Helpful Tables'!A:B,2,FALSE)</f>
        <v>45.534162000000002</v>
      </c>
      <c r="AQ768">
        <f>VLOOKUP(N768,'Helpful Tables'!A:C,3,FALSE)</f>
        <v>-122.69670000000001</v>
      </c>
      <c r="AR768">
        <f>COUNTIF(P$2:$P$938,P768)</f>
        <v>43</v>
      </c>
      <c r="AS768" cm="1">
        <f t="array" ref="AS768">_xlfn.IFS(E768&lt;6,((E768/D768)*60)*0.5,AND(E768&gt;=6,E768&lt;9),((E768/D768)*60)*0.75,AND(E768&gt;=9,E768&lt;=11),((E768/D768)*60)*0.9,AND(E768=12),((E768/D768)*60)*1,AND(E768&gt;=13,E768&lt;=15),((E768/D768)*60)*1.2,AND(E768&gt;=16,E768&lt;=19),((E768/D768)*60)*1.5,E768&gt;=20,((E768/D768)*60)*1.8)</f>
        <v>2.1818181818181817</v>
      </c>
      <c r="AT768" cm="1">
        <f t="array" ref="AT768">_xlfn.IFS(F768&lt;550,((F768/D768)*60)*0.5,AND(F768&gt;=550,F768&lt;575),((F768/D768)*60)*0.75,AND(F768&gt;=575,F768&lt;600),((F768/D768)*60)*0.9,AND(F768=600),((F768/D768)*60)*1,AND(F768&gt;=601,F768&lt;=625),((F768/D768)*60)*1.2,AND(F768&gt;=626,F768&lt;=650),((F768/D768)*60)*1.5,F768&gt;=651,((F768/D768)*60)*1.8)</f>
        <v>198</v>
      </c>
      <c r="AU768">
        <f t="shared" si="210"/>
        <v>-34</v>
      </c>
      <c r="AV768">
        <f t="shared" si="208"/>
        <v>73.27272727272728</v>
      </c>
      <c r="AW768">
        <f t="shared" si="211"/>
        <v>0</v>
      </c>
      <c r="AX768" t="str">
        <f t="shared" si="206"/>
        <v>Mar-2025</v>
      </c>
      <c r="AY768">
        <f>ROUNDUP(Table2[[#This Row],[Month]]/3,0)</f>
        <v>1</v>
      </c>
    </row>
    <row r="769" spans="1:51" x14ac:dyDescent="0.2">
      <c r="A769">
        <v>768</v>
      </c>
      <c r="B769">
        <f t="shared" si="195"/>
        <v>16</v>
      </c>
      <c r="C769" s="22">
        <v>45727</v>
      </c>
      <c r="D769">
        <f>SUM(Table2[[#This Row],[Gray Min]:[Red Min]])</f>
        <v>63</v>
      </c>
      <c r="E769">
        <v>16</v>
      </c>
      <c r="F769">
        <v>633</v>
      </c>
      <c r="G769">
        <v>120</v>
      </c>
      <c r="H769">
        <v>171</v>
      </c>
      <c r="I769">
        <v>24</v>
      </c>
      <c r="J769">
        <v>16</v>
      </c>
      <c r="K769">
        <v>7</v>
      </c>
      <c r="L769">
        <v>13</v>
      </c>
      <c r="M769">
        <v>3</v>
      </c>
      <c r="N769" t="s">
        <v>125</v>
      </c>
      <c r="O769" t="s">
        <v>127</v>
      </c>
      <c r="P769" t="s">
        <v>220</v>
      </c>
      <c r="Q769">
        <f t="shared" si="207"/>
        <v>1</v>
      </c>
      <c r="R769" t="str">
        <f t="shared" si="196"/>
        <v>3-2025</v>
      </c>
      <c r="S769" t="s">
        <v>104</v>
      </c>
      <c r="T769" t="str">
        <f t="shared" si="197"/>
        <v>Tuesday</v>
      </c>
      <c r="U769">
        <f t="shared" si="198"/>
        <v>1</v>
      </c>
      <c r="V769" s="24">
        <f>IFERROR(Table2[[#This Row],[Gray Min]]/Table2[[#This Row],[ClassLength]],"")</f>
        <v>0.38095238095238093</v>
      </c>
      <c r="W769" s="24">
        <f>IFERROR(Table2[[#This Row],[Blue Min]]/Table2[[#This Row],[ClassLength]],"")</f>
        <v>0.25396825396825395</v>
      </c>
      <c r="X769" s="24">
        <f>IFERROR(Table2[[#This Row],[Green Min]]/Table2[[#This Row],[ClassLength]],"")</f>
        <v>0.1111111111111111</v>
      </c>
      <c r="Y769" s="24">
        <f>IFERROR(Table2[[#This Row],[Orange Min]]/Table2[[#This Row],[ClassLength]],"")</f>
        <v>0.20634920634920634</v>
      </c>
      <c r="Z769" s="24">
        <f>IFERROR(Table2[[#This Row],[Red Min]]/Table2[[#This Row],[ClassLength]],"")</f>
        <v>4.7619047619047616E-2</v>
      </c>
      <c r="AA769" s="25">
        <v>169</v>
      </c>
      <c r="AB769" s="25">
        <f t="shared" si="209"/>
        <v>10.5625</v>
      </c>
      <c r="AC769" s="26">
        <f t="shared" si="199"/>
        <v>619.3125</v>
      </c>
      <c r="AD769" s="26">
        <f t="shared" si="200"/>
        <v>13.9375</v>
      </c>
      <c r="AE769">
        <f t="shared" si="201"/>
        <v>2025</v>
      </c>
      <c r="AG769">
        <v>12</v>
      </c>
      <c r="AH769" s="26">
        <f t="shared" si="202"/>
        <v>10.047619047619047</v>
      </c>
      <c r="AI769" t="str">
        <f t="shared" si="203"/>
        <v>PM</v>
      </c>
      <c r="AJ769" t="str">
        <f t="shared" si="204"/>
        <v>3-2025-3</v>
      </c>
      <c r="AK769">
        <f t="shared" si="205"/>
        <v>3</v>
      </c>
      <c r="AL769" s="26">
        <f>IFERROR(Table2[[#This Row],[Calories]]/Table2[[#This Row],[Splat]],"")</f>
        <v>39.5625</v>
      </c>
      <c r="AM769">
        <f>COUNTIF(N$2:$N$938,N769)</f>
        <v>258</v>
      </c>
      <c r="AN769" t="str">
        <f>VLOOKUP(N769,'Helpful Tables'!A:D,4,FALSE)</f>
        <v>Oregon</v>
      </c>
      <c r="AO769" s="24">
        <f>COUNTIF(AN:AN,Table2[[#This Row],[State]])/COUNTA(AN:AN)</f>
        <v>0.36140724946695096</v>
      </c>
      <c r="AP769">
        <f>VLOOKUP(N769,'Helpful Tables'!A:B,2,FALSE)</f>
        <v>45.534162000000002</v>
      </c>
      <c r="AQ769">
        <f>VLOOKUP(N769,'Helpful Tables'!A:C,3,FALSE)</f>
        <v>-122.69670000000001</v>
      </c>
      <c r="AR769">
        <f>COUNTIF(P$2:$P$938,P769)</f>
        <v>43</v>
      </c>
      <c r="AS769" cm="1">
        <f t="array" ref="AS769">_xlfn.IFS(E769&lt;6,((E769/D769)*60)*0.5,AND(E769&gt;=6,E769&lt;9),((E769/D769)*60)*0.75,AND(E769&gt;=9,E769&lt;=11),((E769/D769)*60)*0.9,AND(E769=12),((E769/D769)*60)*1,AND(E769&gt;=13,E769&lt;=15),((E769/D769)*60)*1.2,AND(E769&gt;=16,E769&lt;=19),((E769/D769)*60)*1.5,E769&gt;=20,((E769/D769)*60)*1.8)</f>
        <v>22.857142857142854</v>
      </c>
      <c r="AT769" cm="1">
        <f t="array" ref="AT769">_xlfn.IFS(F769&lt;550,((F769/D769)*60)*0.5,AND(F769&gt;=550,F769&lt;575),((F769/D769)*60)*0.75,AND(F769&gt;=575,F769&lt;600),((F769/D769)*60)*0.9,AND(F769=600),((F769/D769)*60)*1,AND(F769&gt;=601,F769&lt;=625),((F769/D769)*60)*1.2,AND(F769&gt;=626,F769&lt;=650),((F769/D769)*60)*1.5,F769&gt;=651,((F769/D769)*60)*1.8)</f>
        <v>904.28571428571433</v>
      </c>
      <c r="AU769">
        <f t="shared" si="210"/>
        <v>-16.599999999999998</v>
      </c>
      <c r="AV769">
        <f t="shared" si="208"/>
        <v>367.53714285714295</v>
      </c>
      <c r="AW769">
        <f t="shared" si="211"/>
        <v>42.9</v>
      </c>
      <c r="AX769" t="str">
        <f t="shared" si="206"/>
        <v>Mar-2025</v>
      </c>
      <c r="AY769">
        <f>ROUNDUP(Table2[[#This Row],[Month]]/3,0)</f>
        <v>1</v>
      </c>
    </row>
    <row r="770" spans="1:51" x14ac:dyDescent="0.2">
      <c r="A770">
        <v>769</v>
      </c>
      <c r="B770">
        <f t="shared" ref="B770:B833" si="212">COUNTIF(R:R,R770)</f>
        <v>16</v>
      </c>
      <c r="C770" s="22">
        <v>45730</v>
      </c>
      <c r="D770">
        <f>SUM(Table2[[#This Row],[Gray Min]:[Red Min]])</f>
        <v>59</v>
      </c>
      <c r="E770">
        <v>15</v>
      </c>
      <c r="F770">
        <v>641</v>
      </c>
      <c r="G770">
        <v>125</v>
      </c>
      <c r="H770">
        <v>159</v>
      </c>
      <c r="I770">
        <v>13</v>
      </c>
      <c r="J770">
        <v>18</v>
      </c>
      <c r="K770">
        <v>13</v>
      </c>
      <c r="L770">
        <v>15</v>
      </c>
      <c r="M770">
        <v>0</v>
      </c>
      <c r="N770" t="s">
        <v>125</v>
      </c>
      <c r="O770" t="s">
        <v>127</v>
      </c>
      <c r="P770" t="s">
        <v>222</v>
      </c>
      <c r="Q770">
        <f t="shared" si="207"/>
        <v>3</v>
      </c>
      <c r="R770" t="str">
        <f t="shared" ref="R770:R833" si="213">MONTH(C770)&amp;"-"&amp;YEAR(C770)</f>
        <v>3-2025</v>
      </c>
      <c r="S770" t="s">
        <v>104</v>
      </c>
      <c r="T770" t="str">
        <f t="shared" ref="T770:T833" si="214">IF(WEEKDAY(C770)=1,"Sunday",IF(WEEKDAY(C770)=2,"Monday",IF(WEEKDAY(C770)=3,"Tuesday",IF(WEEKDAY(C770)=4,"Wednesday",IF(WEEKDAY(C770)=5,"Thursday",IF(WEEKDAY(C770)=6,"Friday","Saturday"))))))</f>
        <v>Friday</v>
      </c>
      <c r="U770">
        <f t="shared" ref="U770:U832" si="215">IF(E770&gt;=12,1,0)</f>
        <v>1</v>
      </c>
      <c r="V770" s="24">
        <f>IFERROR(Table2[[#This Row],[Gray Min]]/Table2[[#This Row],[ClassLength]],"")</f>
        <v>0.22033898305084745</v>
      </c>
      <c r="W770" s="24">
        <f>IFERROR(Table2[[#This Row],[Blue Min]]/Table2[[#This Row],[ClassLength]],"")</f>
        <v>0.30508474576271188</v>
      </c>
      <c r="X770" s="24">
        <f>IFERROR(Table2[[#This Row],[Green Min]]/Table2[[#This Row],[ClassLength]],"")</f>
        <v>0.22033898305084745</v>
      </c>
      <c r="Y770" s="24">
        <f>IFERROR(Table2[[#This Row],[Orange Min]]/Table2[[#This Row],[ClassLength]],"")</f>
        <v>0.25423728813559321</v>
      </c>
      <c r="Z770" s="24">
        <f>IFERROR(Table2[[#This Row],[Red Min]]/Table2[[#This Row],[ClassLength]],"")</f>
        <v>0</v>
      </c>
      <c r="AA770" s="25">
        <v>169</v>
      </c>
      <c r="AB770" s="25">
        <f t="shared" si="209"/>
        <v>10.5625</v>
      </c>
      <c r="AC770" s="26">
        <f t="shared" ref="AC770:AC833" si="216">AVERAGEIF(R:R,R770,F:F)</f>
        <v>619.3125</v>
      </c>
      <c r="AD770" s="26">
        <f t="shared" ref="AD770:AD833" si="217">AVERAGEIF(R:R,R770,E:E)</f>
        <v>13.9375</v>
      </c>
      <c r="AE770">
        <f t="shared" ref="AE770:AE833" si="218">YEAR(C770)</f>
        <v>2025</v>
      </c>
      <c r="AG770">
        <v>12</v>
      </c>
      <c r="AH770" s="26">
        <f t="shared" ref="AH770:AH833" si="219">F770/D770</f>
        <v>10.864406779661017</v>
      </c>
      <c r="AI770" t="str">
        <f t="shared" ref="AI770:AI833" si="220">RIGHT(O770,2)</f>
        <v>PM</v>
      </c>
      <c r="AJ770" t="str">
        <f t="shared" ref="AJ770:AJ833" si="221">R770&amp;"-"&amp;WEEKNUM(C770,1)-WEEKNUM(DATE(YEAR(C770),MONTH(C770),1),1)+1</f>
        <v>3-2025-3</v>
      </c>
      <c r="AK770">
        <f t="shared" ref="AK770:AK833" si="222">MONTH(C770)</f>
        <v>3</v>
      </c>
      <c r="AL770" s="26">
        <f>IFERROR(Table2[[#This Row],[Calories]]/Table2[[#This Row],[Splat]],"")</f>
        <v>42.733333333333334</v>
      </c>
      <c r="AM770">
        <f>COUNTIF(N$2:$N$938,N770)</f>
        <v>258</v>
      </c>
      <c r="AN770" t="str">
        <f>VLOOKUP(N770,'Helpful Tables'!A:D,4,FALSE)</f>
        <v>Oregon</v>
      </c>
      <c r="AO770" s="24">
        <f>COUNTIF(AN:AN,Table2[[#This Row],[State]])/COUNTA(AN:AN)</f>
        <v>0.36140724946695096</v>
      </c>
      <c r="AP770">
        <f>VLOOKUP(N770,'Helpful Tables'!A:B,2,FALSE)</f>
        <v>45.534162000000002</v>
      </c>
      <c r="AQ770">
        <f>VLOOKUP(N770,'Helpful Tables'!A:C,3,FALSE)</f>
        <v>-122.69670000000001</v>
      </c>
      <c r="AR770">
        <f>COUNTIF(P$2:$P$938,P770)</f>
        <v>32</v>
      </c>
      <c r="AS770" cm="1">
        <f t="array" ref="AS770">_xlfn.IFS(E770&lt;6,((E770/D770)*60)*0.5,AND(E770&gt;=6,E770&lt;9),((E770/D770)*60)*0.75,AND(E770&gt;=9,E770&lt;=11),((E770/D770)*60)*0.9,AND(E770=12),((E770/D770)*60)*1,AND(E770&gt;=13,E770&lt;=15),((E770/D770)*60)*1.2,AND(E770&gt;=16,E770&lt;=19),((E770/D770)*60)*1.5,E770&gt;=20,((E770/D770)*60)*1.8)</f>
        <v>18.305084745762709</v>
      </c>
      <c r="AT770" cm="1">
        <f t="array" ref="AT770">_xlfn.IFS(F770&lt;550,((F770/D770)*60)*0.5,AND(F770&gt;=550,F770&lt;575),((F770/D770)*60)*0.75,AND(F770&gt;=575,F770&lt;600),((F770/D770)*60)*0.9,AND(F770=600),((F770/D770)*60)*1,AND(F770&gt;=601,F770&lt;=625),((F770/D770)*60)*1.2,AND(F770&gt;=626,F770&lt;=650),((F770/D770)*60)*1.5,F770&gt;=651,((F770/D770)*60)*1.8)</f>
        <v>977.7966101694916</v>
      </c>
      <c r="AU770">
        <f t="shared" si="210"/>
        <v>-0.29999999999999716</v>
      </c>
      <c r="AV770">
        <f t="shared" si="208"/>
        <v>398.38067796610176</v>
      </c>
      <c r="AW770">
        <f t="shared" si="211"/>
        <v>52.2</v>
      </c>
      <c r="AX770" t="str">
        <f t="shared" ref="AX770:AX833" si="223">_xlfn.CONCAT(TEXT(C770,"mmm"),"-",AE770)</f>
        <v>Mar-2025</v>
      </c>
      <c r="AY770">
        <f>ROUNDUP(Table2[[#This Row],[Month]]/3,0)</f>
        <v>1</v>
      </c>
    </row>
    <row r="771" spans="1:51" x14ac:dyDescent="0.2">
      <c r="A771">
        <v>770</v>
      </c>
      <c r="B771">
        <f t="shared" si="212"/>
        <v>16</v>
      </c>
      <c r="C771" s="22">
        <v>45731</v>
      </c>
      <c r="D771">
        <f>SUM(Table2[[#This Row],[Gray Min]:[Red Min]])</f>
        <v>58</v>
      </c>
      <c r="E771">
        <v>20</v>
      </c>
      <c r="F771">
        <v>697</v>
      </c>
      <c r="G771">
        <v>133</v>
      </c>
      <c r="H771">
        <v>175</v>
      </c>
      <c r="I771">
        <v>6</v>
      </c>
      <c r="J771">
        <v>17</v>
      </c>
      <c r="K771">
        <v>15</v>
      </c>
      <c r="L771">
        <v>15</v>
      </c>
      <c r="M771">
        <v>5</v>
      </c>
      <c r="N771" t="s">
        <v>208</v>
      </c>
      <c r="O771" t="s">
        <v>76</v>
      </c>
      <c r="P771" t="s">
        <v>213</v>
      </c>
      <c r="Q771">
        <f t="shared" ref="Q771:Q834" si="224">C771-C770</f>
        <v>1</v>
      </c>
      <c r="R771" t="str">
        <f t="shared" si="213"/>
        <v>3-2025</v>
      </c>
      <c r="S771" t="s">
        <v>104</v>
      </c>
      <c r="T771" t="str">
        <f t="shared" si="214"/>
        <v>Saturday</v>
      </c>
      <c r="U771">
        <f t="shared" si="215"/>
        <v>1</v>
      </c>
      <c r="V771" s="24">
        <f>IFERROR(Table2[[#This Row],[Gray Min]]/Table2[[#This Row],[ClassLength]],"")</f>
        <v>0.10344827586206896</v>
      </c>
      <c r="W771" s="24">
        <f>IFERROR(Table2[[#This Row],[Blue Min]]/Table2[[#This Row],[ClassLength]],"")</f>
        <v>0.29310344827586204</v>
      </c>
      <c r="X771" s="24">
        <f>IFERROR(Table2[[#This Row],[Green Min]]/Table2[[#This Row],[ClassLength]],"")</f>
        <v>0.25862068965517243</v>
      </c>
      <c r="Y771" s="24">
        <f>IFERROR(Table2[[#This Row],[Orange Min]]/Table2[[#This Row],[ClassLength]],"")</f>
        <v>0.25862068965517243</v>
      </c>
      <c r="Z771" s="24">
        <f>IFERROR(Table2[[#This Row],[Red Min]]/Table2[[#This Row],[ClassLength]],"")</f>
        <v>8.6206896551724144E-2</v>
      </c>
      <c r="AA771" s="25">
        <v>169</v>
      </c>
      <c r="AB771" s="25">
        <f t="shared" si="209"/>
        <v>10.5625</v>
      </c>
      <c r="AC771" s="26">
        <f t="shared" si="216"/>
        <v>619.3125</v>
      </c>
      <c r="AD771" s="26">
        <f t="shared" si="217"/>
        <v>13.9375</v>
      </c>
      <c r="AE771">
        <f t="shared" si="218"/>
        <v>2025</v>
      </c>
      <c r="AG771">
        <v>12</v>
      </c>
      <c r="AH771" s="26">
        <f t="shared" si="219"/>
        <v>12.017241379310345</v>
      </c>
      <c r="AI771" t="str">
        <f t="shared" si="220"/>
        <v>AM</v>
      </c>
      <c r="AJ771" t="str">
        <f t="shared" si="221"/>
        <v>3-2025-3</v>
      </c>
      <c r="AK771">
        <f t="shared" si="222"/>
        <v>3</v>
      </c>
      <c r="AL771" s="26">
        <f>IFERROR(Table2[[#This Row],[Calories]]/Table2[[#This Row],[Splat]],"")</f>
        <v>34.85</v>
      </c>
      <c r="AM771">
        <f>COUNTIF(N$2:$N$938,N771)</f>
        <v>78</v>
      </c>
      <c r="AN771" t="str">
        <f>VLOOKUP(N771,'Helpful Tables'!A:D,4,FALSE)</f>
        <v>Oregon</v>
      </c>
      <c r="AO771" s="24">
        <f>COUNTIF(AN:AN,Table2[[#This Row],[State]])/COUNTA(AN:AN)</f>
        <v>0.36140724946695096</v>
      </c>
      <c r="AP771">
        <f>VLOOKUP(N771,'Helpful Tables'!A:B,2,FALSE)</f>
        <v>45.525092999999998</v>
      </c>
      <c r="AQ771">
        <f>VLOOKUP(N771,'Helpful Tables'!A:C,3,FALSE)</f>
        <v>-122.681383</v>
      </c>
      <c r="AR771">
        <f>COUNTIF(P$2:$P$938,P771)</f>
        <v>40</v>
      </c>
      <c r="AS771" cm="1">
        <f t="array" ref="AS771">_xlfn.IFS(E771&lt;6,((E771/D771)*60)*0.5,AND(E771&gt;=6,E771&lt;9),((E771/D771)*60)*0.75,AND(E771&gt;=9,E771&lt;=11),((E771/D771)*60)*0.9,AND(E771=12),((E771/D771)*60)*1,AND(E771&gt;=13,E771&lt;=15),((E771/D771)*60)*1.2,AND(E771&gt;=16,E771&lt;=19),((E771/D771)*60)*1.5,E771&gt;=20,((E771/D771)*60)*1.8)</f>
        <v>37.241379310344833</v>
      </c>
      <c r="AT771" cm="1">
        <f t="array" ref="AT771">_xlfn.IFS(F771&lt;550,((F771/D771)*60)*0.5,AND(F771&gt;=550,F771&lt;575),((F771/D771)*60)*0.75,AND(F771&gt;=575,F771&lt;600),((F771/D771)*60)*0.9,AND(F771=600),((F771/D771)*60)*1,AND(F771&gt;=601,F771&lt;=625),((F771/D771)*60)*1.2,AND(F771&gt;=626,F771&lt;=650),((F771/D771)*60)*1.5,F771&gt;=651,((F771/D771)*60)*1.8)</f>
        <v>1297.8620689655172</v>
      </c>
      <c r="AU771">
        <f t="shared" si="210"/>
        <v>19.099999999999998</v>
      </c>
      <c r="AV771">
        <f t="shared" ref="AV771:AV834" si="225">(AS771*0.4)+(AT771*0.4)+(AU771*0.2)</f>
        <v>537.86137931034489</v>
      </c>
      <c r="AW771">
        <f t="shared" si="211"/>
        <v>95.899999999999991</v>
      </c>
      <c r="AX771" t="str">
        <f t="shared" si="223"/>
        <v>Mar-2025</v>
      </c>
      <c r="AY771">
        <f>ROUNDUP(Table2[[#This Row],[Month]]/3,0)</f>
        <v>1</v>
      </c>
    </row>
    <row r="772" spans="1:51" x14ac:dyDescent="0.2">
      <c r="A772">
        <v>771</v>
      </c>
      <c r="B772">
        <f t="shared" si="212"/>
        <v>16</v>
      </c>
      <c r="C772" s="22">
        <v>45733</v>
      </c>
      <c r="D772">
        <f>SUM(Table2[[#This Row],[Gray Min]:[Red Min]])</f>
        <v>58</v>
      </c>
      <c r="E772">
        <v>15</v>
      </c>
      <c r="F772">
        <v>644</v>
      </c>
      <c r="G772">
        <v>126</v>
      </c>
      <c r="H772">
        <v>169</v>
      </c>
      <c r="I772">
        <v>14</v>
      </c>
      <c r="J772">
        <v>17</v>
      </c>
      <c r="K772">
        <v>12</v>
      </c>
      <c r="L772">
        <v>13</v>
      </c>
      <c r="M772">
        <v>2</v>
      </c>
      <c r="N772" t="s">
        <v>125</v>
      </c>
      <c r="O772" t="s">
        <v>127</v>
      </c>
      <c r="P772" t="s">
        <v>220</v>
      </c>
      <c r="Q772">
        <f t="shared" si="224"/>
        <v>2</v>
      </c>
      <c r="R772" t="str">
        <f t="shared" si="213"/>
        <v>3-2025</v>
      </c>
      <c r="S772" t="s">
        <v>104</v>
      </c>
      <c r="T772" t="str">
        <f t="shared" si="214"/>
        <v>Monday</v>
      </c>
      <c r="U772">
        <f t="shared" si="215"/>
        <v>1</v>
      </c>
      <c r="V772" s="24">
        <f>IFERROR(Table2[[#This Row],[Gray Min]]/Table2[[#This Row],[ClassLength]],"")</f>
        <v>0.2413793103448276</v>
      </c>
      <c r="W772" s="24">
        <f>IFERROR(Table2[[#This Row],[Blue Min]]/Table2[[#This Row],[ClassLength]],"")</f>
        <v>0.29310344827586204</v>
      </c>
      <c r="X772" s="24">
        <f>IFERROR(Table2[[#This Row],[Green Min]]/Table2[[#This Row],[ClassLength]],"")</f>
        <v>0.20689655172413793</v>
      </c>
      <c r="Y772" s="24">
        <f>IFERROR(Table2[[#This Row],[Orange Min]]/Table2[[#This Row],[ClassLength]],"")</f>
        <v>0.22413793103448276</v>
      </c>
      <c r="Z772" s="24">
        <f>IFERROR(Table2[[#This Row],[Red Min]]/Table2[[#This Row],[ClassLength]],"")</f>
        <v>3.4482758620689655E-2</v>
      </c>
      <c r="AA772" s="25">
        <v>169</v>
      </c>
      <c r="AB772" s="25">
        <f t="shared" si="209"/>
        <v>10.5625</v>
      </c>
      <c r="AC772" s="26">
        <f t="shared" si="216"/>
        <v>619.3125</v>
      </c>
      <c r="AD772" s="26">
        <f t="shared" si="217"/>
        <v>13.9375</v>
      </c>
      <c r="AE772">
        <f t="shared" si="218"/>
        <v>2025</v>
      </c>
      <c r="AG772">
        <v>12</v>
      </c>
      <c r="AH772" s="26">
        <f t="shared" si="219"/>
        <v>11.103448275862069</v>
      </c>
      <c r="AI772" t="str">
        <f t="shared" si="220"/>
        <v>PM</v>
      </c>
      <c r="AJ772" t="str">
        <f t="shared" si="221"/>
        <v>3-2025-4</v>
      </c>
      <c r="AK772">
        <f t="shared" si="222"/>
        <v>3</v>
      </c>
      <c r="AL772" s="26">
        <f>IFERROR(Table2[[#This Row],[Calories]]/Table2[[#This Row],[Splat]],"")</f>
        <v>42.93333333333333</v>
      </c>
      <c r="AM772">
        <f>COUNTIF(N$2:$N$938,N772)</f>
        <v>258</v>
      </c>
      <c r="AN772" t="str">
        <f>VLOOKUP(N772,'Helpful Tables'!A:D,4,FALSE)</f>
        <v>Oregon</v>
      </c>
      <c r="AO772" s="24">
        <f>COUNTIF(AN:AN,Table2[[#This Row],[State]])/COUNTA(AN:AN)</f>
        <v>0.36140724946695096</v>
      </c>
      <c r="AP772">
        <f>VLOOKUP(N772,'Helpful Tables'!A:B,2,FALSE)</f>
        <v>45.534162000000002</v>
      </c>
      <c r="AQ772">
        <f>VLOOKUP(N772,'Helpful Tables'!A:C,3,FALSE)</f>
        <v>-122.69670000000001</v>
      </c>
      <c r="AR772">
        <f>COUNTIF(P$2:$P$938,P772)</f>
        <v>43</v>
      </c>
      <c r="AS772" cm="1">
        <f t="array" ref="AS772">_xlfn.IFS(E772&lt;6,((E772/D772)*60)*0.5,AND(E772&gt;=6,E772&lt;9),((E772/D772)*60)*0.75,AND(E772&gt;=9,E772&lt;=11),((E772/D772)*60)*0.9,AND(E772=12),((E772/D772)*60)*1,AND(E772&gt;=13,E772&lt;=15),((E772/D772)*60)*1.2,AND(E772&gt;=16,E772&lt;=19),((E772/D772)*60)*1.5,E772&gt;=20,((E772/D772)*60)*1.8)</f>
        <v>18.620689655172413</v>
      </c>
      <c r="AT772" cm="1">
        <f t="array" ref="AT772">_xlfn.IFS(F772&lt;550,((F772/D772)*60)*0.5,AND(F772&gt;=550,F772&lt;575),((F772/D772)*60)*0.75,AND(F772&gt;=575,F772&lt;600),((F772/D772)*60)*0.9,AND(F772=600),((F772/D772)*60)*1,AND(F772&gt;=601,F772&lt;=625),((F772/D772)*60)*1.2,AND(F772&gt;=626,F772&lt;=650),((F772/D772)*60)*1.5,F772&gt;=651,((F772/D772)*60)*1.8)</f>
        <v>999.31034482758628</v>
      </c>
      <c r="AU772">
        <f t="shared" si="210"/>
        <v>-1.1999999999999993</v>
      </c>
      <c r="AV772">
        <f t="shared" si="225"/>
        <v>406.93241379310348</v>
      </c>
      <c r="AW772">
        <f t="shared" si="211"/>
        <v>57.099999999999994</v>
      </c>
      <c r="AX772" t="str">
        <f t="shared" si="223"/>
        <v>Mar-2025</v>
      </c>
      <c r="AY772">
        <f>ROUNDUP(Table2[[#This Row],[Month]]/3,0)</f>
        <v>1</v>
      </c>
    </row>
    <row r="773" spans="1:51" x14ac:dyDescent="0.2">
      <c r="A773">
        <v>772</v>
      </c>
      <c r="B773">
        <f t="shared" si="212"/>
        <v>16</v>
      </c>
      <c r="C773" s="22">
        <v>45735</v>
      </c>
      <c r="D773">
        <f>SUM(Table2[[#This Row],[Gray Min]:[Red Min]])</f>
        <v>60</v>
      </c>
      <c r="E773">
        <v>12</v>
      </c>
      <c r="F773">
        <v>625</v>
      </c>
      <c r="G773">
        <v>123</v>
      </c>
      <c r="H773">
        <v>161</v>
      </c>
      <c r="I773">
        <v>16</v>
      </c>
      <c r="J773">
        <v>17</v>
      </c>
      <c r="K773">
        <v>15</v>
      </c>
      <c r="L773">
        <v>12</v>
      </c>
      <c r="M773">
        <v>0</v>
      </c>
      <c r="N773" t="s">
        <v>125</v>
      </c>
      <c r="O773" t="s">
        <v>127</v>
      </c>
      <c r="P773" t="s">
        <v>222</v>
      </c>
      <c r="Q773">
        <f t="shared" si="224"/>
        <v>2</v>
      </c>
      <c r="R773" t="str">
        <f t="shared" si="213"/>
        <v>3-2025</v>
      </c>
      <c r="S773" t="s">
        <v>104</v>
      </c>
      <c r="T773" t="str">
        <f t="shared" si="214"/>
        <v>Wednesday</v>
      </c>
      <c r="U773">
        <f t="shared" si="215"/>
        <v>1</v>
      </c>
      <c r="V773" s="24">
        <f>IFERROR(Table2[[#This Row],[Gray Min]]/Table2[[#This Row],[ClassLength]],"")</f>
        <v>0.26666666666666666</v>
      </c>
      <c r="W773" s="24">
        <f>IFERROR(Table2[[#This Row],[Blue Min]]/Table2[[#This Row],[ClassLength]],"")</f>
        <v>0.28333333333333333</v>
      </c>
      <c r="X773" s="24">
        <f>IFERROR(Table2[[#This Row],[Green Min]]/Table2[[#This Row],[ClassLength]],"")</f>
        <v>0.25</v>
      </c>
      <c r="Y773" s="24">
        <f>IFERROR(Table2[[#This Row],[Orange Min]]/Table2[[#This Row],[ClassLength]],"")</f>
        <v>0.2</v>
      </c>
      <c r="Z773" s="24">
        <f>IFERROR(Table2[[#This Row],[Red Min]]/Table2[[#This Row],[ClassLength]],"")</f>
        <v>0</v>
      </c>
      <c r="AA773" s="25">
        <v>169</v>
      </c>
      <c r="AB773" s="25">
        <f t="shared" si="209"/>
        <v>10.5625</v>
      </c>
      <c r="AC773" s="26">
        <f t="shared" si="216"/>
        <v>619.3125</v>
      </c>
      <c r="AD773" s="26">
        <f t="shared" si="217"/>
        <v>13.9375</v>
      </c>
      <c r="AE773">
        <f t="shared" si="218"/>
        <v>2025</v>
      </c>
      <c r="AG773">
        <v>12</v>
      </c>
      <c r="AH773" s="26">
        <f t="shared" si="219"/>
        <v>10.416666666666666</v>
      </c>
      <c r="AI773" t="str">
        <f t="shared" si="220"/>
        <v>PM</v>
      </c>
      <c r="AJ773" t="str">
        <f t="shared" si="221"/>
        <v>3-2025-4</v>
      </c>
      <c r="AK773">
        <f t="shared" si="222"/>
        <v>3</v>
      </c>
      <c r="AL773" s="26">
        <f>IFERROR(Table2[[#This Row],[Calories]]/Table2[[#This Row],[Splat]],"")</f>
        <v>52.083333333333336</v>
      </c>
      <c r="AM773">
        <f>COUNTIF(N$2:$N$938,N773)</f>
        <v>258</v>
      </c>
      <c r="AN773" t="str">
        <f>VLOOKUP(N773,'Helpful Tables'!A:D,4,FALSE)</f>
        <v>Oregon</v>
      </c>
      <c r="AO773" s="24">
        <f>COUNTIF(AN:AN,Table2[[#This Row],[State]])/COUNTA(AN:AN)</f>
        <v>0.36140724946695096</v>
      </c>
      <c r="AP773">
        <f>VLOOKUP(N773,'Helpful Tables'!A:B,2,FALSE)</f>
        <v>45.534162000000002</v>
      </c>
      <c r="AQ773">
        <f>VLOOKUP(N773,'Helpful Tables'!A:C,3,FALSE)</f>
        <v>-122.69670000000001</v>
      </c>
      <c r="AR773">
        <f>COUNTIF(P$2:$P$938,P773)</f>
        <v>32</v>
      </c>
      <c r="AS773" cm="1">
        <f t="array" ref="AS773">_xlfn.IFS(E773&lt;6,((E773/D773)*60)*0.5,AND(E773&gt;=6,E773&lt;9),((E773/D773)*60)*0.75,AND(E773&gt;=9,E773&lt;=11),((E773/D773)*60)*0.9,AND(E773=12),((E773/D773)*60)*1,AND(E773&gt;=13,E773&lt;=15),((E773/D773)*60)*1.2,AND(E773&gt;=16,E773&lt;=19),((E773/D773)*60)*1.5,E773&gt;=20,((E773/D773)*60)*1.8)</f>
        <v>12</v>
      </c>
      <c r="AT773" cm="1">
        <f t="array" ref="AT773">_xlfn.IFS(F773&lt;550,((F773/D773)*60)*0.5,AND(F773&gt;=550,F773&lt;575),((F773/D773)*60)*0.75,AND(F773&gt;=575,F773&lt;600),((F773/D773)*60)*0.9,AND(F773=600),((F773/D773)*60)*1,AND(F773&gt;=601,F773&lt;=625),((F773/D773)*60)*1.2,AND(F773&gt;=626,F773&lt;=650),((F773/D773)*60)*1.5,F773&gt;=651,((F773/D773)*60)*1.8)</f>
        <v>750</v>
      </c>
      <c r="AU773">
        <f t="shared" si="210"/>
        <v>-4.3000000000000043</v>
      </c>
      <c r="AV773">
        <f t="shared" si="225"/>
        <v>303.94</v>
      </c>
      <c r="AW773">
        <f t="shared" si="211"/>
        <v>28.4</v>
      </c>
      <c r="AX773" t="str">
        <f t="shared" si="223"/>
        <v>Mar-2025</v>
      </c>
      <c r="AY773">
        <f>ROUNDUP(Table2[[#This Row],[Month]]/3,0)</f>
        <v>1</v>
      </c>
    </row>
    <row r="774" spans="1:51" x14ac:dyDescent="0.2">
      <c r="A774">
        <v>773</v>
      </c>
      <c r="B774">
        <f t="shared" si="212"/>
        <v>16</v>
      </c>
      <c r="C774" s="22">
        <v>45738</v>
      </c>
      <c r="D774">
        <f>SUM(Table2[[#This Row],[Gray Min]:[Red Min]])</f>
        <v>56</v>
      </c>
      <c r="E774">
        <v>9</v>
      </c>
      <c r="F774">
        <v>526</v>
      </c>
      <c r="G774">
        <v>116</v>
      </c>
      <c r="H774">
        <v>167</v>
      </c>
      <c r="I774">
        <v>24</v>
      </c>
      <c r="J774">
        <v>14</v>
      </c>
      <c r="K774">
        <v>9</v>
      </c>
      <c r="L774">
        <v>8</v>
      </c>
      <c r="M774">
        <v>1</v>
      </c>
      <c r="N774" t="s">
        <v>125</v>
      </c>
      <c r="O774" t="s">
        <v>79</v>
      </c>
      <c r="P774" t="s">
        <v>230</v>
      </c>
      <c r="Q774">
        <f t="shared" si="224"/>
        <v>3</v>
      </c>
      <c r="R774" t="str">
        <f t="shared" si="213"/>
        <v>3-2025</v>
      </c>
      <c r="S774" t="s">
        <v>117</v>
      </c>
      <c r="T774" t="str">
        <f t="shared" si="214"/>
        <v>Saturday</v>
      </c>
      <c r="U774">
        <f t="shared" si="215"/>
        <v>0</v>
      </c>
      <c r="V774" s="24">
        <f>IFERROR(Table2[[#This Row],[Gray Min]]/Table2[[#This Row],[ClassLength]],"")</f>
        <v>0.42857142857142855</v>
      </c>
      <c r="W774" s="24">
        <f>IFERROR(Table2[[#This Row],[Blue Min]]/Table2[[#This Row],[ClassLength]],"")</f>
        <v>0.25</v>
      </c>
      <c r="X774" s="24">
        <f>IFERROR(Table2[[#This Row],[Green Min]]/Table2[[#This Row],[ClassLength]],"")</f>
        <v>0.16071428571428573</v>
      </c>
      <c r="Y774" s="24">
        <f>IFERROR(Table2[[#This Row],[Orange Min]]/Table2[[#This Row],[ClassLength]],"")</f>
        <v>0.14285714285714285</v>
      </c>
      <c r="Z774" s="24">
        <f>IFERROR(Table2[[#This Row],[Red Min]]/Table2[[#This Row],[ClassLength]],"")</f>
        <v>1.7857142857142856E-2</v>
      </c>
      <c r="AA774" s="25">
        <v>169</v>
      </c>
      <c r="AB774" s="25">
        <f t="shared" si="209"/>
        <v>10.5625</v>
      </c>
      <c r="AC774" s="26">
        <f t="shared" si="216"/>
        <v>619.3125</v>
      </c>
      <c r="AD774" s="26">
        <f t="shared" si="217"/>
        <v>13.9375</v>
      </c>
      <c r="AE774">
        <f t="shared" si="218"/>
        <v>2025</v>
      </c>
      <c r="AG774">
        <v>12</v>
      </c>
      <c r="AH774" s="26">
        <f t="shared" si="219"/>
        <v>9.3928571428571423</v>
      </c>
      <c r="AI774" t="str">
        <f t="shared" si="220"/>
        <v>AM</v>
      </c>
      <c r="AJ774" t="str">
        <f t="shared" si="221"/>
        <v>3-2025-4</v>
      </c>
      <c r="AK774">
        <f t="shared" si="222"/>
        <v>3</v>
      </c>
      <c r="AL774" s="26">
        <f>IFERROR(Table2[[#This Row],[Calories]]/Table2[[#This Row],[Splat]],"")</f>
        <v>58.444444444444443</v>
      </c>
      <c r="AM774">
        <f>COUNTIF(N$2:$N$938,N774)</f>
        <v>258</v>
      </c>
      <c r="AN774" t="str">
        <f>VLOOKUP(N774,'Helpful Tables'!A:D,4,FALSE)</f>
        <v>Oregon</v>
      </c>
      <c r="AO774" s="24">
        <f>COUNTIF(AN:AN,Table2[[#This Row],[State]])/COUNTA(AN:AN)</f>
        <v>0.36140724946695096</v>
      </c>
      <c r="AP774">
        <f>VLOOKUP(N774,'Helpful Tables'!A:B,2,FALSE)</f>
        <v>45.534162000000002</v>
      </c>
      <c r="AQ774">
        <f>VLOOKUP(N774,'Helpful Tables'!A:C,3,FALSE)</f>
        <v>-122.69670000000001</v>
      </c>
      <c r="AR774">
        <f>COUNTIF(P$2:$P$938,P774)</f>
        <v>1</v>
      </c>
      <c r="AS774" cm="1">
        <f t="array" ref="AS774">_xlfn.IFS(E774&lt;6,((E774/D774)*60)*0.5,AND(E774&gt;=6,E774&lt;9),((E774/D774)*60)*0.75,AND(E774&gt;=9,E774&lt;=11),((E774/D774)*60)*0.9,AND(E774=12),((E774/D774)*60)*1,AND(E774&gt;=13,E774&lt;=15),((E774/D774)*60)*1.2,AND(E774&gt;=16,E774&lt;=19),((E774/D774)*60)*1.5,E774&gt;=20,((E774/D774)*60)*1.8)</f>
        <v>8.6785714285714306</v>
      </c>
      <c r="AT774" cm="1">
        <f t="array" ref="AT774">_xlfn.IFS(F774&lt;550,((F774/D774)*60)*0.5,AND(F774&gt;=550,F774&lt;575),((F774/D774)*60)*0.75,AND(F774&gt;=575,F774&lt;600),((F774/D774)*60)*0.9,AND(F774=600),((F774/D774)*60)*1,AND(F774&gt;=601,F774&lt;=625),((F774/D774)*60)*1.2,AND(F774&gt;=626,F774&lt;=650),((F774/D774)*60)*1.5,F774&gt;=651,((F774/D774)*60)*1.8)</f>
        <v>281.78571428571428</v>
      </c>
      <c r="AU774">
        <f t="shared" si="210"/>
        <v>-21.500000000000007</v>
      </c>
      <c r="AV774">
        <f t="shared" si="225"/>
        <v>111.8857142857143</v>
      </c>
      <c r="AW774">
        <f t="shared" si="211"/>
        <v>4.2</v>
      </c>
      <c r="AX774" t="str">
        <f t="shared" si="223"/>
        <v>Mar-2025</v>
      </c>
      <c r="AY774">
        <f>ROUNDUP(Table2[[#This Row],[Month]]/3,0)</f>
        <v>1</v>
      </c>
    </row>
    <row r="775" spans="1:51" x14ac:dyDescent="0.2">
      <c r="A775">
        <v>774</v>
      </c>
      <c r="B775">
        <f t="shared" si="212"/>
        <v>16</v>
      </c>
      <c r="C775" s="22">
        <v>45739</v>
      </c>
      <c r="D775">
        <f>SUM(Table2[[#This Row],[Gray Min]:[Red Min]])</f>
        <v>59</v>
      </c>
      <c r="E775">
        <v>15</v>
      </c>
      <c r="F775">
        <v>635</v>
      </c>
      <c r="G775">
        <v>124</v>
      </c>
      <c r="H775">
        <v>164</v>
      </c>
      <c r="I775">
        <v>15</v>
      </c>
      <c r="J775">
        <v>18</v>
      </c>
      <c r="K775">
        <v>11</v>
      </c>
      <c r="L775">
        <v>12</v>
      </c>
      <c r="M775">
        <v>3</v>
      </c>
      <c r="N775" t="s">
        <v>208</v>
      </c>
      <c r="O775" t="s">
        <v>76</v>
      </c>
      <c r="P775" t="s">
        <v>209</v>
      </c>
      <c r="Q775">
        <f t="shared" si="224"/>
        <v>1</v>
      </c>
      <c r="R775" t="str">
        <f t="shared" si="213"/>
        <v>3-2025</v>
      </c>
      <c r="S775" t="s">
        <v>104</v>
      </c>
      <c r="T775" t="str">
        <f t="shared" si="214"/>
        <v>Sunday</v>
      </c>
      <c r="U775">
        <f t="shared" si="215"/>
        <v>1</v>
      </c>
      <c r="V775" s="24">
        <f>IFERROR(Table2[[#This Row],[Gray Min]]/Table2[[#This Row],[ClassLength]],"")</f>
        <v>0.25423728813559321</v>
      </c>
      <c r="W775" s="24">
        <f>IFERROR(Table2[[#This Row],[Blue Min]]/Table2[[#This Row],[ClassLength]],"")</f>
        <v>0.30508474576271188</v>
      </c>
      <c r="X775" s="24">
        <f>IFERROR(Table2[[#This Row],[Green Min]]/Table2[[#This Row],[ClassLength]],"")</f>
        <v>0.1864406779661017</v>
      </c>
      <c r="Y775" s="24">
        <f>IFERROR(Table2[[#This Row],[Orange Min]]/Table2[[#This Row],[ClassLength]],"")</f>
        <v>0.20338983050847459</v>
      </c>
      <c r="Z775" s="24">
        <f>IFERROR(Table2[[#This Row],[Red Min]]/Table2[[#This Row],[ClassLength]],"")</f>
        <v>5.0847457627118647E-2</v>
      </c>
      <c r="AA775" s="25">
        <v>169</v>
      </c>
      <c r="AB775" s="25">
        <f t="shared" si="209"/>
        <v>10.5625</v>
      </c>
      <c r="AC775" s="26">
        <f t="shared" si="216"/>
        <v>619.3125</v>
      </c>
      <c r="AD775" s="26">
        <f t="shared" si="217"/>
        <v>13.9375</v>
      </c>
      <c r="AE775">
        <f t="shared" si="218"/>
        <v>2025</v>
      </c>
      <c r="AG775">
        <v>12</v>
      </c>
      <c r="AH775" s="26">
        <f t="shared" si="219"/>
        <v>10.76271186440678</v>
      </c>
      <c r="AI775" t="str">
        <f t="shared" si="220"/>
        <v>AM</v>
      </c>
      <c r="AJ775" t="str">
        <f t="shared" si="221"/>
        <v>3-2025-5</v>
      </c>
      <c r="AK775">
        <f t="shared" si="222"/>
        <v>3</v>
      </c>
      <c r="AL775" s="26">
        <f>IFERROR(Table2[[#This Row],[Calories]]/Table2[[#This Row],[Splat]],"")</f>
        <v>42.333333333333336</v>
      </c>
      <c r="AM775">
        <f>COUNTIF(N$2:$N$938,N775)</f>
        <v>78</v>
      </c>
      <c r="AN775" t="str">
        <f>VLOOKUP(N775,'Helpful Tables'!A:D,4,FALSE)</f>
        <v>Oregon</v>
      </c>
      <c r="AO775" s="24">
        <f>COUNTIF(AN:AN,Table2[[#This Row],[State]])/COUNTA(AN:AN)</f>
        <v>0.36140724946695096</v>
      </c>
      <c r="AP775">
        <f>VLOOKUP(N775,'Helpful Tables'!A:B,2,FALSE)</f>
        <v>45.525092999999998</v>
      </c>
      <c r="AQ775">
        <f>VLOOKUP(N775,'Helpful Tables'!A:C,3,FALSE)</f>
        <v>-122.681383</v>
      </c>
      <c r="AR775">
        <f>COUNTIF(P$2:$P$938,P775)</f>
        <v>20</v>
      </c>
      <c r="AS775" cm="1">
        <f t="array" ref="AS775">_xlfn.IFS(E775&lt;6,((E775/D775)*60)*0.5,AND(E775&gt;=6,E775&lt;9),((E775/D775)*60)*0.75,AND(E775&gt;=9,E775&lt;=11),((E775/D775)*60)*0.9,AND(E775=12),((E775/D775)*60)*1,AND(E775&gt;=13,E775&lt;=15),((E775/D775)*60)*1.2,AND(E775&gt;=16,E775&lt;=19),((E775/D775)*60)*1.5,E775&gt;=20,((E775/D775)*60)*1.8)</f>
        <v>18.305084745762709</v>
      </c>
      <c r="AT775" cm="1">
        <f t="array" ref="AT775">_xlfn.IFS(F775&lt;550,((F775/D775)*60)*0.5,AND(F775&gt;=550,F775&lt;575),((F775/D775)*60)*0.75,AND(F775&gt;=575,F775&lt;600),((F775/D775)*60)*0.9,AND(F775=600),((F775/D775)*60)*1,AND(F775&gt;=601,F775&lt;=625),((F775/D775)*60)*1.2,AND(F775&gt;=626,F775&lt;=650),((F775/D775)*60)*1.5,F775&gt;=651,((F775/D775)*60)*1.8)</f>
        <v>968.64406779661022</v>
      </c>
      <c r="AU775">
        <f t="shared" si="210"/>
        <v>-4.4999999999999964</v>
      </c>
      <c r="AV775">
        <f t="shared" si="225"/>
        <v>393.87966101694923</v>
      </c>
      <c r="AW775">
        <f t="shared" si="211"/>
        <v>49.6</v>
      </c>
      <c r="AX775" t="str">
        <f t="shared" si="223"/>
        <v>Mar-2025</v>
      </c>
      <c r="AY775">
        <f>ROUNDUP(Table2[[#This Row],[Month]]/3,0)</f>
        <v>1</v>
      </c>
    </row>
    <row r="776" spans="1:51" x14ac:dyDescent="0.2">
      <c r="A776">
        <v>775</v>
      </c>
      <c r="B776">
        <f t="shared" si="212"/>
        <v>16</v>
      </c>
      <c r="C776" s="22">
        <v>45742</v>
      </c>
      <c r="D776">
        <f>SUM(Table2[[#This Row],[Gray Min]:[Red Min]])</f>
        <v>60</v>
      </c>
      <c r="E776">
        <v>12</v>
      </c>
      <c r="F776">
        <v>664</v>
      </c>
      <c r="G776">
        <v>126</v>
      </c>
      <c r="H776">
        <v>169</v>
      </c>
      <c r="I776">
        <v>16</v>
      </c>
      <c r="J776">
        <v>11</v>
      </c>
      <c r="K776">
        <v>21</v>
      </c>
      <c r="L776">
        <v>11</v>
      </c>
      <c r="M776">
        <v>1</v>
      </c>
      <c r="N776" t="s">
        <v>125</v>
      </c>
      <c r="O776" t="s">
        <v>127</v>
      </c>
      <c r="P776" t="s">
        <v>231</v>
      </c>
      <c r="Q776">
        <f t="shared" si="224"/>
        <v>3</v>
      </c>
      <c r="R776" t="str">
        <f t="shared" si="213"/>
        <v>3-2025</v>
      </c>
      <c r="S776" t="s">
        <v>104</v>
      </c>
      <c r="T776" t="str">
        <f t="shared" si="214"/>
        <v>Wednesday</v>
      </c>
      <c r="U776">
        <f t="shared" si="215"/>
        <v>1</v>
      </c>
      <c r="V776" s="24">
        <f>IFERROR(Table2[[#This Row],[Gray Min]]/Table2[[#This Row],[ClassLength]],"")</f>
        <v>0.26666666666666666</v>
      </c>
      <c r="W776" s="24">
        <f>IFERROR(Table2[[#This Row],[Blue Min]]/Table2[[#This Row],[ClassLength]],"")</f>
        <v>0.18333333333333332</v>
      </c>
      <c r="X776" s="24">
        <f>IFERROR(Table2[[#This Row],[Green Min]]/Table2[[#This Row],[ClassLength]],"")</f>
        <v>0.35</v>
      </c>
      <c r="Y776" s="24">
        <f>IFERROR(Table2[[#This Row],[Orange Min]]/Table2[[#This Row],[ClassLength]],"")</f>
        <v>0.18333333333333332</v>
      </c>
      <c r="Z776" s="24">
        <f>IFERROR(Table2[[#This Row],[Red Min]]/Table2[[#This Row],[ClassLength]],"")</f>
        <v>1.6666666666666666E-2</v>
      </c>
      <c r="AA776" s="25">
        <v>169</v>
      </c>
      <c r="AB776" s="25">
        <f t="shared" si="209"/>
        <v>10.5625</v>
      </c>
      <c r="AC776" s="26">
        <f t="shared" si="216"/>
        <v>619.3125</v>
      </c>
      <c r="AD776" s="26">
        <f t="shared" si="217"/>
        <v>13.9375</v>
      </c>
      <c r="AE776">
        <f t="shared" si="218"/>
        <v>2025</v>
      </c>
      <c r="AG776">
        <v>12</v>
      </c>
      <c r="AH776" s="26">
        <f t="shared" si="219"/>
        <v>11.066666666666666</v>
      </c>
      <c r="AI776" t="str">
        <f t="shared" si="220"/>
        <v>PM</v>
      </c>
      <c r="AJ776" t="str">
        <f t="shared" si="221"/>
        <v>3-2025-5</v>
      </c>
      <c r="AK776">
        <f t="shared" si="222"/>
        <v>3</v>
      </c>
      <c r="AL776" s="26">
        <f>IFERROR(Table2[[#This Row],[Calories]]/Table2[[#This Row],[Splat]],"")</f>
        <v>55.333333333333336</v>
      </c>
      <c r="AM776">
        <f>COUNTIF(N$2:$N$938,N776)</f>
        <v>258</v>
      </c>
      <c r="AN776" t="str">
        <f>VLOOKUP(N776,'Helpful Tables'!A:D,4,FALSE)</f>
        <v>Oregon</v>
      </c>
      <c r="AO776" s="24">
        <f>COUNTIF(AN:AN,Table2[[#This Row],[State]])/COUNTA(AN:AN)</f>
        <v>0.36140724946695096</v>
      </c>
      <c r="AP776">
        <f>VLOOKUP(N776,'Helpful Tables'!A:B,2,FALSE)</f>
        <v>45.534162000000002</v>
      </c>
      <c r="AQ776">
        <f>VLOOKUP(N776,'Helpful Tables'!A:C,3,FALSE)</f>
        <v>-122.69670000000001</v>
      </c>
      <c r="AR776">
        <f>COUNTIF(P$2:$P$938,P776)</f>
        <v>1</v>
      </c>
      <c r="AS776" cm="1">
        <f t="array" ref="AS776">_xlfn.IFS(E776&lt;6,((E776/D776)*60)*0.5,AND(E776&gt;=6,E776&lt;9),((E776/D776)*60)*0.75,AND(E776&gt;=9,E776&lt;=11),((E776/D776)*60)*0.9,AND(E776=12),((E776/D776)*60)*1,AND(E776&gt;=13,E776&lt;=15),((E776/D776)*60)*1.2,AND(E776&gt;=16,E776&lt;=19),((E776/D776)*60)*1.5,E776&gt;=20,((E776/D776)*60)*1.8)</f>
        <v>12</v>
      </c>
      <c r="AT776" cm="1">
        <f t="array" ref="AT776">_xlfn.IFS(F776&lt;550,((F776/D776)*60)*0.5,AND(F776&gt;=550,F776&lt;575),((F776/D776)*60)*0.75,AND(F776&gt;=575,F776&lt;600),((F776/D776)*60)*0.9,AND(F776=600),((F776/D776)*60)*1,AND(F776&gt;=601,F776&lt;=625),((F776/D776)*60)*1.2,AND(F776&gt;=626,F776&lt;=650),((F776/D776)*60)*1.5,F776&gt;=651,((F776/D776)*60)*1.8)</f>
        <v>1195.2</v>
      </c>
      <c r="AU776">
        <f t="shared" si="210"/>
        <v>9.6999999999999993</v>
      </c>
      <c r="AV776">
        <f t="shared" si="225"/>
        <v>484.82000000000005</v>
      </c>
      <c r="AW776">
        <f t="shared" si="211"/>
        <v>71.099999999999994</v>
      </c>
      <c r="AX776" t="str">
        <f t="shared" si="223"/>
        <v>Mar-2025</v>
      </c>
      <c r="AY776">
        <f>ROUNDUP(Table2[[#This Row],[Month]]/3,0)</f>
        <v>1</v>
      </c>
    </row>
    <row r="777" spans="1:51" x14ac:dyDescent="0.2">
      <c r="A777">
        <v>776</v>
      </c>
      <c r="B777">
        <f t="shared" si="212"/>
        <v>16</v>
      </c>
      <c r="C777" s="22">
        <v>45744</v>
      </c>
      <c r="D777">
        <f>SUM(Table2[[#This Row],[Gray Min]:[Red Min]])</f>
        <v>59</v>
      </c>
      <c r="E777">
        <v>17</v>
      </c>
      <c r="F777">
        <v>612</v>
      </c>
      <c r="G777">
        <v>121</v>
      </c>
      <c r="H777">
        <v>164</v>
      </c>
      <c r="I777">
        <v>24</v>
      </c>
      <c r="J777">
        <v>9</v>
      </c>
      <c r="K777">
        <v>9</v>
      </c>
      <c r="L777">
        <v>16</v>
      </c>
      <c r="M777">
        <v>1</v>
      </c>
      <c r="N777" t="s">
        <v>125</v>
      </c>
      <c r="O777" t="s">
        <v>127</v>
      </c>
      <c r="P777" t="s">
        <v>222</v>
      </c>
      <c r="Q777">
        <f t="shared" si="224"/>
        <v>2</v>
      </c>
      <c r="R777" t="str">
        <f t="shared" si="213"/>
        <v>3-2025</v>
      </c>
      <c r="S777" t="s">
        <v>104</v>
      </c>
      <c r="T777" t="str">
        <f t="shared" si="214"/>
        <v>Friday</v>
      </c>
      <c r="U777">
        <f t="shared" si="215"/>
        <v>1</v>
      </c>
      <c r="V777" s="24">
        <f>IFERROR(Table2[[#This Row],[Gray Min]]/Table2[[#This Row],[ClassLength]],"")</f>
        <v>0.40677966101694918</v>
      </c>
      <c r="W777" s="24">
        <f>IFERROR(Table2[[#This Row],[Blue Min]]/Table2[[#This Row],[ClassLength]],"")</f>
        <v>0.15254237288135594</v>
      </c>
      <c r="X777" s="24">
        <f>IFERROR(Table2[[#This Row],[Green Min]]/Table2[[#This Row],[ClassLength]],"")</f>
        <v>0.15254237288135594</v>
      </c>
      <c r="Y777" s="24">
        <f>IFERROR(Table2[[#This Row],[Orange Min]]/Table2[[#This Row],[ClassLength]],"")</f>
        <v>0.2711864406779661</v>
      </c>
      <c r="Z777" s="24">
        <f>IFERROR(Table2[[#This Row],[Red Min]]/Table2[[#This Row],[ClassLength]],"")</f>
        <v>1.6949152542372881E-2</v>
      </c>
      <c r="AA777" s="25">
        <v>169</v>
      </c>
      <c r="AB777" s="25">
        <f t="shared" si="209"/>
        <v>10.5625</v>
      </c>
      <c r="AC777" s="26">
        <f t="shared" si="216"/>
        <v>619.3125</v>
      </c>
      <c r="AD777" s="26">
        <f t="shared" si="217"/>
        <v>13.9375</v>
      </c>
      <c r="AE777">
        <f t="shared" si="218"/>
        <v>2025</v>
      </c>
      <c r="AG777">
        <v>12</v>
      </c>
      <c r="AH777" s="26">
        <f t="shared" si="219"/>
        <v>10.372881355932204</v>
      </c>
      <c r="AI777" t="str">
        <f t="shared" si="220"/>
        <v>PM</v>
      </c>
      <c r="AJ777" t="str">
        <f t="shared" si="221"/>
        <v>3-2025-5</v>
      </c>
      <c r="AK777">
        <f t="shared" si="222"/>
        <v>3</v>
      </c>
      <c r="AL777" s="26">
        <f>IFERROR(Table2[[#This Row],[Calories]]/Table2[[#This Row],[Splat]],"")</f>
        <v>36</v>
      </c>
      <c r="AM777">
        <f>COUNTIF(N$2:$N$938,N777)</f>
        <v>258</v>
      </c>
      <c r="AN777" t="str">
        <f>VLOOKUP(N777,'Helpful Tables'!A:D,4,FALSE)</f>
        <v>Oregon</v>
      </c>
      <c r="AO777" s="24">
        <f>COUNTIF(AN:AN,Table2[[#This Row],[State]])/COUNTA(AN:AN)</f>
        <v>0.36140724946695096</v>
      </c>
      <c r="AP777">
        <f>VLOOKUP(N777,'Helpful Tables'!A:B,2,FALSE)</f>
        <v>45.534162000000002</v>
      </c>
      <c r="AQ777">
        <f>VLOOKUP(N777,'Helpful Tables'!A:C,3,FALSE)</f>
        <v>-122.69670000000001</v>
      </c>
      <c r="AR777">
        <f>COUNTIF(P$2:$P$938,P777)</f>
        <v>32</v>
      </c>
      <c r="AS777" cm="1">
        <f t="array" ref="AS777">_xlfn.IFS(E777&lt;6,((E777/D777)*60)*0.5,AND(E777&gt;=6,E777&lt;9),((E777/D777)*60)*0.75,AND(E777&gt;=9,E777&lt;=11),((E777/D777)*60)*0.9,AND(E777=12),((E777/D777)*60)*1,AND(E777&gt;=13,E777&lt;=15),((E777/D777)*60)*1.2,AND(E777&gt;=16,E777&lt;=19),((E777/D777)*60)*1.5,E777&gt;=20,((E777/D777)*60)*1.8)</f>
        <v>25.932203389830509</v>
      </c>
      <c r="AT777" cm="1">
        <f t="array" ref="AT777">_xlfn.IFS(F777&lt;550,((F777/D777)*60)*0.5,AND(F777&gt;=550,F777&lt;575),((F777/D777)*60)*0.75,AND(F777&gt;=575,F777&lt;600),((F777/D777)*60)*0.9,AND(F777=600),((F777/D777)*60)*1,AND(F777&gt;=601,F777&lt;=625),((F777/D777)*60)*1.2,AND(F777&gt;=626,F777&lt;=650),((F777/D777)*60)*1.5,F777&gt;=651,((F777/D777)*60)*1.8)</f>
        <v>746.84745762711862</v>
      </c>
      <c r="AU777">
        <f t="shared" si="210"/>
        <v>-5.5999999999999979</v>
      </c>
      <c r="AV777">
        <f t="shared" si="225"/>
        <v>307.99186440677965</v>
      </c>
      <c r="AW777">
        <f t="shared" si="211"/>
        <v>30.3</v>
      </c>
      <c r="AX777" t="str">
        <f t="shared" si="223"/>
        <v>Mar-2025</v>
      </c>
      <c r="AY777">
        <f>ROUNDUP(Table2[[#This Row],[Month]]/3,0)</f>
        <v>1</v>
      </c>
    </row>
    <row r="778" spans="1:51" x14ac:dyDescent="0.2">
      <c r="A778">
        <v>777</v>
      </c>
      <c r="B778">
        <f t="shared" si="212"/>
        <v>16</v>
      </c>
      <c r="C778" s="22">
        <v>45746</v>
      </c>
      <c r="D778">
        <f>SUM(Table2[[#This Row],[Gray Min]:[Red Min]])</f>
        <v>61</v>
      </c>
      <c r="E778">
        <v>13</v>
      </c>
      <c r="F778">
        <v>695</v>
      </c>
      <c r="G778">
        <v>128</v>
      </c>
      <c r="H778">
        <v>167</v>
      </c>
      <c r="I778">
        <v>10</v>
      </c>
      <c r="J778">
        <v>16</v>
      </c>
      <c r="K778">
        <v>22</v>
      </c>
      <c r="L778">
        <v>12</v>
      </c>
      <c r="M778">
        <v>1</v>
      </c>
      <c r="N778" t="s">
        <v>232</v>
      </c>
      <c r="O778" t="s">
        <v>79</v>
      </c>
      <c r="P778" t="s">
        <v>233</v>
      </c>
      <c r="Q778">
        <f t="shared" si="224"/>
        <v>2</v>
      </c>
      <c r="R778" t="str">
        <f t="shared" si="213"/>
        <v>3-2025</v>
      </c>
      <c r="S778" t="s">
        <v>117</v>
      </c>
      <c r="T778" t="str">
        <f t="shared" si="214"/>
        <v>Sunday</v>
      </c>
      <c r="U778">
        <f t="shared" si="215"/>
        <v>1</v>
      </c>
      <c r="V778" s="24">
        <f>IFERROR(Table2[[#This Row],[Gray Min]]/Table2[[#This Row],[ClassLength]],"")</f>
        <v>0.16393442622950818</v>
      </c>
      <c r="W778" s="24">
        <f>IFERROR(Table2[[#This Row],[Blue Min]]/Table2[[#This Row],[ClassLength]],"")</f>
        <v>0.26229508196721313</v>
      </c>
      <c r="X778" s="24">
        <f>IFERROR(Table2[[#This Row],[Green Min]]/Table2[[#This Row],[ClassLength]],"")</f>
        <v>0.36065573770491804</v>
      </c>
      <c r="Y778" s="24">
        <f>IFERROR(Table2[[#This Row],[Orange Min]]/Table2[[#This Row],[ClassLength]],"")</f>
        <v>0.19672131147540983</v>
      </c>
      <c r="Z778" s="24">
        <f>IFERROR(Table2[[#This Row],[Red Min]]/Table2[[#This Row],[ClassLength]],"")</f>
        <v>1.6393442622950821E-2</v>
      </c>
      <c r="AA778" s="25">
        <v>169</v>
      </c>
      <c r="AB778" s="25">
        <f t="shared" si="209"/>
        <v>10.5625</v>
      </c>
      <c r="AC778" s="26">
        <f t="shared" si="216"/>
        <v>619.3125</v>
      </c>
      <c r="AD778" s="26">
        <f t="shared" si="217"/>
        <v>13.9375</v>
      </c>
      <c r="AE778">
        <f t="shared" si="218"/>
        <v>2025</v>
      </c>
      <c r="AG778">
        <v>12</v>
      </c>
      <c r="AH778" s="26">
        <f t="shared" si="219"/>
        <v>11.39344262295082</v>
      </c>
      <c r="AI778" t="str">
        <f t="shared" si="220"/>
        <v>AM</v>
      </c>
      <c r="AJ778" t="str">
        <f t="shared" si="221"/>
        <v>3-2025-6</v>
      </c>
      <c r="AK778">
        <f t="shared" si="222"/>
        <v>3</v>
      </c>
      <c r="AL778" s="26">
        <f>IFERROR(Table2[[#This Row],[Calories]]/Table2[[#This Row],[Splat]],"")</f>
        <v>53.46153846153846</v>
      </c>
      <c r="AM778">
        <f>COUNTIF(N$2:$N$938,N778)</f>
        <v>1</v>
      </c>
      <c r="AN778" t="str">
        <f>VLOOKUP(N778,'Helpful Tables'!A:D,4,FALSE)</f>
        <v>Washington</v>
      </c>
      <c r="AO778" s="24">
        <f>COUNTIF(AN:AN,Table2[[#This Row],[State]])/COUNTA(AN:AN)</f>
        <v>2.1321961620469083E-3</v>
      </c>
      <c r="AP778">
        <f>VLOOKUP(N778,'Helpful Tables'!A:B,2,FALSE)</f>
        <v>45.617420000000003</v>
      </c>
      <c r="AQ778">
        <f>VLOOKUP(N778,'Helpful Tables'!A:C,3,FALSE)</f>
        <v>-122.47685799999999</v>
      </c>
      <c r="AR778">
        <f>COUNTIF(P$2:$P$938,P778)</f>
        <v>1</v>
      </c>
      <c r="AS778" cm="1">
        <f t="array" ref="AS778">_xlfn.IFS(E778&lt;6,((E778/D778)*60)*0.5,AND(E778&gt;=6,E778&lt;9),((E778/D778)*60)*0.75,AND(E778&gt;=9,E778&lt;=11),((E778/D778)*60)*0.9,AND(E778=12),((E778/D778)*60)*1,AND(E778&gt;=13,E778&lt;=15),((E778/D778)*60)*1.2,AND(E778&gt;=16,E778&lt;=19),((E778/D778)*60)*1.5,E778&gt;=20,((E778/D778)*60)*1.8)</f>
        <v>15.344262295081965</v>
      </c>
      <c r="AT778" cm="1">
        <f t="array" ref="AT778">_xlfn.IFS(F778&lt;550,((F778/D778)*60)*0.5,AND(F778&gt;=550,F778&lt;575),((F778/D778)*60)*0.75,AND(F778&gt;=575,F778&lt;600),((F778/D778)*60)*0.9,AND(F778=600),((F778/D778)*60)*1,AND(F778&gt;=601,F778&lt;=625),((F778/D778)*60)*1.2,AND(F778&gt;=626,F778&lt;=650),((F778/D778)*60)*1.5,F778&gt;=651,((F778/D778)*60)*1.8)</f>
        <v>1230.4918032786886</v>
      </c>
      <c r="AU778">
        <f t="shared" si="210"/>
        <v>13.899999999999999</v>
      </c>
      <c r="AV778">
        <f t="shared" si="225"/>
        <v>501.11442622950824</v>
      </c>
      <c r="AW778">
        <f t="shared" si="211"/>
        <v>79.400000000000006</v>
      </c>
      <c r="AX778" t="str">
        <f t="shared" si="223"/>
        <v>Mar-2025</v>
      </c>
      <c r="AY778">
        <f>ROUNDUP(Table2[[#This Row],[Month]]/3,0)</f>
        <v>1</v>
      </c>
    </row>
    <row r="779" spans="1:51" x14ac:dyDescent="0.2">
      <c r="A779">
        <v>778</v>
      </c>
      <c r="B779">
        <f t="shared" si="212"/>
        <v>13</v>
      </c>
      <c r="C779" s="22">
        <v>45748</v>
      </c>
      <c r="D779">
        <f>SUM(Table2[[#This Row],[Gray Min]:[Red Min]])</f>
        <v>60</v>
      </c>
      <c r="E779">
        <v>15</v>
      </c>
      <c r="F779">
        <v>627</v>
      </c>
      <c r="G779">
        <v>123</v>
      </c>
      <c r="H779">
        <v>171</v>
      </c>
      <c r="I779">
        <v>17</v>
      </c>
      <c r="J779">
        <v>14</v>
      </c>
      <c r="K779">
        <v>14</v>
      </c>
      <c r="L779">
        <v>14</v>
      </c>
      <c r="M779">
        <v>1</v>
      </c>
      <c r="N779" t="s">
        <v>125</v>
      </c>
      <c r="O779" t="s">
        <v>127</v>
      </c>
      <c r="P779" t="s">
        <v>220</v>
      </c>
      <c r="Q779">
        <f t="shared" si="224"/>
        <v>2</v>
      </c>
      <c r="R779" t="str">
        <f t="shared" si="213"/>
        <v>4-2025</v>
      </c>
      <c r="S779" t="s">
        <v>104</v>
      </c>
      <c r="T779" t="str">
        <f t="shared" si="214"/>
        <v>Tuesday</v>
      </c>
      <c r="U779">
        <f t="shared" si="215"/>
        <v>1</v>
      </c>
      <c r="V779" s="24">
        <f>IFERROR(Table2[[#This Row],[Gray Min]]/Table2[[#This Row],[ClassLength]],"")</f>
        <v>0.28333333333333333</v>
      </c>
      <c r="W779" s="24">
        <f>IFERROR(Table2[[#This Row],[Blue Min]]/Table2[[#This Row],[ClassLength]],"")</f>
        <v>0.23333333333333334</v>
      </c>
      <c r="X779" s="24">
        <f>IFERROR(Table2[[#This Row],[Green Min]]/Table2[[#This Row],[ClassLength]],"")</f>
        <v>0.23333333333333334</v>
      </c>
      <c r="Y779" s="24">
        <f>IFERROR(Table2[[#This Row],[Orange Min]]/Table2[[#This Row],[ClassLength]],"")</f>
        <v>0.23333333333333334</v>
      </c>
      <c r="Z779" s="24">
        <f>IFERROR(Table2[[#This Row],[Red Min]]/Table2[[#This Row],[ClassLength]],"")</f>
        <v>1.6666666666666666E-2</v>
      </c>
      <c r="AA779" s="25">
        <v>169</v>
      </c>
      <c r="AB779" s="25">
        <f t="shared" si="209"/>
        <v>13</v>
      </c>
      <c r="AC779" s="26">
        <f t="shared" si="216"/>
        <v>617.23076923076928</v>
      </c>
      <c r="AD779" s="26">
        <f t="shared" si="217"/>
        <v>14.846153846153847</v>
      </c>
      <c r="AE779">
        <f t="shared" si="218"/>
        <v>2025</v>
      </c>
      <c r="AG779">
        <v>12</v>
      </c>
      <c r="AH779" s="26">
        <f t="shared" si="219"/>
        <v>10.45</v>
      </c>
      <c r="AI779" t="str">
        <f t="shared" si="220"/>
        <v>PM</v>
      </c>
      <c r="AJ779" t="str">
        <f t="shared" si="221"/>
        <v>4-2025-1</v>
      </c>
      <c r="AK779">
        <f t="shared" si="222"/>
        <v>4</v>
      </c>
      <c r="AL779" s="26">
        <f>IFERROR(Table2[[#This Row],[Calories]]/Table2[[#This Row],[Splat]],"")</f>
        <v>41.8</v>
      </c>
      <c r="AM779">
        <f>COUNTIF(N$2:$N$938,N779)</f>
        <v>258</v>
      </c>
      <c r="AN779" t="str">
        <f>VLOOKUP(N779,'Helpful Tables'!A:D,4,FALSE)</f>
        <v>Oregon</v>
      </c>
      <c r="AO779" s="24">
        <f>COUNTIF(AN:AN,Table2[[#This Row],[State]])/COUNTA(AN:AN)</f>
        <v>0.36140724946695096</v>
      </c>
      <c r="AP779">
        <f>VLOOKUP(N779,'Helpful Tables'!A:B,2,FALSE)</f>
        <v>45.534162000000002</v>
      </c>
      <c r="AQ779">
        <f>VLOOKUP(N779,'Helpful Tables'!A:C,3,FALSE)</f>
        <v>-122.69670000000001</v>
      </c>
      <c r="AR779">
        <f>COUNTIF(P$2:$P$938,P779)</f>
        <v>43</v>
      </c>
      <c r="AS779" cm="1">
        <f t="array" ref="AS779">_xlfn.IFS(E779&lt;6,((E779/D779)*60)*0.5,AND(E779&gt;=6,E779&lt;9),((E779/D779)*60)*0.75,AND(E779&gt;=9,E779&lt;=11),((E779/D779)*60)*0.9,AND(E779=12),((E779/D779)*60)*1,AND(E779&gt;=13,E779&lt;=15),((E779/D779)*60)*1.2,AND(E779&gt;=16,E779&lt;=19),((E779/D779)*60)*1.5,E779&gt;=20,((E779/D779)*60)*1.8)</f>
        <v>18</v>
      </c>
      <c r="AT779" cm="1">
        <f t="array" ref="AT779">_xlfn.IFS(F779&lt;550,((F779/D779)*60)*0.5,AND(F779&gt;=550,F779&lt;575),((F779/D779)*60)*0.75,AND(F779&gt;=575,F779&lt;600),((F779/D779)*60)*0.9,AND(F779=600),((F779/D779)*60)*1,AND(F779&gt;=601,F779&lt;=625),((F779/D779)*60)*1.2,AND(F779&gt;=626,F779&lt;=650),((F779/D779)*60)*1.5,F779&gt;=651,((F779/D779)*60)*1.8)</f>
        <v>940.5</v>
      </c>
      <c r="AU779">
        <f t="shared" si="210"/>
        <v>0.70000000000000284</v>
      </c>
      <c r="AV779">
        <f t="shared" si="225"/>
        <v>383.54</v>
      </c>
      <c r="AW779">
        <f t="shared" si="211"/>
        <v>46.2</v>
      </c>
      <c r="AX779" t="str">
        <f t="shared" si="223"/>
        <v>Apr-2025</v>
      </c>
      <c r="AY779">
        <f>ROUNDUP(Table2[[#This Row],[Month]]/3,0)</f>
        <v>2</v>
      </c>
    </row>
    <row r="780" spans="1:51" x14ac:dyDescent="0.2">
      <c r="A780">
        <v>779</v>
      </c>
      <c r="B780">
        <f t="shared" si="212"/>
        <v>13</v>
      </c>
      <c r="C780" s="22">
        <v>45750</v>
      </c>
      <c r="D780">
        <f>SUM(Table2[[#This Row],[Gray Min]:[Red Min]])</f>
        <v>58</v>
      </c>
      <c r="E780">
        <v>9</v>
      </c>
      <c r="F780">
        <v>573</v>
      </c>
      <c r="G780">
        <v>118</v>
      </c>
      <c r="H780">
        <v>167</v>
      </c>
      <c r="I780">
        <v>22</v>
      </c>
      <c r="J780">
        <v>15</v>
      </c>
      <c r="K780">
        <v>12</v>
      </c>
      <c r="L780">
        <v>8</v>
      </c>
      <c r="M780">
        <v>1</v>
      </c>
      <c r="N780" t="s">
        <v>125</v>
      </c>
      <c r="O780" t="s">
        <v>127</v>
      </c>
      <c r="P780" t="s">
        <v>222</v>
      </c>
      <c r="Q780">
        <f t="shared" si="224"/>
        <v>2</v>
      </c>
      <c r="R780" t="str">
        <f t="shared" si="213"/>
        <v>4-2025</v>
      </c>
      <c r="S780" t="s">
        <v>104</v>
      </c>
      <c r="T780" t="str">
        <f t="shared" si="214"/>
        <v>Thursday</v>
      </c>
      <c r="U780">
        <f t="shared" si="215"/>
        <v>0</v>
      </c>
      <c r="V780" s="24">
        <f>IFERROR(Table2[[#This Row],[Gray Min]]/Table2[[#This Row],[ClassLength]],"")</f>
        <v>0.37931034482758619</v>
      </c>
      <c r="W780" s="24">
        <f>IFERROR(Table2[[#This Row],[Blue Min]]/Table2[[#This Row],[ClassLength]],"")</f>
        <v>0.25862068965517243</v>
      </c>
      <c r="X780" s="24">
        <f>IFERROR(Table2[[#This Row],[Green Min]]/Table2[[#This Row],[ClassLength]],"")</f>
        <v>0.20689655172413793</v>
      </c>
      <c r="Y780" s="24">
        <f>IFERROR(Table2[[#This Row],[Orange Min]]/Table2[[#This Row],[ClassLength]],"")</f>
        <v>0.13793103448275862</v>
      </c>
      <c r="Z780" s="24">
        <f>IFERROR(Table2[[#This Row],[Red Min]]/Table2[[#This Row],[ClassLength]],"")</f>
        <v>1.7241379310344827E-2</v>
      </c>
      <c r="AA780" s="25">
        <v>169</v>
      </c>
      <c r="AB780" s="25">
        <f t="shared" si="209"/>
        <v>13</v>
      </c>
      <c r="AC780" s="26">
        <f t="shared" si="216"/>
        <v>617.23076923076928</v>
      </c>
      <c r="AD780" s="26">
        <f t="shared" si="217"/>
        <v>14.846153846153847</v>
      </c>
      <c r="AE780">
        <f t="shared" si="218"/>
        <v>2025</v>
      </c>
      <c r="AG780">
        <v>12</v>
      </c>
      <c r="AH780" s="26">
        <f t="shared" si="219"/>
        <v>9.8793103448275854</v>
      </c>
      <c r="AI780" t="str">
        <f t="shared" si="220"/>
        <v>PM</v>
      </c>
      <c r="AJ780" t="str">
        <f t="shared" si="221"/>
        <v>4-2025-1</v>
      </c>
      <c r="AK780">
        <f t="shared" si="222"/>
        <v>4</v>
      </c>
      <c r="AL780" s="26">
        <f>IFERROR(Table2[[#This Row],[Calories]]/Table2[[#This Row],[Splat]],"")</f>
        <v>63.666666666666664</v>
      </c>
      <c r="AM780">
        <f>COUNTIF(N$2:$N$938,N780)</f>
        <v>258</v>
      </c>
      <c r="AN780" t="str">
        <f>VLOOKUP(N780,'Helpful Tables'!A:D,4,FALSE)</f>
        <v>Oregon</v>
      </c>
      <c r="AO780" s="24">
        <f>COUNTIF(AN:AN,Table2[[#This Row],[State]])/COUNTA(AN:AN)</f>
        <v>0.36140724946695096</v>
      </c>
      <c r="AP780">
        <f>VLOOKUP(N780,'Helpful Tables'!A:B,2,FALSE)</f>
        <v>45.534162000000002</v>
      </c>
      <c r="AQ780">
        <f>VLOOKUP(N780,'Helpful Tables'!A:C,3,FALSE)</f>
        <v>-122.69670000000001</v>
      </c>
      <c r="AR780">
        <f>COUNTIF(P$2:$P$938,P780)</f>
        <v>32</v>
      </c>
      <c r="AS780" cm="1">
        <f t="array" ref="AS780">_xlfn.IFS(E780&lt;6,((E780/D780)*60)*0.5,AND(E780&gt;=6,E780&lt;9),((E780/D780)*60)*0.75,AND(E780&gt;=9,E780&lt;=11),((E780/D780)*60)*0.9,AND(E780=12),((E780/D780)*60)*1,AND(E780&gt;=13,E780&lt;=15),((E780/D780)*60)*1.2,AND(E780&gt;=16,E780&lt;=19),((E780/D780)*60)*1.5,E780&gt;=20,((E780/D780)*60)*1.8)</f>
        <v>8.3793103448275854</v>
      </c>
      <c r="AT780" cm="1">
        <f t="array" ref="AT780">_xlfn.IFS(F780&lt;550,((F780/D780)*60)*0.5,AND(F780&gt;=550,F780&lt;575),((F780/D780)*60)*0.75,AND(F780&gt;=575,F780&lt;600),((F780/D780)*60)*0.9,AND(F780=600),((F780/D780)*60)*1,AND(F780&gt;=601,F780&lt;=625),((F780/D780)*60)*1.2,AND(F780&gt;=626,F780&lt;=650),((F780/D780)*60)*1.5,F780&gt;=651,((F780/D780)*60)*1.8)</f>
        <v>444.56896551724134</v>
      </c>
      <c r="AU780">
        <f t="shared" si="210"/>
        <v>-16.600000000000001</v>
      </c>
      <c r="AV780">
        <f t="shared" si="225"/>
        <v>177.85931034482758</v>
      </c>
      <c r="AW780">
        <f t="shared" si="211"/>
        <v>10.199999999999999</v>
      </c>
      <c r="AX780" t="str">
        <f t="shared" si="223"/>
        <v>Apr-2025</v>
      </c>
      <c r="AY780">
        <f>ROUNDUP(Table2[[#This Row],[Month]]/3,0)</f>
        <v>2</v>
      </c>
    </row>
    <row r="781" spans="1:51" x14ac:dyDescent="0.2">
      <c r="A781">
        <v>780</v>
      </c>
      <c r="B781">
        <f t="shared" si="212"/>
        <v>13</v>
      </c>
      <c r="C781" s="22">
        <v>45753</v>
      </c>
      <c r="D781">
        <f>SUM(Table2[[#This Row],[Gray Min]:[Red Min]])</f>
        <v>58</v>
      </c>
      <c r="E781">
        <v>15</v>
      </c>
      <c r="F781">
        <v>624</v>
      </c>
      <c r="G781">
        <v>124</v>
      </c>
      <c r="H781">
        <v>168</v>
      </c>
      <c r="I781">
        <v>14</v>
      </c>
      <c r="J781">
        <v>19</v>
      </c>
      <c r="K781">
        <v>10</v>
      </c>
      <c r="L781">
        <v>13</v>
      </c>
      <c r="M781">
        <v>2</v>
      </c>
      <c r="N781" t="s">
        <v>208</v>
      </c>
      <c r="O781" t="s">
        <v>76</v>
      </c>
      <c r="P781" t="s">
        <v>209</v>
      </c>
      <c r="Q781">
        <f t="shared" si="224"/>
        <v>3</v>
      </c>
      <c r="R781" t="str">
        <f t="shared" si="213"/>
        <v>4-2025</v>
      </c>
      <c r="S781" t="s">
        <v>104</v>
      </c>
      <c r="T781" t="str">
        <f t="shared" si="214"/>
        <v>Sunday</v>
      </c>
      <c r="U781">
        <f t="shared" si="215"/>
        <v>1</v>
      </c>
      <c r="V781" s="24">
        <f>IFERROR(Table2[[#This Row],[Gray Min]]/Table2[[#This Row],[ClassLength]],"")</f>
        <v>0.2413793103448276</v>
      </c>
      <c r="W781" s="24">
        <f>IFERROR(Table2[[#This Row],[Blue Min]]/Table2[[#This Row],[ClassLength]],"")</f>
        <v>0.32758620689655171</v>
      </c>
      <c r="X781" s="24">
        <f>IFERROR(Table2[[#This Row],[Green Min]]/Table2[[#This Row],[ClassLength]],"")</f>
        <v>0.17241379310344829</v>
      </c>
      <c r="Y781" s="24">
        <f>IFERROR(Table2[[#This Row],[Orange Min]]/Table2[[#This Row],[ClassLength]],"")</f>
        <v>0.22413793103448276</v>
      </c>
      <c r="Z781" s="24">
        <f>IFERROR(Table2[[#This Row],[Red Min]]/Table2[[#This Row],[ClassLength]],"")</f>
        <v>3.4482758620689655E-2</v>
      </c>
      <c r="AA781" s="25">
        <v>169</v>
      </c>
      <c r="AB781" s="25">
        <f t="shared" si="209"/>
        <v>13</v>
      </c>
      <c r="AC781" s="26">
        <f t="shared" si="216"/>
        <v>617.23076923076928</v>
      </c>
      <c r="AD781" s="26">
        <f t="shared" si="217"/>
        <v>14.846153846153847</v>
      </c>
      <c r="AE781">
        <f t="shared" si="218"/>
        <v>2025</v>
      </c>
      <c r="AG781">
        <v>12</v>
      </c>
      <c r="AH781" s="26">
        <f t="shared" si="219"/>
        <v>10.758620689655173</v>
      </c>
      <c r="AI781" t="str">
        <f t="shared" si="220"/>
        <v>AM</v>
      </c>
      <c r="AJ781" t="str">
        <f t="shared" si="221"/>
        <v>4-2025-2</v>
      </c>
      <c r="AK781">
        <f t="shared" si="222"/>
        <v>4</v>
      </c>
      <c r="AL781" s="26">
        <f>IFERROR(Table2[[#This Row],[Calories]]/Table2[[#This Row],[Splat]],"")</f>
        <v>41.6</v>
      </c>
      <c r="AM781">
        <f>COUNTIF(N$2:$N$938,N781)</f>
        <v>78</v>
      </c>
      <c r="AN781" t="str">
        <f>VLOOKUP(N781,'Helpful Tables'!A:D,4,FALSE)</f>
        <v>Oregon</v>
      </c>
      <c r="AO781" s="24">
        <f>COUNTIF(AN:AN,Table2[[#This Row],[State]])/COUNTA(AN:AN)</f>
        <v>0.36140724946695096</v>
      </c>
      <c r="AP781">
        <f>VLOOKUP(N781,'Helpful Tables'!A:B,2,FALSE)</f>
        <v>45.525092999999998</v>
      </c>
      <c r="AQ781">
        <f>VLOOKUP(N781,'Helpful Tables'!A:C,3,FALSE)</f>
        <v>-122.681383</v>
      </c>
      <c r="AR781">
        <f>COUNTIF(P$2:$P$938,P781)</f>
        <v>20</v>
      </c>
      <c r="AS781" cm="1">
        <f t="array" ref="AS781">_xlfn.IFS(E781&lt;6,((E781/D781)*60)*0.5,AND(E781&gt;=6,E781&lt;9),((E781/D781)*60)*0.75,AND(E781&gt;=9,E781&lt;=11),((E781/D781)*60)*0.9,AND(E781=12),((E781/D781)*60)*1,AND(E781&gt;=13,E781&lt;=15),((E781/D781)*60)*1.2,AND(E781&gt;=16,E781&lt;=19),((E781/D781)*60)*1.5,E781&gt;=20,((E781/D781)*60)*1.8)</f>
        <v>18.620689655172413</v>
      </c>
      <c r="AT781" cm="1">
        <f t="array" ref="AT781">_xlfn.IFS(F781&lt;550,((F781/D781)*60)*0.5,AND(F781&gt;=550,F781&lt;575),((F781/D781)*60)*0.75,AND(F781&gt;=575,F781&lt;600),((F781/D781)*60)*0.9,AND(F781=600),((F781/D781)*60)*1,AND(F781&gt;=601,F781&lt;=625),((F781/D781)*60)*1.2,AND(F781&gt;=626,F781&lt;=650),((F781/D781)*60)*1.5,F781&gt;=651,((F781/D781)*60)*1.8)</f>
        <v>774.62068965517244</v>
      </c>
      <c r="AU781">
        <f t="shared" si="210"/>
        <v>-5.8000000000000007</v>
      </c>
      <c r="AV781">
        <f t="shared" si="225"/>
        <v>316.13655172413792</v>
      </c>
      <c r="AW781">
        <f t="shared" si="211"/>
        <v>34.599999999999994</v>
      </c>
      <c r="AX781" t="str">
        <f t="shared" si="223"/>
        <v>Apr-2025</v>
      </c>
      <c r="AY781">
        <f>ROUNDUP(Table2[[#This Row],[Month]]/3,0)</f>
        <v>2</v>
      </c>
    </row>
    <row r="782" spans="1:51" x14ac:dyDescent="0.2">
      <c r="A782">
        <v>781</v>
      </c>
      <c r="B782">
        <f t="shared" si="212"/>
        <v>13</v>
      </c>
      <c r="C782" s="22">
        <v>45754</v>
      </c>
      <c r="D782">
        <f>SUM(Table2[[#This Row],[Gray Min]:[Red Min]])</f>
        <v>60</v>
      </c>
      <c r="E782">
        <v>19</v>
      </c>
      <c r="F782">
        <v>540</v>
      </c>
      <c r="G782">
        <v>113</v>
      </c>
      <c r="H782">
        <v>166</v>
      </c>
      <c r="I782">
        <v>30</v>
      </c>
      <c r="J782">
        <v>5</v>
      </c>
      <c r="K782">
        <v>6</v>
      </c>
      <c r="L782">
        <v>18</v>
      </c>
      <c r="M782">
        <v>1</v>
      </c>
      <c r="N782" t="s">
        <v>125</v>
      </c>
      <c r="O782" t="s">
        <v>127</v>
      </c>
      <c r="P782" t="s">
        <v>220</v>
      </c>
      <c r="Q782">
        <f t="shared" si="224"/>
        <v>1</v>
      </c>
      <c r="R782" t="str">
        <f t="shared" si="213"/>
        <v>4-2025</v>
      </c>
      <c r="S782" t="s">
        <v>104</v>
      </c>
      <c r="T782" t="str">
        <f t="shared" si="214"/>
        <v>Monday</v>
      </c>
      <c r="U782">
        <f t="shared" si="215"/>
        <v>1</v>
      </c>
      <c r="V782" s="24">
        <f>IFERROR(Table2[[#This Row],[Gray Min]]/Table2[[#This Row],[ClassLength]],"")</f>
        <v>0.5</v>
      </c>
      <c r="W782" s="24">
        <f>IFERROR(Table2[[#This Row],[Blue Min]]/Table2[[#This Row],[ClassLength]],"")</f>
        <v>8.3333333333333329E-2</v>
      </c>
      <c r="X782" s="24">
        <f>IFERROR(Table2[[#This Row],[Green Min]]/Table2[[#This Row],[ClassLength]],"")</f>
        <v>0.1</v>
      </c>
      <c r="Y782" s="24">
        <f>IFERROR(Table2[[#This Row],[Orange Min]]/Table2[[#This Row],[ClassLength]],"")</f>
        <v>0.3</v>
      </c>
      <c r="Z782" s="24">
        <f>IFERROR(Table2[[#This Row],[Red Min]]/Table2[[#This Row],[ClassLength]],"")</f>
        <v>1.6666666666666666E-2</v>
      </c>
      <c r="AA782" s="25">
        <v>169</v>
      </c>
      <c r="AB782" s="25">
        <f t="shared" si="209"/>
        <v>13</v>
      </c>
      <c r="AC782" s="26">
        <f t="shared" si="216"/>
        <v>617.23076923076928</v>
      </c>
      <c r="AD782" s="26">
        <f t="shared" si="217"/>
        <v>14.846153846153847</v>
      </c>
      <c r="AE782">
        <f t="shared" si="218"/>
        <v>2025</v>
      </c>
      <c r="AG782">
        <v>12</v>
      </c>
      <c r="AH782" s="26">
        <f t="shared" si="219"/>
        <v>9</v>
      </c>
      <c r="AI782" t="str">
        <f t="shared" si="220"/>
        <v>PM</v>
      </c>
      <c r="AJ782" t="str">
        <f t="shared" si="221"/>
        <v>4-2025-2</v>
      </c>
      <c r="AK782">
        <f t="shared" si="222"/>
        <v>4</v>
      </c>
      <c r="AL782" s="26">
        <f>IFERROR(Table2[[#This Row],[Calories]]/Table2[[#This Row],[Splat]],"")</f>
        <v>28.421052631578949</v>
      </c>
      <c r="AM782">
        <f>COUNTIF(N$2:$N$938,N782)</f>
        <v>258</v>
      </c>
      <c r="AN782" t="str">
        <f>VLOOKUP(N782,'Helpful Tables'!A:D,4,FALSE)</f>
        <v>Oregon</v>
      </c>
      <c r="AO782" s="24">
        <f>COUNTIF(AN:AN,Table2[[#This Row],[State]])/COUNTA(AN:AN)</f>
        <v>0.36140724946695096</v>
      </c>
      <c r="AP782">
        <f>VLOOKUP(N782,'Helpful Tables'!A:B,2,FALSE)</f>
        <v>45.534162000000002</v>
      </c>
      <c r="AQ782">
        <f>VLOOKUP(N782,'Helpful Tables'!A:C,3,FALSE)</f>
        <v>-122.69670000000001</v>
      </c>
      <c r="AR782">
        <f>COUNTIF(P$2:$P$938,P782)</f>
        <v>43</v>
      </c>
      <c r="AS782" cm="1">
        <f t="array" ref="AS782">_xlfn.IFS(E782&lt;6,((E782/D782)*60)*0.5,AND(E782&gt;=6,E782&lt;9),((E782/D782)*60)*0.75,AND(E782&gt;=9,E782&lt;=11),((E782/D782)*60)*0.9,AND(E782=12),((E782/D782)*60)*1,AND(E782&gt;=13,E782&lt;=15),((E782/D782)*60)*1.2,AND(E782&gt;=16,E782&lt;=19),((E782/D782)*60)*1.5,E782&gt;=20,((E782/D782)*60)*1.8)</f>
        <v>28.5</v>
      </c>
      <c r="AT782" cm="1">
        <f t="array" ref="AT782">_xlfn.IFS(F782&lt;550,((F782/D782)*60)*0.5,AND(F782&gt;=550,F782&lt;575),((F782/D782)*60)*0.75,AND(F782&gt;=575,F782&lt;600),((F782/D782)*60)*0.9,AND(F782=600),((F782/D782)*60)*1,AND(F782&gt;=601,F782&lt;=625),((F782/D782)*60)*1.2,AND(F782&gt;=626,F782&lt;=650),((F782/D782)*60)*1.5,F782&gt;=651,((F782/D782)*60)*1.8)</f>
        <v>270</v>
      </c>
      <c r="AU782">
        <f t="shared" si="210"/>
        <v>-9.399999999999995</v>
      </c>
      <c r="AV782">
        <f t="shared" si="225"/>
        <v>117.52000000000001</v>
      </c>
      <c r="AW782">
        <f t="shared" si="211"/>
        <v>6.3</v>
      </c>
      <c r="AX782" t="str">
        <f t="shared" si="223"/>
        <v>Apr-2025</v>
      </c>
      <c r="AY782">
        <f>ROUNDUP(Table2[[#This Row],[Month]]/3,0)</f>
        <v>2</v>
      </c>
    </row>
    <row r="783" spans="1:51" x14ac:dyDescent="0.2">
      <c r="A783">
        <v>782</v>
      </c>
      <c r="B783">
        <f t="shared" si="212"/>
        <v>13</v>
      </c>
      <c r="C783" s="22">
        <v>45757</v>
      </c>
      <c r="D783">
        <f>SUM(Table2[[#This Row],[Gray Min]:[Red Min]])</f>
        <v>56</v>
      </c>
      <c r="E783">
        <v>19</v>
      </c>
      <c r="F783">
        <v>600</v>
      </c>
      <c r="G783">
        <v>123</v>
      </c>
      <c r="H783">
        <v>164</v>
      </c>
      <c r="I783">
        <v>20</v>
      </c>
      <c r="J783">
        <v>10</v>
      </c>
      <c r="K783">
        <v>7</v>
      </c>
      <c r="L783">
        <v>15</v>
      </c>
      <c r="M783">
        <v>4</v>
      </c>
      <c r="N783" t="s">
        <v>125</v>
      </c>
      <c r="O783" t="s">
        <v>127</v>
      </c>
      <c r="P783" t="s">
        <v>222</v>
      </c>
      <c r="Q783">
        <f t="shared" si="224"/>
        <v>3</v>
      </c>
      <c r="R783" t="str">
        <f t="shared" si="213"/>
        <v>4-2025</v>
      </c>
      <c r="S783" t="s">
        <v>104</v>
      </c>
      <c r="T783" t="str">
        <f t="shared" si="214"/>
        <v>Thursday</v>
      </c>
      <c r="U783">
        <f t="shared" si="215"/>
        <v>1</v>
      </c>
      <c r="V783" s="24">
        <f>IFERROR(Table2[[#This Row],[Gray Min]]/Table2[[#This Row],[ClassLength]],"")</f>
        <v>0.35714285714285715</v>
      </c>
      <c r="W783" s="24">
        <f>IFERROR(Table2[[#This Row],[Blue Min]]/Table2[[#This Row],[ClassLength]],"")</f>
        <v>0.17857142857142858</v>
      </c>
      <c r="X783" s="24">
        <f>IFERROR(Table2[[#This Row],[Green Min]]/Table2[[#This Row],[ClassLength]],"")</f>
        <v>0.125</v>
      </c>
      <c r="Y783" s="24">
        <f>IFERROR(Table2[[#This Row],[Orange Min]]/Table2[[#This Row],[ClassLength]],"")</f>
        <v>0.26785714285714285</v>
      </c>
      <c r="Z783" s="24">
        <f>IFERROR(Table2[[#This Row],[Red Min]]/Table2[[#This Row],[ClassLength]],"")</f>
        <v>7.1428571428571425E-2</v>
      </c>
      <c r="AA783" s="25">
        <v>169</v>
      </c>
      <c r="AB783" s="25">
        <f t="shared" si="209"/>
        <v>13</v>
      </c>
      <c r="AC783" s="26">
        <f t="shared" si="216"/>
        <v>617.23076923076928</v>
      </c>
      <c r="AD783" s="26">
        <f t="shared" si="217"/>
        <v>14.846153846153847</v>
      </c>
      <c r="AE783">
        <f t="shared" si="218"/>
        <v>2025</v>
      </c>
      <c r="AG783">
        <v>12</v>
      </c>
      <c r="AH783" s="26">
        <f t="shared" si="219"/>
        <v>10.714285714285714</v>
      </c>
      <c r="AI783" t="str">
        <f t="shared" si="220"/>
        <v>PM</v>
      </c>
      <c r="AJ783" t="str">
        <f t="shared" si="221"/>
        <v>4-2025-2</v>
      </c>
      <c r="AK783">
        <f t="shared" si="222"/>
        <v>4</v>
      </c>
      <c r="AL783" s="26">
        <f>IFERROR(Table2[[#This Row],[Calories]]/Table2[[#This Row],[Splat]],"")</f>
        <v>31.578947368421051</v>
      </c>
      <c r="AM783">
        <f>COUNTIF(N$2:$N$938,N783)</f>
        <v>258</v>
      </c>
      <c r="AN783" t="str">
        <f>VLOOKUP(N783,'Helpful Tables'!A:D,4,FALSE)</f>
        <v>Oregon</v>
      </c>
      <c r="AO783" s="24">
        <f>COUNTIF(AN:AN,Table2[[#This Row],[State]])/COUNTA(AN:AN)</f>
        <v>0.36140724946695096</v>
      </c>
      <c r="AP783">
        <f>VLOOKUP(N783,'Helpful Tables'!A:B,2,FALSE)</f>
        <v>45.534162000000002</v>
      </c>
      <c r="AQ783">
        <f>VLOOKUP(N783,'Helpful Tables'!A:C,3,FALSE)</f>
        <v>-122.69670000000001</v>
      </c>
      <c r="AR783">
        <f>COUNTIF(P$2:$P$938,P783)</f>
        <v>32</v>
      </c>
      <c r="AS783" cm="1">
        <f t="array" ref="AS783">_xlfn.IFS(E783&lt;6,((E783/D783)*60)*0.5,AND(E783&gt;=6,E783&lt;9),((E783/D783)*60)*0.75,AND(E783&gt;=9,E783&lt;=11),((E783/D783)*60)*0.9,AND(E783=12),((E783/D783)*60)*1,AND(E783&gt;=13,E783&lt;=15),((E783/D783)*60)*1.2,AND(E783&gt;=16,E783&lt;=19),((E783/D783)*60)*1.5,E783&gt;=20,((E783/D783)*60)*1.8)</f>
        <v>30.535714285714285</v>
      </c>
      <c r="AT783" cm="1">
        <f t="array" ref="AT783">_xlfn.IFS(F783&lt;550,((F783/D783)*60)*0.5,AND(F783&gt;=550,F783&lt;575),((F783/D783)*60)*0.75,AND(F783&gt;=575,F783&lt;600),((F783/D783)*60)*0.9,AND(F783=600),((F783/D783)*60)*1,AND(F783&gt;=601,F783&lt;=625),((F783/D783)*60)*1.2,AND(F783&gt;=626,F783&lt;=650),((F783/D783)*60)*1.5,F783&gt;=651,((F783/D783)*60)*1.8)</f>
        <v>642.85714285714278</v>
      </c>
      <c r="AU783">
        <f t="shared" si="210"/>
        <v>-1.1000000000000014</v>
      </c>
      <c r="AV783">
        <f t="shared" si="225"/>
        <v>269.13714285714281</v>
      </c>
      <c r="AW783">
        <f t="shared" si="211"/>
        <v>23.7</v>
      </c>
      <c r="AX783" t="str">
        <f t="shared" si="223"/>
        <v>Apr-2025</v>
      </c>
      <c r="AY783">
        <f>ROUNDUP(Table2[[#This Row],[Month]]/3,0)</f>
        <v>2</v>
      </c>
    </row>
    <row r="784" spans="1:51" x14ac:dyDescent="0.2">
      <c r="A784">
        <v>783</v>
      </c>
      <c r="B784">
        <f t="shared" si="212"/>
        <v>13</v>
      </c>
      <c r="C784" s="22">
        <v>45759</v>
      </c>
      <c r="D784">
        <f>SUM(Table2[[#This Row],[Gray Min]:[Red Min]])</f>
        <v>56</v>
      </c>
      <c r="E784">
        <v>13</v>
      </c>
      <c r="F784">
        <v>600</v>
      </c>
      <c r="G784">
        <v>124</v>
      </c>
      <c r="H784">
        <v>165</v>
      </c>
      <c r="I784">
        <v>13</v>
      </c>
      <c r="J784">
        <v>19</v>
      </c>
      <c r="K784">
        <v>11</v>
      </c>
      <c r="L784">
        <v>12</v>
      </c>
      <c r="M784">
        <v>1</v>
      </c>
      <c r="N784" t="s">
        <v>208</v>
      </c>
      <c r="O784" t="s">
        <v>76</v>
      </c>
      <c r="P784" t="s">
        <v>213</v>
      </c>
      <c r="Q784">
        <f t="shared" si="224"/>
        <v>2</v>
      </c>
      <c r="R784" t="str">
        <f t="shared" si="213"/>
        <v>4-2025</v>
      </c>
      <c r="S784" t="s">
        <v>104</v>
      </c>
      <c r="T784" t="str">
        <f t="shared" si="214"/>
        <v>Saturday</v>
      </c>
      <c r="U784">
        <f t="shared" si="215"/>
        <v>1</v>
      </c>
      <c r="V784" s="24">
        <f>IFERROR(Table2[[#This Row],[Gray Min]]/Table2[[#This Row],[ClassLength]],"")</f>
        <v>0.23214285714285715</v>
      </c>
      <c r="W784" s="24">
        <f>IFERROR(Table2[[#This Row],[Blue Min]]/Table2[[#This Row],[ClassLength]],"")</f>
        <v>0.3392857142857143</v>
      </c>
      <c r="X784" s="24">
        <f>IFERROR(Table2[[#This Row],[Green Min]]/Table2[[#This Row],[ClassLength]],"")</f>
        <v>0.19642857142857142</v>
      </c>
      <c r="Y784" s="24">
        <f>IFERROR(Table2[[#This Row],[Orange Min]]/Table2[[#This Row],[ClassLength]],"")</f>
        <v>0.21428571428571427</v>
      </c>
      <c r="Z784" s="24">
        <f>IFERROR(Table2[[#This Row],[Red Min]]/Table2[[#This Row],[ClassLength]],"")</f>
        <v>1.7857142857142856E-2</v>
      </c>
      <c r="AA784" s="25">
        <v>169</v>
      </c>
      <c r="AB784" s="25">
        <f t="shared" ref="AB784:AB847" si="226">AA784/B784</f>
        <v>13</v>
      </c>
      <c r="AC784" s="26">
        <f t="shared" si="216"/>
        <v>617.23076923076928</v>
      </c>
      <c r="AD784" s="26">
        <f t="shared" si="217"/>
        <v>14.846153846153847</v>
      </c>
      <c r="AE784">
        <f t="shared" si="218"/>
        <v>2025</v>
      </c>
      <c r="AG784">
        <v>12</v>
      </c>
      <c r="AH784" s="26">
        <f t="shared" si="219"/>
        <v>10.714285714285714</v>
      </c>
      <c r="AI784" t="str">
        <f t="shared" si="220"/>
        <v>AM</v>
      </c>
      <c r="AJ784" t="str">
        <f t="shared" si="221"/>
        <v>4-2025-2</v>
      </c>
      <c r="AK784">
        <f t="shared" si="222"/>
        <v>4</v>
      </c>
      <c r="AL784" s="26">
        <f>IFERROR(Table2[[#This Row],[Calories]]/Table2[[#This Row],[Splat]],"")</f>
        <v>46.153846153846153</v>
      </c>
      <c r="AM784">
        <f>COUNTIF(N$2:$N$938,N784)</f>
        <v>78</v>
      </c>
      <c r="AN784" t="str">
        <f>VLOOKUP(N784,'Helpful Tables'!A:D,4,FALSE)</f>
        <v>Oregon</v>
      </c>
      <c r="AO784" s="24">
        <f>COUNTIF(AN:AN,Table2[[#This Row],[State]])/COUNTA(AN:AN)</f>
        <v>0.36140724946695096</v>
      </c>
      <c r="AP784">
        <f>VLOOKUP(N784,'Helpful Tables'!A:B,2,FALSE)</f>
        <v>45.525092999999998</v>
      </c>
      <c r="AQ784">
        <f>VLOOKUP(N784,'Helpful Tables'!A:C,3,FALSE)</f>
        <v>-122.681383</v>
      </c>
      <c r="AR784">
        <f>COUNTIF(P$2:$P$938,P784)</f>
        <v>40</v>
      </c>
      <c r="AS784" cm="1">
        <f t="array" ref="AS784">_xlfn.IFS(E784&lt;6,((E784/D784)*60)*0.5,AND(E784&gt;=6,E784&lt;9),((E784/D784)*60)*0.75,AND(E784&gt;=9,E784&lt;=11),((E784/D784)*60)*0.9,AND(E784=12),((E784/D784)*60)*1,AND(E784&gt;=13,E784&lt;=15),((E784/D784)*60)*1.2,AND(E784&gt;=16,E784&lt;=19),((E784/D784)*60)*1.5,E784&gt;=20,((E784/D784)*60)*1.8)</f>
        <v>16.714285714285715</v>
      </c>
      <c r="AT784" cm="1">
        <f t="array" ref="AT784">_xlfn.IFS(F784&lt;550,((F784/D784)*60)*0.5,AND(F784&gt;=550,F784&lt;575),((F784/D784)*60)*0.75,AND(F784&gt;=575,F784&lt;600),((F784/D784)*60)*0.9,AND(F784=600),((F784/D784)*60)*1,AND(F784&gt;=601,F784&lt;=625),((F784/D784)*60)*1.2,AND(F784&gt;=626,F784&lt;=650),((F784/D784)*60)*1.5,F784&gt;=651,((F784/D784)*60)*1.8)</f>
        <v>642.85714285714278</v>
      </c>
      <c r="AU784">
        <f t="shared" si="210"/>
        <v>-6.1999999999999993</v>
      </c>
      <c r="AV784">
        <f t="shared" si="225"/>
        <v>262.58857142857141</v>
      </c>
      <c r="AW784">
        <f t="shared" si="211"/>
        <v>23.599999999999998</v>
      </c>
      <c r="AX784" t="str">
        <f t="shared" si="223"/>
        <v>Apr-2025</v>
      </c>
      <c r="AY784">
        <f>ROUNDUP(Table2[[#This Row],[Month]]/3,0)</f>
        <v>2</v>
      </c>
    </row>
    <row r="785" spans="1:51" x14ac:dyDescent="0.2">
      <c r="A785">
        <v>784</v>
      </c>
      <c r="B785">
        <f t="shared" si="212"/>
        <v>13</v>
      </c>
      <c r="C785" s="22">
        <v>45761</v>
      </c>
      <c r="D785">
        <f>SUM(Table2[[#This Row],[Gray Min]:[Red Min]])</f>
        <v>58</v>
      </c>
      <c r="E785">
        <v>17</v>
      </c>
      <c r="F785">
        <v>639</v>
      </c>
      <c r="G785">
        <v>126</v>
      </c>
      <c r="H785">
        <v>165</v>
      </c>
      <c r="I785">
        <v>14</v>
      </c>
      <c r="J785">
        <v>18</v>
      </c>
      <c r="K785">
        <v>9</v>
      </c>
      <c r="L785">
        <v>16</v>
      </c>
      <c r="M785">
        <v>1</v>
      </c>
      <c r="N785" t="s">
        <v>125</v>
      </c>
      <c r="O785" t="s">
        <v>127</v>
      </c>
      <c r="P785" t="s">
        <v>220</v>
      </c>
      <c r="Q785">
        <f t="shared" si="224"/>
        <v>2</v>
      </c>
      <c r="R785" t="str">
        <f t="shared" si="213"/>
        <v>4-2025</v>
      </c>
      <c r="S785" t="s">
        <v>104</v>
      </c>
      <c r="T785" t="str">
        <f t="shared" si="214"/>
        <v>Monday</v>
      </c>
      <c r="U785">
        <f t="shared" si="215"/>
        <v>1</v>
      </c>
      <c r="V785" s="24">
        <f>IFERROR(Table2[[#This Row],[Gray Min]]/Table2[[#This Row],[ClassLength]],"")</f>
        <v>0.2413793103448276</v>
      </c>
      <c r="W785" s="24">
        <f>IFERROR(Table2[[#This Row],[Blue Min]]/Table2[[#This Row],[ClassLength]],"")</f>
        <v>0.31034482758620691</v>
      </c>
      <c r="X785" s="24">
        <f>IFERROR(Table2[[#This Row],[Green Min]]/Table2[[#This Row],[ClassLength]],"")</f>
        <v>0.15517241379310345</v>
      </c>
      <c r="Y785" s="24">
        <f>IFERROR(Table2[[#This Row],[Orange Min]]/Table2[[#This Row],[ClassLength]],"")</f>
        <v>0.27586206896551724</v>
      </c>
      <c r="Z785" s="24">
        <f>IFERROR(Table2[[#This Row],[Red Min]]/Table2[[#This Row],[ClassLength]],"")</f>
        <v>1.7241379310344827E-2</v>
      </c>
      <c r="AA785" s="25">
        <v>169</v>
      </c>
      <c r="AB785" s="25">
        <f t="shared" si="226"/>
        <v>13</v>
      </c>
      <c r="AC785" s="26">
        <f t="shared" si="216"/>
        <v>617.23076923076928</v>
      </c>
      <c r="AD785" s="26">
        <f t="shared" si="217"/>
        <v>14.846153846153847</v>
      </c>
      <c r="AE785">
        <f t="shared" si="218"/>
        <v>2025</v>
      </c>
      <c r="AG785">
        <v>12</v>
      </c>
      <c r="AH785" s="26">
        <f t="shared" si="219"/>
        <v>11.017241379310345</v>
      </c>
      <c r="AI785" t="str">
        <f t="shared" si="220"/>
        <v>PM</v>
      </c>
      <c r="AJ785" t="str">
        <f t="shared" si="221"/>
        <v>4-2025-3</v>
      </c>
      <c r="AK785">
        <f t="shared" si="222"/>
        <v>4</v>
      </c>
      <c r="AL785" s="26">
        <f>IFERROR(Table2[[#This Row],[Calories]]/Table2[[#This Row],[Splat]],"")</f>
        <v>37.588235294117645</v>
      </c>
      <c r="AM785">
        <f>COUNTIF(N$2:$N$938,N785)</f>
        <v>258</v>
      </c>
      <c r="AN785" t="str">
        <f>VLOOKUP(N785,'Helpful Tables'!A:D,4,FALSE)</f>
        <v>Oregon</v>
      </c>
      <c r="AO785" s="24">
        <f>COUNTIF(AN:AN,Table2[[#This Row],[State]])/COUNTA(AN:AN)</f>
        <v>0.36140724946695096</v>
      </c>
      <c r="AP785">
        <f>VLOOKUP(N785,'Helpful Tables'!A:B,2,FALSE)</f>
        <v>45.534162000000002</v>
      </c>
      <c r="AQ785">
        <f>VLOOKUP(N785,'Helpful Tables'!A:C,3,FALSE)</f>
        <v>-122.69670000000001</v>
      </c>
      <c r="AR785">
        <f>COUNTIF(P$2:$P$938,P785)</f>
        <v>43</v>
      </c>
      <c r="AS785" cm="1">
        <f t="array" ref="AS785">_xlfn.IFS(E785&lt;6,((E785/D785)*60)*0.5,AND(E785&gt;=6,E785&lt;9),((E785/D785)*60)*0.75,AND(E785&gt;=9,E785&lt;=11),((E785/D785)*60)*0.9,AND(E785=12),((E785/D785)*60)*1,AND(E785&gt;=13,E785&lt;=15),((E785/D785)*60)*1.2,AND(E785&gt;=16,E785&lt;=19),((E785/D785)*60)*1.5,E785&gt;=20,((E785/D785)*60)*1.8)</f>
        <v>26.379310344827584</v>
      </c>
      <c r="AT785" cm="1">
        <f t="array" ref="AT785">_xlfn.IFS(F785&lt;550,((F785/D785)*60)*0.5,AND(F785&gt;=550,F785&lt;575),((F785/D785)*60)*0.75,AND(F785&gt;=575,F785&lt;600),((F785/D785)*60)*0.9,AND(F785=600),((F785/D785)*60)*1,AND(F785&gt;=601,F785&lt;=625),((F785/D785)*60)*1.2,AND(F785&gt;=626,F785&lt;=650),((F785/D785)*60)*1.5,F785&gt;=651,((F785/D785)*60)*1.8)</f>
        <v>991.55172413793105</v>
      </c>
      <c r="AU785">
        <f t="shared" si="210"/>
        <v>-3.5000000000000036</v>
      </c>
      <c r="AV785">
        <f t="shared" si="225"/>
        <v>406.4724137931035</v>
      </c>
      <c r="AW785">
        <f t="shared" si="211"/>
        <v>56.3</v>
      </c>
      <c r="AX785" t="str">
        <f t="shared" si="223"/>
        <v>Apr-2025</v>
      </c>
      <c r="AY785">
        <f>ROUNDUP(Table2[[#This Row],[Month]]/3,0)</f>
        <v>2</v>
      </c>
    </row>
    <row r="786" spans="1:51" x14ac:dyDescent="0.2">
      <c r="A786">
        <v>785</v>
      </c>
      <c r="B786">
        <f t="shared" si="212"/>
        <v>13</v>
      </c>
      <c r="C786" s="22">
        <v>45765</v>
      </c>
      <c r="D786">
        <f>SUM(Table2[[#This Row],[Gray Min]:[Red Min]])</f>
        <v>58</v>
      </c>
      <c r="E786">
        <v>19</v>
      </c>
      <c r="F786">
        <v>668</v>
      </c>
      <c r="G786">
        <v>128</v>
      </c>
      <c r="H786">
        <v>164</v>
      </c>
      <c r="I786">
        <v>17</v>
      </c>
      <c r="J786">
        <v>12</v>
      </c>
      <c r="K786">
        <v>10</v>
      </c>
      <c r="L786">
        <v>17</v>
      </c>
      <c r="M786">
        <v>2</v>
      </c>
      <c r="N786" t="s">
        <v>125</v>
      </c>
      <c r="O786" t="s">
        <v>127</v>
      </c>
      <c r="P786" t="s">
        <v>214</v>
      </c>
      <c r="Q786">
        <f t="shared" si="224"/>
        <v>4</v>
      </c>
      <c r="R786" t="str">
        <f t="shared" si="213"/>
        <v>4-2025</v>
      </c>
      <c r="S786" t="s">
        <v>104</v>
      </c>
      <c r="T786" t="str">
        <f t="shared" si="214"/>
        <v>Friday</v>
      </c>
      <c r="U786">
        <f t="shared" si="215"/>
        <v>1</v>
      </c>
      <c r="V786" s="24">
        <f>IFERROR(Table2[[#This Row],[Gray Min]]/Table2[[#This Row],[ClassLength]],"")</f>
        <v>0.29310344827586204</v>
      </c>
      <c r="W786" s="24">
        <f>IFERROR(Table2[[#This Row],[Blue Min]]/Table2[[#This Row],[ClassLength]],"")</f>
        <v>0.20689655172413793</v>
      </c>
      <c r="X786" s="24">
        <f>IFERROR(Table2[[#This Row],[Green Min]]/Table2[[#This Row],[ClassLength]],"")</f>
        <v>0.17241379310344829</v>
      </c>
      <c r="Y786" s="24">
        <f>IFERROR(Table2[[#This Row],[Orange Min]]/Table2[[#This Row],[ClassLength]],"")</f>
        <v>0.29310344827586204</v>
      </c>
      <c r="Z786" s="24">
        <f>IFERROR(Table2[[#This Row],[Red Min]]/Table2[[#This Row],[ClassLength]],"")</f>
        <v>3.4482758620689655E-2</v>
      </c>
      <c r="AA786" s="25">
        <v>169</v>
      </c>
      <c r="AB786" s="25">
        <f t="shared" si="226"/>
        <v>13</v>
      </c>
      <c r="AC786" s="26">
        <f t="shared" si="216"/>
        <v>617.23076923076928</v>
      </c>
      <c r="AD786" s="26">
        <f t="shared" si="217"/>
        <v>14.846153846153847</v>
      </c>
      <c r="AE786">
        <f t="shared" si="218"/>
        <v>2025</v>
      </c>
      <c r="AG786">
        <v>12</v>
      </c>
      <c r="AH786" s="26">
        <f t="shared" si="219"/>
        <v>11.517241379310345</v>
      </c>
      <c r="AI786" t="str">
        <f t="shared" si="220"/>
        <v>PM</v>
      </c>
      <c r="AJ786" t="str">
        <f t="shared" si="221"/>
        <v>4-2025-3</v>
      </c>
      <c r="AK786">
        <f t="shared" si="222"/>
        <v>4</v>
      </c>
      <c r="AL786" s="26">
        <f>IFERROR(Table2[[#This Row],[Calories]]/Table2[[#This Row],[Splat]],"")</f>
        <v>35.157894736842103</v>
      </c>
      <c r="AM786">
        <f>COUNTIF(N$2:$N$938,N786)</f>
        <v>258</v>
      </c>
      <c r="AN786" t="str">
        <f>VLOOKUP(N786,'Helpful Tables'!A:D,4,FALSE)</f>
        <v>Oregon</v>
      </c>
      <c r="AO786" s="24">
        <f>COUNTIF(AN:AN,Table2[[#This Row],[State]])/COUNTA(AN:AN)</f>
        <v>0.36140724946695096</v>
      </c>
      <c r="AP786">
        <f>VLOOKUP(N786,'Helpful Tables'!A:B,2,FALSE)</f>
        <v>45.534162000000002</v>
      </c>
      <c r="AQ786">
        <f>VLOOKUP(N786,'Helpful Tables'!A:C,3,FALSE)</f>
        <v>-122.69670000000001</v>
      </c>
      <c r="AR786">
        <f>COUNTIF(P$2:$P$938,P786)</f>
        <v>11</v>
      </c>
      <c r="AS786" cm="1">
        <f t="array" ref="AS786">_xlfn.IFS(E786&lt;6,((E786/D786)*60)*0.5,AND(E786&gt;=6,E786&lt;9),((E786/D786)*60)*0.75,AND(E786&gt;=9,E786&lt;=11),((E786/D786)*60)*0.9,AND(E786=12),((E786/D786)*60)*1,AND(E786&gt;=13,E786&lt;=15),((E786/D786)*60)*1.2,AND(E786&gt;=16,E786&lt;=19),((E786/D786)*60)*1.5,E786&gt;=20,((E786/D786)*60)*1.8)</f>
        <v>29.482758620689655</v>
      </c>
      <c r="AT786" cm="1">
        <f t="array" ref="AT786">_xlfn.IFS(F786&lt;550,((F786/D786)*60)*0.5,AND(F786&gt;=550,F786&lt;575),((F786/D786)*60)*0.75,AND(F786&gt;=575,F786&lt;600),((F786/D786)*60)*0.9,AND(F786=600),((F786/D786)*60)*1,AND(F786&gt;=601,F786&lt;=625),((F786/D786)*60)*1.2,AND(F786&gt;=626,F786&lt;=650),((F786/D786)*60)*1.5,F786&gt;=651,((F786/D786)*60)*1.8)</f>
        <v>1243.8620689655172</v>
      </c>
      <c r="AU786">
        <f t="shared" si="210"/>
        <v>3.5</v>
      </c>
      <c r="AV786">
        <f t="shared" si="225"/>
        <v>510.03793103448277</v>
      </c>
      <c r="AW786">
        <f t="shared" si="211"/>
        <v>85.7</v>
      </c>
      <c r="AX786" t="str">
        <f t="shared" si="223"/>
        <v>Apr-2025</v>
      </c>
      <c r="AY786">
        <f>ROUNDUP(Table2[[#This Row],[Month]]/3,0)</f>
        <v>2</v>
      </c>
    </row>
    <row r="787" spans="1:51" x14ac:dyDescent="0.2">
      <c r="A787">
        <v>786</v>
      </c>
      <c r="B787">
        <f t="shared" si="212"/>
        <v>13</v>
      </c>
      <c r="C787" s="22">
        <v>45766</v>
      </c>
      <c r="D787">
        <f>SUM(Table2[[#This Row],[Gray Min]:[Red Min]])</f>
        <v>57</v>
      </c>
      <c r="E787">
        <v>8</v>
      </c>
      <c r="F787">
        <v>556</v>
      </c>
      <c r="G787">
        <v>118</v>
      </c>
      <c r="H787">
        <v>166</v>
      </c>
      <c r="I787">
        <v>20</v>
      </c>
      <c r="J787">
        <v>15</v>
      </c>
      <c r="K787">
        <v>14</v>
      </c>
      <c r="L787">
        <v>7</v>
      </c>
      <c r="M787">
        <v>1</v>
      </c>
      <c r="N787" t="s">
        <v>125</v>
      </c>
      <c r="O787" t="s">
        <v>127</v>
      </c>
      <c r="P787" t="s">
        <v>34</v>
      </c>
      <c r="Q787">
        <f t="shared" si="224"/>
        <v>1</v>
      </c>
      <c r="R787" t="str">
        <f t="shared" si="213"/>
        <v>4-2025</v>
      </c>
      <c r="S787" t="s">
        <v>117</v>
      </c>
      <c r="T787" t="str">
        <f t="shared" si="214"/>
        <v>Saturday</v>
      </c>
      <c r="U787">
        <f t="shared" si="215"/>
        <v>0</v>
      </c>
      <c r="V787" s="24">
        <f>IFERROR(Table2[[#This Row],[Gray Min]]/Table2[[#This Row],[ClassLength]],"")</f>
        <v>0.35087719298245612</v>
      </c>
      <c r="W787" s="24">
        <f>IFERROR(Table2[[#This Row],[Blue Min]]/Table2[[#This Row],[ClassLength]],"")</f>
        <v>0.26315789473684209</v>
      </c>
      <c r="X787" s="24">
        <f>IFERROR(Table2[[#This Row],[Green Min]]/Table2[[#This Row],[ClassLength]],"")</f>
        <v>0.24561403508771928</v>
      </c>
      <c r="Y787" s="24">
        <f>IFERROR(Table2[[#This Row],[Orange Min]]/Table2[[#This Row],[ClassLength]],"")</f>
        <v>0.12280701754385964</v>
      </c>
      <c r="Z787" s="24">
        <f>IFERROR(Table2[[#This Row],[Red Min]]/Table2[[#This Row],[ClassLength]],"")</f>
        <v>1.7543859649122806E-2</v>
      </c>
      <c r="AA787" s="25">
        <v>169</v>
      </c>
      <c r="AB787" s="25">
        <f t="shared" si="226"/>
        <v>13</v>
      </c>
      <c r="AC787" s="26">
        <f t="shared" si="216"/>
        <v>617.23076923076928</v>
      </c>
      <c r="AD787" s="26">
        <f t="shared" si="217"/>
        <v>14.846153846153847</v>
      </c>
      <c r="AE787">
        <f t="shared" si="218"/>
        <v>2025</v>
      </c>
      <c r="AG787">
        <v>12</v>
      </c>
      <c r="AH787" s="26">
        <f t="shared" si="219"/>
        <v>9.7543859649122808</v>
      </c>
      <c r="AI787" t="str">
        <f t="shared" si="220"/>
        <v>PM</v>
      </c>
      <c r="AJ787" t="str">
        <f t="shared" si="221"/>
        <v>4-2025-3</v>
      </c>
      <c r="AK787">
        <f t="shared" si="222"/>
        <v>4</v>
      </c>
      <c r="AL787" s="26">
        <f>IFERROR(Table2[[#This Row],[Calories]]/Table2[[#This Row],[Splat]],"")</f>
        <v>69.5</v>
      </c>
      <c r="AM787">
        <f>COUNTIF(N$2:$N$938,N787)</f>
        <v>258</v>
      </c>
      <c r="AN787" t="str">
        <f>VLOOKUP(N787,'Helpful Tables'!A:D,4,FALSE)</f>
        <v>Oregon</v>
      </c>
      <c r="AO787" s="24">
        <f>COUNTIF(AN:AN,Table2[[#This Row],[State]])/COUNTA(AN:AN)</f>
        <v>0.36140724946695096</v>
      </c>
      <c r="AP787">
        <f>VLOOKUP(N787,'Helpful Tables'!A:B,2,FALSE)</f>
        <v>45.534162000000002</v>
      </c>
      <c r="AQ787">
        <f>VLOOKUP(N787,'Helpful Tables'!A:C,3,FALSE)</f>
        <v>-122.69670000000001</v>
      </c>
      <c r="AR787">
        <f>COUNTIF(P$2:$P$938,P787)</f>
        <v>30</v>
      </c>
      <c r="AS787" cm="1">
        <f t="array" ref="AS787">_xlfn.IFS(E787&lt;6,((E787/D787)*60)*0.5,AND(E787&gt;=6,E787&lt;9),((E787/D787)*60)*0.75,AND(E787&gt;=9,E787&lt;=11),((E787/D787)*60)*0.9,AND(E787=12),((E787/D787)*60)*1,AND(E787&gt;=13,E787&lt;=15),((E787/D787)*60)*1.2,AND(E787&gt;=16,E787&lt;=19),((E787/D787)*60)*1.5,E787&gt;=20,((E787/D787)*60)*1.8)</f>
        <v>6.3157894736842106</v>
      </c>
      <c r="AT787" cm="1">
        <f t="array" ref="AT787">_xlfn.IFS(F787&lt;550,((F787/D787)*60)*0.5,AND(F787&gt;=550,F787&lt;575),((F787/D787)*60)*0.75,AND(F787&gt;=575,F787&lt;600),((F787/D787)*60)*0.9,AND(F787=600),((F787/D787)*60)*1,AND(F787&gt;=601,F787&lt;=625),((F787/D787)*60)*1.2,AND(F787&gt;=626,F787&lt;=650),((F787/D787)*60)*1.5,F787&gt;=651,((F787/D787)*60)*1.8)</f>
        <v>438.94736842105266</v>
      </c>
      <c r="AU787">
        <f t="shared" si="210"/>
        <v>-13.1</v>
      </c>
      <c r="AV787">
        <f t="shared" si="225"/>
        <v>175.48526315789474</v>
      </c>
      <c r="AW787">
        <f t="shared" si="211"/>
        <v>9.5</v>
      </c>
      <c r="AX787" t="str">
        <f t="shared" si="223"/>
        <v>Apr-2025</v>
      </c>
      <c r="AY787">
        <f>ROUNDUP(Table2[[#This Row],[Month]]/3,0)</f>
        <v>2</v>
      </c>
    </row>
    <row r="788" spans="1:51" x14ac:dyDescent="0.2">
      <c r="A788">
        <v>787</v>
      </c>
      <c r="B788">
        <f t="shared" si="212"/>
        <v>13</v>
      </c>
      <c r="C788" s="22">
        <v>45769</v>
      </c>
      <c r="D788">
        <f>SUM(Table2[[#This Row],[Gray Min]:[Red Min]])</f>
        <v>59</v>
      </c>
      <c r="E788">
        <v>18</v>
      </c>
      <c r="F788">
        <v>628</v>
      </c>
      <c r="G788">
        <v>124</v>
      </c>
      <c r="H788">
        <v>164</v>
      </c>
      <c r="I788">
        <v>17</v>
      </c>
      <c r="J788">
        <v>16</v>
      </c>
      <c r="K788">
        <v>8</v>
      </c>
      <c r="L788">
        <v>17</v>
      </c>
      <c r="M788">
        <v>1</v>
      </c>
      <c r="N788" t="s">
        <v>125</v>
      </c>
      <c r="O788" t="s">
        <v>127</v>
      </c>
      <c r="P788" t="s">
        <v>220</v>
      </c>
      <c r="Q788">
        <f t="shared" si="224"/>
        <v>3</v>
      </c>
      <c r="R788" t="str">
        <f t="shared" si="213"/>
        <v>4-2025</v>
      </c>
      <c r="S788" t="s">
        <v>104</v>
      </c>
      <c r="T788" t="str">
        <f t="shared" si="214"/>
        <v>Tuesday</v>
      </c>
      <c r="U788">
        <f t="shared" si="215"/>
        <v>1</v>
      </c>
      <c r="V788" s="24">
        <f>IFERROR(Table2[[#This Row],[Gray Min]]/Table2[[#This Row],[ClassLength]],"")</f>
        <v>0.28813559322033899</v>
      </c>
      <c r="W788" s="24">
        <f>IFERROR(Table2[[#This Row],[Blue Min]]/Table2[[#This Row],[ClassLength]],"")</f>
        <v>0.2711864406779661</v>
      </c>
      <c r="X788" s="24">
        <f>IFERROR(Table2[[#This Row],[Green Min]]/Table2[[#This Row],[ClassLength]],"")</f>
        <v>0.13559322033898305</v>
      </c>
      <c r="Y788" s="24">
        <f>IFERROR(Table2[[#This Row],[Orange Min]]/Table2[[#This Row],[ClassLength]],"")</f>
        <v>0.28813559322033899</v>
      </c>
      <c r="Z788" s="24">
        <f>IFERROR(Table2[[#This Row],[Red Min]]/Table2[[#This Row],[ClassLength]],"")</f>
        <v>1.6949152542372881E-2</v>
      </c>
      <c r="AA788" s="25">
        <v>169</v>
      </c>
      <c r="AB788" s="25">
        <f t="shared" si="226"/>
        <v>13</v>
      </c>
      <c r="AC788" s="26">
        <f t="shared" si="216"/>
        <v>617.23076923076928</v>
      </c>
      <c r="AD788" s="26">
        <f t="shared" si="217"/>
        <v>14.846153846153847</v>
      </c>
      <c r="AE788">
        <f t="shared" si="218"/>
        <v>2025</v>
      </c>
      <c r="AG788">
        <v>12</v>
      </c>
      <c r="AH788" s="26">
        <f t="shared" si="219"/>
        <v>10.64406779661017</v>
      </c>
      <c r="AI788" t="str">
        <f t="shared" si="220"/>
        <v>PM</v>
      </c>
      <c r="AJ788" t="str">
        <f t="shared" si="221"/>
        <v>4-2025-4</v>
      </c>
      <c r="AK788">
        <f t="shared" si="222"/>
        <v>4</v>
      </c>
      <c r="AL788" s="26">
        <f>IFERROR(Table2[[#This Row],[Calories]]/Table2[[#This Row],[Splat]],"")</f>
        <v>34.888888888888886</v>
      </c>
      <c r="AM788">
        <f>COUNTIF(N$2:$N$938,N788)</f>
        <v>258</v>
      </c>
      <c r="AN788" t="str">
        <f>VLOOKUP(N788,'Helpful Tables'!A:D,4,FALSE)</f>
        <v>Oregon</v>
      </c>
      <c r="AO788" s="24">
        <f>COUNTIF(AN:AN,Table2[[#This Row],[State]])/COUNTA(AN:AN)</f>
        <v>0.36140724946695096</v>
      </c>
      <c r="AP788">
        <f>VLOOKUP(N788,'Helpful Tables'!A:B,2,FALSE)</f>
        <v>45.534162000000002</v>
      </c>
      <c r="AQ788">
        <f>VLOOKUP(N788,'Helpful Tables'!A:C,3,FALSE)</f>
        <v>-122.69670000000001</v>
      </c>
      <c r="AR788">
        <f>COUNTIF(P$2:$P$938,P788)</f>
        <v>43</v>
      </c>
      <c r="AS788" cm="1">
        <f t="array" ref="AS788">_xlfn.IFS(E788&lt;6,((E788/D788)*60)*0.5,AND(E788&gt;=6,E788&lt;9),((E788/D788)*60)*0.75,AND(E788&gt;=9,E788&lt;=11),((E788/D788)*60)*0.9,AND(E788=12),((E788/D788)*60)*1,AND(E788&gt;=13,E788&lt;=15),((E788/D788)*60)*1.2,AND(E788&gt;=16,E788&lt;=19),((E788/D788)*60)*1.5,E788&gt;=20,((E788/D788)*60)*1.8)</f>
        <v>27.457627118644069</v>
      </c>
      <c r="AT788" cm="1">
        <f t="array" ref="AT788">_xlfn.IFS(F788&lt;550,((F788/D788)*60)*0.5,AND(F788&gt;=550,F788&lt;575),((F788/D788)*60)*0.75,AND(F788&gt;=575,F788&lt;600),((F788/D788)*60)*0.9,AND(F788=600),((F788/D788)*60)*1,AND(F788&gt;=601,F788&lt;=625),((F788/D788)*60)*1.2,AND(F788&gt;=626,F788&lt;=650),((F788/D788)*60)*1.5,F788&gt;=651,((F788/D788)*60)*1.8)</f>
        <v>957.96610169491532</v>
      </c>
      <c r="AU788">
        <f t="shared" si="210"/>
        <v>-4.7999999999999972</v>
      </c>
      <c r="AV788">
        <f t="shared" si="225"/>
        <v>393.2094915254238</v>
      </c>
      <c r="AW788">
        <f t="shared" si="211"/>
        <v>49.3</v>
      </c>
      <c r="AX788" t="str">
        <f t="shared" si="223"/>
        <v>Apr-2025</v>
      </c>
      <c r="AY788">
        <f>ROUNDUP(Table2[[#This Row],[Month]]/3,0)</f>
        <v>2</v>
      </c>
    </row>
    <row r="789" spans="1:51" x14ac:dyDescent="0.2">
      <c r="A789">
        <v>788</v>
      </c>
      <c r="B789">
        <f t="shared" si="212"/>
        <v>13</v>
      </c>
      <c r="C789" s="22">
        <v>45771</v>
      </c>
      <c r="D789">
        <f>SUM(Table2[[#This Row],[Gray Min]:[Red Min]])</f>
        <v>57</v>
      </c>
      <c r="E789">
        <v>16</v>
      </c>
      <c r="F789">
        <v>653</v>
      </c>
      <c r="G789">
        <v>128</v>
      </c>
      <c r="H789">
        <v>167</v>
      </c>
      <c r="I789">
        <v>10</v>
      </c>
      <c r="J789">
        <v>17</v>
      </c>
      <c r="K789">
        <v>14</v>
      </c>
      <c r="L789">
        <v>15</v>
      </c>
      <c r="M789">
        <v>1</v>
      </c>
      <c r="N789" t="s">
        <v>125</v>
      </c>
      <c r="O789" t="s">
        <v>127</v>
      </c>
      <c r="P789" t="s">
        <v>220</v>
      </c>
      <c r="Q789">
        <f t="shared" si="224"/>
        <v>2</v>
      </c>
      <c r="R789" t="str">
        <f t="shared" si="213"/>
        <v>4-2025</v>
      </c>
      <c r="S789" t="s">
        <v>104</v>
      </c>
      <c r="T789" t="str">
        <f t="shared" si="214"/>
        <v>Thursday</v>
      </c>
      <c r="U789">
        <f t="shared" si="215"/>
        <v>1</v>
      </c>
      <c r="V789" s="24">
        <f>IFERROR(Table2[[#This Row],[Gray Min]]/Table2[[#This Row],[ClassLength]],"")</f>
        <v>0.17543859649122806</v>
      </c>
      <c r="W789" s="24">
        <f>IFERROR(Table2[[#This Row],[Blue Min]]/Table2[[#This Row],[ClassLength]],"")</f>
        <v>0.2982456140350877</v>
      </c>
      <c r="X789" s="24">
        <f>IFERROR(Table2[[#This Row],[Green Min]]/Table2[[#This Row],[ClassLength]],"")</f>
        <v>0.24561403508771928</v>
      </c>
      <c r="Y789" s="24">
        <f>IFERROR(Table2[[#This Row],[Orange Min]]/Table2[[#This Row],[ClassLength]],"")</f>
        <v>0.26315789473684209</v>
      </c>
      <c r="Z789" s="24">
        <f>IFERROR(Table2[[#This Row],[Red Min]]/Table2[[#This Row],[ClassLength]],"")</f>
        <v>1.7543859649122806E-2</v>
      </c>
      <c r="AA789" s="25">
        <v>169</v>
      </c>
      <c r="AB789" s="25">
        <f t="shared" si="226"/>
        <v>13</v>
      </c>
      <c r="AC789" s="26">
        <f t="shared" si="216"/>
        <v>617.23076923076928</v>
      </c>
      <c r="AD789" s="26">
        <f t="shared" si="217"/>
        <v>14.846153846153847</v>
      </c>
      <c r="AE789">
        <f t="shared" si="218"/>
        <v>2025</v>
      </c>
      <c r="AG789">
        <v>12</v>
      </c>
      <c r="AH789" s="26">
        <f t="shared" si="219"/>
        <v>11.456140350877194</v>
      </c>
      <c r="AI789" t="str">
        <f t="shared" si="220"/>
        <v>PM</v>
      </c>
      <c r="AJ789" t="str">
        <f t="shared" si="221"/>
        <v>4-2025-4</v>
      </c>
      <c r="AK789">
        <f t="shared" si="222"/>
        <v>4</v>
      </c>
      <c r="AL789" s="26">
        <f>IFERROR(Table2[[#This Row],[Calories]]/Table2[[#This Row],[Splat]],"")</f>
        <v>40.8125</v>
      </c>
      <c r="AM789">
        <f>COUNTIF(N$2:$N$938,N789)</f>
        <v>258</v>
      </c>
      <c r="AN789" t="str">
        <f>VLOOKUP(N789,'Helpful Tables'!A:D,4,FALSE)</f>
        <v>Oregon</v>
      </c>
      <c r="AO789" s="24">
        <f>COUNTIF(AN:AN,Table2[[#This Row],[State]])/COUNTA(AN:AN)</f>
        <v>0.36140724946695096</v>
      </c>
      <c r="AP789">
        <f>VLOOKUP(N789,'Helpful Tables'!A:B,2,FALSE)</f>
        <v>45.534162000000002</v>
      </c>
      <c r="AQ789">
        <f>VLOOKUP(N789,'Helpful Tables'!A:C,3,FALSE)</f>
        <v>-122.69670000000001</v>
      </c>
      <c r="AR789">
        <f>COUNTIF(P$2:$P$938,P789)</f>
        <v>43</v>
      </c>
      <c r="AS789" cm="1">
        <f t="array" ref="AS789">_xlfn.IFS(E789&lt;6,((E789/D789)*60)*0.5,AND(E789&gt;=6,E789&lt;9),((E789/D789)*60)*0.75,AND(E789&gt;=9,E789&lt;=11),((E789/D789)*60)*0.9,AND(E789=12),((E789/D789)*60)*1,AND(E789&gt;=13,E789&lt;=15),((E789/D789)*60)*1.2,AND(E789&gt;=16,E789&lt;=19),((E789/D789)*60)*1.5,E789&gt;=20,((E789/D789)*60)*1.8)</f>
        <v>25.263157894736842</v>
      </c>
      <c r="AT789" cm="1">
        <f t="array" ref="AT789">_xlfn.IFS(F789&lt;550,((F789/D789)*60)*0.5,AND(F789&gt;=550,F789&lt;575),((F789/D789)*60)*0.75,AND(F789&gt;=575,F789&lt;600),((F789/D789)*60)*0.9,AND(F789=600),((F789/D789)*60)*1,AND(F789&gt;=601,F789&lt;=625),((F789/D789)*60)*1.2,AND(F789&gt;=626,F789&lt;=650),((F789/D789)*60)*1.5,F789&gt;=651,((F789/D789)*60)*1.8)</f>
        <v>1237.2631578947369</v>
      </c>
      <c r="AU789">
        <f t="shared" si="210"/>
        <v>7.0999999999999979</v>
      </c>
      <c r="AV789">
        <f t="shared" si="225"/>
        <v>506.43052631578951</v>
      </c>
      <c r="AW789">
        <f t="shared" si="211"/>
        <v>83.2</v>
      </c>
      <c r="AX789" t="str">
        <f t="shared" si="223"/>
        <v>Apr-2025</v>
      </c>
      <c r="AY789">
        <f>ROUNDUP(Table2[[#This Row],[Month]]/3,0)</f>
        <v>2</v>
      </c>
    </row>
    <row r="790" spans="1:51" x14ac:dyDescent="0.2">
      <c r="A790">
        <v>789</v>
      </c>
      <c r="B790">
        <f t="shared" si="212"/>
        <v>13</v>
      </c>
      <c r="C790" s="22">
        <v>45772</v>
      </c>
      <c r="D790">
        <f>SUM(Table2[[#This Row],[Gray Min]:[Red Min]])</f>
        <v>60</v>
      </c>
      <c r="E790">
        <v>16</v>
      </c>
      <c r="F790">
        <v>711</v>
      </c>
      <c r="G790">
        <v>130</v>
      </c>
      <c r="H790">
        <v>167</v>
      </c>
      <c r="I790">
        <v>8</v>
      </c>
      <c r="J790">
        <v>16</v>
      </c>
      <c r="K790">
        <v>20</v>
      </c>
      <c r="L790">
        <v>14</v>
      </c>
      <c r="M790">
        <v>2</v>
      </c>
      <c r="N790" t="s">
        <v>125</v>
      </c>
      <c r="O790" t="s">
        <v>127</v>
      </c>
      <c r="P790" t="s">
        <v>220</v>
      </c>
      <c r="Q790">
        <f t="shared" si="224"/>
        <v>1</v>
      </c>
      <c r="R790" t="str">
        <f t="shared" si="213"/>
        <v>4-2025</v>
      </c>
      <c r="S790" t="s">
        <v>104</v>
      </c>
      <c r="T790" t="str">
        <f t="shared" si="214"/>
        <v>Friday</v>
      </c>
      <c r="U790">
        <f t="shared" si="215"/>
        <v>1</v>
      </c>
      <c r="V790" s="24">
        <f>IFERROR(Table2[[#This Row],[Gray Min]]/Table2[[#This Row],[ClassLength]],"")</f>
        <v>0.13333333333333333</v>
      </c>
      <c r="W790" s="24">
        <f>IFERROR(Table2[[#This Row],[Blue Min]]/Table2[[#This Row],[ClassLength]],"")</f>
        <v>0.26666666666666666</v>
      </c>
      <c r="X790" s="24">
        <f>IFERROR(Table2[[#This Row],[Green Min]]/Table2[[#This Row],[ClassLength]],"")</f>
        <v>0.33333333333333331</v>
      </c>
      <c r="Y790" s="24">
        <f>IFERROR(Table2[[#This Row],[Orange Min]]/Table2[[#This Row],[ClassLength]],"")</f>
        <v>0.23333333333333334</v>
      </c>
      <c r="Z790" s="24">
        <f>IFERROR(Table2[[#This Row],[Red Min]]/Table2[[#This Row],[ClassLength]],"")</f>
        <v>3.3333333333333333E-2</v>
      </c>
      <c r="AA790" s="25">
        <v>169</v>
      </c>
      <c r="AB790" s="25">
        <f t="shared" si="226"/>
        <v>13</v>
      </c>
      <c r="AC790" s="26">
        <f t="shared" si="216"/>
        <v>617.23076923076928</v>
      </c>
      <c r="AD790" s="26">
        <f t="shared" si="217"/>
        <v>14.846153846153847</v>
      </c>
      <c r="AE790">
        <f t="shared" si="218"/>
        <v>2025</v>
      </c>
      <c r="AG790">
        <v>12</v>
      </c>
      <c r="AH790" s="26">
        <f t="shared" si="219"/>
        <v>11.85</v>
      </c>
      <c r="AI790" t="str">
        <f t="shared" si="220"/>
        <v>PM</v>
      </c>
      <c r="AJ790" t="str">
        <f t="shared" si="221"/>
        <v>4-2025-4</v>
      </c>
      <c r="AK790">
        <f t="shared" si="222"/>
        <v>4</v>
      </c>
      <c r="AL790" s="26">
        <f>IFERROR(Table2[[#This Row],[Calories]]/Table2[[#This Row],[Splat]],"")</f>
        <v>44.4375</v>
      </c>
      <c r="AM790">
        <f>COUNTIF(N$2:$N$938,N790)</f>
        <v>258</v>
      </c>
      <c r="AN790" t="str">
        <f>VLOOKUP(N790,'Helpful Tables'!A:D,4,FALSE)</f>
        <v>Oregon</v>
      </c>
      <c r="AO790" s="24">
        <f>COUNTIF(AN:AN,Table2[[#This Row],[State]])/COUNTA(AN:AN)</f>
        <v>0.36140724946695096</v>
      </c>
      <c r="AP790">
        <f>VLOOKUP(N790,'Helpful Tables'!A:B,2,FALSE)</f>
        <v>45.534162000000002</v>
      </c>
      <c r="AQ790">
        <f>VLOOKUP(N790,'Helpful Tables'!A:C,3,FALSE)</f>
        <v>-122.69670000000001</v>
      </c>
      <c r="AR790">
        <f>COUNTIF(P$2:$P$938,P790)</f>
        <v>43</v>
      </c>
      <c r="AS790" cm="1">
        <f t="array" ref="AS790">_xlfn.IFS(E790&lt;6,((E790/D790)*60)*0.5,AND(E790&gt;=6,E790&lt;9),((E790/D790)*60)*0.75,AND(E790&gt;=9,E790&lt;=11),((E790/D790)*60)*0.9,AND(E790=12),((E790/D790)*60)*1,AND(E790&gt;=13,E790&lt;=15),((E790/D790)*60)*1.2,AND(E790&gt;=16,E790&lt;=19),((E790/D790)*60)*1.5,E790&gt;=20,((E790/D790)*60)*1.8)</f>
        <v>24</v>
      </c>
      <c r="AT790" cm="1">
        <f t="array" ref="AT790">_xlfn.IFS(F790&lt;550,((F790/D790)*60)*0.5,AND(F790&gt;=550,F790&lt;575),((F790/D790)*60)*0.75,AND(F790&gt;=575,F790&lt;600),((F790/D790)*60)*0.9,AND(F790=600),((F790/D790)*60)*1,AND(F790&gt;=601,F790&lt;=625),((F790/D790)*60)*1.2,AND(F790&gt;=626,F790&lt;=650),((F790/D790)*60)*1.5,F790&gt;=651,((F790/D790)*60)*1.8)</f>
        <v>1279.8</v>
      </c>
      <c r="AU790">
        <f t="shared" si="210"/>
        <v>17.999999999999996</v>
      </c>
      <c r="AV790">
        <f t="shared" si="225"/>
        <v>525.12</v>
      </c>
      <c r="AW790">
        <f t="shared" si="211"/>
        <v>92.5</v>
      </c>
      <c r="AX790" t="str">
        <f t="shared" si="223"/>
        <v>Apr-2025</v>
      </c>
      <c r="AY790">
        <f>ROUNDUP(Table2[[#This Row],[Month]]/3,0)</f>
        <v>2</v>
      </c>
    </row>
    <row r="791" spans="1:51" x14ac:dyDescent="0.2">
      <c r="A791">
        <v>790</v>
      </c>
      <c r="B791">
        <f t="shared" si="212"/>
        <v>13</v>
      </c>
      <c r="C791" s="22">
        <v>45775</v>
      </c>
      <c r="D791">
        <f>SUM(Table2[[#This Row],[Gray Min]:[Red Min]])</f>
        <v>55</v>
      </c>
      <c r="E791">
        <v>9</v>
      </c>
      <c r="F791">
        <v>605</v>
      </c>
      <c r="G791">
        <v>126</v>
      </c>
      <c r="H791">
        <v>167</v>
      </c>
      <c r="I791">
        <v>11</v>
      </c>
      <c r="J791">
        <v>15</v>
      </c>
      <c r="K791">
        <v>20</v>
      </c>
      <c r="L791">
        <v>7</v>
      </c>
      <c r="M791">
        <v>2</v>
      </c>
      <c r="N791" t="s">
        <v>138</v>
      </c>
      <c r="O791" t="s">
        <v>76</v>
      </c>
      <c r="P791" t="s">
        <v>234</v>
      </c>
      <c r="Q791">
        <f t="shared" si="224"/>
        <v>3</v>
      </c>
      <c r="R791" t="str">
        <f t="shared" si="213"/>
        <v>4-2025</v>
      </c>
      <c r="S791" t="s">
        <v>104</v>
      </c>
      <c r="T791" t="str">
        <f t="shared" si="214"/>
        <v>Monday</v>
      </c>
      <c r="U791">
        <f t="shared" si="215"/>
        <v>0</v>
      </c>
      <c r="V791" s="24">
        <f>IFERROR(Table2[[#This Row],[Gray Min]]/Table2[[#This Row],[ClassLength]],"")</f>
        <v>0.2</v>
      </c>
      <c r="W791" s="24">
        <f>IFERROR(Table2[[#This Row],[Blue Min]]/Table2[[#This Row],[ClassLength]],"")</f>
        <v>0.27272727272727271</v>
      </c>
      <c r="X791" s="24">
        <f>IFERROR(Table2[[#This Row],[Green Min]]/Table2[[#This Row],[ClassLength]],"")</f>
        <v>0.36363636363636365</v>
      </c>
      <c r="Y791" s="24">
        <f>IFERROR(Table2[[#This Row],[Orange Min]]/Table2[[#This Row],[ClassLength]],"")</f>
        <v>0.12727272727272726</v>
      </c>
      <c r="Z791" s="24">
        <f>IFERROR(Table2[[#This Row],[Red Min]]/Table2[[#This Row],[ClassLength]],"")</f>
        <v>3.6363636363636362E-2</v>
      </c>
      <c r="AA791" s="25">
        <v>169</v>
      </c>
      <c r="AB791" s="25">
        <f t="shared" si="226"/>
        <v>13</v>
      </c>
      <c r="AC791" s="26">
        <f t="shared" si="216"/>
        <v>617.23076923076928</v>
      </c>
      <c r="AD791" s="26">
        <f t="shared" si="217"/>
        <v>14.846153846153847</v>
      </c>
      <c r="AE791">
        <f t="shared" si="218"/>
        <v>2025</v>
      </c>
      <c r="AG791">
        <v>12</v>
      </c>
      <c r="AH791" s="26">
        <f t="shared" si="219"/>
        <v>11</v>
      </c>
      <c r="AI791" t="str">
        <f t="shared" si="220"/>
        <v>AM</v>
      </c>
      <c r="AJ791" t="str">
        <f t="shared" si="221"/>
        <v>4-2025-5</v>
      </c>
      <c r="AK791">
        <f t="shared" si="222"/>
        <v>4</v>
      </c>
      <c r="AL791" s="26">
        <f>IFERROR(Table2[[#This Row],[Calories]]/Table2[[#This Row],[Splat]],"")</f>
        <v>67.222222222222229</v>
      </c>
      <c r="AM791">
        <f>COUNTIF(N$2:$N$938,N791)</f>
        <v>11</v>
      </c>
      <c r="AN791" t="str">
        <f>VLOOKUP(N791,'Helpful Tables'!A:D,4,FALSE)</f>
        <v>Massachusetts</v>
      </c>
      <c r="AO791" s="24">
        <f>COUNTIF(AN:AN,Table2[[#This Row],[State]])/COUNTA(AN:AN)</f>
        <v>1.7057569296375266E-2</v>
      </c>
      <c r="AP791">
        <f>VLOOKUP(N791,'Helpful Tables'!A:B,2,FALSE)</f>
        <v>42.350487000000001</v>
      </c>
      <c r="AQ791">
        <f>VLOOKUP(N791,'Helpful Tables'!A:C,3,FALSE)</f>
        <v>-71.152720000000002</v>
      </c>
      <c r="AR791">
        <f>COUNTIF(P$2:$P$938,P791)</f>
        <v>1</v>
      </c>
      <c r="AS791" cm="1">
        <f t="array" ref="AS791">_xlfn.IFS(E791&lt;6,((E791/D791)*60)*0.5,AND(E791&gt;=6,E791&lt;9),((E791/D791)*60)*0.75,AND(E791&gt;=9,E791&lt;=11),((E791/D791)*60)*0.9,AND(E791=12),((E791/D791)*60)*1,AND(E791&gt;=13,E791&lt;=15),((E791/D791)*60)*1.2,AND(E791&gt;=16,E791&lt;=19),((E791/D791)*60)*1.5,E791&gt;=20,((E791/D791)*60)*1.8)</f>
        <v>8.836363636363636</v>
      </c>
      <c r="AT791" cm="1">
        <f t="array" ref="AT791">_xlfn.IFS(F791&lt;550,((F791/D791)*60)*0.5,AND(F791&gt;=550,F791&lt;575),((F791/D791)*60)*0.75,AND(F791&gt;=575,F791&lt;600),((F791/D791)*60)*0.9,AND(F791=600),((F791/D791)*60)*1,AND(F791&gt;=601,F791&lt;=625),((F791/D791)*60)*1.2,AND(F791&gt;=626,F791&lt;=650),((F791/D791)*60)*1.5,F791&gt;=651,((F791/D791)*60)*1.8)</f>
        <v>792</v>
      </c>
      <c r="AU791">
        <f t="shared" si="210"/>
        <v>6.4</v>
      </c>
      <c r="AV791">
        <f t="shared" si="225"/>
        <v>321.61454545454546</v>
      </c>
      <c r="AW791">
        <f t="shared" si="211"/>
        <v>37.700000000000003</v>
      </c>
      <c r="AX791" t="str">
        <f t="shared" si="223"/>
        <v>Apr-2025</v>
      </c>
      <c r="AY791">
        <f>ROUNDUP(Table2[[#This Row],[Month]]/3,0)</f>
        <v>2</v>
      </c>
    </row>
    <row r="792" spans="1:51" x14ac:dyDescent="0.2">
      <c r="A792">
        <v>791</v>
      </c>
      <c r="B792">
        <f t="shared" si="212"/>
        <v>14</v>
      </c>
      <c r="C792" s="22">
        <v>45782</v>
      </c>
      <c r="D792">
        <f>SUM(Table2[[#This Row],[Gray Min]:[Red Min]])</f>
        <v>60</v>
      </c>
      <c r="E792">
        <v>17</v>
      </c>
      <c r="F792">
        <v>633</v>
      </c>
      <c r="G792">
        <v>124</v>
      </c>
      <c r="H792">
        <v>165</v>
      </c>
      <c r="I792">
        <v>19</v>
      </c>
      <c r="J792">
        <v>16</v>
      </c>
      <c r="K792">
        <v>8</v>
      </c>
      <c r="L792">
        <v>15</v>
      </c>
      <c r="M792">
        <v>2</v>
      </c>
      <c r="N792" t="s">
        <v>208</v>
      </c>
      <c r="O792" t="s">
        <v>83</v>
      </c>
      <c r="P792" t="s">
        <v>213</v>
      </c>
      <c r="Q792">
        <f t="shared" si="224"/>
        <v>7</v>
      </c>
      <c r="R792" t="str">
        <f t="shared" si="213"/>
        <v>5-2025</v>
      </c>
      <c r="S792" t="s">
        <v>104</v>
      </c>
      <c r="T792" t="str">
        <f t="shared" si="214"/>
        <v>Monday</v>
      </c>
      <c r="U792">
        <f t="shared" si="215"/>
        <v>1</v>
      </c>
      <c r="V792" s="24">
        <f>IFERROR(Table2[[#This Row],[Gray Min]]/Table2[[#This Row],[ClassLength]],"")</f>
        <v>0.31666666666666665</v>
      </c>
      <c r="W792" s="24">
        <f>IFERROR(Table2[[#This Row],[Blue Min]]/Table2[[#This Row],[ClassLength]],"")</f>
        <v>0.26666666666666666</v>
      </c>
      <c r="X792" s="24">
        <f>IFERROR(Table2[[#This Row],[Green Min]]/Table2[[#This Row],[ClassLength]],"")</f>
        <v>0.13333333333333333</v>
      </c>
      <c r="Y792" s="24">
        <f>IFERROR(Table2[[#This Row],[Orange Min]]/Table2[[#This Row],[ClassLength]],"")</f>
        <v>0.25</v>
      </c>
      <c r="Z792" s="24">
        <f>IFERROR(Table2[[#This Row],[Red Min]]/Table2[[#This Row],[ClassLength]],"")</f>
        <v>3.3333333333333333E-2</v>
      </c>
      <c r="AA792" s="25">
        <v>169</v>
      </c>
      <c r="AB792" s="25">
        <f t="shared" si="226"/>
        <v>12.071428571428571</v>
      </c>
      <c r="AC792" s="26">
        <f t="shared" si="216"/>
        <v>631.64285714285711</v>
      </c>
      <c r="AD792" s="26">
        <f t="shared" si="217"/>
        <v>14.5</v>
      </c>
      <c r="AE792">
        <f t="shared" si="218"/>
        <v>2025</v>
      </c>
      <c r="AG792">
        <v>12</v>
      </c>
      <c r="AH792" s="26">
        <f t="shared" si="219"/>
        <v>10.55</v>
      </c>
      <c r="AI792" t="str">
        <f t="shared" si="220"/>
        <v>PM</v>
      </c>
      <c r="AJ792" t="str">
        <f t="shared" si="221"/>
        <v>5-2025-2</v>
      </c>
      <c r="AK792">
        <f t="shared" si="222"/>
        <v>5</v>
      </c>
      <c r="AL792" s="26">
        <f>IFERROR(Table2[[#This Row],[Calories]]/Table2[[#This Row],[Splat]],"")</f>
        <v>37.235294117647058</v>
      </c>
      <c r="AM792">
        <f>COUNTIF(N$2:$N$938,N792)</f>
        <v>78</v>
      </c>
      <c r="AN792" t="str">
        <f>VLOOKUP(N792,'Helpful Tables'!A:D,4,FALSE)</f>
        <v>Oregon</v>
      </c>
      <c r="AO792" s="24">
        <f>COUNTIF(AN:AN,Table2[[#This Row],[State]])/COUNTA(AN:AN)</f>
        <v>0.36140724946695096</v>
      </c>
      <c r="AP792">
        <f>VLOOKUP(N792,'Helpful Tables'!A:B,2,FALSE)</f>
        <v>45.525092999999998</v>
      </c>
      <c r="AQ792">
        <f>VLOOKUP(N792,'Helpful Tables'!A:C,3,FALSE)</f>
        <v>-122.681383</v>
      </c>
      <c r="AR792">
        <f>COUNTIF(P$2:$P$938,P792)</f>
        <v>40</v>
      </c>
      <c r="AS792" cm="1">
        <f t="array" ref="AS792">_xlfn.IFS(E792&lt;6,((E792/D792)*60)*0.5,AND(E792&gt;=6,E792&lt;9),((E792/D792)*60)*0.75,AND(E792&gt;=9,E792&lt;=11),((E792/D792)*60)*0.9,AND(E792=12),((E792/D792)*60)*1,AND(E792&gt;=13,E792&lt;=15),((E792/D792)*60)*1.2,AND(E792&gt;=16,E792&lt;=19),((E792/D792)*60)*1.5,E792&gt;=20,((E792/D792)*60)*1.8)</f>
        <v>25.5</v>
      </c>
      <c r="AT792" cm="1">
        <f t="array" ref="AT792">_xlfn.IFS(F792&lt;550,((F792/D792)*60)*0.5,AND(F792&gt;=550,F792&lt;575),((F792/D792)*60)*0.75,AND(F792&gt;=575,F792&lt;600),((F792/D792)*60)*0.9,AND(F792=600),((F792/D792)*60)*1,AND(F792&gt;=601,F792&lt;=625),((F792/D792)*60)*1.2,AND(F792&gt;=626,F792&lt;=650),((F792/D792)*60)*1.5,F792&gt;=651,((F792/D792)*60)*1.8)</f>
        <v>949.5</v>
      </c>
      <c r="AU792">
        <f t="shared" si="210"/>
        <v>-8.3000000000000043</v>
      </c>
      <c r="AV792">
        <f t="shared" si="225"/>
        <v>388.34</v>
      </c>
      <c r="AW792">
        <f t="shared" si="211"/>
        <v>47.699999999999996</v>
      </c>
      <c r="AX792" t="str">
        <f t="shared" si="223"/>
        <v>May-2025</v>
      </c>
      <c r="AY792">
        <f>ROUNDUP(Table2[[#This Row],[Month]]/3,0)</f>
        <v>2</v>
      </c>
    </row>
    <row r="793" spans="1:51" x14ac:dyDescent="0.2">
      <c r="A793">
        <v>792</v>
      </c>
      <c r="B793">
        <f t="shared" si="212"/>
        <v>14</v>
      </c>
      <c r="C793" s="22">
        <v>45784</v>
      </c>
      <c r="D793">
        <f>SUM(Table2[[#This Row],[Gray Min]:[Red Min]])</f>
        <v>58</v>
      </c>
      <c r="E793">
        <v>12</v>
      </c>
      <c r="F793">
        <v>639</v>
      </c>
      <c r="G793">
        <v>126</v>
      </c>
      <c r="H793">
        <v>164</v>
      </c>
      <c r="I793">
        <v>12</v>
      </c>
      <c r="J793">
        <v>18</v>
      </c>
      <c r="K793">
        <v>16</v>
      </c>
      <c r="L793">
        <v>11</v>
      </c>
      <c r="M793">
        <v>1</v>
      </c>
      <c r="N793" t="s">
        <v>125</v>
      </c>
      <c r="O793" t="s">
        <v>127</v>
      </c>
      <c r="P793" t="s">
        <v>235</v>
      </c>
      <c r="Q793">
        <f t="shared" si="224"/>
        <v>2</v>
      </c>
      <c r="R793" t="str">
        <f t="shared" si="213"/>
        <v>5-2025</v>
      </c>
      <c r="S793" t="s">
        <v>104</v>
      </c>
      <c r="T793" t="str">
        <f t="shared" si="214"/>
        <v>Wednesday</v>
      </c>
      <c r="U793">
        <f t="shared" si="215"/>
        <v>1</v>
      </c>
      <c r="V793" s="24">
        <f>IFERROR(Table2[[#This Row],[Gray Min]]/Table2[[#This Row],[ClassLength]],"")</f>
        <v>0.20689655172413793</v>
      </c>
      <c r="W793" s="24">
        <f>IFERROR(Table2[[#This Row],[Blue Min]]/Table2[[#This Row],[ClassLength]],"")</f>
        <v>0.31034482758620691</v>
      </c>
      <c r="X793" s="24">
        <f>IFERROR(Table2[[#This Row],[Green Min]]/Table2[[#This Row],[ClassLength]],"")</f>
        <v>0.27586206896551724</v>
      </c>
      <c r="Y793" s="24">
        <f>IFERROR(Table2[[#This Row],[Orange Min]]/Table2[[#This Row],[ClassLength]],"")</f>
        <v>0.18965517241379309</v>
      </c>
      <c r="Z793" s="24">
        <f>IFERROR(Table2[[#This Row],[Red Min]]/Table2[[#This Row],[ClassLength]],"")</f>
        <v>1.7241379310344827E-2</v>
      </c>
      <c r="AA793" s="25">
        <v>169</v>
      </c>
      <c r="AB793" s="25">
        <f t="shared" si="226"/>
        <v>12.071428571428571</v>
      </c>
      <c r="AC793" s="26">
        <f t="shared" si="216"/>
        <v>631.64285714285711</v>
      </c>
      <c r="AD793" s="26">
        <f t="shared" si="217"/>
        <v>14.5</v>
      </c>
      <c r="AE793">
        <f t="shared" si="218"/>
        <v>2025</v>
      </c>
      <c r="AG793">
        <v>12</v>
      </c>
      <c r="AH793" s="26">
        <f t="shared" si="219"/>
        <v>11.017241379310345</v>
      </c>
      <c r="AI793" t="str">
        <f t="shared" si="220"/>
        <v>PM</v>
      </c>
      <c r="AJ793" t="str">
        <f t="shared" si="221"/>
        <v>5-2025-2</v>
      </c>
      <c r="AK793">
        <f t="shared" si="222"/>
        <v>5</v>
      </c>
      <c r="AL793" s="26">
        <f>IFERROR(Table2[[#This Row],[Calories]]/Table2[[#This Row],[Splat]],"")</f>
        <v>53.25</v>
      </c>
      <c r="AM793">
        <f>COUNTIF(N$2:$N$938,N793)</f>
        <v>258</v>
      </c>
      <c r="AN793" t="str">
        <f>VLOOKUP(N793,'Helpful Tables'!A:D,4,FALSE)</f>
        <v>Oregon</v>
      </c>
      <c r="AO793" s="24">
        <f>COUNTIF(AN:AN,Table2[[#This Row],[State]])/COUNTA(AN:AN)</f>
        <v>0.36140724946695096</v>
      </c>
      <c r="AP793">
        <f>VLOOKUP(N793,'Helpful Tables'!A:B,2,FALSE)</f>
        <v>45.534162000000002</v>
      </c>
      <c r="AQ793">
        <f>VLOOKUP(N793,'Helpful Tables'!A:C,3,FALSE)</f>
        <v>-122.69670000000001</v>
      </c>
      <c r="AR793">
        <f>COUNTIF(P$2:$P$938,P793)</f>
        <v>4</v>
      </c>
      <c r="AS793" cm="1">
        <f t="array" ref="AS793">_xlfn.IFS(E793&lt;6,((E793/D793)*60)*0.5,AND(E793&gt;=6,E793&lt;9),((E793/D793)*60)*0.75,AND(E793&gt;=9,E793&lt;=11),((E793/D793)*60)*0.9,AND(E793=12),((E793/D793)*60)*1,AND(E793&gt;=13,E793&lt;=15),((E793/D793)*60)*1.2,AND(E793&gt;=16,E793&lt;=19),((E793/D793)*60)*1.5,E793&gt;=20,((E793/D793)*60)*1.8)</f>
        <v>12.413793103448276</v>
      </c>
      <c r="AT793" cm="1">
        <f t="array" ref="AT793">_xlfn.IFS(F793&lt;550,((F793/D793)*60)*0.5,AND(F793&gt;=550,F793&lt;575),((F793/D793)*60)*0.75,AND(F793&gt;=575,F793&lt;600),((F793/D793)*60)*0.9,AND(F793=600),((F793/D793)*60)*1,AND(F793&gt;=601,F793&lt;=625),((F793/D793)*60)*1.2,AND(F793&gt;=626,F793&lt;=650),((F793/D793)*60)*1.5,F793&gt;=651,((F793/D793)*60)*1.8)</f>
        <v>991.55172413793105</v>
      </c>
      <c r="AU793">
        <f t="shared" si="210"/>
        <v>0.79999999999999716</v>
      </c>
      <c r="AV793">
        <f t="shared" si="225"/>
        <v>401.74620689655177</v>
      </c>
      <c r="AW793">
        <f t="shared" si="211"/>
        <v>54</v>
      </c>
      <c r="AX793" t="str">
        <f t="shared" si="223"/>
        <v>May-2025</v>
      </c>
      <c r="AY793">
        <f>ROUNDUP(Table2[[#This Row],[Month]]/3,0)</f>
        <v>2</v>
      </c>
    </row>
    <row r="794" spans="1:51" x14ac:dyDescent="0.2">
      <c r="A794">
        <v>793</v>
      </c>
      <c r="B794">
        <f t="shared" si="212"/>
        <v>14</v>
      </c>
      <c r="C794" s="22">
        <v>45785</v>
      </c>
      <c r="D794">
        <f>SUM(Table2[[#This Row],[Gray Min]:[Red Min]])</f>
        <v>58</v>
      </c>
      <c r="E794">
        <v>14</v>
      </c>
      <c r="F794">
        <v>657</v>
      </c>
      <c r="G794">
        <v>128</v>
      </c>
      <c r="H794">
        <v>170</v>
      </c>
      <c r="I794">
        <v>11</v>
      </c>
      <c r="J794">
        <v>18</v>
      </c>
      <c r="K794">
        <v>15</v>
      </c>
      <c r="L794">
        <v>11</v>
      </c>
      <c r="M794">
        <v>3</v>
      </c>
      <c r="N794" t="s">
        <v>125</v>
      </c>
      <c r="O794" t="s">
        <v>127</v>
      </c>
      <c r="P794" t="s">
        <v>235</v>
      </c>
      <c r="Q794">
        <f t="shared" si="224"/>
        <v>1</v>
      </c>
      <c r="R794" t="str">
        <f t="shared" si="213"/>
        <v>5-2025</v>
      </c>
      <c r="S794" t="s">
        <v>104</v>
      </c>
      <c r="T794" t="str">
        <f t="shared" si="214"/>
        <v>Thursday</v>
      </c>
      <c r="U794">
        <f t="shared" si="215"/>
        <v>1</v>
      </c>
      <c r="V794" s="24">
        <f>IFERROR(Table2[[#This Row],[Gray Min]]/Table2[[#This Row],[ClassLength]],"")</f>
        <v>0.18965517241379309</v>
      </c>
      <c r="W794" s="24">
        <f>IFERROR(Table2[[#This Row],[Blue Min]]/Table2[[#This Row],[ClassLength]],"")</f>
        <v>0.31034482758620691</v>
      </c>
      <c r="X794" s="24">
        <f>IFERROR(Table2[[#This Row],[Green Min]]/Table2[[#This Row],[ClassLength]],"")</f>
        <v>0.25862068965517243</v>
      </c>
      <c r="Y794" s="24">
        <f>IFERROR(Table2[[#This Row],[Orange Min]]/Table2[[#This Row],[ClassLength]],"")</f>
        <v>0.18965517241379309</v>
      </c>
      <c r="Z794" s="24">
        <f>IFERROR(Table2[[#This Row],[Red Min]]/Table2[[#This Row],[ClassLength]],"")</f>
        <v>5.1724137931034482E-2</v>
      </c>
      <c r="AA794" s="25">
        <v>169</v>
      </c>
      <c r="AB794" s="25">
        <f t="shared" si="226"/>
        <v>12.071428571428571</v>
      </c>
      <c r="AC794" s="26">
        <f t="shared" si="216"/>
        <v>631.64285714285711</v>
      </c>
      <c r="AD794" s="26">
        <f t="shared" si="217"/>
        <v>14.5</v>
      </c>
      <c r="AE794">
        <f t="shared" si="218"/>
        <v>2025</v>
      </c>
      <c r="AG794">
        <v>12</v>
      </c>
      <c r="AH794" s="26">
        <f t="shared" si="219"/>
        <v>11.327586206896552</v>
      </c>
      <c r="AI794" t="str">
        <f t="shared" si="220"/>
        <v>PM</v>
      </c>
      <c r="AJ794" t="str">
        <f t="shared" si="221"/>
        <v>5-2025-2</v>
      </c>
      <c r="AK794">
        <f t="shared" si="222"/>
        <v>5</v>
      </c>
      <c r="AL794" s="26">
        <f>IFERROR(Table2[[#This Row],[Calories]]/Table2[[#This Row],[Splat]],"")</f>
        <v>46.928571428571431</v>
      </c>
      <c r="AM794">
        <f>COUNTIF(N$2:$N$938,N794)</f>
        <v>258</v>
      </c>
      <c r="AN794" t="str">
        <f>VLOOKUP(N794,'Helpful Tables'!A:D,4,FALSE)</f>
        <v>Oregon</v>
      </c>
      <c r="AO794" s="24">
        <f>COUNTIF(AN:AN,Table2[[#This Row],[State]])/COUNTA(AN:AN)</f>
        <v>0.36140724946695096</v>
      </c>
      <c r="AP794">
        <f>VLOOKUP(N794,'Helpful Tables'!A:B,2,FALSE)</f>
        <v>45.534162000000002</v>
      </c>
      <c r="AQ794">
        <f>VLOOKUP(N794,'Helpful Tables'!A:C,3,FALSE)</f>
        <v>-122.69670000000001</v>
      </c>
      <c r="AR794">
        <f>COUNTIF(P$2:$P$938,P794)</f>
        <v>4</v>
      </c>
      <c r="AS794" cm="1">
        <f t="array" ref="AS794">_xlfn.IFS(E794&lt;6,((E794/D794)*60)*0.5,AND(E794&gt;=6,E794&lt;9),((E794/D794)*60)*0.75,AND(E794&gt;=9,E794&lt;=11),((E794/D794)*60)*0.9,AND(E794=12),((E794/D794)*60)*1,AND(E794&gt;=13,E794&lt;=15),((E794/D794)*60)*1.2,AND(E794&gt;=16,E794&lt;=19),((E794/D794)*60)*1.5,E794&gt;=20,((E794/D794)*60)*1.8)</f>
        <v>17.379310344827587</v>
      </c>
      <c r="AT794" cm="1">
        <f t="array" ref="AT794">_xlfn.IFS(F794&lt;550,((F794/D794)*60)*0.5,AND(F794&gt;=550,F794&lt;575),((F794/D794)*60)*0.75,AND(F794&gt;=575,F794&lt;600),((F794/D794)*60)*0.9,AND(F794=600),((F794/D794)*60)*1,AND(F794&gt;=601,F794&lt;=625),((F794/D794)*60)*1.2,AND(F794&gt;=626,F794&lt;=650),((F794/D794)*60)*1.5,F794&gt;=651,((F794/D794)*60)*1.8)</f>
        <v>1223.3793103448277</v>
      </c>
      <c r="AU794">
        <f t="shared" si="210"/>
        <v>3.8000000000000007</v>
      </c>
      <c r="AV794">
        <f t="shared" si="225"/>
        <v>497.06344827586213</v>
      </c>
      <c r="AW794">
        <f t="shared" si="211"/>
        <v>77.100000000000009</v>
      </c>
      <c r="AX794" t="str">
        <f t="shared" si="223"/>
        <v>May-2025</v>
      </c>
      <c r="AY794">
        <f>ROUNDUP(Table2[[#This Row],[Month]]/3,0)</f>
        <v>2</v>
      </c>
    </row>
    <row r="795" spans="1:51" x14ac:dyDescent="0.2">
      <c r="A795">
        <v>794</v>
      </c>
      <c r="B795">
        <f t="shared" si="212"/>
        <v>14</v>
      </c>
      <c r="C795" s="22">
        <v>45787</v>
      </c>
      <c r="D795">
        <f>SUM(Table2[[#This Row],[Gray Min]:[Red Min]])</f>
        <v>57</v>
      </c>
      <c r="E795">
        <v>21</v>
      </c>
      <c r="F795">
        <v>577</v>
      </c>
      <c r="G795">
        <v>119</v>
      </c>
      <c r="H795">
        <v>172</v>
      </c>
      <c r="I795">
        <v>29</v>
      </c>
      <c r="J795">
        <v>4</v>
      </c>
      <c r="K795">
        <v>3</v>
      </c>
      <c r="L795">
        <v>16</v>
      </c>
      <c r="M795">
        <v>5</v>
      </c>
      <c r="N795" t="s">
        <v>208</v>
      </c>
      <c r="O795" t="s">
        <v>76</v>
      </c>
      <c r="P795" t="s">
        <v>236</v>
      </c>
      <c r="Q795">
        <f t="shared" si="224"/>
        <v>2</v>
      </c>
      <c r="R795" t="str">
        <f t="shared" si="213"/>
        <v>5-2025</v>
      </c>
      <c r="S795" t="s">
        <v>104</v>
      </c>
      <c r="T795" t="str">
        <f t="shared" si="214"/>
        <v>Saturday</v>
      </c>
      <c r="U795">
        <f t="shared" si="215"/>
        <v>1</v>
      </c>
      <c r="V795" s="24">
        <f>IFERROR(Table2[[#This Row],[Gray Min]]/Table2[[#This Row],[ClassLength]],"")</f>
        <v>0.50877192982456143</v>
      </c>
      <c r="W795" s="24">
        <f>IFERROR(Table2[[#This Row],[Blue Min]]/Table2[[#This Row],[ClassLength]],"")</f>
        <v>7.0175438596491224E-2</v>
      </c>
      <c r="X795" s="24">
        <f>IFERROR(Table2[[#This Row],[Green Min]]/Table2[[#This Row],[ClassLength]],"")</f>
        <v>5.2631578947368418E-2</v>
      </c>
      <c r="Y795" s="24">
        <f>IFERROR(Table2[[#This Row],[Orange Min]]/Table2[[#This Row],[ClassLength]],"")</f>
        <v>0.2807017543859649</v>
      </c>
      <c r="Z795" s="24">
        <f>IFERROR(Table2[[#This Row],[Red Min]]/Table2[[#This Row],[ClassLength]],"")</f>
        <v>8.771929824561403E-2</v>
      </c>
      <c r="AA795" s="25">
        <v>169</v>
      </c>
      <c r="AB795" s="25">
        <f t="shared" si="226"/>
        <v>12.071428571428571</v>
      </c>
      <c r="AC795" s="26">
        <f t="shared" si="216"/>
        <v>631.64285714285711</v>
      </c>
      <c r="AD795" s="26">
        <f t="shared" si="217"/>
        <v>14.5</v>
      </c>
      <c r="AE795">
        <f t="shared" si="218"/>
        <v>2025</v>
      </c>
      <c r="AG795">
        <v>12</v>
      </c>
      <c r="AH795" s="26">
        <f t="shared" si="219"/>
        <v>10.12280701754386</v>
      </c>
      <c r="AI795" t="str">
        <f t="shared" si="220"/>
        <v>AM</v>
      </c>
      <c r="AJ795" t="str">
        <f t="shared" si="221"/>
        <v>5-2025-2</v>
      </c>
      <c r="AK795">
        <f t="shared" si="222"/>
        <v>5</v>
      </c>
      <c r="AL795" s="26">
        <f>IFERROR(Table2[[#This Row],[Calories]]/Table2[[#This Row],[Splat]],"")</f>
        <v>27.476190476190474</v>
      </c>
      <c r="AM795">
        <f>COUNTIF(N$2:$N$938,N795)</f>
        <v>78</v>
      </c>
      <c r="AN795" t="str">
        <f>VLOOKUP(N795,'Helpful Tables'!A:D,4,FALSE)</f>
        <v>Oregon</v>
      </c>
      <c r="AO795" s="24">
        <f>COUNTIF(AN:AN,Table2[[#This Row],[State]])/COUNTA(AN:AN)</f>
        <v>0.36140724946695096</v>
      </c>
      <c r="AP795">
        <f>VLOOKUP(N795,'Helpful Tables'!A:B,2,FALSE)</f>
        <v>45.525092999999998</v>
      </c>
      <c r="AQ795">
        <f>VLOOKUP(N795,'Helpful Tables'!A:C,3,FALSE)</f>
        <v>-122.681383</v>
      </c>
      <c r="AR795">
        <f>COUNTIF(P$2:$P$938,P795)</f>
        <v>1</v>
      </c>
      <c r="AS795" cm="1">
        <f t="array" ref="AS795">_xlfn.IFS(E795&lt;6,((E795/D795)*60)*0.5,AND(E795&gt;=6,E795&lt;9),((E795/D795)*60)*0.75,AND(E795&gt;=9,E795&lt;=11),((E795/D795)*60)*0.9,AND(E795=12),((E795/D795)*60)*1,AND(E795&gt;=13,E795&lt;=15),((E795/D795)*60)*1.2,AND(E795&gt;=16,E795&lt;=19),((E795/D795)*60)*1.5,E795&gt;=20,((E795/D795)*60)*1.8)</f>
        <v>39.789473684210527</v>
      </c>
      <c r="AT795" cm="1">
        <f t="array" ref="AT795">_xlfn.IFS(F795&lt;550,((F795/D795)*60)*0.5,AND(F795&gt;=550,F795&lt;575),((F795/D795)*60)*0.75,AND(F795&gt;=575,F795&lt;600),((F795/D795)*60)*0.9,AND(F795=600),((F795/D795)*60)*1,AND(F795&gt;=601,F795&lt;=625),((F795/D795)*60)*1.2,AND(F795&gt;=626,F795&lt;=650),((F795/D795)*60)*1.5,F795&gt;=651,((F795/D795)*60)*1.8)</f>
        <v>546.63157894736844</v>
      </c>
      <c r="AU795">
        <f t="shared" si="210"/>
        <v>-7.2999999999999936</v>
      </c>
      <c r="AV795">
        <f t="shared" si="225"/>
        <v>233.1084210526316</v>
      </c>
      <c r="AW795">
        <f t="shared" si="211"/>
        <v>20.399999999999999</v>
      </c>
      <c r="AX795" t="str">
        <f t="shared" si="223"/>
        <v>May-2025</v>
      </c>
      <c r="AY795">
        <f>ROUNDUP(Table2[[#This Row],[Month]]/3,0)</f>
        <v>2</v>
      </c>
    </row>
    <row r="796" spans="1:51" x14ac:dyDescent="0.2">
      <c r="A796">
        <v>795</v>
      </c>
      <c r="B796">
        <f t="shared" si="212"/>
        <v>14</v>
      </c>
      <c r="C796" s="22">
        <v>45788</v>
      </c>
      <c r="D796">
        <f>SUM(Table2[[#This Row],[Gray Min]:[Red Min]])</f>
        <v>61</v>
      </c>
      <c r="E796">
        <v>14</v>
      </c>
      <c r="F796">
        <v>628</v>
      </c>
      <c r="G796">
        <v>121</v>
      </c>
      <c r="H796">
        <v>169</v>
      </c>
      <c r="I796">
        <v>23</v>
      </c>
      <c r="J796">
        <v>14</v>
      </c>
      <c r="K796">
        <v>10</v>
      </c>
      <c r="L796">
        <v>13</v>
      </c>
      <c r="M796">
        <v>1</v>
      </c>
      <c r="N796" t="s">
        <v>125</v>
      </c>
      <c r="O796" t="s">
        <v>79</v>
      </c>
      <c r="P796" t="s">
        <v>220</v>
      </c>
      <c r="Q796">
        <f t="shared" si="224"/>
        <v>1</v>
      </c>
      <c r="R796" t="str">
        <f t="shared" si="213"/>
        <v>5-2025</v>
      </c>
      <c r="S796" t="s">
        <v>104</v>
      </c>
      <c r="T796" t="str">
        <f t="shared" si="214"/>
        <v>Sunday</v>
      </c>
      <c r="U796">
        <f t="shared" si="215"/>
        <v>1</v>
      </c>
      <c r="V796" s="24">
        <f>IFERROR(Table2[[#This Row],[Gray Min]]/Table2[[#This Row],[ClassLength]],"")</f>
        <v>0.37704918032786883</v>
      </c>
      <c r="W796" s="24">
        <f>IFERROR(Table2[[#This Row],[Blue Min]]/Table2[[#This Row],[ClassLength]],"")</f>
        <v>0.22950819672131148</v>
      </c>
      <c r="X796" s="24">
        <f>IFERROR(Table2[[#This Row],[Green Min]]/Table2[[#This Row],[ClassLength]],"")</f>
        <v>0.16393442622950818</v>
      </c>
      <c r="Y796" s="24">
        <f>IFERROR(Table2[[#This Row],[Orange Min]]/Table2[[#This Row],[ClassLength]],"")</f>
        <v>0.21311475409836064</v>
      </c>
      <c r="Z796" s="24">
        <f>IFERROR(Table2[[#This Row],[Red Min]]/Table2[[#This Row],[ClassLength]],"")</f>
        <v>1.6393442622950821E-2</v>
      </c>
      <c r="AA796" s="25">
        <v>169</v>
      </c>
      <c r="AB796" s="25">
        <f t="shared" si="226"/>
        <v>12.071428571428571</v>
      </c>
      <c r="AC796" s="26">
        <f t="shared" si="216"/>
        <v>631.64285714285711</v>
      </c>
      <c r="AD796" s="26">
        <f t="shared" si="217"/>
        <v>14.5</v>
      </c>
      <c r="AE796">
        <f t="shared" si="218"/>
        <v>2025</v>
      </c>
      <c r="AG796">
        <v>12</v>
      </c>
      <c r="AH796" s="26">
        <f t="shared" si="219"/>
        <v>10.295081967213115</v>
      </c>
      <c r="AI796" t="str">
        <f t="shared" si="220"/>
        <v>AM</v>
      </c>
      <c r="AJ796" t="str">
        <f t="shared" si="221"/>
        <v>5-2025-3</v>
      </c>
      <c r="AK796">
        <f t="shared" si="222"/>
        <v>5</v>
      </c>
      <c r="AL796" s="26">
        <f>IFERROR(Table2[[#This Row],[Calories]]/Table2[[#This Row],[Splat]],"")</f>
        <v>44.857142857142854</v>
      </c>
      <c r="AM796">
        <f>COUNTIF(N$2:$N$938,N796)</f>
        <v>258</v>
      </c>
      <c r="AN796" t="str">
        <f>VLOOKUP(N796,'Helpful Tables'!A:D,4,FALSE)</f>
        <v>Oregon</v>
      </c>
      <c r="AO796" s="24">
        <f>COUNTIF(AN:AN,Table2[[#This Row],[State]])/COUNTA(AN:AN)</f>
        <v>0.36140724946695096</v>
      </c>
      <c r="AP796">
        <f>VLOOKUP(N796,'Helpful Tables'!A:B,2,FALSE)</f>
        <v>45.534162000000002</v>
      </c>
      <c r="AQ796">
        <f>VLOOKUP(N796,'Helpful Tables'!A:C,3,FALSE)</f>
        <v>-122.69670000000001</v>
      </c>
      <c r="AR796">
        <f>COUNTIF(P$2:$P$938,P796)</f>
        <v>43</v>
      </c>
      <c r="AS796" cm="1">
        <f t="array" ref="AS796">_xlfn.IFS(E796&lt;6,((E796/D796)*60)*0.5,AND(E796&gt;=6,E796&lt;9),((E796/D796)*60)*0.75,AND(E796&gt;=9,E796&lt;=11),((E796/D796)*60)*0.9,AND(E796=12),((E796/D796)*60)*1,AND(E796&gt;=13,E796&lt;=15),((E796/D796)*60)*1.2,AND(E796&gt;=16,E796&lt;=19),((E796/D796)*60)*1.5,E796&gt;=20,((E796/D796)*60)*1.8)</f>
        <v>16.524590163934427</v>
      </c>
      <c r="AT796" cm="1">
        <f t="array" ref="AT796">_xlfn.IFS(F796&lt;550,((F796/D796)*60)*0.5,AND(F796&gt;=550,F796&lt;575),((F796/D796)*60)*0.75,AND(F796&gt;=575,F796&lt;600),((F796/D796)*60)*0.9,AND(F796=600),((F796/D796)*60)*1,AND(F796&gt;=601,F796&lt;=625),((F796/D796)*60)*1.2,AND(F796&gt;=626,F796&lt;=650),((F796/D796)*60)*1.5,F796&gt;=651,((F796/D796)*60)*1.8)</f>
        <v>926.55737704918033</v>
      </c>
      <c r="AU796">
        <f t="shared" si="210"/>
        <v>-12.599999999999998</v>
      </c>
      <c r="AV796">
        <f t="shared" si="225"/>
        <v>374.71278688524592</v>
      </c>
      <c r="AW796">
        <f t="shared" si="211"/>
        <v>43.9</v>
      </c>
      <c r="AX796" t="str">
        <f t="shared" si="223"/>
        <v>May-2025</v>
      </c>
      <c r="AY796">
        <f>ROUNDUP(Table2[[#This Row],[Month]]/3,0)</f>
        <v>2</v>
      </c>
    </row>
    <row r="797" spans="1:51" x14ac:dyDescent="0.2">
      <c r="A797">
        <v>796</v>
      </c>
      <c r="B797">
        <f t="shared" si="212"/>
        <v>14</v>
      </c>
      <c r="C797" s="22">
        <v>45791</v>
      </c>
      <c r="D797">
        <f>SUM(Table2[[#This Row],[Gray Min]:[Red Min]])</f>
        <v>56</v>
      </c>
      <c r="E797">
        <v>8</v>
      </c>
      <c r="F797">
        <v>592</v>
      </c>
      <c r="G797">
        <v>121</v>
      </c>
      <c r="H797">
        <v>166</v>
      </c>
      <c r="I797">
        <v>15</v>
      </c>
      <c r="J797">
        <v>18</v>
      </c>
      <c r="K797">
        <v>15</v>
      </c>
      <c r="L797">
        <v>7</v>
      </c>
      <c r="M797">
        <v>1</v>
      </c>
      <c r="N797" t="s">
        <v>125</v>
      </c>
      <c r="O797" t="s">
        <v>127</v>
      </c>
      <c r="P797" t="s">
        <v>235</v>
      </c>
      <c r="Q797">
        <f t="shared" si="224"/>
        <v>3</v>
      </c>
      <c r="R797" t="str">
        <f t="shared" si="213"/>
        <v>5-2025</v>
      </c>
      <c r="S797" t="s">
        <v>104</v>
      </c>
      <c r="T797" t="str">
        <f t="shared" si="214"/>
        <v>Wednesday</v>
      </c>
      <c r="U797">
        <f t="shared" si="215"/>
        <v>0</v>
      </c>
      <c r="V797" s="24">
        <f>IFERROR(Table2[[#This Row],[Gray Min]]/Table2[[#This Row],[ClassLength]],"")</f>
        <v>0.26785714285714285</v>
      </c>
      <c r="W797" s="24">
        <f>IFERROR(Table2[[#This Row],[Blue Min]]/Table2[[#This Row],[ClassLength]],"")</f>
        <v>0.32142857142857145</v>
      </c>
      <c r="X797" s="24">
        <f>IFERROR(Table2[[#This Row],[Green Min]]/Table2[[#This Row],[ClassLength]],"")</f>
        <v>0.26785714285714285</v>
      </c>
      <c r="Y797" s="24">
        <f>IFERROR(Table2[[#This Row],[Orange Min]]/Table2[[#This Row],[ClassLength]],"")</f>
        <v>0.125</v>
      </c>
      <c r="Z797" s="24">
        <f>IFERROR(Table2[[#This Row],[Red Min]]/Table2[[#This Row],[ClassLength]],"")</f>
        <v>1.7857142857142856E-2</v>
      </c>
      <c r="AA797" s="25">
        <v>169</v>
      </c>
      <c r="AB797" s="25">
        <f t="shared" si="226"/>
        <v>12.071428571428571</v>
      </c>
      <c r="AC797" s="26">
        <f t="shared" si="216"/>
        <v>631.64285714285711</v>
      </c>
      <c r="AD797" s="26">
        <f t="shared" si="217"/>
        <v>14.5</v>
      </c>
      <c r="AE797">
        <f t="shared" si="218"/>
        <v>2025</v>
      </c>
      <c r="AG797">
        <v>12</v>
      </c>
      <c r="AH797" s="26">
        <f t="shared" si="219"/>
        <v>10.571428571428571</v>
      </c>
      <c r="AI797" t="str">
        <f t="shared" si="220"/>
        <v>PM</v>
      </c>
      <c r="AJ797" t="str">
        <f t="shared" si="221"/>
        <v>5-2025-3</v>
      </c>
      <c r="AK797">
        <f t="shared" si="222"/>
        <v>5</v>
      </c>
      <c r="AL797" s="26">
        <f>IFERROR(Table2[[#This Row],[Calories]]/Table2[[#This Row],[Splat]],"")</f>
        <v>74</v>
      </c>
      <c r="AM797">
        <f>COUNTIF(N$2:$N$938,N797)</f>
        <v>258</v>
      </c>
      <c r="AN797" t="str">
        <f>VLOOKUP(N797,'Helpful Tables'!A:D,4,FALSE)</f>
        <v>Oregon</v>
      </c>
      <c r="AO797" s="24">
        <f>COUNTIF(AN:AN,Table2[[#This Row],[State]])/COUNTA(AN:AN)</f>
        <v>0.36140724946695096</v>
      </c>
      <c r="AP797">
        <f>VLOOKUP(N797,'Helpful Tables'!A:B,2,FALSE)</f>
        <v>45.534162000000002</v>
      </c>
      <c r="AQ797">
        <f>VLOOKUP(N797,'Helpful Tables'!A:C,3,FALSE)</f>
        <v>-122.69670000000001</v>
      </c>
      <c r="AR797">
        <f>COUNTIF(P$2:$P$938,P797)</f>
        <v>4</v>
      </c>
      <c r="AS797" cm="1">
        <f t="array" ref="AS797">_xlfn.IFS(E797&lt;6,((E797/D797)*60)*0.5,AND(E797&gt;=6,E797&lt;9),((E797/D797)*60)*0.75,AND(E797&gt;=9,E797&lt;=11),((E797/D797)*60)*0.9,AND(E797=12),((E797/D797)*60)*1,AND(E797&gt;=13,E797&lt;=15),((E797/D797)*60)*1.2,AND(E797&gt;=16,E797&lt;=19),((E797/D797)*60)*1.5,E797&gt;=20,((E797/D797)*60)*1.8)</f>
        <v>6.4285714285714288</v>
      </c>
      <c r="AT797" cm="1">
        <f t="array" ref="AT797">_xlfn.IFS(F797&lt;550,((F797/D797)*60)*0.5,AND(F797&gt;=550,F797&lt;575),((F797/D797)*60)*0.75,AND(F797&gt;=575,F797&lt;600),((F797/D797)*60)*0.9,AND(F797=600),((F797/D797)*60)*1,AND(F797&gt;=601,F797&lt;=625),((F797/D797)*60)*1.2,AND(F797&gt;=626,F797&lt;=650),((F797/D797)*60)*1.5,F797&gt;=651,((F797/D797)*60)*1.8)</f>
        <v>570.85714285714278</v>
      </c>
      <c r="AU797">
        <f t="shared" si="210"/>
        <v>-9.1999999999999975</v>
      </c>
      <c r="AV797">
        <f t="shared" si="225"/>
        <v>229.07428571428571</v>
      </c>
      <c r="AW797">
        <f t="shared" si="211"/>
        <v>19.600000000000001</v>
      </c>
      <c r="AX797" t="str">
        <f t="shared" si="223"/>
        <v>May-2025</v>
      </c>
      <c r="AY797">
        <f>ROUNDUP(Table2[[#This Row],[Month]]/3,0)</f>
        <v>2</v>
      </c>
    </row>
    <row r="798" spans="1:51" x14ac:dyDescent="0.2">
      <c r="A798">
        <v>797</v>
      </c>
      <c r="B798">
        <f t="shared" si="212"/>
        <v>14</v>
      </c>
      <c r="C798" s="22">
        <v>45792</v>
      </c>
      <c r="D798">
        <f>SUM(Table2[[#This Row],[Gray Min]:[Red Min]])</f>
        <v>58</v>
      </c>
      <c r="E798">
        <v>15</v>
      </c>
      <c r="F798">
        <v>613</v>
      </c>
      <c r="G798">
        <v>123</v>
      </c>
      <c r="H798">
        <v>166</v>
      </c>
      <c r="I798">
        <v>20</v>
      </c>
      <c r="J798">
        <v>8</v>
      </c>
      <c r="K798">
        <v>15</v>
      </c>
      <c r="L798">
        <v>13</v>
      </c>
      <c r="M798">
        <v>2</v>
      </c>
      <c r="N798" t="s">
        <v>125</v>
      </c>
      <c r="O798" t="s">
        <v>127</v>
      </c>
      <c r="P798" t="s">
        <v>214</v>
      </c>
      <c r="Q798">
        <f t="shared" si="224"/>
        <v>1</v>
      </c>
      <c r="R798" t="str">
        <f t="shared" si="213"/>
        <v>5-2025</v>
      </c>
      <c r="S798" t="s">
        <v>104</v>
      </c>
      <c r="T798" t="str">
        <f t="shared" si="214"/>
        <v>Thursday</v>
      </c>
      <c r="U798">
        <f t="shared" si="215"/>
        <v>1</v>
      </c>
      <c r="V798" s="24">
        <f>IFERROR(Table2[[#This Row],[Gray Min]]/Table2[[#This Row],[ClassLength]],"")</f>
        <v>0.34482758620689657</v>
      </c>
      <c r="W798" s="24">
        <f>IFERROR(Table2[[#This Row],[Blue Min]]/Table2[[#This Row],[ClassLength]],"")</f>
        <v>0.13793103448275862</v>
      </c>
      <c r="X798" s="24">
        <f>IFERROR(Table2[[#This Row],[Green Min]]/Table2[[#This Row],[ClassLength]],"")</f>
        <v>0.25862068965517243</v>
      </c>
      <c r="Y798" s="24">
        <f>IFERROR(Table2[[#This Row],[Orange Min]]/Table2[[#This Row],[ClassLength]],"")</f>
        <v>0.22413793103448276</v>
      </c>
      <c r="Z798" s="24">
        <f>IFERROR(Table2[[#This Row],[Red Min]]/Table2[[#This Row],[ClassLength]],"")</f>
        <v>3.4482758620689655E-2</v>
      </c>
      <c r="AA798" s="25">
        <v>169</v>
      </c>
      <c r="AB798" s="25">
        <f t="shared" si="226"/>
        <v>12.071428571428571</v>
      </c>
      <c r="AC798" s="26">
        <f t="shared" si="216"/>
        <v>631.64285714285711</v>
      </c>
      <c r="AD798" s="26">
        <f t="shared" si="217"/>
        <v>14.5</v>
      </c>
      <c r="AE798">
        <f t="shared" si="218"/>
        <v>2025</v>
      </c>
      <c r="AG798">
        <v>12</v>
      </c>
      <c r="AH798" s="26">
        <f t="shared" si="219"/>
        <v>10.568965517241379</v>
      </c>
      <c r="AI798" t="str">
        <f t="shared" si="220"/>
        <v>PM</v>
      </c>
      <c r="AJ798" t="str">
        <f t="shared" si="221"/>
        <v>5-2025-3</v>
      </c>
      <c r="AK798">
        <f t="shared" si="222"/>
        <v>5</v>
      </c>
      <c r="AL798" s="26">
        <f>IFERROR(Table2[[#This Row],[Calories]]/Table2[[#This Row],[Splat]],"")</f>
        <v>40.866666666666667</v>
      </c>
      <c r="AM798">
        <f>COUNTIF(N$2:$N$938,N798)</f>
        <v>258</v>
      </c>
      <c r="AN798" t="str">
        <f>VLOOKUP(N798,'Helpful Tables'!A:D,4,FALSE)</f>
        <v>Oregon</v>
      </c>
      <c r="AO798" s="24">
        <f>COUNTIF(AN:AN,Table2[[#This Row],[State]])/COUNTA(AN:AN)</f>
        <v>0.36140724946695096</v>
      </c>
      <c r="AP798">
        <f>VLOOKUP(N798,'Helpful Tables'!A:B,2,FALSE)</f>
        <v>45.534162000000002</v>
      </c>
      <c r="AQ798">
        <f>VLOOKUP(N798,'Helpful Tables'!A:C,3,FALSE)</f>
        <v>-122.69670000000001</v>
      </c>
      <c r="AR798">
        <f>COUNTIF(P$2:$P$938,P798)</f>
        <v>11</v>
      </c>
      <c r="AS798" cm="1">
        <f t="array" ref="AS798">_xlfn.IFS(E798&lt;6,((E798/D798)*60)*0.5,AND(E798&gt;=6,E798&lt;9),((E798/D798)*60)*0.75,AND(E798&gt;=9,E798&lt;=11),((E798/D798)*60)*0.9,AND(E798=12),((E798/D798)*60)*1,AND(E798&gt;=13,E798&lt;=15),((E798/D798)*60)*1.2,AND(E798&gt;=16,E798&lt;=19),((E798/D798)*60)*1.5,E798&gt;=20,((E798/D798)*60)*1.8)</f>
        <v>18.620689655172413</v>
      </c>
      <c r="AT798" cm="1">
        <f t="array" ref="AT798">_xlfn.IFS(F798&lt;550,((F798/D798)*60)*0.5,AND(F798&gt;=550,F798&lt;575),((F798/D798)*60)*0.75,AND(F798&gt;=575,F798&lt;600),((F798/D798)*60)*0.9,AND(F798=600),((F798/D798)*60)*1,AND(F798&gt;=601,F798&lt;=625),((F798/D798)*60)*1.2,AND(F798&gt;=626,F798&lt;=650),((F798/D798)*60)*1.5,F798&gt;=651,((F798/D798)*60)*1.8)</f>
        <v>760.9655172413793</v>
      </c>
      <c r="AU798">
        <f t="shared" ref="AU798:AU861" si="227">(I798*-1.2)+(J798*-1.1)+(K798*1.2)+(L798*1.3)+(M798*1.5)</f>
        <v>5.100000000000005</v>
      </c>
      <c r="AV798">
        <f t="shared" si="225"/>
        <v>312.85448275862069</v>
      </c>
      <c r="AW798">
        <f t="shared" ref="AW798:AW861" si="228">PERCENTRANK(AV:AV,AV798)*100</f>
        <v>32.700000000000003</v>
      </c>
      <c r="AX798" t="str">
        <f t="shared" si="223"/>
        <v>May-2025</v>
      </c>
      <c r="AY798">
        <f>ROUNDUP(Table2[[#This Row],[Month]]/3,0)</f>
        <v>2</v>
      </c>
    </row>
    <row r="799" spans="1:51" x14ac:dyDescent="0.2">
      <c r="A799">
        <v>798</v>
      </c>
      <c r="B799">
        <f t="shared" si="212"/>
        <v>14</v>
      </c>
      <c r="C799" s="22">
        <v>45794</v>
      </c>
      <c r="D799">
        <f>SUM(Table2[[#This Row],[Gray Min]:[Red Min]])</f>
        <v>59</v>
      </c>
      <c r="E799">
        <v>13</v>
      </c>
      <c r="F799">
        <v>629</v>
      </c>
      <c r="G799">
        <v>123</v>
      </c>
      <c r="H799">
        <v>166</v>
      </c>
      <c r="I799">
        <v>13</v>
      </c>
      <c r="J799">
        <v>22</v>
      </c>
      <c r="K799">
        <v>11</v>
      </c>
      <c r="L799">
        <v>11</v>
      </c>
      <c r="M799">
        <v>2</v>
      </c>
      <c r="N799" t="s">
        <v>125</v>
      </c>
      <c r="O799" t="s">
        <v>127</v>
      </c>
      <c r="P799" t="s">
        <v>235</v>
      </c>
      <c r="Q799">
        <f t="shared" si="224"/>
        <v>2</v>
      </c>
      <c r="R799" t="str">
        <f t="shared" si="213"/>
        <v>5-2025</v>
      </c>
      <c r="S799" t="s">
        <v>104</v>
      </c>
      <c r="T799" t="str">
        <f t="shared" si="214"/>
        <v>Saturday</v>
      </c>
      <c r="U799">
        <f t="shared" si="215"/>
        <v>1</v>
      </c>
      <c r="V799" s="24">
        <f>IFERROR(Table2[[#This Row],[Gray Min]]/Table2[[#This Row],[ClassLength]],"")</f>
        <v>0.22033898305084745</v>
      </c>
      <c r="W799" s="24">
        <f>IFERROR(Table2[[#This Row],[Blue Min]]/Table2[[#This Row],[ClassLength]],"")</f>
        <v>0.3728813559322034</v>
      </c>
      <c r="X799" s="24">
        <f>IFERROR(Table2[[#This Row],[Green Min]]/Table2[[#This Row],[ClassLength]],"")</f>
        <v>0.1864406779661017</v>
      </c>
      <c r="Y799" s="24">
        <f>IFERROR(Table2[[#This Row],[Orange Min]]/Table2[[#This Row],[ClassLength]],"")</f>
        <v>0.1864406779661017</v>
      </c>
      <c r="Z799" s="24">
        <f>IFERROR(Table2[[#This Row],[Red Min]]/Table2[[#This Row],[ClassLength]],"")</f>
        <v>3.3898305084745763E-2</v>
      </c>
      <c r="AA799" s="25">
        <v>169</v>
      </c>
      <c r="AB799" s="25">
        <f t="shared" si="226"/>
        <v>12.071428571428571</v>
      </c>
      <c r="AC799" s="26">
        <f t="shared" si="216"/>
        <v>631.64285714285711</v>
      </c>
      <c r="AD799" s="26">
        <f t="shared" si="217"/>
        <v>14.5</v>
      </c>
      <c r="AE799">
        <f t="shared" si="218"/>
        <v>2025</v>
      </c>
      <c r="AG799">
        <v>12</v>
      </c>
      <c r="AH799" s="26">
        <f t="shared" si="219"/>
        <v>10.661016949152541</v>
      </c>
      <c r="AI799" t="str">
        <f t="shared" si="220"/>
        <v>PM</v>
      </c>
      <c r="AJ799" t="str">
        <f t="shared" si="221"/>
        <v>5-2025-3</v>
      </c>
      <c r="AK799">
        <f t="shared" si="222"/>
        <v>5</v>
      </c>
      <c r="AL799" s="26">
        <f>IFERROR(Table2[[#This Row],[Calories]]/Table2[[#This Row],[Splat]],"")</f>
        <v>48.384615384615387</v>
      </c>
      <c r="AM799">
        <f>COUNTIF(N$2:$N$938,N799)</f>
        <v>258</v>
      </c>
      <c r="AN799" t="str">
        <f>VLOOKUP(N799,'Helpful Tables'!A:D,4,FALSE)</f>
        <v>Oregon</v>
      </c>
      <c r="AO799" s="24">
        <f>COUNTIF(AN:AN,Table2[[#This Row],[State]])/COUNTA(AN:AN)</f>
        <v>0.36140724946695096</v>
      </c>
      <c r="AP799">
        <f>VLOOKUP(N799,'Helpful Tables'!A:B,2,FALSE)</f>
        <v>45.534162000000002</v>
      </c>
      <c r="AQ799">
        <f>VLOOKUP(N799,'Helpful Tables'!A:C,3,FALSE)</f>
        <v>-122.69670000000001</v>
      </c>
      <c r="AR799">
        <f>COUNTIF(P$2:$P$938,P799)</f>
        <v>4</v>
      </c>
      <c r="AS799" cm="1">
        <f t="array" ref="AS799">_xlfn.IFS(E799&lt;6,((E799/D799)*60)*0.5,AND(E799&gt;=6,E799&lt;9),((E799/D799)*60)*0.75,AND(E799&gt;=9,E799&lt;=11),((E799/D799)*60)*0.9,AND(E799=12),((E799/D799)*60)*1,AND(E799&gt;=13,E799&lt;=15),((E799/D799)*60)*1.2,AND(E799&gt;=16,E799&lt;=19),((E799/D799)*60)*1.5,E799&gt;=20,((E799/D799)*60)*1.8)</f>
        <v>15.864406779661017</v>
      </c>
      <c r="AT799" cm="1">
        <f t="array" ref="AT799">_xlfn.IFS(F799&lt;550,((F799/D799)*60)*0.5,AND(F799&gt;=550,F799&lt;575),((F799/D799)*60)*0.75,AND(F799&gt;=575,F799&lt;600),((F799/D799)*60)*0.9,AND(F799=600),((F799/D799)*60)*1,AND(F799&gt;=601,F799&lt;=625),((F799/D799)*60)*1.2,AND(F799&gt;=626,F799&lt;=650),((F799/D799)*60)*1.5,F799&gt;=651,((F799/D799)*60)*1.8)</f>
        <v>959.49152542372872</v>
      </c>
      <c r="AU799">
        <f t="shared" si="227"/>
        <v>-9.3000000000000043</v>
      </c>
      <c r="AV799">
        <f t="shared" si="225"/>
        <v>388.28237288135585</v>
      </c>
      <c r="AW799">
        <f t="shared" si="228"/>
        <v>47.599999999999994</v>
      </c>
      <c r="AX799" t="str">
        <f t="shared" si="223"/>
        <v>May-2025</v>
      </c>
      <c r="AY799">
        <f>ROUNDUP(Table2[[#This Row],[Month]]/3,0)</f>
        <v>2</v>
      </c>
    </row>
    <row r="800" spans="1:51" x14ac:dyDescent="0.2">
      <c r="A800">
        <v>799</v>
      </c>
      <c r="B800">
        <f t="shared" si="212"/>
        <v>14</v>
      </c>
      <c r="C800" s="22">
        <v>45796</v>
      </c>
      <c r="D800">
        <f>SUM(Table2[[#This Row],[Gray Min]:[Red Min]])</f>
        <v>60</v>
      </c>
      <c r="E800">
        <v>15</v>
      </c>
      <c r="F800">
        <v>662</v>
      </c>
      <c r="G800">
        <v>126</v>
      </c>
      <c r="H800">
        <v>169</v>
      </c>
      <c r="I800">
        <v>12</v>
      </c>
      <c r="J800">
        <v>21</v>
      </c>
      <c r="K800">
        <v>12</v>
      </c>
      <c r="L800">
        <v>11</v>
      </c>
      <c r="M800">
        <v>4</v>
      </c>
      <c r="N800" t="s">
        <v>125</v>
      </c>
      <c r="O800" t="s">
        <v>127</v>
      </c>
      <c r="P800" t="s">
        <v>220</v>
      </c>
      <c r="Q800">
        <f t="shared" si="224"/>
        <v>2</v>
      </c>
      <c r="R800" t="str">
        <f t="shared" si="213"/>
        <v>5-2025</v>
      </c>
      <c r="S800" t="s">
        <v>104</v>
      </c>
      <c r="T800" t="str">
        <f t="shared" si="214"/>
        <v>Monday</v>
      </c>
      <c r="U800">
        <f t="shared" si="215"/>
        <v>1</v>
      </c>
      <c r="V800" s="24">
        <f>IFERROR(Table2[[#This Row],[Gray Min]]/Table2[[#This Row],[ClassLength]],"")</f>
        <v>0.2</v>
      </c>
      <c r="W800" s="24">
        <f>IFERROR(Table2[[#This Row],[Blue Min]]/Table2[[#This Row],[ClassLength]],"")</f>
        <v>0.35</v>
      </c>
      <c r="X800" s="24">
        <f>IFERROR(Table2[[#This Row],[Green Min]]/Table2[[#This Row],[ClassLength]],"")</f>
        <v>0.2</v>
      </c>
      <c r="Y800" s="24">
        <f>IFERROR(Table2[[#This Row],[Orange Min]]/Table2[[#This Row],[ClassLength]],"")</f>
        <v>0.18333333333333332</v>
      </c>
      <c r="Z800" s="24">
        <f>IFERROR(Table2[[#This Row],[Red Min]]/Table2[[#This Row],[ClassLength]],"")</f>
        <v>6.6666666666666666E-2</v>
      </c>
      <c r="AA800" s="25">
        <v>169</v>
      </c>
      <c r="AB800" s="25">
        <f t="shared" si="226"/>
        <v>12.071428571428571</v>
      </c>
      <c r="AC800" s="26">
        <f t="shared" si="216"/>
        <v>631.64285714285711</v>
      </c>
      <c r="AD800" s="26">
        <f t="shared" si="217"/>
        <v>14.5</v>
      </c>
      <c r="AE800">
        <f t="shared" si="218"/>
        <v>2025</v>
      </c>
      <c r="AG800">
        <v>12</v>
      </c>
      <c r="AH800" s="26">
        <f t="shared" si="219"/>
        <v>11.033333333333333</v>
      </c>
      <c r="AI800" t="str">
        <f t="shared" si="220"/>
        <v>PM</v>
      </c>
      <c r="AJ800" t="str">
        <f t="shared" si="221"/>
        <v>5-2025-4</v>
      </c>
      <c r="AK800">
        <f t="shared" si="222"/>
        <v>5</v>
      </c>
      <c r="AL800" s="26">
        <f>IFERROR(Table2[[#This Row],[Calories]]/Table2[[#This Row],[Splat]],"")</f>
        <v>44.133333333333333</v>
      </c>
      <c r="AM800">
        <f>COUNTIF(N$2:$N$938,N800)</f>
        <v>258</v>
      </c>
      <c r="AN800" t="str">
        <f>VLOOKUP(N800,'Helpful Tables'!A:D,4,FALSE)</f>
        <v>Oregon</v>
      </c>
      <c r="AO800" s="24">
        <f>COUNTIF(AN:AN,Table2[[#This Row],[State]])/COUNTA(AN:AN)</f>
        <v>0.36140724946695096</v>
      </c>
      <c r="AP800">
        <f>VLOOKUP(N800,'Helpful Tables'!A:B,2,FALSE)</f>
        <v>45.534162000000002</v>
      </c>
      <c r="AQ800">
        <f>VLOOKUP(N800,'Helpful Tables'!A:C,3,FALSE)</f>
        <v>-122.69670000000001</v>
      </c>
      <c r="AR800">
        <f>COUNTIF(P$2:$P$938,P800)</f>
        <v>43</v>
      </c>
      <c r="AS800" cm="1">
        <f t="array" ref="AS800">_xlfn.IFS(E800&lt;6,((E800/D800)*60)*0.5,AND(E800&gt;=6,E800&lt;9),((E800/D800)*60)*0.75,AND(E800&gt;=9,E800&lt;=11),((E800/D800)*60)*0.9,AND(E800=12),((E800/D800)*60)*1,AND(E800&gt;=13,E800&lt;=15),((E800/D800)*60)*1.2,AND(E800&gt;=16,E800&lt;=19),((E800/D800)*60)*1.5,E800&gt;=20,((E800/D800)*60)*1.8)</f>
        <v>18</v>
      </c>
      <c r="AT800" cm="1">
        <f t="array" ref="AT800">_xlfn.IFS(F800&lt;550,((F800/D800)*60)*0.5,AND(F800&gt;=550,F800&lt;575),((F800/D800)*60)*0.75,AND(F800&gt;=575,F800&lt;600),((F800/D800)*60)*0.9,AND(F800=600),((F800/D800)*60)*1,AND(F800&gt;=601,F800&lt;=625),((F800/D800)*60)*1.2,AND(F800&gt;=626,F800&lt;=650),((F800/D800)*60)*1.5,F800&gt;=651,((F800/D800)*60)*1.8)</f>
        <v>1191.6000000000001</v>
      </c>
      <c r="AU800">
        <f t="shared" si="227"/>
        <v>-2.8000000000000007</v>
      </c>
      <c r="AV800">
        <f t="shared" si="225"/>
        <v>483.28000000000009</v>
      </c>
      <c r="AW800">
        <f t="shared" si="228"/>
        <v>70.8</v>
      </c>
      <c r="AX800" t="str">
        <f t="shared" si="223"/>
        <v>May-2025</v>
      </c>
      <c r="AY800">
        <f>ROUNDUP(Table2[[#This Row],[Month]]/3,0)</f>
        <v>2</v>
      </c>
    </row>
    <row r="801" spans="1:51" x14ac:dyDescent="0.2">
      <c r="A801">
        <v>800</v>
      </c>
      <c r="B801">
        <f t="shared" si="212"/>
        <v>14</v>
      </c>
      <c r="C801" s="22">
        <v>45797</v>
      </c>
      <c r="D801">
        <f>SUM(Table2[[#This Row],[Gray Min]:[Red Min]])</f>
        <v>59</v>
      </c>
      <c r="E801">
        <v>16</v>
      </c>
      <c r="F801">
        <v>657</v>
      </c>
      <c r="G801">
        <v>126</v>
      </c>
      <c r="H801">
        <v>165</v>
      </c>
      <c r="I801">
        <v>11</v>
      </c>
      <c r="J801">
        <v>22</v>
      </c>
      <c r="K801">
        <v>10</v>
      </c>
      <c r="L801">
        <v>15</v>
      </c>
      <c r="M801">
        <v>1</v>
      </c>
      <c r="N801" t="s">
        <v>208</v>
      </c>
      <c r="O801" t="s">
        <v>53</v>
      </c>
      <c r="P801" t="s">
        <v>213</v>
      </c>
      <c r="Q801">
        <f t="shared" si="224"/>
        <v>1</v>
      </c>
      <c r="R801" t="str">
        <f t="shared" si="213"/>
        <v>5-2025</v>
      </c>
      <c r="S801" t="s">
        <v>104</v>
      </c>
      <c r="T801" t="str">
        <f t="shared" si="214"/>
        <v>Tuesday</v>
      </c>
      <c r="U801">
        <f t="shared" si="215"/>
        <v>1</v>
      </c>
      <c r="V801" s="24">
        <f>IFERROR(Table2[[#This Row],[Gray Min]]/Table2[[#This Row],[ClassLength]],"")</f>
        <v>0.1864406779661017</v>
      </c>
      <c r="W801" s="24">
        <f>IFERROR(Table2[[#This Row],[Blue Min]]/Table2[[#This Row],[ClassLength]],"")</f>
        <v>0.3728813559322034</v>
      </c>
      <c r="X801" s="24">
        <f>IFERROR(Table2[[#This Row],[Green Min]]/Table2[[#This Row],[ClassLength]],"")</f>
        <v>0.16949152542372881</v>
      </c>
      <c r="Y801" s="24">
        <f>IFERROR(Table2[[#This Row],[Orange Min]]/Table2[[#This Row],[ClassLength]],"")</f>
        <v>0.25423728813559321</v>
      </c>
      <c r="Z801" s="24">
        <f>IFERROR(Table2[[#This Row],[Red Min]]/Table2[[#This Row],[ClassLength]],"")</f>
        <v>1.6949152542372881E-2</v>
      </c>
      <c r="AA801" s="25">
        <v>169</v>
      </c>
      <c r="AB801" s="25">
        <f t="shared" si="226"/>
        <v>12.071428571428571</v>
      </c>
      <c r="AC801" s="26">
        <f t="shared" si="216"/>
        <v>631.64285714285711</v>
      </c>
      <c r="AD801" s="26">
        <f t="shared" si="217"/>
        <v>14.5</v>
      </c>
      <c r="AE801">
        <f t="shared" si="218"/>
        <v>2025</v>
      </c>
      <c r="AG801">
        <v>12</v>
      </c>
      <c r="AH801" s="26">
        <f t="shared" si="219"/>
        <v>11.135593220338983</v>
      </c>
      <c r="AI801" t="str">
        <f t="shared" si="220"/>
        <v>PM</v>
      </c>
      <c r="AJ801" t="str">
        <f t="shared" si="221"/>
        <v>5-2025-4</v>
      </c>
      <c r="AK801">
        <f t="shared" si="222"/>
        <v>5</v>
      </c>
      <c r="AL801" s="26">
        <f>IFERROR(Table2[[#This Row],[Calories]]/Table2[[#This Row],[Splat]],"")</f>
        <v>41.0625</v>
      </c>
      <c r="AM801">
        <f>COUNTIF(N$2:$N$938,N801)</f>
        <v>78</v>
      </c>
      <c r="AN801" t="str">
        <f>VLOOKUP(N801,'Helpful Tables'!A:D,4,FALSE)</f>
        <v>Oregon</v>
      </c>
      <c r="AO801" s="24">
        <f>COUNTIF(AN:AN,Table2[[#This Row],[State]])/COUNTA(AN:AN)</f>
        <v>0.36140724946695096</v>
      </c>
      <c r="AP801">
        <f>VLOOKUP(N801,'Helpful Tables'!A:B,2,FALSE)</f>
        <v>45.525092999999998</v>
      </c>
      <c r="AQ801">
        <f>VLOOKUP(N801,'Helpful Tables'!A:C,3,FALSE)</f>
        <v>-122.681383</v>
      </c>
      <c r="AR801">
        <f>COUNTIF(P$2:$P$938,P801)</f>
        <v>40</v>
      </c>
      <c r="AS801" cm="1">
        <f t="array" ref="AS801">_xlfn.IFS(E801&lt;6,((E801/D801)*60)*0.5,AND(E801&gt;=6,E801&lt;9),((E801/D801)*60)*0.75,AND(E801&gt;=9,E801&lt;=11),((E801/D801)*60)*0.9,AND(E801=12),((E801/D801)*60)*1,AND(E801&gt;=13,E801&lt;=15),((E801/D801)*60)*1.2,AND(E801&gt;=16,E801&lt;=19),((E801/D801)*60)*1.5,E801&gt;=20,((E801/D801)*60)*1.8)</f>
        <v>24.406779661016948</v>
      </c>
      <c r="AT801" cm="1">
        <f t="array" ref="AT801">_xlfn.IFS(F801&lt;550,((F801/D801)*60)*0.5,AND(F801&gt;=550,F801&lt;575),((F801/D801)*60)*0.75,AND(F801&gt;=575,F801&lt;600),((F801/D801)*60)*0.9,AND(F801=600),((F801/D801)*60)*1,AND(F801&gt;=601,F801&lt;=625),((F801/D801)*60)*1.2,AND(F801&gt;=626,F801&lt;=650),((F801/D801)*60)*1.5,F801&gt;=651,((F801/D801)*60)*1.8)</f>
        <v>1202.6440677966102</v>
      </c>
      <c r="AU801">
        <f t="shared" si="227"/>
        <v>-4.4000000000000057</v>
      </c>
      <c r="AV801">
        <f t="shared" si="225"/>
        <v>489.94033898305088</v>
      </c>
      <c r="AW801">
        <f t="shared" si="228"/>
        <v>73.8</v>
      </c>
      <c r="AX801" t="str">
        <f t="shared" si="223"/>
        <v>May-2025</v>
      </c>
      <c r="AY801">
        <f>ROUNDUP(Table2[[#This Row],[Month]]/3,0)</f>
        <v>2</v>
      </c>
    </row>
    <row r="802" spans="1:51" x14ac:dyDescent="0.2">
      <c r="A802">
        <v>801</v>
      </c>
      <c r="B802">
        <f t="shared" si="212"/>
        <v>14</v>
      </c>
      <c r="C802" s="22">
        <v>45799</v>
      </c>
      <c r="D802">
        <f>SUM(Table2[[#This Row],[Gray Min]:[Red Min]])</f>
        <v>61</v>
      </c>
      <c r="E802">
        <v>12</v>
      </c>
      <c r="F802">
        <v>654</v>
      </c>
      <c r="G802">
        <v>124</v>
      </c>
      <c r="H802">
        <v>165</v>
      </c>
      <c r="I802">
        <v>14</v>
      </c>
      <c r="J802">
        <v>22</v>
      </c>
      <c r="K802">
        <v>13</v>
      </c>
      <c r="L802">
        <v>10</v>
      </c>
      <c r="M802">
        <v>2</v>
      </c>
      <c r="N802" t="s">
        <v>125</v>
      </c>
      <c r="O802" t="s">
        <v>127</v>
      </c>
      <c r="P802" t="s">
        <v>220</v>
      </c>
      <c r="Q802">
        <f t="shared" si="224"/>
        <v>2</v>
      </c>
      <c r="R802" t="str">
        <f t="shared" si="213"/>
        <v>5-2025</v>
      </c>
      <c r="S802" t="s">
        <v>104</v>
      </c>
      <c r="T802" t="str">
        <f t="shared" si="214"/>
        <v>Thursday</v>
      </c>
      <c r="U802">
        <f t="shared" si="215"/>
        <v>1</v>
      </c>
      <c r="V802" s="24">
        <f>IFERROR(Table2[[#This Row],[Gray Min]]/Table2[[#This Row],[ClassLength]],"")</f>
        <v>0.22950819672131148</v>
      </c>
      <c r="W802" s="24">
        <f>IFERROR(Table2[[#This Row],[Blue Min]]/Table2[[#This Row],[ClassLength]],"")</f>
        <v>0.36065573770491804</v>
      </c>
      <c r="X802" s="24">
        <f>IFERROR(Table2[[#This Row],[Green Min]]/Table2[[#This Row],[ClassLength]],"")</f>
        <v>0.21311475409836064</v>
      </c>
      <c r="Y802" s="24">
        <f>IFERROR(Table2[[#This Row],[Orange Min]]/Table2[[#This Row],[ClassLength]],"")</f>
        <v>0.16393442622950818</v>
      </c>
      <c r="Z802" s="24">
        <f>IFERROR(Table2[[#This Row],[Red Min]]/Table2[[#This Row],[ClassLength]],"")</f>
        <v>3.2786885245901641E-2</v>
      </c>
      <c r="AA802" s="25">
        <v>169</v>
      </c>
      <c r="AB802" s="25">
        <f t="shared" si="226"/>
        <v>12.071428571428571</v>
      </c>
      <c r="AC802" s="26">
        <f t="shared" si="216"/>
        <v>631.64285714285711</v>
      </c>
      <c r="AD802" s="26">
        <f t="shared" si="217"/>
        <v>14.5</v>
      </c>
      <c r="AE802">
        <f t="shared" si="218"/>
        <v>2025</v>
      </c>
      <c r="AG802">
        <v>12</v>
      </c>
      <c r="AH802" s="26">
        <f t="shared" si="219"/>
        <v>10.721311475409836</v>
      </c>
      <c r="AI802" t="str">
        <f t="shared" si="220"/>
        <v>PM</v>
      </c>
      <c r="AJ802" t="str">
        <f t="shared" si="221"/>
        <v>5-2025-4</v>
      </c>
      <c r="AK802">
        <f t="shared" si="222"/>
        <v>5</v>
      </c>
      <c r="AL802" s="26">
        <f>IFERROR(Table2[[#This Row],[Calories]]/Table2[[#This Row],[Splat]],"")</f>
        <v>54.5</v>
      </c>
      <c r="AM802">
        <f>COUNTIF(N$2:$N$938,N802)</f>
        <v>258</v>
      </c>
      <c r="AN802" t="str">
        <f>VLOOKUP(N802,'Helpful Tables'!A:D,4,FALSE)</f>
        <v>Oregon</v>
      </c>
      <c r="AO802" s="24">
        <f>COUNTIF(AN:AN,Table2[[#This Row],[State]])/COUNTA(AN:AN)</f>
        <v>0.36140724946695096</v>
      </c>
      <c r="AP802">
        <f>VLOOKUP(N802,'Helpful Tables'!A:B,2,FALSE)</f>
        <v>45.534162000000002</v>
      </c>
      <c r="AQ802">
        <f>VLOOKUP(N802,'Helpful Tables'!A:C,3,FALSE)</f>
        <v>-122.69670000000001</v>
      </c>
      <c r="AR802">
        <f>COUNTIF(P$2:$P$938,P802)</f>
        <v>43</v>
      </c>
      <c r="AS802" cm="1">
        <f t="array" ref="AS802">_xlfn.IFS(E802&lt;6,((E802/D802)*60)*0.5,AND(E802&gt;=6,E802&lt;9),((E802/D802)*60)*0.75,AND(E802&gt;=9,E802&lt;=11),((E802/D802)*60)*0.9,AND(E802=12),((E802/D802)*60)*1,AND(E802&gt;=13,E802&lt;=15),((E802/D802)*60)*1.2,AND(E802&gt;=16,E802&lt;=19),((E802/D802)*60)*1.5,E802&gt;=20,((E802/D802)*60)*1.8)</f>
        <v>11.803278688524589</v>
      </c>
      <c r="AT802" cm="1">
        <f t="array" ref="AT802">_xlfn.IFS(F802&lt;550,((F802/D802)*60)*0.5,AND(F802&gt;=550,F802&lt;575),((F802/D802)*60)*0.75,AND(F802&gt;=575,F802&lt;600),((F802/D802)*60)*0.9,AND(F802=600),((F802/D802)*60)*1,AND(F802&gt;=601,F802&lt;=625),((F802/D802)*60)*1.2,AND(F802&gt;=626,F802&lt;=650),((F802/D802)*60)*1.5,F802&gt;=651,((F802/D802)*60)*1.8)</f>
        <v>1157.9016393442623</v>
      </c>
      <c r="AU802">
        <f t="shared" si="227"/>
        <v>-9.3999999999999986</v>
      </c>
      <c r="AV802">
        <f t="shared" si="225"/>
        <v>466.00196721311477</v>
      </c>
      <c r="AW802">
        <f t="shared" si="228"/>
        <v>66.8</v>
      </c>
      <c r="AX802" t="str">
        <f t="shared" si="223"/>
        <v>May-2025</v>
      </c>
      <c r="AY802">
        <f>ROUNDUP(Table2[[#This Row],[Month]]/3,0)</f>
        <v>2</v>
      </c>
    </row>
    <row r="803" spans="1:51" x14ac:dyDescent="0.2">
      <c r="A803">
        <v>802</v>
      </c>
      <c r="B803">
        <f t="shared" si="212"/>
        <v>14</v>
      </c>
      <c r="C803" s="22">
        <v>45804</v>
      </c>
      <c r="D803">
        <f>SUM(Table2[[#This Row],[Gray Min]:[Red Min]])</f>
        <v>56</v>
      </c>
      <c r="E803">
        <v>13</v>
      </c>
      <c r="F803">
        <v>639</v>
      </c>
      <c r="G803">
        <v>127</v>
      </c>
      <c r="H803">
        <v>166</v>
      </c>
      <c r="I803">
        <v>12</v>
      </c>
      <c r="J803">
        <v>14</v>
      </c>
      <c r="K803">
        <v>17</v>
      </c>
      <c r="L803">
        <v>12</v>
      </c>
      <c r="M803">
        <v>1</v>
      </c>
      <c r="N803" t="s">
        <v>208</v>
      </c>
      <c r="O803" t="s">
        <v>53</v>
      </c>
      <c r="P803" t="s">
        <v>213</v>
      </c>
      <c r="Q803">
        <f t="shared" si="224"/>
        <v>5</v>
      </c>
      <c r="R803" t="str">
        <f t="shared" si="213"/>
        <v>5-2025</v>
      </c>
      <c r="S803" t="s">
        <v>104</v>
      </c>
      <c r="T803" t="str">
        <f t="shared" si="214"/>
        <v>Tuesday</v>
      </c>
      <c r="U803">
        <f t="shared" si="215"/>
        <v>1</v>
      </c>
      <c r="V803" s="24">
        <f>IFERROR(Table2[[#This Row],[Gray Min]]/Table2[[#This Row],[ClassLength]],"")</f>
        <v>0.21428571428571427</v>
      </c>
      <c r="W803" s="24">
        <f>IFERROR(Table2[[#This Row],[Blue Min]]/Table2[[#This Row],[ClassLength]],"")</f>
        <v>0.25</v>
      </c>
      <c r="X803" s="24">
        <f>IFERROR(Table2[[#This Row],[Green Min]]/Table2[[#This Row],[ClassLength]],"")</f>
        <v>0.30357142857142855</v>
      </c>
      <c r="Y803" s="24">
        <f>IFERROR(Table2[[#This Row],[Orange Min]]/Table2[[#This Row],[ClassLength]],"")</f>
        <v>0.21428571428571427</v>
      </c>
      <c r="Z803" s="24">
        <f>IFERROR(Table2[[#This Row],[Red Min]]/Table2[[#This Row],[ClassLength]],"")</f>
        <v>1.7857142857142856E-2</v>
      </c>
      <c r="AA803" s="25">
        <v>169</v>
      </c>
      <c r="AB803" s="25">
        <f t="shared" si="226"/>
        <v>12.071428571428571</v>
      </c>
      <c r="AC803" s="26">
        <f t="shared" si="216"/>
        <v>631.64285714285711</v>
      </c>
      <c r="AD803" s="26">
        <f t="shared" si="217"/>
        <v>14.5</v>
      </c>
      <c r="AE803">
        <f t="shared" si="218"/>
        <v>2025</v>
      </c>
      <c r="AG803">
        <v>12</v>
      </c>
      <c r="AH803" s="26">
        <f t="shared" si="219"/>
        <v>11.410714285714286</v>
      </c>
      <c r="AI803" t="str">
        <f t="shared" si="220"/>
        <v>PM</v>
      </c>
      <c r="AJ803" t="str">
        <f t="shared" si="221"/>
        <v>5-2025-5</v>
      </c>
      <c r="AK803">
        <f t="shared" si="222"/>
        <v>5</v>
      </c>
      <c r="AL803" s="26">
        <f>IFERROR(Table2[[#This Row],[Calories]]/Table2[[#This Row],[Splat]],"")</f>
        <v>49.153846153846153</v>
      </c>
      <c r="AM803">
        <f>COUNTIF(N$2:$N$938,N803)</f>
        <v>78</v>
      </c>
      <c r="AN803" t="str">
        <f>VLOOKUP(N803,'Helpful Tables'!A:D,4,FALSE)</f>
        <v>Oregon</v>
      </c>
      <c r="AO803" s="24">
        <f>COUNTIF(AN:AN,Table2[[#This Row],[State]])/COUNTA(AN:AN)</f>
        <v>0.36140724946695096</v>
      </c>
      <c r="AP803">
        <f>VLOOKUP(N803,'Helpful Tables'!A:B,2,FALSE)</f>
        <v>45.525092999999998</v>
      </c>
      <c r="AQ803">
        <f>VLOOKUP(N803,'Helpful Tables'!A:C,3,FALSE)</f>
        <v>-122.681383</v>
      </c>
      <c r="AR803">
        <f>COUNTIF(P$2:$P$938,P803)</f>
        <v>40</v>
      </c>
      <c r="AS803" cm="1">
        <f t="array" ref="AS803">_xlfn.IFS(E803&lt;6,((E803/D803)*60)*0.5,AND(E803&gt;=6,E803&lt;9),((E803/D803)*60)*0.75,AND(E803&gt;=9,E803&lt;=11),((E803/D803)*60)*0.9,AND(E803=12),((E803/D803)*60)*1,AND(E803&gt;=13,E803&lt;=15),((E803/D803)*60)*1.2,AND(E803&gt;=16,E803&lt;=19),((E803/D803)*60)*1.5,E803&gt;=20,((E803/D803)*60)*1.8)</f>
        <v>16.714285714285715</v>
      </c>
      <c r="AT803" cm="1">
        <f t="array" ref="AT803">_xlfn.IFS(F803&lt;550,((F803/D803)*60)*0.5,AND(F803&gt;=550,F803&lt;575),((F803/D803)*60)*0.75,AND(F803&gt;=575,F803&lt;600),((F803/D803)*60)*0.9,AND(F803=600),((F803/D803)*60)*1,AND(F803&gt;=601,F803&lt;=625),((F803/D803)*60)*1.2,AND(F803&gt;=626,F803&lt;=650),((F803/D803)*60)*1.5,F803&gt;=651,((F803/D803)*60)*1.8)</f>
        <v>1026.9642857142858</v>
      </c>
      <c r="AU803">
        <f t="shared" si="227"/>
        <v>7.6999999999999993</v>
      </c>
      <c r="AV803">
        <f t="shared" si="225"/>
        <v>419.01142857142867</v>
      </c>
      <c r="AW803">
        <f t="shared" si="228"/>
        <v>61.4</v>
      </c>
      <c r="AX803" t="str">
        <f t="shared" si="223"/>
        <v>May-2025</v>
      </c>
      <c r="AY803">
        <f>ROUNDUP(Table2[[#This Row],[Month]]/3,0)</f>
        <v>2</v>
      </c>
    </row>
    <row r="804" spans="1:51" x14ac:dyDescent="0.2">
      <c r="A804">
        <v>803</v>
      </c>
      <c r="B804">
        <f t="shared" si="212"/>
        <v>14</v>
      </c>
      <c r="C804" s="22">
        <v>45806</v>
      </c>
      <c r="D804">
        <f>SUM(Table2[[#This Row],[Gray Min]:[Red Min]])</f>
        <v>54</v>
      </c>
      <c r="E804">
        <v>16</v>
      </c>
      <c r="F804">
        <v>586</v>
      </c>
      <c r="G804">
        <v>125</v>
      </c>
      <c r="H804">
        <v>164</v>
      </c>
      <c r="I804">
        <v>17</v>
      </c>
      <c r="J804">
        <v>12</v>
      </c>
      <c r="K804">
        <v>9</v>
      </c>
      <c r="L804">
        <v>16</v>
      </c>
      <c r="M804">
        <v>0</v>
      </c>
      <c r="N804" t="s">
        <v>125</v>
      </c>
      <c r="O804" t="s">
        <v>127</v>
      </c>
      <c r="P804" t="s">
        <v>223</v>
      </c>
      <c r="Q804">
        <f t="shared" si="224"/>
        <v>2</v>
      </c>
      <c r="R804" t="str">
        <f t="shared" si="213"/>
        <v>5-2025</v>
      </c>
      <c r="S804" t="s">
        <v>104</v>
      </c>
      <c r="T804" t="str">
        <f t="shared" si="214"/>
        <v>Thursday</v>
      </c>
      <c r="U804">
        <f t="shared" si="215"/>
        <v>1</v>
      </c>
      <c r="V804" s="24">
        <f>IFERROR(Table2[[#This Row],[Gray Min]]/Table2[[#This Row],[ClassLength]],"")</f>
        <v>0.31481481481481483</v>
      </c>
      <c r="W804" s="24">
        <f>IFERROR(Table2[[#This Row],[Blue Min]]/Table2[[#This Row],[ClassLength]],"")</f>
        <v>0.22222222222222221</v>
      </c>
      <c r="X804" s="24">
        <f>IFERROR(Table2[[#This Row],[Green Min]]/Table2[[#This Row],[ClassLength]],"")</f>
        <v>0.16666666666666666</v>
      </c>
      <c r="Y804" s="24">
        <f>IFERROR(Table2[[#This Row],[Orange Min]]/Table2[[#This Row],[ClassLength]],"")</f>
        <v>0.29629629629629628</v>
      </c>
      <c r="Z804" s="24">
        <f>IFERROR(Table2[[#This Row],[Red Min]]/Table2[[#This Row],[ClassLength]],"")</f>
        <v>0</v>
      </c>
      <c r="AA804" s="25">
        <v>169</v>
      </c>
      <c r="AB804" s="25">
        <f t="shared" si="226"/>
        <v>12.071428571428571</v>
      </c>
      <c r="AC804" s="26">
        <f t="shared" si="216"/>
        <v>631.64285714285711</v>
      </c>
      <c r="AD804" s="26">
        <f t="shared" si="217"/>
        <v>14.5</v>
      </c>
      <c r="AE804">
        <f t="shared" si="218"/>
        <v>2025</v>
      </c>
      <c r="AG804">
        <v>12</v>
      </c>
      <c r="AH804" s="26">
        <f t="shared" si="219"/>
        <v>10.851851851851851</v>
      </c>
      <c r="AI804" t="str">
        <f t="shared" si="220"/>
        <v>PM</v>
      </c>
      <c r="AJ804" t="str">
        <f t="shared" si="221"/>
        <v>5-2025-5</v>
      </c>
      <c r="AK804">
        <f t="shared" si="222"/>
        <v>5</v>
      </c>
      <c r="AL804" s="26">
        <f>IFERROR(Table2[[#This Row],[Calories]]/Table2[[#This Row],[Splat]],"")</f>
        <v>36.625</v>
      </c>
      <c r="AM804">
        <f>COUNTIF(N$2:$N$938,N804)</f>
        <v>258</v>
      </c>
      <c r="AN804" t="str">
        <f>VLOOKUP(N804,'Helpful Tables'!A:D,4,FALSE)</f>
        <v>Oregon</v>
      </c>
      <c r="AO804" s="24">
        <f>COUNTIF(AN:AN,Table2[[#This Row],[State]])/COUNTA(AN:AN)</f>
        <v>0.36140724946695096</v>
      </c>
      <c r="AP804">
        <f>VLOOKUP(N804,'Helpful Tables'!A:B,2,FALSE)</f>
        <v>45.534162000000002</v>
      </c>
      <c r="AQ804">
        <f>VLOOKUP(N804,'Helpful Tables'!A:C,3,FALSE)</f>
        <v>-122.69670000000001</v>
      </c>
      <c r="AR804">
        <f>COUNTIF(P$2:$P$938,P804)</f>
        <v>3</v>
      </c>
      <c r="AS804" cm="1">
        <f t="array" ref="AS804">_xlfn.IFS(E804&lt;6,((E804/D804)*60)*0.5,AND(E804&gt;=6,E804&lt;9),((E804/D804)*60)*0.75,AND(E804&gt;=9,E804&lt;=11),((E804/D804)*60)*0.9,AND(E804=12),((E804/D804)*60)*1,AND(E804&gt;=13,E804&lt;=15),((E804/D804)*60)*1.2,AND(E804&gt;=16,E804&lt;=19),((E804/D804)*60)*1.5,E804&gt;=20,((E804/D804)*60)*1.8)</f>
        <v>26.666666666666668</v>
      </c>
      <c r="AT804" cm="1">
        <f t="array" ref="AT804">_xlfn.IFS(F804&lt;550,((F804/D804)*60)*0.5,AND(F804&gt;=550,F804&lt;575),((F804/D804)*60)*0.75,AND(F804&gt;=575,F804&lt;600),((F804/D804)*60)*0.9,AND(F804=600),((F804/D804)*60)*1,AND(F804&gt;=601,F804&lt;=625),((F804/D804)*60)*1.2,AND(F804&gt;=626,F804&lt;=650),((F804/D804)*60)*1.5,F804&gt;=651,((F804/D804)*60)*1.8)</f>
        <v>586</v>
      </c>
      <c r="AU804">
        <f t="shared" si="227"/>
        <v>-2.0000000000000036</v>
      </c>
      <c r="AV804">
        <f t="shared" si="225"/>
        <v>244.66666666666666</v>
      </c>
      <c r="AW804">
        <f t="shared" si="228"/>
        <v>22.400000000000002</v>
      </c>
      <c r="AX804" t="str">
        <f t="shared" si="223"/>
        <v>May-2025</v>
      </c>
      <c r="AY804">
        <f>ROUNDUP(Table2[[#This Row],[Month]]/3,0)</f>
        <v>2</v>
      </c>
    </row>
    <row r="805" spans="1:51" x14ac:dyDescent="0.2">
      <c r="A805">
        <v>804</v>
      </c>
      <c r="B805">
        <f t="shared" si="212"/>
        <v>14</v>
      </c>
      <c r="C805" s="22">
        <v>45807</v>
      </c>
      <c r="D805">
        <f>SUM(Table2[[#This Row],[Gray Min]:[Red Min]])</f>
        <v>58</v>
      </c>
      <c r="E805">
        <v>17</v>
      </c>
      <c r="F805">
        <v>677</v>
      </c>
      <c r="G805">
        <v>130</v>
      </c>
      <c r="H805">
        <v>166</v>
      </c>
      <c r="I805">
        <v>5</v>
      </c>
      <c r="J805">
        <v>22</v>
      </c>
      <c r="K805">
        <v>14</v>
      </c>
      <c r="L805">
        <v>15</v>
      </c>
      <c r="M805">
        <v>2</v>
      </c>
      <c r="N805" t="s">
        <v>208</v>
      </c>
      <c r="O805" t="s">
        <v>83</v>
      </c>
      <c r="P805" t="s">
        <v>213</v>
      </c>
      <c r="Q805">
        <f t="shared" si="224"/>
        <v>1</v>
      </c>
      <c r="R805" t="str">
        <f t="shared" si="213"/>
        <v>5-2025</v>
      </c>
      <c r="S805" t="s">
        <v>104</v>
      </c>
      <c r="T805" t="str">
        <f t="shared" si="214"/>
        <v>Friday</v>
      </c>
      <c r="U805">
        <f t="shared" si="215"/>
        <v>1</v>
      </c>
      <c r="V805" s="24">
        <f>IFERROR(Table2[[#This Row],[Gray Min]]/Table2[[#This Row],[ClassLength]],"")</f>
        <v>8.6206896551724144E-2</v>
      </c>
      <c r="W805" s="24">
        <f>IFERROR(Table2[[#This Row],[Blue Min]]/Table2[[#This Row],[ClassLength]],"")</f>
        <v>0.37931034482758619</v>
      </c>
      <c r="X805" s="24">
        <f>IFERROR(Table2[[#This Row],[Green Min]]/Table2[[#This Row],[ClassLength]],"")</f>
        <v>0.2413793103448276</v>
      </c>
      <c r="Y805" s="24">
        <f>IFERROR(Table2[[#This Row],[Orange Min]]/Table2[[#This Row],[ClassLength]],"")</f>
        <v>0.25862068965517243</v>
      </c>
      <c r="Z805" s="24">
        <f>IFERROR(Table2[[#This Row],[Red Min]]/Table2[[#This Row],[ClassLength]],"")</f>
        <v>3.4482758620689655E-2</v>
      </c>
      <c r="AA805" s="25">
        <v>169</v>
      </c>
      <c r="AB805" s="25">
        <f t="shared" si="226"/>
        <v>12.071428571428571</v>
      </c>
      <c r="AC805" s="26">
        <f t="shared" si="216"/>
        <v>631.64285714285711</v>
      </c>
      <c r="AD805" s="26">
        <f t="shared" si="217"/>
        <v>14.5</v>
      </c>
      <c r="AE805">
        <f t="shared" si="218"/>
        <v>2025</v>
      </c>
      <c r="AG805">
        <v>12</v>
      </c>
      <c r="AH805" s="26">
        <f t="shared" si="219"/>
        <v>11.672413793103448</v>
      </c>
      <c r="AI805" t="str">
        <f t="shared" si="220"/>
        <v>PM</v>
      </c>
      <c r="AJ805" t="str">
        <f t="shared" si="221"/>
        <v>5-2025-5</v>
      </c>
      <c r="AK805">
        <f t="shared" si="222"/>
        <v>5</v>
      </c>
      <c r="AL805" s="26">
        <f>IFERROR(Table2[[#This Row],[Calories]]/Table2[[#This Row],[Splat]],"")</f>
        <v>39.823529411764703</v>
      </c>
      <c r="AM805">
        <f>COUNTIF(N$2:$N$938,N805)</f>
        <v>78</v>
      </c>
      <c r="AN805" t="str">
        <f>VLOOKUP(N805,'Helpful Tables'!A:D,4,FALSE)</f>
        <v>Oregon</v>
      </c>
      <c r="AO805" s="24">
        <f>COUNTIF(AN:AN,Table2[[#This Row],[State]])/COUNTA(AN:AN)</f>
        <v>0.36140724946695096</v>
      </c>
      <c r="AP805">
        <f>VLOOKUP(N805,'Helpful Tables'!A:B,2,FALSE)</f>
        <v>45.525092999999998</v>
      </c>
      <c r="AQ805">
        <f>VLOOKUP(N805,'Helpful Tables'!A:C,3,FALSE)</f>
        <v>-122.681383</v>
      </c>
      <c r="AR805">
        <f>COUNTIF(P$2:$P$938,P805)</f>
        <v>40</v>
      </c>
      <c r="AS805" cm="1">
        <f t="array" ref="AS805">_xlfn.IFS(E805&lt;6,((E805/D805)*60)*0.5,AND(E805&gt;=6,E805&lt;9),((E805/D805)*60)*0.75,AND(E805&gt;=9,E805&lt;=11),((E805/D805)*60)*0.9,AND(E805=12),((E805/D805)*60)*1,AND(E805&gt;=13,E805&lt;=15),((E805/D805)*60)*1.2,AND(E805&gt;=16,E805&lt;=19),((E805/D805)*60)*1.5,E805&gt;=20,((E805/D805)*60)*1.8)</f>
        <v>26.379310344827584</v>
      </c>
      <c r="AT805" cm="1">
        <f t="array" ref="AT805">_xlfn.IFS(F805&lt;550,((F805/D805)*60)*0.5,AND(F805&gt;=550,F805&lt;575),((F805/D805)*60)*0.75,AND(F805&gt;=575,F805&lt;600),((F805/D805)*60)*0.9,AND(F805=600),((F805/D805)*60)*1,AND(F805&gt;=601,F805&lt;=625),((F805/D805)*60)*1.2,AND(F805&gt;=626,F805&lt;=650),((F805/D805)*60)*1.5,F805&gt;=651,((F805/D805)*60)*1.8)</f>
        <v>1260.6206896551723</v>
      </c>
      <c r="AU805">
        <f t="shared" si="227"/>
        <v>9.0999999999999979</v>
      </c>
      <c r="AV805">
        <f t="shared" si="225"/>
        <v>516.62</v>
      </c>
      <c r="AW805">
        <f t="shared" si="228"/>
        <v>88.8</v>
      </c>
      <c r="AX805" t="str">
        <f t="shared" si="223"/>
        <v>May-2025</v>
      </c>
      <c r="AY805">
        <f>ROUNDUP(Table2[[#This Row],[Month]]/3,0)</f>
        <v>2</v>
      </c>
    </row>
    <row r="806" spans="1:51" x14ac:dyDescent="0.2">
      <c r="A806">
        <v>805</v>
      </c>
      <c r="B806">
        <f t="shared" si="212"/>
        <v>12</v>
      </c>
      <c r="C806" s="22">
        <v>45810</v>
      </c>
      <c r="D806">
        <f>SUM(Table2[[#This Row],[Gray Min]:[Red Min]])</f>
        <v>60</v>
      </c>
      <c r="E806">
        <v>15</v>
      </c>
      <c r="F806">
        <v>621</v>
      </c>
      <c r="G806">
        <v>122</v>
      </c>
      <c r="H806">
        <v>165</v>
      </c>
      <c r="I806">
        <v>19</v>
      </c>
      <c r="J806">
        <v>17</v>
      </c>
      <c r="K806">
        <v>9</v>
      </c>
      <c r="L806">
        <v>14</v>
      </c>
      <c r="M806">
        <v>1</v>
      </c>
      <c r="N806" t="s">
        <v>125</v>
      </c>
      <c r="O806" t="s">
        <v>127</v>
      </c>
      <c r="P806" t="s">
        <v>214</v>
      </c>
      <c r="Q806">
        <f t="shared" si="224"/>
        <v>3</v>
      </c>
      <c r="R806" t="str">
        <f t="shared" si="213"/>
        <v>6-2025</v>
      </c>
      <c r="S806" t="s">
        <v>104</v>
      </c>
      <c r="T806" t="str">
        <f t="shared" si="214"/>
        <v>Monday</v>
      </c>
      <c r="U806">
        <f t="shared" si="215"/>
        <v>1</v>
      </c>
      <c r="V806" s="24">
        <f>IFERROR(Table2[[#This Row],[Gray Min]]/Table2[[#This Row],[ClassLength]],"")</f>
        <v>0.31666666666666665</v>
      </c>
      <c r="W806" s="24">
        <f>IFERROR(Table2[[#This Row],[Blue Min]]/Table2[[#This Row],[ClassLength]],"")</f>
        <v>0.28333333333333333</v>
      </c>
      <c r="X806" s="24">
        <f>IFERROR(Table2[[#This Row],[Green Min]]/Table2[[#This Row],[ClassLength]],"")</f>
        <v>0.15</v>
      </c>
      <c r="Y806" s="24">
        <f>IFERROR(Table2[[#This Row],[Orange Min]]/Table2[[#This Row],[ClassLength]],"")</f>
        <v>0.23333333333333334</v>
      </c>
      <c r="Z806" s="24">
        <f>IFERROR(Table2[[#This Row],[Red Min]]/Table2[[#This Row],[ClassLength]],"")</f>
        <v>1.6666666666666666E-2</v>
      </c>
      <c r="AA806" s="25">
        <v>169</v>
      </c>
      <c r="AB806" s="25">
        <f t="shared" si="226"/>
        <v>14.083333333333334</v>
      </c>
      <c r="AC806" s="26">
        <f t="shared" si="216"/>
        <v>638</v>
      </c>
      <c r="AD806" s="26">
        <f t="shared" si="217"/>
        <v>16.416666666666668</v>
      </c>
      <c r="AE806">
        <f t="shared" si="218"/>
        <v>2025</v>
      </c>
      <c r="AG806">
        <v>12</v>
      </c>
      <c r="AH806" s="26">
        <f t="shared" si="219"/>
        <v>10.35</v>
      </c>
      <c r="AI806" t="str">
        <f t="shared" si="220"/>
        <v>PM</v>
      </c>
      <c r="AJ806" t="str">
        <f t="shared" si="221"/>
        <v>6-2025-1</v>
      </c>
      <c r="AK806">
        <f t="shared" si="222"/>
        <v>6</v>
      </c>
      <c r="AL806" s="26">
        <f>IFERROR(Table2[[#This Row],[Calories]]/Table2[[#This Row],[Splat]],"")</f>
        <v>41.4</v>
      </c>
      <c r="AM806">
        <f>COUNTIF(N$2:$N$938,N806)</f>
        <v>258</v>
      </c>
      <c r="AN806" t="str">
        <f>VLOOKUP(N806,'Helpful Tables'!A:D,4,FALSE)</f>
        <v>Oregon</v>
      </c>
      <c r="AO806" s="24">
        <f>COUNTIF(AN:AN,Table2[[#This Row],[State]])/COUNTA(AN:AN)</f>
        <v>0.36140724946695096</v>
      </c>
      <c r="AP806">
        <f>VLOOKUP(N806,'Helpful Tables'!A:B,2,FALSE)</f>
        <v>45.534162000000002</v>
      </c>
      <c r="AQ806">
        <f>VLOOKUP(N806,'Helpful Tables'!A:C,3,FALSE)</f>
        <v>-122.69670000000001</v>
      </c>
      <c r="AR806">
        <f>COUNTIF(P$2:$P$938,P806)</f>
        <v>11</v>
      </c>
      <c r="AS806" cm="1">
        <f t="array" ref="AS806">_xlfn.IFS(E806&lt;6,((E806/D806)*60)*0.5,AND(E806&gt;=6,E806&lt;9),((E806/D806)*60)*0.75,AND(E806&gt;=9,E806&lt;=11),((E806/D806)*60)*0.9,AND(E806=12),((E806/D806)*60)*1,AND(E806&gt;=13,E806&lt;=15),((E806/D806)*60)*1.2,AND(E806&gt;=16,E806&lt;=19),((E806/D806)*60)*1.5,E806&gt;=20,((E806/D806)*60)*1.8)</f>
        <v>18</v>
      </c>
      <c r="AT806" cm="1">
        <f t="array" ref="AT806">_xlfn.IFS(F806&lt;550,((F806/D806)*60)*0.5,AND(F806&gt;=550,F806&lt;575),((F806/D806)*60)*0.75,AND(F806&gt;=575,F806&lt;600),((F806/D806)*60)*0.9,AND(F806=600),((F806/D806)*60)*1,AND(F806&gt;=601,F806&lt;=625),((F806/D806)*60)*1.2,AND(F806&gt;=626,F806&lt;=650),((F806/D806)*60)*1.5,F806&gt;=651,((F806/D806)*60)*1.8)</f>
        <v>745.19999999999993</v>
      </c>
      <c r="AU806">
        <f t="shared" si="227"/>
        <v>-11.000000000000004</v>
      </c>
      <c r="AV806">
        <f t="shared" si="225"/>
        <v>303.08</v>
      </c>
      <c r="AW806">
        <f t="shared" si="228"/>
        <v>27.900000000000002</v>
      </c>
      <c r="AX806" t="str">
        <f t="shared" si="223"/>
        <v>Jun-2025</v>
      </c>
      <c r="AY806">
        <f>ROUNDUP(Table2[[#This Row],[Month]]/3,0)</f>
        <v>2</v>
      </c>
    </row>
    <row r="807" spans="1:51" x14ac:dyDescent="0.2">
      <c r="A807">
        <v>806</v>
      </c>
      <c r="B807">
        <f t="shared" si="212"/>
        <v>12</v>
      </c>
      <c r="C807" s="22">
        <v>45812</v>
      </c>
      <c r="D807">
        <f>SUM(Table2[[#This Row],[Gray Min]:[Red Min]])</f>
        <v>57</v>
      </c>
      <c r="E807">
        <v>18</v>
      </c>
      <c r="F807">
        <v>627</v>
      </c>
      <c r="G807">
        <v>125</v>
      </c>
      <c r="H807">
        <v>170</v>
      </c>
      <c r="I807">
        <v>16</v>
      </c>
      <c r="J807">
        <v>16</v>
      </c>
      <c r="K807">
        <v>7</v>
      </c>
      <c r="L807">
        <v>16</v>
      </c>
      <c r="M807">
        <v>2</v>
      </c>
      <c r="N807" t="s">
        <v>125</v>
      </c>
      <c r="O807" t="s">
        <v>127</v>
      </c>
      <c r="P807" t="s">
        <v>237</v>
      </c>
      <c r="Q807">
        <f t="shared" si="224"/>
        <v>2</v>
      </c>
      <c r="R807" t="str">
        <f t="shared" si="213"/>
        <v>6-2025</v>
      </c>
      <c r="S807" t="s">
        <v>104</v>
      </c>
      <c r="T807" t="str">
        <f t="shared" si="214"/>
        <v>Wednesday</v>
      </c>
      <c r="U807">
        <f t="shared" si="215"/>
        <v>1</v>
      </c>
      <c r="V807" s="24">
        <f>IFERROR(Table2[[#This Row],[Gray Min]]/Table2[[#This Row],[ClassLength]],"")</f>
        <v>0.2807017543859649</v>
      </c>
      <c r="W807" s="24">
        <f>IFERROR(Table2[[#This Row],[Blue Min]]/Table2[[#This Row],[ClassLength]],"")</f>
        <v>0.2807017543859649</v>
      </c>
      <c r="X807" s="24">
        <f>IFERROR(Table2[[#This Row],[Green Min]]/Table2[[#This Row],[ClassLength]],"")</f>
        <v>0.12280701754385964</v>
      </c>
      <c r="Y807" s="24">
        <f>IFERROR(Table2[[#This Row],[Orange Min]]/Table2[[#This Row],[ClassLength]],"")</f>
        <v>0.2807017543859649</v>
      </c>
      <c r="Z807" s="24">
        <f>IFERROR(Table2[[#This Row],[Red Min]]/Table2[[#This Row],[ClassLength]],"")</f>
        <v>3.5087719298245612E-2</v>
      </c>
      <c r="AA807" s="25">
        <v>169</v>
      </c>
      <c r="AB807" s="25">
        <f t="shared" si="226"/>
        <v>14.083333333333334</v>
      </c>
      <c r="AC807" s="26">
        <f t="shared" si="216"/>
        <v>638</v>
      </c>
      <c r="AD807" s="26">
        <f t="shared" si="217"/>
        <v>16.416666666666668</v>
      </c>
      <c r="AE807">
        <f t="shared" si="218"/>
        <v>2025</v>
      </c>
      <c r="AG807">
        <v>12</v>
      </c>
      <c r="AH807" s="26">
        <f t="shared" si="219"/>
        <v>11</v>
      </c>
      <c r="AI807" t="str">
        <f t="shared" si="220"/>
        <v>PM</v>
      </c>
      <c r="AJ807" t="str">
        <f t="shared" si="221"/>
        <v>6-2025-1</v>
      </c>
      <c r="AK807">
        <f t="shared" si="222"/>
        <v>6</v>
      </c>
      <c r="AL807" s="26">
        <f>IFERROR(Table2[[#This Row],[Calories]]/Table2[[#This Row],[Splat]],"")</f>
        <v>34.833333333333336</v>
      </c>
      <c r="AM807">
        <f>COUNTIF(N$2:$N$938,N807)</f>
        <v>258</v>
      </c>
      <c r="AN807" t="str">
        <f>VLOOKUP(N807,'Helpful Tables'!A:D,4,FALSE)</f>
        <v>Oregon</v>
      </c>
      <c r="AO807" s="24">
        <f>COUNTIF(AN:AN,Table2[[#This Row],[State]])/COUNTA(AN:AN)</f>
        <v>0.36140724946695096</v>
      </c>
      <c r="AP807">
        <f>VLOOKUP(N807,'Helpful Tables'!A:B,2,FALSE)</f>
        <v>45.534162000000002</v>
      </c>
      <c r="AQ807">
        <f>VLOOKUP(N807,'Helpful Tables'!A:C,3,FALSE)</f>
        <v>-122.69670000000001</v>
      </c>
      <c r="AR807">
        <f>COUNTIF(P$2:$P$938,P807)</f>
        <v>1</v>
      </c>
      <c r="AS807" cm="1">
        <f t="array" ref="AS807">_xlfn.IFS(E807&lt;6,((E807/D807)*60)*0.5,AND(E807&gt;=6,E807&lt;9),((E807/D807)*60)*0.75,AND(E807&gt;=9,E807&lt;=11),((E807/D807)*60)*0.9,AND(E807=12),((E807/D807)*60)*1,AND(E807&gt;=13,E807&lt;=15),((E807/D807)*60)*1.2,AND(E807&gt;=16,E807&lt;=19),((E807/D807)*60)*1.5,E807&gt;=20,((E807/D807)*60)*1.8)</f>
        <v>28.421052631578945</v>
      </c>
      <c r="AT807" cm="1">
        <f t="array" ref="AT807">_xlfn.IFS(F807&lt;550,((F807/D807)*60)*0.5,AND(F807&gt;=550,F807&lt;575),((F807/D807)*60)*0.75,AND(F807&gt;=575,F807&lt;600),((F807/D807)*60)*0.9,AND(F807=600),((F807/D807)*60)*1,AND(F807&gt;=601,F807&lt;=625),((F807/D807)*60)*1.2,AND(F807&gt;=626,F807&lt;=650),((F807/D807)*60)*1.5,F807&gt;=651,((F807/D807)*60)*1.8)</f>
        <v>990</v>
      </c>
      <c r="AU807">
        <f t="shared" si="227"/>
        <v>-4.5999999999999979</v>
      </c>
      <c r="AV807">
        <f t="shared" si="225"/>
        <v>406.44842105263155</v>
      </c>
      <c r="AW807">
        <f t="shared" si="228"/>
        <v>56.2</v>
      </c>
      <c r="AX807" t="str">
        <f t="shared" si="223"/>
        <v>Jun-2025</v>
      </c>
      <c r="AY807">
        <f>ROUNDUP(Table2[[#This Row],[Month]]/3,0)</f>
        <v>2</v>
      </c>
    </row>
    <row r="808" spans="1:51" x14ac:dyDescent="0.2">
      <c r="A808">
        <v>807</v>
      </c>
      <c r="B808">
        <f t="shared" si="212"/>
        <v>12</v>
      </c>
      <c r="C808" s="22">
        <v>45814</v>
      </c>
      <c r="D808">
        <f>SUM(Table2[[#This Row],[Gray Min]:[Red Min]])</f>
        <v>59</v>
      </c>
      <c r="E808">
        <v>18</v>
      </c>
      <c r="F808">
        <v>679</v>
      </c>
      <c r="G808">
        <v>128</v>
      </c>
      <c r="H808">
        <v>169</v>
      </c>
      <c r="I808">
        <v>9</v>
      </c>
      <c r="J808">
        <v>19</v>
      </c>
      <c r="K808">
        <v>13</v>
      </c>
      <c r="L808">
        <v>15</v>
      </c>
      <c r="M808">
        <v>3</v>
      </c>
      <c r="N808" t="s">
        <v>208</v>
      </c>
      <c r="O808" t="s">
        <v>83</v>
      </c>
      <c r="P808" t="s">
        <v>213</v>
      </c>
      <c r="Q808">
        <f t="shared" si="224"/>
        <v>2</v>
      </c>
      <c r="R808" t="str">
        <f t="shared" si="213"/>
        <v>6-2025</v>
      </c>
      <c r="S808" t="s">
        <v>104</v>
      </c>
      <c r="T808" t="str">
        <f t="shared" si="214"/>
        <v>Friday</v>
      </c>
      <c r="U808">
        <f t="shared" si="215"/>
        <v>1</v>
      </c>
      <c r="V808" s="24">
        <f>IFERROR(Table2[[#This Row],[Gray Min]]/Table2[[#This Row],[ClassLength]],"")</f>
        <v>0.15254237288135594</v>
      </c>
      <c r="W808" s="24">
        <f>IFERROR(Table2[[#This Row],[Blue Min]]/Table2[[#This Row],[ClassLength]],"")</f>
        <v>0.32203389830508472</v>
      </c>
      <c r="X808" s="24">
        <f>IFERROR(Table2[[#This Row],[Green Min]]/Table2[[#This Row],[ClassLength]],"")</f>
        <v>0.22033898305084745</v>
      </c>
      <c r="Y808" s="24">
        <f>IFERROR(Table2[[#This Row],[Orange Min]]/Table2[[#This Row],[ClassLength]],"")</f>
        <v>0.25423728813559321</v>
      </c>
      <c r="Z808" s="24">
        <f>IFERROR(Table2[[#This Row],[Red Min]]/Table2[[#This Row],[ClassLength]],"")</f>
        <v>5.0847457627118647E-2</v>
      </c>
      <c r="AA808" s="25">
        <v>169</v>
      </c>
      <c r="AB808" s="25">
        <f t="shared" si="226"/>
        <v>14.083333333333334</v>
      </c>
      <c r="AC808" s="26">
        <f t="shared" si="216"/>
        <v>638</v>
      </c>
      <c r="AD808" s="26">
        <f t="shared" si="217"/>
        <v>16.416666666666668</v>
      </c>
      <c r="AE808">
        <f t="shared" si="218"/>
        <v>2025</v>
      </c>
      <c r="AG808">
        <v>12</v>
      </c>
      <c r="AH808" s="26">
        <f t="shared" si="219"/>
        <v>11.508474576271187</v>
      </c>
      <c r="AI808" t="str">
        <f t="shared" si="220"/>
        <v>PM</v>
      </c>
      <c r="AJ808" t="str">
        <f t="shared" si="221"/>
        <v>6-2025-1</v>
      </c>
      <c r="AK808">
        <f t="shared" si="222"/>
        <v>6</v>
      </c>
      <c r="AL808" s="26">
        <f>IFERROR(Table2[[#This Row],[Calories]]/Table2[[#This Row],[Splat]],"")</f>
        <v>37.722222222222221</v>
      </c>
      <c r="AM808">
        <f>COUNTIF(N$2:$N$938,N808)</f>
        <v>78</v>
      </c>
      <c r="AN808" t="str">
        <f>VLOOKUP(N808,'Helpful Tables'!A:D,4,FALSE)</f>
        <v>Oregon</v>
      </c>
      <c r="AO808" s="24">
        <f>COUNTIF(AN:AN,Table2[[#This Row],[State]])/COUNTA(AN:AN)</f>
        <v>0.36140724946695096</v>
      </c>
      <c r="AP808">
        <f>VLOOKUP(N808,'Helpful Tables'!A:B,2,FALSE)</f>
        <v>45.525092999999998</v>
      </c>
      <c r="AQ808">
        <f>VLOOKUP(N808,'Helpful Tables'!A:C,3,FALSE)</f>
        <v>-122.681383</v>
      </c>
      <c r="AR808">
        <f>COUNTIF(P$2:$P$938,P808)</f>
        <v>40</v>
      </c>
      <c r="AS808" cm="1">
        <f t="array" ref="AS808">_xlfn.IFS(E808&lt;6,((E808/D808)*60)*0.5,AND(E808&gt;=6,E808&lt;9),((E808/D808)*60)*0.75,AND(E808&gt;=9,E808&lt;=11),((E808/D808)*60)*0.9,AND(E808=12),((E808/D808)*60)*1,AND(E808&gt;=13,E808&lt;=15),((E808/D808)*60)*1.2,AND(E808&gt;=16,E808&lt;=19),((E808/D808)*60)*1.5,E808&gt;=20,((E808/D808)*60)*1.8)</f>
        <v>27.457627118644069</v>
      </c>
      <c r="AT808" cm="1">
        <f t="array" ref="AT808">_xlfn.IFS(F808&lt;550,((F808/D808)*60)*0.5,AND(F808&gt;=550,F808&lt;575),((F808/D808)*60)*0.75,AND(F808&gt;=575,F808&lt;600),((F808/D808)*60)*0.9,AND(F808=600),((F808/D808)*60)*1,AND(F808&gt;=601,F808&lt;=625),((F808/D808)*60)*1.2,AND(F808&gt;=626,F808&lt;=650),((F808/D808)*60)*1.5,F808&gt;=651,((F808/D808)*60)*1.8)</f>
        <v>1242.9152542372881</v>
      </c>
      <c r="AU808">
        <f t="shared" si="227"/>
        <v>7.8999999999999986</v>
      </c>
      <c r="AV808">
        <f t="shared" si="225"/>
        <v>509.72915254237284</v>
      </c>
      <c r="AW808">
        <f t="shared" si="228"/>
        <v>85.6</v>
      </c>
      <c r="AX808" t="str">
        <f t="shared" si="223"/>
        <v>Jun-2025</v>
      </c>
      <c r="AY808">
        <f>ROUNDUP(Table2[[#This Row],[Month]]/3,0)</f>
        <v>2</v>
      </c>
    </row>
    <row r="809" spans="1:51" x14ac:dyDescent="0.2">
      <c r="A809">
        <v>808</v>
      </c>
      <c r="B809">
        <f t="shared" si="212"/>
        <v>12</v>
      </c>
      <c r="C809" s="22">
        <v>45815</v>
      </c>
      <c r="D809">
        <f>SUM(Table2[[#This Row],[Gray Min]:[Red Min]])</f>
        <v>59</v>
      </c>
      <c r="E809">
        <v>13</v>
      </c>
      <c r="F809">
        <v>601</v>
      </c>
      <c r="G809">
        <v>120</v>
      </c>
      <c r="H809">
        <v>159</v>
      </c>
      <c r="I809">
        <v>22</v>
      </c>
      <c r="J809">
        <v>10</v>
      </c>
      <c r="K809">
        <v>14</v>
      </c>
      <c r="L809">
        <v>13</v>
      </c>
      <c r="M809">
        <v>0</v>
      </c>
      <c r="N809" t="s">
        <v>125</v>
      </c>
      <c r="O809" t="s">
        <v>159</v>
      </c>
      <c r="P809" t="s">
        <v>126</v>
      </c>
      <c r="Q809">
        <f t="shared" si="224"/>
        <v>1</v>
      </c>
      <c r="R809" t="str">
        <f t="shared" si="213"/>
        <v>6-2025</v>
      </c>
      <c r="S809" t="s">
        <v>117</v>
      </c>
      <c r="T809" t="str">
        <f t="shared" si="214"/>
        <v>Saturday</v>
      </c>
      <c r="U809">
        <f t="shared" si="215"/>
        <v>1</v>
      </c>
      <c r="V809" s="24">
        <f>IFERROR(Table2[[#This Row],[Gray Min]]/Table2[[#This Row],[ClassLength]],"")</f>
        <v>0.3728813559322034</v>
      </c>
      <c r="W809" s="24">
        <f>IFERROR(Table2[[#This Row],[Blue Min]]/Table2[[#This Row],[ClassLength]],"")</f>
        <v>0.16949152542372881</v>
      </c>
      <c r="X809" s="24">
        <f>IFERROR(Table2[[#This Row],[Green Min]]/Table2[[#This Row],[ClassLength]],"")</f>
        <v>0.23728813559322035</v>
      </c>
      <c r="Y809" s="24">
        <f>IFERROR(Table2[[#This Row],[Orange Min]]/Table2[[#This Row],[ClassLength]],"")</f>
        <v>0.22033898305084745</v>
      </c>
      <c r="Z809" s="24">
        <f>IFERROR(Table2[[#This Row],[Red Min]]/Table2[[#This Row],[ClassLength]],"")</f>
        <v>0</v>
      </c>
      <c r="AA809" s="25">
        <v>169</v>
      </c>
      <c r="AB809" s="25">
        <f t="shared" si="226"/>
        <v>14.083333333333334</v>
      </c>
      <c r="AC809" s="26">
        <f t="shared" si="216"/>
        <v>638</v>
      </c>
      <c r="AD809" s="26">
        <f t="shared" si="217"/>
        <v>16.416666666666668</v>
      </c>
      <c r="AE809">
        <f t="shared" si="218"/>
        <v>2025</v>
      </c>
      <c r="AG809">
        <v>12</v>
      </c>
      <c r="AH809" s="26">
        <f t="shared" si="219"/>
        <v>10.186440677966102</v>
      </c>
      <c r="AI809" t="str">
        <f t="shared" si="220"/>
        <v>AM</v>
      </c>
      <c r="AJ809" t="str">
        <f t="shared" si="221"/>
        <v>6-2025-1</v>
      </c>
      <c r="AK809">
        <f t="shared" si="222"/>
        <v>6</v>
      </c>
      <c r="AL809" s="26">
        <f>IFERROR(Table2[[#This Row],[Calories]]/Table2[[#This Row],[Splat]],"")</f>
        <v>46.230769230769234</v>
      </c>
      <c r="AM809">
        <f>COUNTIF(N$2:$N$938,N809)</f>
        <v>258</v>
      </c>
      <c r="AN809" t="str">
        <f>VLOOKUP(N809,'Helpful Tables'!A:D,4,FALSE)</f>
        <v>Oregon</v>
      </c>
      <c r="AO809" s="24">
        <f>COUNTIF(AN:AN,Table2[[#This Row],[State]])/COUNTA(AN:AN)</f>
        <v>0.36140724946695096</v>
      </c>
      <c r="AP809">
        <f>VLOOKUP(N809,'Helpful Tables'!A:B,2,FALSE)</f>
        <v>45.534162000000002</v>
      </c>
      <c r="AQ809">
        <f>VLOOKUP(N809,'Helpful Tables'!A:C,3,FALSE)</f>
        <v>-122.69670000000001</v>
      </c>
      <c r="AR809">
        <f>COUNTIF(P$2:$P$938,P809)</f>
        <v>11</v>
      </c>
      <c r="AS809" cm="1">
        <f t="array" ref="AS809">_xlfn.IFS(E809&lt;6,((E809/D809)*60)*0.5,AND(E809&gt;=6,E809&lt;9),((E809/D809)*60)*0.75,AND(E809&gt;=9,E809&lt;=11),((E809/D809)*60)*0.9,AND(E809=12),((E809/D809)*60)*1,AND(E809&gt;=13,E809&lt;=15),((E809/D809)*60)*1.2,AND(E809&gt;=16,E809&lt;=19),((E809/D809)*60)*1.5,E809&gt;=20,((E809/D809)*60)*1.8)</f>
        <v>15.864406779661017</v>
      </c>
      <c r="AT809" cm="1">
        <f t="array" ref="AT809">_xlfn.IFS(F809&lt;550,((F809/D809)*60)*0.5,AND(F809&gt;=550,F809&lt;575),((F809/D809)*60)*0.75,AND(F809&gt;=575,F809&lt;600),((F809/D809)*60)*0.9,AND(F809=600),((F809/D809)*60)*1,AND(F809&gt;=601,F809&lt;=625),((F809/D809)*60)*1.2,AND(F809&gt;=626,F809&lt;=650),((F809/D809)*60)*1.5,F809&gt;=651,((F809/D809)*60)*1.8)</f>
        <v>733.42372881355936</v>
      </c>
      <c r="AU809">
        <f t="shared" si="227"/>
        <v>-3.6999999999999957</v>
      </c>
      <c r="AV809">
        <f t="shared" si="225"/>
        <v>298.97525423728814</v>
      </c>
      <c r="AW809">
        <f t="shared" si="228"/>
        <v>26.6</v>
      </c>
      <c r="AX809" t="str">
        <f t="shared" si="223"/>
        <v>Jun-2025</v>
      </c>
      <c r="AY809">
        <f>ROUNDUP(Table2[[#This Row],[Month]]/3,0)</f>
        <v>2</v>
      </c>
    </row>
    <row r="810" spans="1:51" x14ac:dyDescent="0.2">
      <c r="A810">
        <v>809</v>
      </c>
      <c r="B810">
        <f t="shared" si="212"/>
        <v>12</v>
      </c>
      <c r="C810" s="22">
        <v>45817</v>
      </c>
      <c r="D810">
        <f>SUM(Table2[[#This Row],[Gray Min]:[Red Min]])</f>
        <v>59</v>
      </c>
      <c r="E810">
        <v>14</v>
      </c>
      <c r="F810">
        <v>595</v>
      </c>
      <c r="G810">
        <v>120</v>
      </c>
      <c r="H810">
        <v>164</v>
      </c>
      <c r="I810">
        <v>20</v>
      </c>
      <c r="J810">
        <v>14</v>
      </c>
      <c r="K810">
        <v>11</v>
      </c>
      <c r="L810">
        <v>13</v>
      </c>
      <c r="M810">
        <v>1</v>
      </c>
      <c r="N810" t="s">
        <v>125</v>
      </c>
      <c r="O810" t="s">
        <v>127</v>
      </c>
      <c r="P810" t="s">
        <v>126</v>
      </c>
      <c r="Q810">
        <f t="shared" si="224"/>
        <v>2</v>
      </c>
      <c r="R810" t="str">
        <f t="shared" si="213"/>
        <v>6-2025</v>
      </c>
      <c r="S810" t="s">
        <v>104</v>
      </c>
      <c r="T810" t="str">
        <f t="shared" si="214"/>
        <v>Monday</v>
      </c>
      <c r="U810">
        <f t="shared" si="215"/>
        <v>1</v>
      </c>
      <c r="V810" s="24">
        <f>IFERROR(Table2[[#This Row],[Gray Min]]/Table2[[#This Row],[ClassLength]],"")</f>
        <v>0.33898305084745761</v>
      </c>
      <c r="W810" s="24">
        <f>IFERROR(Table2[[#This Row],[Blue Min]]/Table2[[#This Row],[ClassLength]],"")</f>
        <v>0.23728813559322035</v>
      </c>
      <c r="X810" s="24">
        <f>IFERROR(Table2[[#This Row],[Green Min]]/Table2[[#This Row],[ClassLength]],"")</f>
        <v>0.1864406779661017</v>
      </c>
      <c r="Y810" s="24">
        <f>IFERROR(Table2[[#This Row],[Orange Min]]/Table2[[#This Row],[ClassLength]],"")</f>
        <v>0.22033898305084745</v>
      </c>
      <c r="Z810" s="24">
        <f>IFERROR(Table2[[#This Row],[Red Min]]/Table2[[#This Row],[ClassLength]],"")</f>
        <v>1.6949152542372881E-2</v>
      </c>
      <c r="AA810" s="25">
        <v>169</v>
      </c>
      <c r="AB810" s="25">
        <f t="shared" si="226"/>
        <v>14.083333333333334</v>
      </c>
      <c r="AC810" s="26">
        <f t="shared" si="216"/>
        <v>638</v>
      </c>
      <c r="AD810" s="26">
        <f t="shared" si="217"/>
        <v>16.416666666666668</v>
      </c>
      <c r="AE810">
        <f t="shared" si="218"/>
        <v>2025</v>
      </c>
      <c r="AG810">
        <v>12</v>
      </c>
      <c r="AH810" s="26">
        <f t="shared" si="219"/>
        <v>10.084745762711865</v>
      </c>
      <c r="AI810" t="str">
        <f t="shared" si="220"/>
        <v>PM</v>
      </c>
      <c r="AJ810" t="str">
        <f t="shared" si="221"/>
        <v>6-2025-2</v>
      </c>
      <c r="AK810">
        <f t="shared" si="222"/>
        <v>6</v>
      </c>
      <c r="AL810" s="26">
        <f>IFERROR(Table2[[#This Row],[Calories]]/Table2[[#This Row],[Splat]],"")</f>
        <v>42.5</v>
      </c>
      <c r="AM810">
        <f>COUNTIF(N$2:$N$938,N810)</f>
        <v>258</v>
      </c>
      <c r="AN810" t="str">
        <f>VLOOKUP(N810,'Helpful Tables'!A:D,4,FALSE)</f>
        <v>Oregon</v>
      </c>
      <c r="AO810" s="24">
        <f>COUNTIF(AN:AN,Table2[[#This Row],[State]])/COUNTA(AN:AN)</f>
        <v>0.36140724946695096</v>
      </c>
      <c r="AP810">
        <f>VLOOKUP(N810,'Helpful Tables'!A:B,2,FALSE)</f>
        <v>45.534162000000002</v>
      </c>
      <c r="AQ810">
        <f>VLOOKUP(N810,'Helpful Tables'!A:C,3,FALSE)</f>
        <v>-122.69670000000001</v>
      </c>
      <c r="AR810">
        <f>COUNTIF(P$2:$P$938,P810)</f>
        <v>11</v>
      </c>
      <c r="AS810" cm="1">
        <f t="array" ref="AS810">_xlfn.IFS(E810&lt;6,((E810/D810)*60)*0.5,AND(E810&gt;=6,E810&lt;9),((E810/D810)*60)*0.75,AND(E810&gt;=9,E810&lt;=11),((E810/D810)*60)*0.9,AND(E810=12),((E810/D810)*60)*1,AND(E810&gt;=13,E810&lt;=15),((E810/D810)*60)*1.2,AND(E810&gt;=16,E810&lt;=19),((E810/D810)*60)*1.5,E810&gt;=20,((E810/D810)*60)*1.8)</f>
        <v>17.084745762711865</v>
      </c>
      <c r="AT810" cm="1">
        <f t="array" ref="AT810">_xlfn.IFS(F810&lt;550,((F810/D810)*60)*0.5,AND(F810&gt;=550,F810&lt;575),((F810/D810)*60)*0.75,AND(F810&gt;=575,F810&lt;600),((F810/D810)*60)*0.9,AND(F810=600),((F810/D810)*60)*1,AND(F810&gt;=601,F810&lt;=625),((F810/D810)*60)*1.2,AND(F810&gt;=626,F810&lt;=650),((F810/D810)*60)*1.5,F810&gt;=651,((F810/D810)*60)*1.8)</f>
        <v>544.57627118644075</v>
      </c>
      <c r="AU810">
        <f t="shared" si="227"/>
        <v>-7.8000000000000043</v>
      </c>
      <c r="AV810">
        <f t="shared" si="225"/>
        <v>223.10440677966105</v>
      </c>
      <c r="AW810">
        <f t="shared" si="228"/>
        <v>17.7</v>
      </c>
      <c r="AX810" t="str">
        <f t="shared" si="223"/>
        <v>Jun-2025</v>
      </c>
      <c r="AY810">
        <f>ROUNDUP(Table2[[#This Row],[Month]]/3,0)</f>
        <v>2</v>
      </c>
    </row>
    <row r="811" spans="1:51" x14ac:dyDescent="0.2">
      <c r="A811">
        <v>810</v>
      </c>
      <c r="B811">
        <f t="shared" si="212"/>
        <v>12</v>
      </c>
      <c r="C811" s="22">
        <v>45820</v>
      </c>
      <c r="D811">
        <f>SUM(Table2[[#This Row],[Gray Min]:[Red Min]])</f>
        <v>59</v>
      </c>
      <c r="E811">
        <v>20</v>
      </c>
      <c r="F811">
        <v>671</v>
      </c>
      <c r="G811">
        <v>127</v>
      </c>
      <c r="H811">
        <v>164</v>
      </c>
      <c r="I811">
        <v>14</v>
      </c>
      <c r="J811">
        <v>15</v>
      </c>
      <c r="K811">
        <v>10</v>
      </c>
      <c r="L811">
        <v>18</v>
      </c>
      <c r="M811">
        <v>2</v>
      </c>
      <c r="N811" t="s">
        <v>125</v>
      </c>
      <c r="O811" t="s">
        <v>127</v>
      </c>
      <c r="P811" t="s">
        <v>238</v>
      </c>
      <c r="Q811">
        <f t="shared" si="224"/>
        <v>3</v>
      </c>
      <c r="R811" t="str">
        <f t="shared" si="213"/>
        <v>6-2025</v>
      </c>
      <c r="S811" t="s">
        <v>104</v>
      </c>
      <c r="T811" t="str">
        <f t="shared" si="214"/>
        <v>Thursday</v>
      </c>
      <c r="U811">
        <f t="shared" si="215"/>
        <v>1</v>
      </c>
      <c r="V811" s="24">
        <f>IFERROR(Table2[[#This Row],[Gray Min]]/Table2[[#This Row],[ClassLength]],"")</f>
        <v>0.23728813559322035</v>
      </c>
      <c r="W811" s="24">
        <f>IFERROR(Table2[[#This Row],[Blue Min]]/Table2[[#This Row],[ClassLength]],"")</f>
        <v>0.25423728813559321</v>
      </c>
      <c r="X811" s="24">
        <f>IFERROR(Table2[[#This Row],[Green Min]]/Table2[[#This Row],[ClassLength]],"")</f>
        <v>0.16949152542372881</v>
      </c>
      <c r="Y811" s="24">
        <f>IFERROR(Table2[[#This Row],[Orange Min]]/Table2[[#This Row],[ClassLength]],"")</f>
        <v>0.30508474576271188</v>
      </c>
      <c r="Z811" s="24">
        <f>IFERROR(Table2[[#This Row],[Red Min]]/Table2[[#This Row],[ClassLength]],"")</f>
        <v>3.3898305084745763E-2</v>
      </c>
      <c r="AA811" s="25">
        <v>169</v>
      </c>
      <c r="AB811" s="25">
        <f t="shared" si="226"/>
        <v>14.083333333333334</v>
      </c>
      <c r="AC811" s="26">
        <f t="shared" si="216"/>
        <v>638</v>
      </c>
      <c r="AD811" s="26">
        <f t="shared" si="217"/>
        <v>16.416666666666668</v>
      </c>
      <c r="AE811">
        <f t="shared" si="218"/>
        <v>2025</v>
      </c>
      <c r="AG811">
        <v>12</v>
      </c>
      <c r="AH811" s="26">
        <f t="shared" si="219"/>
        <v>11.372881355932204</v>
      </c>
      <c r="AI811" t="str">
        <f t="shared" si="220"/>
        <v>PM</v>
      </c>
      <c r="AJ811" t="str">
        <f t="shared" si="221"/>
        <v>6-2025-2</v>
      </c>
      <c r="AK811">
        <f t="shared" si="222"/>
        <v>6</v>
      </c>
      <c r="AL811" s="26">
        <f>IFERROR(Table2[[#This Row],[Calories]]/Table2[[#This Row],[Splat]],"")</f>
        <v>33.549999999999997</v>
      </c>
      <c r="AM811">
        <f>COUNTIF(N$2:$N$938,N811)</f>
        <v>258</v>
      </c>
      <c r="AN811" t="str">
        <f>VLOOKUP(N811,'Helpful Tables'!A:D,4,FALSE)</f>
        <v>Oregon</v>
      </c>
      <c r="AO811" s="24">
        <f>COUNTIF(AN:AN,Table2[[#This Row],[State]])/COUNTA(AN:AN)</f>
        <v>0.36140724946695096</v>
      </c>
      <c r="AP811">
        <f>VLOOKUP(N811,'Helpful Tables'!A:B,2,FALSE)</f>
        <v>45.534162000000002</v>
      </c>
      <c r="AQ811">
        <f>VLOOKUP(N811,'Helpful Tables'!A:C,3,FALSE)</f>
        <v>-122.69670000000001</v>
      </c>
      <c r="AR811">
        <f>COUNTIF(P$2:$P$938,P811)</f>
        <v>25</v>
      </c>
      <c r="AS811" cm="1">
        <f t="array" ref="AS811">_xlfn.IFS(E811&lt;6,((E811/D811)*60)*0.5,AND(E811&gt;=6,E811&lt;9),((E811/D811)*60)*0.75,AND(E811&gt;=9,E811&lt;=11),((E811/D811)*60)*0.9,AND(E811=12),((E811/D811)*60)*1,AND(E811&gt;=13,E811&lt;=15),((E811/D811)*60)*1.2,AND(E811&gt;=16,E811&lt;=19),((E811/D811)*60)*1.5,E811&gt;=20,((E811/D811)*60)*1.8)</f>
        <v>36.610169491525426</v>
      </c>
      <c r="AT811" cm="1">
        <f t="array" ref="AT811">_xlfn.IFS(F811&lt;550,((F811/D811)*60)*0.5,AND(F811&gt;=550,F811&lt;575),((F811/D811)*60)*0.75,AND(F811&gt;=575,F811&lt;600),((F811/D811)*60)*0.9,AND(F811=600),((F811/D811)*60)*1,AND(F811&gt;=601,F811&lt;=625),((F811/D811)*60)*1.2,AND(F811&gt;=626,F811&lt;=650),((F811/D811)*60)*1.5,F811&gt;=651,((F811/D811)*60)*1.8)</f>
        <v>1228.2711864406781</v>
      </c>
      <c r="AU811">
        <f t="shared" si="227"/>
        <v>5.100000000000005</v>
      </c>
      <c r="AV811">
        <f t="shared" si="225"/>
        <v>506.97254237288138</v>
      </c>
      <c r="AW811">
        <f t="shared" si="228"/>
        <v>83.7</v>
      </c>
      <c r="AX811" t="str">
        <f t="shared" si="223"/>
        <v>Jun-2025</v>
      </c>
      <c r="AY811">
        <f>ROUNDUP(Table2[[#This Row],[Month]]/3,0)</f>
        <v>2</v>
      </c>
    </row>
    <row r="812" spans="1:51" x14ac:dyDescent="0.2">
      <c r="A812">
        <v>811</v>
      </c>
      <c r="B812">
        <f t="shared" si="212"/>
        <v>12</v>
      </c>
      <c r="C812" s="22">
        <v>45828</v>
      </c>
      <c r="D812">
        <f>SUM(Table2[[#This Row],[Gray Min]:[Red Min]])</f>
        <v>56</v>
      </c>
      <c r="E812">
        <v>18</v>
      </c>
      <c r="F812">
        <v>675</v>
      </c>
      <c r="G812">
        <v>132</v>
      </c>
      <c r="H812">
        <v>165</v>
      </c>
      <c r="I812">
        <v>7</v>
      </c>
      <c r="J812">
        <v>15</v>
      </c>
      <c r="K812">
        <v>16</v>
      </c>
      <c r="L812">
        <v>17</v>
      </c>
      <c r="M812">
        <v>1</v>
      </c>
      <c r="N812" t="s">
        <v>125</v>
      </c>
      <c r="O812" t="s">
        <v>113</v>
      </c>
      <c r="P812" t="s">
        <v>126</v>
      </c>
      <c r="Q812">
        <f t="shared" si="224"/>
        <v>8</v>
      </c>
      <c r="R812" t="str">
        <f t="shared" si="213"/>
        <v>6-2025</v>
      </c>
      <c r="S812" t="s">
        <v>104</v>
      </c>
      <c r="T812" t="str">
        <f t="shared" si="214"/>
        <v>Friday</v>
      </c>
      <c r="U812">
        <f t="shared" si="215"/>
        <v>1</v>
      </c>
      <c r="V812" s="24">
        <f>IFERROR(Table2[[#This Row],[Gray Min]]/Table2[[#This Row],[ClassLength]],"")</f>
        <v>0.125</v>
      </c>
      <c r="W812" s="24">
        <f>IFERROR(Table2[[#This Row],[Blue Min]]/Table2[[#This Row],[ClassLength]],"")</f>
        <v>0.26785714285714285</v>
      </c>
      <c r="X812" s="24">
        <f>IFERROR(Table2[[#This Row],[Green Min]]/Table2[[#This Row],[ClassLength]],"")</f>
        <v>0.2857142857142857</v>
      </c>
      <c r="Y812" s="24">
        <f>IFERROR(Table2[[#This Row],[Orange Min]]/Table2[[#This Row],[ClassLength]],"")</f>
        <v>0.30357142857142855</v>
      </c>
      <c r="Z812" s="24">
        <f>IFERROR(Table2[[#This Row],[Red Min]]/Table2[[#This Row],[ClassLength]],"")</f>
        <v>1.7857142857142856E-2</v>
      </c>
      <c r="AA812" s="25">
        <v>169</v>
      </c>
      <c r="AB812" s="25">
        <f t="shared" si="226"/>
        <v>14.083333333333334</v>
      </c>
      <c r="AC812" s="26">
        <f t="shared" si="216"/>
        <v>638</v>
      </c>
      <c r="AD812" s="26">
        <f t="shared" si="217"/>
        <v>16.416666666666668</v>
      </c>
      <c r="AE812">
        <f t="shared" si="218"/>
        <v>2025</v>
      </c>
      <c r="AG812">
        <v>12</v>
      </c>
      <c r="AH812" s="26">
        <f t="shared" si="219"/>
        <v>12.053571428571429</v>
      </c>
      <c r="AI812" t="str">
        <f t="shared" si="220"/>
        <v>AM</v>
      </c>
      <c r="AJ812" t="str">
        <f t="shared" si="221"/>
        <v>6-2025-3</v>
      </c>
      <c r="AK812">
        <f t="shared" si="222"/>
        <v>6</v>
      </c>
      <c r="AL812" s="26">
        <f>IFERROR(Table2[[#This Row],[Calories]]/Table2[[#This Row],[Splat]],"")</f>
        <v>37.5</v>
      </c>
      <c r="AM812">
        <f>COUNTIF(N$2:$N$938,N812)</f>
        <v>258</v>
      </c>
      <c r="AN812" t="str">
        <f>VLOOKUP(N812,'Helpful Tables'!A:D,4,FALSE)</f>
        <v>Oregon</v>
      </c>
      <c r="AO812" s="24">
        <f>COUNTIF(AN:AN,Table2[[#This Row],[State]])/COUNTA(AN:AN)</f>
        <v>0.36140724946695096</v>
      </c>
      <c r="AP812">
        <f>VLOOKUP(N812,'Helpful Tables'!A:B,2,FALSE)</f>
        <v>45.534162000000002</v>
      </c>
      <c r="AQ812">
        <f>VLOOKUP(N812,'Helpful Tables'!A:C,3,FALSE)</f>
        <v>-122.69670000000001</v>
      </c>
      <c r="AR812">
        <f>COUNTIF(P$2:$P$938,P812)</f>
        <v>11</v>
      </c>
      <c r="AS812" cm="1">
        <f t="array" ref="AS812">_xlfn.IFS(E812&lt;6,((E812/D812)*60)*0.5,AND(E812&gt;=6,E812&lt;9),((E812/D812)*60)*0.75,AND(E812&gt;=9,E812&lt;=11),((E812/D812)*60)*0.9,AND(E812=12),((E812/D812)*60)*1,AND(E812&gt;=13,E812&lt;=15),((E812/D812)*60)*1.2,AND(E812&gt;=16,E812&lt;=19),((E812/D812)*60)*1.5,E812&gt;=20,((E812/D812)*60)*1.8)</f>
        <v>28.928571428571431</v>
      </c>
      <c r="AT812" cm="1">
        <f t="array" ref="AT812">_xlfn.IFS(F812&lt;550,((F812/D812)*60)*0.5,AND(F812&gt;=550,F812&lt;575),((F812/D812)*60)*0.75,AND(F812&gt;=575,F812&lt;600),((F812/D812)*60)*0.9,AND(F812=600),((F812/D812)*60)*1,AND(F812&gt;=601,F812&lt;=625),((F812/D812)*60)*1.2,AND(F812&gt;=626,F812&lt;=650),((F812/D812)*60)*1.5,F812&gt;=651,((F812/D812)*60)*1.8)</f>
        <v>1301.7857142857144</v>
      </c>
      <c r="AU812">
        <f t="shared" si="227"/>
        <v>17.900000000000002</v>
      </c>
      <c r="AV812">
        <f t="shared" si="225"/>
        <v>535.86571428571438</v>
      </c>
      <c r="AW812">
        <f t="shared" si="228"/>
        <v>95.5</v>
      </c>
      <c r="AX812" t="str">
        <f t="shared" si="223"/>
        <v>Jun-2025</v>
      </c>
      <c r="AY812">
        <f>ROUNDUP(Table2[[#This Row],[Month]]/3,0)</f>
        <v>2</v>
      </c>
    </row>
    <row r="813" spans="1:51" x14ac:dyDescent="0.2">
      <c r="A813">
        <v>812</v>
      </c>
      <c r="B813">
        <f t="shared" si="212"/>
        <v>12</v>
      </c>
      <c r="C813" s="22">
        <v>45829</v>
      </c>
      <c r="D813">
        <f>SUM(Table2[[#This Row],[Gray Min]:[Red Min]])</f>
        <v>58</v>
      </c>
      <c r="E813">
        <v>20</v>
      </c>
      <c r="F813">
        <v>675</v>
      </c>
      <c r="G813">
        <v>129</v>
      </c>
      <c r="H813">
        <v>167</v>
      </c>
      <c r="I813">
        <v>12</v>
      </c>
      <c r="J813">
        <v>20</v>
      </c>
      <c r="K813">
        <v>6</v>
      </c>
      <c r="L813">
        <v>16</v>
      </c>
      <c r="M813">
        <v>4</v>
      </c>
      <c r="N813" t="s">
        <v>125</v>
      </c>
      <c r="O813" t="s">
        <v>159</v>
      </c>
      <c r="P813" t="s">
        <v>239</v>
      </c>
      <c r="Q813">
        <f t="shared" si="224"/>
        <v>1</v>
      </c>
      <c r="R813" t="str">
        <f t="shared" si="213"/>
        <v>6-2025</v>
      </c>
      <c r="S813" t="s">
        <v>104</v>
      </c>
      <c r="T813" t="str">
        <f t="shared" si="214"/>
        <v>Saturday</v>
      </c>
      <c r="U813">
        <f t="shared" si="215"/>
        <v>1</v>
      </c>
      <c r="V813" s="24">
        <f>IFERROR(Table2[[#This Row],[Gray Min]]/Table2[[#This Row],[ClassLength]],"")</f>
        <v>0.20689655172413793</v>
      </c>
      <c r="W813" s="24">
        <f>IFERROR(Table2[[#This Row],[Blue Min]]/Table2[[#This Row],[ClassLength]],"")</f>
        <v>0.34482758620689657</v>
      </c>
      <c r="X813" s="24">
        <f>IFERROR(Table2[[#This Row],[Green Min]]/Table2[[#This Row],[ClassLength]],"")</f>
        <v>0.10344827586206896</v>
      </c>
      <c r="Y813" s="24">
        <f>IFERROR(Table2[[#This Row],[Orange Min]]/Table2[[#This Row],[ClassLength]],"")</f>
        <v>0.27586206896551724</v>
      </c>
      <c r="Z813" s="24">
        <f>IFERROR(Table2[[#This Row],[Red Min]]/Table2[[#This Row],[ClassLength]],"")</f>
        <v>6.8965517241379309E-2</v>
      </c>
      <c r="AA813" s="25">
        <v>169</v>
      </c>
      <c r="AB813" s="25">
        <f t="shared" si="226"/>
        <v>14.083333333333334</v>
      </c>
      <c r="AC813" s="26">
        <f t="shared" si="216"/>
        <v>638</v>
      </c>
      <c r="AD813" s="26">
        <f t="shared" si="217"/>
        <v>16.416666666666668</v>
      </c>
      <c r="AE813">
        <f t="shared" si="218"/>
        <v>2025</v>
      </c>
      <c r="AG813">
        <v>12</v>
      </c>
      <c r="AH813" s="26">
        <f t="shared" si="219"/>
        <v>11.637931034482758</v>
      </c>
      <c r="AI813" t="str">
        <f t="shared" si="220"/>
        <v>AM</v>
      </c>
      <c r="AJ813" t="str">
        <f t="shared" si="221"/>
        <v>6-2025-3</v>
      </c>
      <c r="AK813">
        <f t="shared" si="222"/>
        <v>6</v>
      </c>
      <c r="AL813" s="26">
        <f>IFERROR(Table2[[#This Row],[Calories]]/Table2[[#This Row],[Splat]],"")</f>
        <v>33.75</v>
      </c>
      <c r="AM813">
        <f>COUNTIF(N$2:$N$938,N813)</f>
        <v>258</v>
      </c>
      <c r="AN813" t="str">
        <f>VLOOKUP(N813,'Helpful Tables'!A:D,4,FALSE)</f>
        <v>Oregon</v>
      </c>
      <c r="AO813" s="24">
        <f>COUNTIF(AN:AN,Table2[[#This Row],[State]])/COUNTA(AN:AN)</f>
        <v>0.36140724946695096</v>
      </c>
      <c r="AP813">
        <f>VLOOKUP(N813,'Helpful Tables'!A:B,2,FALSE)</f>
        <v>45.534162000000002</v>
      </c>
      <c r="AQ813">
        <f>VLOOKUP(N813,'Helpful Tables'!A:C,3,FALSE)</f>
        <v>-122.69670000000001</v>
      </c>
      <c r="AR813">
        <f>COUNTIF(P$2:$P$938,P813)</f>
        <v>1</v>
      </c>
      <c r="AS813" cm="1">
        <f t="array" ref="AS813">_xlfn.IFS(E813&lt;6,((E813/D813)*60)*0.5,AND(E813&gt;=6,E813&lt;9),((E813/D813)*60)*0.75,AND(E813&gt;=9,E813&lt;=11),((E813/D813)*60)*0.9,AND(E813=12),((E813/D813)*60)*1,AND(E813&gt;=13,E813&lt;=15),((E813/D813)*60)*1.2,AND(E813&gt;=16,E813&lt;=19),((E813/D813)*60)*1.5,E813&gt;=20,((E813/D813)*60)*1.8)</f>
        <v>37.241379310344833</v>
      </c>
      <c r="AT813" cm="1">
        <f t="array" ref="AT813">_xlfn.IFS(F813&lt;550,((F813/D813)*60)*0.5,AND(F813&gt;=550,F813&lt;575),((F813/D813)*60)*0.75,AND(F813&gt;=575,F813&lt;600),((F813/D813)*60)*0.9,AND(F813=600),((F813/D813)*60)*1,AND(F813&gt;=601,F813&lt;=625),((F813/D813)*60)*1.2,AND(F813&gt;=626,F813&lt;=650),((F813/D813)*60)*1.5,F813&gt;=651,((F813/D813)*60)*1.8)</f>
        <v>1256.8965517241379</v>
      </c>
      <c r="AU813">
        <f t="shared" si="227"/>
        <v>-2.3999999999999986</v>
      </c>
      <c r="AV813">
        <f t="shared" si="225"/>
        <v>517.17517241379312</v>
      </c>
      <c r="AW813">
        <f t="shared" si="228"/>
        <v>89</v>
      </c>
      <c r="AX813" t="str">
        <f t="shared" si="223"/>
        <v>Jun-2025</v>
      </c>
      <c r="AY813">
        <f>ROUNDUP(Table2[[#This Row],[Month]]/3,0)</f>
        <v>2</v>
      </c>
    </row>
    <row r="814" spans="1:51" x14ac:dyDescent="0.2">
      <c r="A814">
        <v>813</v>
      </c>
      <c r="B814">
        <f t="shared" si="212"/>
        <v>12</v>
      </c>
      <c r="C814" s="22">
        <v>45831</v>
      </c>
      <c r="D814">
        <f>SUM(Table2[[#This Row],[Gray Min]:[Red Min]])</f>
        <v>56</v>
      </c>
      <c r="E814">
        <v>17</v>
      </c>
      <c r="F814">
        <v>649</v>
      </c>
      <c r="G814">
        <v>129</v>
      </c>
      <c r="H814">
        <v>166</v>
      </c>
      <c r="I814">
        <v>9</v>
      </c>
      <c r="J814">
        <v>17</v>
      </c>
      <c r="K814">
        <v>13</v>
      </c>
      <c r="L814">
        <v>16</v>
      </c>
      <c r="M814">
        <v>1</v>
      </c>
      <c r="N814" t="s">
        <v>125</v>
      </c>
      <c r="O814" t="s">
        <v>127</v>
      </c>
      <c r="P814" t="s">
        <v>217</v>
      </c>
      <c r="Q814">
        <f t="shared" si="224"/>
        <v>2</v>
      </c>
      <c r="R814" t="str">
        <f t="shared" si="213"/>
        <v>6-2025</v>
      </c>
      <c r="S814" t="s">
        <v>104</v>
      </c>
      <c r="T814" t="str">
        <f t="shared" si="214"/>
        <v>Monday</v>
      </c>
      <c r="U814">
        <f t="shared" si="215"/>
        <v>1</v>
      </c>
      <c r="V814" s="24">
        <f>IFERROR(Table2[[#This Row],[Gray Min]]/Table2[[#This Row],[ClassLength]],"")</f>
        <v>0.16071428571428573</v>
      </c>
      <c r="W814" s="24">
        <f>IFERROR(Table2[[#This Row],[Blue Min]]/Table2[[#This Row],[ClassLength]],"")</f>
        <v>0.30357142857142855</v>
      </c>
      <c r="X814" s="24">
        <f>IFERROR(Table2[[#This Row],[Green Min]]/Table2[[#This Row],[ClassLength]],"")</f>
        <v>0.23214285714285715</v>
      </c>
      <c r="Y814" s="24">
        <f>IFERROR(Table2[[#This Row],[Orange Min]]/Table2[[#This Row],[ClassLength]],"")</f>
        <v>0.2857142857142857</v>
      </c>
      <c r="Z814" s="24">
        <f>IFERROR(Table2[[#This Row],[Red Min]]/Table2[[#This Row],[ClassLength]],"")</f>
        <v>1.7857142857142856E-2</v>
      </c>
      <c r="AA814" s="25">
        <v>169</v>
      </c>
      <c r="AB814" s="25">
        <f t="shared" si="226"/>
        <v>14.083333333333334</v>
      </c>
      <c r="AC814" s="26">
        <f t="shared" si="216"/>
        <v>638</v>
      </c>
      <c r="AD814" s="26">
        <f t="shared" si="217"/>
        <v>16.416666666666668</v>
      </c>
      <c r="AE814">
        <f t="shared" si="218"/>
        <v>2025</v>
      </c>
      <c r="AG814">
        <v>12</v>
      </c>
      <c r="AH814" s="26">
        <f t="shared" si="219"/>
        <v>11.589285714285714</v>
      </c>
      <c r="AI814" t="str">
        <f t="shared" si="220"/>
        <v>PM</v>
      </c>
      <c r="AJ814" t="str">
        <f t="shared" si="221"/>
        <v>6-2025-4</v>
      </c>
      <c r="AK814">
        <f t="shared" si="222"/>
        <v>6</v>
      </c>
      <c r="AL814" s="26">
        <f>IFERROR(Table2[[#This Row],[Calories]]/Table2[[#This Row],[Splat]],"")</f>
        <v>38.176470588235297</v>
      </c>
      <c r="AM814">
        <f>COUNTIF(N$2:$N$938,N814)</f>
        <v>258</v>
      </c>
      <c r="AN814" t="str">
        <f>VLOOKUP(N814,'Helpful Tables'!A:D,4,FALSE)</f>
        <v>Oregon</v>
      </c>
      <c r="AO814" s="24">
        <f>COUNTIF(AN:AN,Table2[[#This Row],[State]])/COUNTA(AN:AN)</f>
        <v>0.36140724946695096</v>
      </c>
      <c r="AP814">
        <f>VLOOKUP(N814,'Helpful Tables'!A:B,2,FALSE)</f>
        <v>45.534162000000002</v>
      </c>
      <c r="AQ814">
        <f>VLOOKUP(N814,'Helpful Tables'!A:C,3,FALSE)</f>
        <v>-122.69670000000001</v>
      </c>
      <c r="AR814">
        <f>COUNTIF(P$2:$P$938,P814)</f>
        <v>7</v>
      </c>
      <c r="AS814" cm="1">
        <f t="array" ref="AS814">_xlfn.IFS(E814&lt;6,((E814/D814)*60)*0.5,AND(E814&gt;=6,E814&lt;9),((E814/D814)*60)*0.75,AND(E814&gt;=9,E814&lt;=11),((E814/D814)*60)*0.9,AND(E814=12),((E814/D814)*60)*1,AND(E814&gt;=13,E814&lt;=15),((E814/D814)*60)*1.2,AND(E814&gt;=16,E814&lt;=19),((E814/D814)*60)*1.5,E814&gt;=20,((E814/D814)*60)*1.8)</f>
        <v>27.321428571428569</v>
      </c>
      <c r="AT814" cm="1">
        <f t="array" ref="AT814">_xlfn.IFS(F814&lt;550,((F814/D814)*60)*0.5,AND(F814&gt;=550,F814&lt;575),((F814/D814)*60)*0.75,AND(F814&gt;=575,F814&lt;600),((F814/D814)*60)*0.9,AND(F814=600),((F814/D814)*60)*1,AND(F814&gt;=601,F814&lt;=625),((F814/D814)*60)*1.2,AND(F814&gt;=626,F814&lt;=650),((F814/D814)*60)*1.5,F814&gt;=651,((F814/D814)*60)*1.8)</f>
        <v>1043.0357142857142</v>
      </c>
      <c r="AU814">
        <f t="shared" si="227"/>
        <v>8.4</v>
      </c>
      <c r="AV814">
        <f t="shared" si="225"/>
        <v>429.82285714285717</v>
      </c>
      <c r="AW814">
        <f t="shared" si="228"/>
        <v>64.7</v>
      </c>
      <c r="AX814" t="str">
        <f t="shared" si="223"/>
        <v>Jun-2025</v>
      </c>
      <c r="AY814">
        <f>ROUNDUP(Table2[[#This Row],[Month]]/3,0)</f>
        <v>2</v>
      </c>
    </row>
    <row r="815" spans="1:51" x14ac:dyDescent="0.2">
      <c r="A815">
        <v>814</v>
      </c>
      <c r="B815">
        <f t="shared" si="212"/>
        <v>12</v>
      </c>
      <c r="C815" s="22">
        <v>45833</v>
      </c>
      <c r="D815">
        <f>SUM(Table2[[#This Row],[Gray Min]:[Red Min]])</f>
        <v>60</v>
      </c>
      <c r="E815">
        <v>16</v>
      </c>
      <c r="F815">
        <v>641</v>
      </c>
      <c r="G815">
        <v>124</v>
      </c>
      <c r="H815">
        <v>165</v>
      </c>
      <c r="I815">
        <v>18</v>
      </c>
      <c r="J815">
        <v>13</v>
      </c>
      <c r="K815">
        <v>13</v>
      </c>
      <c r="L815">
        <v>16</v>
      </c>
      <c r="M815">
        <v>0</v>
      </c>
      <c r="N815" t="s">
        <v>125</v>
      </c>
      <c r="O815" t="s">
        <v>215</v>
      </c>
      <c r="P815" t="s">
        <v>240</v>
      </c>
      <c r="Q815">
        <f t="shared" si="224"/>
        <v>2</v>
      </c>
      <c r="R815" t="str">
        <f t="shared" si="213"/>
        <v>6-2025</v>
      </c>
      <c r="S815" t="s">
        <v>104</v>
      </c>
      <c r="T815" t="str">
        <f t="shared" si="214"/>
        <v>Wednesday</v>
      </c>
      <c r="U815">
        <f t="shared" si="215"/>
        <v>1</v>
      </c>
      <c r="V815" s="24">
        <f>IFERROR(Table2[[#This Row],[Gray Min]]/Table2[[#This Row],[ClassLength]],"")</f>
        <v>0.3</v>
      </c>
      <c r="W815" s="24">
        <f>IFERROR(Table2[[#This Row],[Blue Min]]/Table2[[#This Row],[ClassLength]],"")</f>
        <v>0.21666666666666667</v>
      </c>
      <c r="X815" s="24">
        <f>IFERROR(Table2[[#This Row],[Green Min]]/Table2[[#This Row],[ClassLength]],"")</f>
        <v>0.21666666666666667</v>
      </c>
      <c r="Y815" s="24">
        <f>IFERROR(Table2[[#This Row],[Orange Min]]/Table2[[#This Row],[ClassLength]],"")</f>
        <v>0.26666666666666666</v>
      </c>
      <c r="Z815" s="24">
        <f>IFERROR(Table2[[#This Row],[Red Min]]/Table2[[#This Row],[ClassLength]],"")</f>
        <v>0</v>
      </c>
      <c r="AA815" s="25">
        <v>169</v>
      </c>
      <c r="AB815" s="25">
        <f t="shared" si="226"/>
        <v>14.083333333333334</v>
      </c>
      <c r="AC815" s="26">
        <f t="shared" si="216"/>
        <v>638</v>
      </c>
      <c r="AD815" s="26">
        <f t="shared" si="217"/>
        <v>16.416666666666668</v>
      </c>
      <c r="AE815">
        <f t="shared" si="218"/>
        <v>2025</v>
      </c>
      <c r="AG815">
        <v>12</v>
      </c>
      <c r="AH815" s="26">
        <f t="shared" si="219"/>
        <v>10.683333333333334</v>
      </c>
      <c r="AI815" t="str">
        <f t="shared" si="220"/>
        <v>PM</v>
      </c>
      <c r="AJ815" t="str">
        <f t="shared" si="221"/>
        <v>6-2025-4</v>
      </c>
      <c r="AK815">
        <f t="shared" si="222"/>
        <v>6</v>
      </c>
      <c r="AL815" s="26">
        <f>IFERROR(Table2[[#This Row],[Calories]]/Table2[[#This Row],[Splat]],"")</f>
        <v>40.0625</v>
      </c>
      <c r="AM815">
        <f>COUNTIF(N$2:$N$938,N815)</f>
        <v>258</v>
      </c>
      <c r="AN815" t="str">
        <f>VLOOKUP(N815,'Helpful Tables'!A:D,4,FALSE)</f>
        <v>Oregon</v>
      </c>
      <c r="AO815" s="24">
        <f>COUNTIF(AN:AN,Table2[[#This Row],[State]])/COUNTA(AN:AN)</f>
        <v>0.36140724946695096</v>
      </c>
      <c r="AP815">
        <f>VLOOKUP(N815,'Helpful Tables'!A:B,2,FALSE)</f>
        <v>45.534162000000002</v>
      </c>
      <c r="AQ815">
        <f>VLOOKUP(N815,'Helpful Tables'!A:C,3,FALSE)</f>
        <v>-122.69670000000001</v>
      </c>
      <c r="AR815">
        <f>COUNTIF(P$2:$P$938,P815)</f>
        <v>3</v>
      </c>
      <c r="AS815" cm="1">
        <f t="array" ref="AS815">_xlfn.IFS(E815&lt;6,((E815/D815)*60)*0.5,AND(E815&gt;=6,E815&lt;9),((E815/D815)*60)*0.75,AND(E815&gt;=9,E815&lt;=11),((E815/D815)*60)*0.9,AND(E815=12),((E815/D815)*60)*1,AND(E815&gt;=13,E815&lt;=15),((E815/D815)*60)*1.2,AND(E815&gt;=16,E815&lt;=19),((E815/D815)*60)*1.5,E815&gt;=20,((E815/D815)*60)*1.8)</f>
        <v>24</v>
      </c>
      <c r="AT815" cm="1">
        <f t="array" ref="AT815">_xlfn.IFS(F815&lt;550,((F815/D815)*60)*0.5,AND(F815&gt;=550,F815&lt;575),((F815/D815)*60)*0.75,AND(F815&gt;=575,F815&lt;600),((F815/D815)*60)*0.9,AND(F815=600),((F815/D815)*60)*1,AND(F815&gt;=601,F815&lt;=625),((F815/D815)*60)*1.2,AND(F815&gt;=626,F815&lt;=650),((F815/D815)*60)*1.5,F815&gt;=651,((F815/D815)*60)*1.8)</f>
        <v>961.5</v>
      </c>
      <c r="AU815">
        <f t="shared" si="227"/>
        <v>0.50000000000000355</v>
      </c>
      <c r="AV815">
        <f t="shared" si="225"/>
        <v>394.30000000000007</v>
      </c>
      <c r="AW815">
        <f t="shared" si="228"/>
        <v>49.9</v>
      </c>
      <c r="AX815" t="str">
        <f t="shared" si="223"/>
        <v>Jun-2025</v>
      </c>
      <c r="AY815">
        <f>ROUNDUP(Table2[[#This Row],[Month]]/3,0)</f>
        <v>2</v>
      </c>
    </row>
    <row r="816" spans="1:51" x14ac:dyDescent="0.2">
      <c r="A816">
        <v>815</v>
      </c>
      <c r="B816">
        <f t="shared" si="212"/>
        <v>12</v>
      </c>
      <c r="C816" s="22">
        <v>45835</v>
      </c>
      <c r="D816">
        <f>SUM(Table2[[#This Row],[Gray Min]:[Red Min]])</f>
        <v>58</v>
      </c>
      <c r="E816">
        <v>15</v>
      </c>
      <c r="F816">
        <v>629</v>
      </c>
      <c r="G816">
        <v>124</v>
      </c>
      <c r="H816">
        <v>163</v>
      </c>
      <c r="I816">
        <v>15</v>
      </c>
      <c r="J816">
        <v>16</v>
      </c>
      <c r="K816">
        <v>12</v>
      </c>
      <c r="L816">
        <v>15</v>
      </c>
      <c r="M816">
        <v>0</v>
      </c>
      <c r="N816" t="s">
        <v>208</v>
      </c>
      <c r="O816" t="s">
        <v>83</v>
      </c>
      <c r="P816" t="s">
        <v>209</v>
      </c>
      <c r="Q816">
        <f t="shared" si="224"/>
        <v>2</v>
      </c>
      <c r="R816" t="str">
        <f t="shared" si="213"/>
        <v>6-2025</v>
      </c>
      <c r="S816" t="s">
        <v>104</v>
      </c>
      <c r="T816" t="str">
        <f t="shared" si="214"/>
        <v>Friday</v>
      </c>
      <c r="U816">
        <f t="shared" si="215"/>
        <v>1</v>
      </c>
      <c r="V816" s="24">
        <f>IFERROR(Table2[[#This Row],[Gray Min]]/Table2[[#This Row],[ClassLength]],"")</f>
        <v>0.25862068965517243</v>
      </c>
      <c r="W816" s="24">
        <f>IFERROR(Table2[[#This Row],[Blue Min]]/Table2[[#This Row],[ClassLength]],"")</f>
        <v>0.27586206896551724</v>
      </c>
      <c r="X816" s="24">
        <f>IFERROR(Table2[[#This Row],[Green Min]]/Table2[[#This Row],[ClassLength]],"")</f>
        <v>0.20689655172413793</v>
      </c>
      <c r="Y816" s="24">
        <f>IFERROR(Table2[[#This Row],[Orange Min]]/Table2[[#This Row],[ClassLength]],"")</f>
        <v>0.25862068965517243</v>
      </c>
      <c r="Z816" s="24">
        <f>IFERROR(Table2[[#This Row],[Red Min]]/Table2[[#This Row],[ClassLength]],"")</f>
        <v>0</v>
      </c>
      <c r="AA816" s="25">
        <v>169</v>
      </c>
      <c r="AB816" s="25">
        <f t="shared" si="226"/>
        <v>14.083333333333334</v>
      </c>
      <c r="AC816" s="26">
        <f t="shared" si="216"/>
        <v>638</v>
      </c>
      <c r="AD816" s="26">
        <f t="shared" si="217"/>
        <v>16.416666666666668</v>
      </c>
      <c r="AE816">
        <f t="shared" si="218"/>
        <v>2025</v>
      </c>
      <c r="AG816">
        <v>12</v>
      </c>
      <c r="AH816" s="26">
        <f t="shared" si="219"/>
        <v>10.844827586206897</v>
      </c>
      <c r="AI816" t="str">
        <f t="shared" si="220"/>
        <v>PM</v>
      </c>
      <c r="AJ816" t="str">
        <f t="shared" si="221"/>
        <v>6-2025-4</v>
      </c>
      <c r="AK816">
        <f t="shared" si="222"/>
        <v>6</v>
      </c>
      <c r="AL816" s="26">
        <f>IFERROR(Table2[[#This Row],[Calories]]/Table2[[#This Row],[Splat]],"")</f>
        <v>41.93333333333333</v>
      </c>
      <c r="AM816">
        <f>COUNTIF(N$2:$N$938,N816)</f>
        <v>78</v>
      </c>
      <c r="AN816" t="str">
        <f>VLOOKUP(N816,'Helpful Tables'!A:D,4,FALSE)</f>
        <v>Oregon</v>
      </c>
      <c r="AO816" s="24">
        <f>COUNTIF(AN:AN,Table2[[#This Row],[State]])/COUNTA(AN:AN)</f>
        <v>0.36140724946695096</v>
      </c>
      <c r="AP816">
        <f>VLOOKUP(N816,'Helpful Tables'!A:B,2,FALSE)</f>
        <v>45.525092999999998</v>
      </c>
      <c r="AQ816">
        <f>VLOOKUP(N816,'Helpful Tables'!A:C,3,FALSE)</f>
        <v>-122.681383</v>
      </c>
      <c r="AR816">
        <f>COUNTIF(P$2:$P$938,P816)</f>
        <v>20</v>
      </c>
      <c r="AS816" cm="1">
        <f t="array" ref="AS816">_xlfn.IFS(E816&lt;6,((E816/D816)*60)*0.5,AND(E816&gt;=6,E816&lt;9),((E816/D816)*60)*0.75,AND(E816&gt;=9,E816&lt;=11),((E816/D816)*60)*0.9,AND(E816=12),((E816/D816)*60)*1,AND(E816&gt;=13,E816&lt;=15),((E816/D816)*60)*1.2,AND(E816&gt;=16,E816&lt;=19),((E816/D816)*60)*1.5,E816&gt;=20,((E816/D816)*60)*1.8)</f>
        <v>18.620689655172413</v>
      </c>
      <c r="AT816" cm="1">
        <f t="array" ref="AT816">_xlfn.IFS(F816&lt;550,((F816/D816)*60)*0.5,AND(F816&gt;=550,F816&lt;575),((F816/D816)*60)*0.75,AND(F816&gt;=575,F816&lt;600),((F816/D816)*60)*0.9,AND(F816=600),((F816/D816)*60)*1,AND(F816&gt;=601,F816&lt;=625),((F816/D816)*60)*1.2,AND(F816&gt;=626,F816&lt;=650),((F816/D816)*60)*1.5,F816&gt;=651,((F816/D816)*60)*1.8)</f>
        <v>976.0344827586207</v>
      </c>
      <c r="AU816">
        <f t="shared" si="227"/>
        <v>-1.7000000000000028</v>
      </c>
      <c r="AV816">
        <f t="shared" si="225"/>
        <v>397.52206896551729</v>
      </c>
      <c r="AW816">
        <f t="shared" si="228"/>
        <v>51.800000000000004</v>
      </c>
      <c r="AX816" t="str">
        <f t="shared" si="223"/>
        <v>Jun-2025</v>
      </c>
      <c r="AY816">
        <f>ROUNDUP(Table2[[#This Row],[Month]]/3,0)</f>
        <v>2</v>
      </c>
    </row>
    <row r="817" spans="1:51" x14ac:dyDescent="0.2">
      <c r="A817">
        <v>816</v>
      </c>
      <c r="B817">
        <f t="shared" si="212"/>
        <v>12</v>
      </c>
      <c r="C817" s="22">
        <v>45838</v>
      </c>
      <c r="D817">
        <f>SUM(Table2[[#This Row],[Gray Min]:[Red Min]])</f>
        <v>60</v>
      </c>
      <c r="E817">
        <v>13</v>
      </c>
      <c r="F817">
        <v>593</v>
      </c>
      <c r="G817">
        <v>119</v>
      </c>
      <c r="H817">
        <v>167</v>
      </c>
      <c r="I817">
        <v>22</v>
      </c>
      <c r="J817">
        <v>14</v>
      </c>
      <c r="K817">
        <v>11</v>
      </c>
      <c r="L817">
        <v>12</v>
      </c>
      <c r="M817">
        <v>1</v>
      </c>
      <c r="N817" t="s">
        <v>125</v>
      </c>
      <c r="O817" t="s">
        <v>127</v>
      </c>
      <c r="P817" t="s">
        <v>238</v>
      </c>
      <c r="Q817">
        <f t="shared" si="224"/>
        <v>3</v>
      </c>
      <c r="R817" t="str">
        <f t="shared" si="213"/>
        <v>6-2025</v>
      </c>
      <c r="S817" t="s">
        <v>104</v>
      </c>
      <c r="T817" t="str">
        <f t="shared" si="214"/>
        <v>Monday</v>
      </c>
      <c r="U817">
        <f t="shared" si="215"/>
        <v>1</v>
      </c>
      <c r="V817" s="24">
        <f>IFERROR(Table2[[#This Row],[Gray Min]]/Table2[[#This Row],[ClassLength]],"")</f>
        <v>0.36666666666666664</v>
      </c>
      <c r="W817" s="24">
        <f>IFERROR(Table2[[#This Row],[Blue Min]]/Table2[[#This Row],[ClassLength]],"")</f>
        <v>0.23333333333333334</v>
      </c>
      <c r="X817" s="24">
        <f>IFERROR(Table2[[#This Row],[Green Min]]/Table2[[#This Row],[ClassLength]],"")</f>
        <v>0.18333333333333332</v>
      </c>
      <c r="Y817" s="24">
        <f>IFERROR(Table2[[#This Row],[Orange Min]]/Table2[[#This Row],[ClassLength]],"")</f>
        <v>0.2</v>
      </c>
      <c r="Z817" s="24">
        <f>IFERROR(Table2[[#This Row],[Red Min]]/Table2[[#This Row],[ClassLength]],"")</f>
        <v>1.6666666666666666E-2</v>
      </c>
      <c r="AA817" s="25">
        <v>169</v>
      </c>
      <c r="AB817" s="25">
        <f t="shared" si="226"/>
        <v>14.083333333333334</v>
      </c>
      <c r="AC817" s="26">
        <f t="shared" si="216"/>
        <v>638</v>
      </c>
      <c r="AD817" s="26">
        <f t="shared" si="217"/>
        <v>16.416666666666668</v>
      </c>
      <c r="AE817">
        <f t="shared" si="218"/>
        <v>2025</v>
      </c>
      <c r="AG817">
        <v>12</v>
      </c>
      <c r="AH817" s="26">
        <f t="shared" si="219"/>
        <v>9.8833333333333329</v>
      </c>
      <c r="AI817" t="str">
        <f t="shared" si="220"/>
        <v>PM</v>
      </c>
      <c r="AJ817" t="str">
        <f t="shared" si="221"/>
        <v>6-2025-5</v>
      </c>
      <c r="AK817">
        <f t="shared" si="222"/>
        <v>6</v>
      </c>
      <c r="AL817" s="26">
        <f>IFERROR(Table2[[#This Row],[Calories]]/Table2[[#This Row],[Splat]],"")</f>
        <v>45.615384615384613</v>
      </c>
      <c r="AM817">
        <f>COUNTIF(N$2:$N$938,N817)</f>
        <v>258</v>
      </c>
      <c r="AN817" t="str">
        <f>VLOOKUP(N817,'Helpful Tables'!A:D,4,FALSE)</f>
        <v>Oregon</v>
      </c>
      <c r="AO817" s="24">
        <f>COUNTIF(AN:AN,Table2[[#This Row],[State]])/COUNTA(AN:AN)</f>
        <v>0.36140724946695096</v>
      </c>
      <c r="AP817">
        <f>VLOOKUP(N817,'Helpful Tables'!A:B,2,FALSE)</f>
        <v>45.534162000000002</v>
      </c>
      <c r="AQ817">
        <f>VLOOKUP(N817,'Helpful Tables'!A:C,3,FALSE)</f>
        <v>-122.69670000000001</v>
      </c>
      <c r="AR817">
        <f>COUNTIF(P$2:$P$938,P817)</f>
        <v>25</v>
      </c>
      <c r="AS817" cm="1">
        <f t="array" ref="AS817">_xlfn.IFS(E817&lt;6,((E817/D817)*60)*0.5,AND(E817&gt;=6,E817&lt;9),((E817/D817)*60)*0.75,AND(E817&gt;=9,E817&lt;=11),((E817/D817)*60)*0.9,AND(E817=12),((E817/D817)*60)*1,AND(E817&gt;=13,E817&lt;=15),((E817/D817)*60)*1.2,AND(E817&gt;=16,E817&lt;=19),((E817/D817)*60)*1.5,E817&gt;=20,((E817/D817)*60)*1.8)</f>
        <v>15.6</v>
      </c>
      <c r="AT817" cm="1">
        <f t="array" ref="AT817">_xlfn.IFS(F817&lt;550,((F817/D817)*60)*0.5,AND(F817&gt;=550,F817&lt;575),((F817/D817)*60)*0.75,AND(F817&gt;=575,F817&lt;600),((F817/D817)*60)*0.9,AND(F817=600),((F817/D817)*60)*1,AND(F817&gt;=601,F817&lt;=625),((F817/D817)*60)*1.2,AND(F817&gt;=626,F817&lt;=650),((F817/D817)*60)*1.5,F817&gt;=651,((F817/D817)*60)*1.8)</f>
        <v>533.70000000000005</v>
      </c>
      <c r="AU817">
        <f t="shared" si="227"/>
        <v>-11.499999999999996</v>
      </c>
      <c r="AV817">
        <f t="shared" si="225"/>
        <v>217.42000000000002</v>
      </c>
      <c r="AW817">
        <f t="shared" si="228"/>
        <v>16.100000000000001</v>
      </c>
      <c r="AX817" t="str">
        <f t="shared" si="223"/>
        <v>Jun-2025</v>
      </c>
      <c r="AY817">
        <f>ROUNDUP(Table2[[#This Row],[Month]]/3,0)</f>
        <v>2</v>
      </c>
    </row>
    <row r="818" spans="1:51" x14ac:dyDescent="0.2">
      <c r="A818">
        <v>817</v>
      </c>
      <c r="B818">
        <f t="shared" si="212"/>
        <v>12</v>
      </c>
      <c r="C818" s="22">
        <v>45840</v>
      </c>
      <c r="D818">
        <f>SUM(Table2[[#This Row],[Gray Min]:[Red Min]])</f>
        <v>60</v>
      </c>
      <c r="E818">
        <v>13</v>
      </c>
      <c r="F818">
        <v>617</v>
      </c>
      <c r="G818">
        <v>121</v>
      </c>
      <c r="H818">
        <v>168</v>
      </c>
      <c r="I818">
        <v>22</v>
      </c>
      <c r="J818">
        <v>10</v>
      </c>
      <c r="K818">
        <v>15</v>
      </c>
      <c r="L818">
        <v>11</v>
      </c>
      <c r="M818">
        <v>2</v>
      </c>
      <c r="N818" t="s">
        <v>125</v>
      </c>
      <c r="O818" t="s">
        <v>127</v>
      </c>
      <c r="P818" t="s">
        <v>214</v>
      </c>
      <c r="Q818">
        <f t="shared" si="224"/>
        <v>2</v>
      </c>
      <c r="R818" t="str">
        <f t="shared" si="213"/>
        <v>7-2025</v>
      </c>
      <c r="S818" t="s">
        <v>104</v>
      </c>
      <c r="T818" t="str">
        <f t="shared" si="214"/>
        <v>Wednesday</v>
      </c>
      <c r="U818">
        <f t="shared" si="215"/>
        <v>1</v>
      </c>
      <c r="V818" s="24">
        <f>IFERROR(Table2[[#This Row],[Gray Min]]/Table2[[#This Row],[ClassLength]],"")</f>
        <v>0.36666666666666664</v>
      </c>
      <c r="W818" s="24">
        <f>IFERROR(Table2[[#This Row],[Blue Min]]/Table2[[#This Row],[ClassLength]],"")</f>
        <v>0.16666666666666666</v>
      </c>
      <c r="X818" s="24">
        <f>IFERROR(Table2[[#This Row],[Green Min]]/Table2[[#This Row],[ClassLength]],"")</f>
        <v>0.25</v>
      </c>
      <c r="Y818" s="24">
        <f>IFERROR(Table2[[#This Row],[Orange Min]]/Table2[[#This Row],[ClassLength]],"")</f>
        <v>0.18333333333333332</v>
      </c>
      <c r="Z818" s="24">
        <f>IFERROR(Table2[[#This Row],[Red Min]]/Table2[[#This Row],[ClassLength]],"")</f>
        <v>3.3333333333333333E-2</v>
      </c>
      <c r="AA818" s="25">
        <v>139</v>
      </c>
      <c r="AB818" s="25">
        <f t="shared" si="226"/>
        <v>11.583333333333334</v>
      </c>
      <c r="AC818" s="26">
        <f t="shared" si="216"/>
        <v>627.75</v>
      </c>
      <c r="AD818" s="26">
        <f t="shared" si="217"/>
        <v>14.166666666666666</v>
      </c>
      <c r="AE818">
        <f t="shared" si="218"/>
        <v>2025</v>
      </c>
      <c r="AG818">
        <v>12</v>
      </c>
      <c r="AH818" s="26">
        <f t="shared" si="219"/>
        <v>10.283333333333333</v>
      </c>
      <c r="AI818" t="str">
        <f t="shared" si="220"/>
        <v>PM</v>
      </c>
      <c r="AJ818" t="str">
        <f t="shared" si="221"/>
        <v>7-2025-1</v>
      </c>
      <c r="AK818">
        <f t="shared" si="222"/>
        <v>7</v>
      </c>
      <c r="AL818" s="26">
        <f>IFERROR(Table2[[#This Row],[Calories]]/Table2[[#This Row],[Splat]],"")</f>
        <v>47.46153846153846</v>
      </c>
      <c r="AM818">
        <f>COUNTIF(N$2:$N$938,N818)</f>
        <v>258</v>
      </c>
      <c r="AN818" t="str">
        <f>VLOOKUP(N818,'Helpful Tables'!A:D,4,FALSE)</f>
        <v>Oregon</v>
      </c>
      <c r="AO818" s="24">
        <f>COUNTIF(AN:AN,Table2[[#This Row],[State]])/COUNTA(AN:AN)</f>
        <v>0.36140724946695096</v>
      </c>
      <c r="AP818">
        <f>VLOOKUP(N818,'Helpful Tables'!A:B,2,FALSE)</f>
        <v>45.534162000000002</v>
      </c>
      <c r="AQ818">
        <f>VLOOKUP(N818,'Helpful Tables'!A:C,3,FALSE)</f>
        <v>-122.69670000000001</v>
      </c>
      <c r="AR818">
        <f>COUNTIF(P$2:$P$938,P818)</f>
        <v>11</v>
      </c>
      <c r="AS818" cm="1">
        <f t="array" ref="AS818">_xlfn.IFS(E818&lt;6,((E818/D818)*60)*0.5,AND(E818&gt;=6,E818&lt;9),((E818/D818)*60)*0.75,AND(E818&gt;=9,E818&lt;=11),((E818/D818)*60)*0.9,AND(E818=12),((E818/D818)*60)*1,AND(E818&gt;=13,E818&lt;=15),((E818/D818)*60)*1.2,AND(E818&gt;=16,E818&lt;=19),((E818/D818)*60)*1.5,E818&gt;=20,((E818/D818)*60)*1.8)</f>
        <v>15.6</v>
      </c>
      <c r="AT818" cm="1">
        <f t="array" ref="AT818">_xlfn.IFS(F818&lt;550,((F818/D818)*60)*0.5,AND(F818&gt;=550,F818&lt;575),((F818/D818)*60)*0.75,AND(F818&gt;=575,F818&lt;600),((F818/D818)*60)*0.9,AND(F818=600),((F818/D818)*60)*1,AND(F818&gt;=601,F818&lt;=625),((F818/D818)*60)*1.2,AND(F818&gt;=626,F818&lt;=650),((F818/D818)*60)*1.5,F818&gt;=651,((F818/D818)*60)*1.8)</f>
        <v>740.4</v>
      </c>
      <c r="AU818">
        <f t="shared" si="227"/>
        <v>-2.0999999999999979</v>
      </c>
      <c r="AV818">
        <f t="shared" si="225"/>
        <v>301.98</v>
      </c>
      <c r="AW818">
        <f t="shared" si="228"/>
        <v>27.400000000000002</v>
      </c>
      <c r="AX818" t="str">
        <f t="shared" si="223"/>
        <v>Jul-2025</v>
      </c>
      <c r="AY818">
        <f>ROUNDUP(Table2[[#This Row],[Month]]/3,0)</f>
        <v>3</v>
      </c>
    </row>
    <row r="819" spans="1:51" x14ac:dyDescent="0.2">
      <c r="A819">
        <v>818</v>
      </c>
      <c r="B819">
        <f t="shared" si="212"/>
        <v>12</v>
      </c>
      <c r="C819" s="22">
        <v>45842</v>
      </c>
      <c r="D819">
        <f>SUM(Table2[[#This Row],[Gray Min]:[Red Min]])</f>
        <v>63</v>
      </c>
      <c r="E819">
        <v>10</v>
      </c>
      <c r="F819">
        <v>689</v>
      </c>
      <c r="G819">
        <v>125</v>
      </c>
      <c r="H819">
        <v>166</v>
      </c>
      <c r="I819">
        <v>15</v>
      </c>
      <c r="J819">
        <v>15</v>
      </c>
      <c r="K819">
        <v>23</v>
      </c>
      <c r="L819">
        <v>9</v>
      </c>
      <c r="M819">
        <v>1</v>
      </c>
      <c r="N819" t="s">
        <v>208</v>
      </c>
      <c r="O819" t="s">
        <v>76</v>
      </c>
      <c r="P819" t="s">
        <v>241</v>
      </c>
      <c r="Q819">
        <f t="shared" si="224"/>
        <v>2</v>
      </c>
      <c r="R819" t="str">
        <f t="shared" si="213"/>
        <v>7-2025</v>
      </c>
      <c r="S819" t="s">
        <v>117</v>
      </c>
      <c r="T819" t="str">
        <f t="shared" si="214"/>
        <v>Friday</v>
      </c>
      <c r="U819">
        <f t="shared" si="215"/>
        <v>0</v>
      </c>
      <c r="V819" s="24">
        <f>IFERROR(Table2[[#This Row],[Gray Min]]/Table2[[#This Row],[ClassLength]],"")</f>
        <v>0.23809523809523808</v>
      </c>
      <c r="W819" s="24">
        <f>IFERROR(Table2[[#This Row],[Blue Min]]/Table2[[#This Row],[ClassLength]],"")</f>
        <v>0.23809523809523808</v>
      </c>
      <c r="X819" s="24">
        <f>IFERROR(Table2[[#This Row],[Green Min]]/Table2[[#This Row],[ClassLength]],"")</f>
        <v>0.36507936507936506</v>
      </c>
      <c r="Y819" s="24">
        <f>IFERROR(Table2[[#This Row],[Orange Min]]/Table2[[#This Row],[ClassLength]],"")</f>
        <v>0.14285714285714285</v>
      </c>
      <c r="Z819" s="24">
        <f>IFERROR(Table2[[#This Row],[Red Min]]/Table2[[#This Row],[ClassLength]],"")</f>
        <v>1.5873015873015872E-2</v>
      </c>
      <c r="AA819" s="25">
        <v>139</v>
      </c>
      <c r="AB819" s="25">
        <f t="shared" si="226"/>
        <v>11.583333333333334</v>
      </c>
      <c r="AC819" s="26">
        <f t="shared" si="216"/>
        <v>627.75</v>
      </c>
      <c r="AD819" s="26">
        <f t="shared" si="217"/>
        <v>14.166666666666666</v>
      </c>
      <c r="AE819">
        <f t="shared" si="218"/>
        <v>2025</v>
      </c>
      <c r="AG819">
        <v>12</v>
      </c>
      <c r="AH819" s="26">
        <f t="shared" si="219"/>
        <v>10.936507936507937</v>
      </c>
      <c r="AI819" t="str">
        <f t="shared" si="220"/>
        <v>AM</v>
      </c>
      <c r="AJ819" t="str">
        <f t="shared" si="221"/>
        <v>7-2025-1</v>
      </c>
      <c r="AK819">
        <f t="shared" si="222"/>
        <v>7</v>
      </c>
      <c r="AL819" s="26">
        <f>IFERROR(Table2[[#This Row],[Calories]]/Table2[[#This Row],[Splat]],"")</f>
        <v>68.900000000000006</v>
      </c>
      <c r="AM819">
        <f>COUNTIF(N$2:$N$938,N819)</f>
        <v>78</v>
      </c>
      <c r="AN819" t="str">
        <f>VLOOKUP(N819,'Helpful Tables'!A:D,4,FALSE)</f>
        <v>Oregon</v>
      </c>
      <c r="AO819" s="24">
        <f>COUNTIF(AN:AN,Table2[[#This Row],[State]])/COUNTA(AN:AN)</f>
        <v>0.36140724946695096</v>
      </c>
      <c r="AP819">
        <f>VLOOKUP(N819,'Helpful Tables'!A:B,2,FALSE)</f>
        <v>45.525092999999998</v>
      </c>
      <c r="AQ819">
        <f>VLOOKUP(N819,'Helpful Tables'!A:C,3,FALSE)</f>
        <v>-122.681383</v>
      </c>
      <c r="AR819">
        <f>COUNTIF(P$2:$P$938,P819)</f>
        <v>1</v>
      </c>
      <c r="AS819" cm="1">
        <f t="array" ref="AS819">_xlfn.IFS(E819&lt;6,((E819/D819)*60)*0.5,AND(E819&gt;=6,E819&lt;9),((E819/D819)*60)*0.75,AND(E819&gt;=9,E819&lt;=11),((E819/D819)*60)*0.9,AND(E819=12),((E819/D819)*60)*1,AND(E819&gt;=13,E819&lt;=15),((E819/D819)*60)*1.2,AND(E819&gt;=16,E819&lt;=19),((E819/D819)*60)*1.5,E819&gt;=20,((E819/D819)*60)*1.8)</f>
        <v>8.5714285714285712</v>
      </c>
      <c r="AT819" cm="1">
        <f t="array" ref="AT819">_xlfn.IFS(F819&lt;550,((F819/D819)*60)*0.5,AND(F819&gt;=550,F819&lt;575),((F819/D819)*60)*0.75,AND(F819&gt;=575,F819&lt;600),((F819/D819)*60)*0.9,AND(F819=600),((F819/D819)*60)*1,AND(F819&gt;=601,F819&lt;=625),((F819/D819)*60)*1.2,AND(F819&gt;=626,F819&lt;=650),((F819/D819)*60)*1.5,F819&gt;=651,((F819/D819)*60)*1.8)</f>
        <v>1181.1428571428571</v>
      </c>
      <c r="AU819">
        <f t="shared" si="227"/>
        <v>6.2999999999999989</v>
      </c>
      <c r="AV819">
        <f t="shared" si="225"/>
        <v>477.14571428571429</v>
      </c>
      <c r="AW819">
        <f t="shared" si="228"/>
        <v>68.8</v>
      </c>
      <c r="AX819" t="str">
        <f t="shared" si="223"/>
        <v>Jul-2025</v>
      </c>
      <c r="AY819">
        <f>ROUNDUP(Table2[[#This Row],[Month]]/3,0)</f>
        <v>3</v>
      </c>
    </row>
    <row r="820" spans="1:51" x14ac:dyDescent="0.2">
      <c r="A820">
        <v>819</v>
      </c>
      <c r="B820">
        <f t="shared" si="212"/>
        <v>12</v>
      </c>
      <c r="C820" s="22">
        <v>45843</v>
      </c>
      <c r="D820">
        <f>SUM(Table2[[#This Row],[Gray Min]:[Red Min]])</f>
        <v>61</v>
      </c>
      <c r="E820">
        <v>20</v>
      </c>
      <c r="F820">
        <v>659</v>
      </c>
      <c r="G820">
        <v>125</v>
      </c>
      <c r="H820">
        <v>167</v>
      </c>
      <c r="I820">
        <v>17</v>
      </c>
      <c r="J820">
        <v>17</v>
      </c>
      <c r="K820">
        <v>7</v>
      </c>
      <c r="L820">
        <v>17</v>
      </c>
      <c r="M820">
        <v>3</v>
      </c>
      <c r="N820" t="s">
        <v>208</v>
      </c>
      <c r="O820" t="s">
        <v>76</v>
      </c>
      <c r="P820" t="s">
        <v>213</v>
      </c>
      <c r="Q820">
        <f t="shared" si="224"/>
        <v>1</v>
      </c>
      <c r="R820" t="str">
        <f t="shared" si="213"/>
        <v>7-2025</v>
      </c>
      <c r="S820" t="s">
        <v>104</v>
      </c>
      <c r="T820" t="str">
        <f t="shared" si="214"/>
        <v>Saturday</v>
      </c>
      <c r="U820">
        <f t="shared" si="215"/>
        <v>1</v>
      </c>
      <c r="V820" s="24">
        <f>IFERROR(Table2[[#This Row],[Gray Min]]/Table2[[#This Row],[ClassLength]],"")</f>
        <v>0.27868852459016391</v>
      </c>
      <c r="W820" s="24">
        <f>IFERROR(Table2[[#This Row],[Blue Min]]/Table2[[#This Row],[ClassLength]],"")</f>
        <v>0.27868852459016391</v>
      </c>
      <c r="X820" s="24">
        <f>IFERROR(Table2[[#This Row],[Green Min]]/Table2[[#This Row],[ClassLength]],"")</f>
        <v>0.11475409836065574</v>
      </c>
      <c r="Y820" s="24">
        <f>IFERROR(Table2[[#This Row],[Orange Min]]/Table2[[#This Row],[ClassLength]],"")</f>
        <v>0.27868852459016391</v>
      </c>
      <c r="Z820" s="24">
        <f>IFERROR(Table2[[#This Row],[Red Min]]/Table2[[#This Row],[ClassLength]],"")</f>
        <v>4.9180327868852458E-2</v>
      </c>
      <c r="AA820" s="25">
        <v>139</v>
      </c>
      <c r="AB820" s="25">
        <f t="shared" si="226"/>
        <v>11.583333333333334</v>
      </c>
      <c r="AC820" s="26">
        <f t="shared" si="216"/>
        <v>627.75</v>
      </c>
      <c r="AD820" s="26">
        <f t="shared" si="217"/>
        <v>14.166666666666666</v>
      </c>
      <c r="AE820">
        <f t="shared" si="218"/>
        <v>2025</v>
      </c>
      <c r="AG820">
        <v>12</v>
      </c>
      <c r="AH820" s="26">
        <f t="shared" si="219"/>
        <v>10.803278688524591</v>
      </c>
      <c r="AI820" t="str">
        <f t="shared" si="220"/>
        <v>AM</v>
      </c>
      <c r="AJ820" t="str">
        <f t="shared" si="221"/>
        <v>7-2025-1</v>
      </c>
      <c r="AK820">
        <f t="shared" si="222"/>
        <v>7</v>
      </c>
      <c r="AL820" s="26">
        <f>IFERROR(Table2[[#This Row],[Calories]]/Table2[[#This Row],[Splat]],"")</f>
        <v>32.950000000000003</v>
      </c>
      <c r="AM820">
        <f>COUNTIF(N$2:$N$938,N820)</f>
        <v>78</v>
      </c>
      <c r="AN820" t="str">
        <f>VLOOKUP(N820,'Helpful Tables'!A:D,4,FALSE)</f>
        <v>Oregon</v>
      </c>
      <c r="AO820" s="24">
        <f>COUNTIF(AN:AN,Table2[[#This Row],[State]])/COUNTA(AN:AN)</f>
        <v>0.36140724946695096</v>
      </c>
      <c r="AP820">
        <f>VLOOKUP(N820,'Helpful Tables'!A:B,2,FALSE)</f>
        <v>45.525092999999998</v>
      </c>
      <c r="AQ820">
        <f>VLOOKUP(N820,'Helpful Tables'!A:C,3,FALSE)</f>
        <v>-122.681383</v>
      </c>
      <c r="AR820">
        <f>COUNTIF(P$2:$P$938,P820)</f>
        <v>40</v>
      </c>
      <c r="AS820" cm="1">
        <f t="array" ref="AS820">_xlfn.IFS(E820&lt;6,((E820/D820)*60)*0.5,AND(E820&gt;=6,E820&lt;9),((E820/D820)*60)*0.75,AND(E820&gt;=9,E820&lt;=11),((E820/D820)*60)*0.9,AND(E820=12),((E820/D820)*60)*1,AND(E820&gt;=13,E820&lt;=15),((E820/D820)*60)*1.2,AND(E820&gt;=16,E820&lt;=19),((E820/D820)*60)*1.5,E820&gt;=20,((E820/D820)*60)*1.8)</f>
        <v>35.409836065573764</v>
      </c>
      <c r="AT820" cm="1">
        <f t="array" ref="AT820">_xlfn.IFS(F820&lt;550,((F820/D820)*60)*0.5,AND(F820&gt;=550,F820&lt;575),((F820/D820)*60)*0.75,AND(F820&gt;=575,F820&lt;600),((F820/D820)*60)*0.9,AND(F820=600),((F820/D820)*60)*1,AND(F820&gt;=601,F820&lt;=625),((F820/D820)*60)*1.2,AND(F820&gt;=626,F820&lt;=650),((F820/D820)*60)*1.5,F820&gt;=651,((F820/D820)*60)*1.8)</f>
        <v>1166.7540983606559</v>
      </c>
      <c r="AU820">
        <f t="shared" si="227"/>
        <v>-4.1000000000000014</v>
      </c>
      <c r="AV820">
        <f t="shared" si="225"/>
        <v>480.0455737704919</v>
      </c>
      <c r="AW820">
        <f t="shared" si="228"/>
        <v>69.8</v>
      </c>
      <c r="AX820" t="str">
        <f t="shared" si="223"/>
        <v>Jul-2025</v>
      </c>
      <c r="AY820">
        <f>ROUNDUP(Table2[[#This Row],[Month]]/3,0)</f>
        <v>3</v>
      </c>
    </row>
    <row r="821" spans="1:51" x14ac:dyDescent="0.2">
      <c r="A821">
        <v>820</v>
      </c>
      <c r="B821">
        <f t="shared" si="212"/>
        <v>12</v>
      </c>
      <c r="C821" s="22">
        <v>45845</v>
      </c>
      <c r="D821">
        <f>SUM(Table2[[#This Row],[Gray Min]:[Red Min]])</f>
        <v>60</v>
      </c>
      <c r="E821">
        <v>20</v>
      </c>
      <c r="F821">
        <v>748</v>
      </c>
      <c r="G821">
        <v>135</v>
      </c>
      <c r="H821">
        <v>169</v>
      </c>
      <c r="I821">
        <v>5</v>
      </c>
      <c r="J821">
        <v>10</v>
      </c>
      <c r="K821">
        <v>25</v>
      </c>
      <c r="L821">
        <v>16</v>
      </c>
      <c r="M821">
        <v>4</v>
      </c>
      <c r="N821" t="s">
        <v>125</v>
      </c>
      <c r="O821" t="s">
        <v>127</v>
      </c>
      <c r="P821" t="s">
        <v>238</v>
      </c>
      <c r="Q821">
        <f t="shared" si="224"/>
        <v>2</v>
      </c>
      <c r="R821" t="str">
        <f t="shared" si="213"/>
        <v>7-2025</v>
      </c>
      <c r="S821" t="s">
        <v>104</v>
      </c>
      <c r="T821" t="str">
        <f t="shared" si="214"/>
        <v>Monday</v>
      </c>
      <c r="U821">
        <f t="shared" si="215"/>
        <v>1</v>
      </c>
      <c r="V821" s="24">
        <f>IFERROR(Table2[[#This Row],[Gray Min]]/Table2[[#This Row],[ClassLength]],"")</f>
        <v>8.3333333333333329E-2</v>
      </c>
      <c r="W821" s="24">
        <f>IFERROR(Table2[[#This Row],[Blue Min]]/Table2[[#This Row],[ClassLength]],"")</f>
        <v>0.16666666666666666</v>
      </c>
      <c r="X821" s="24">
        <f>IFERROR(Table2[[#This Row],[Green Min]]/Table2[[#This Row],[ClassLength]],"")</f>
        <v>0.41666666666666669</v>
      </c>
      <c r="Y821" s="24">
        <f>IFERROR(Table2[[#This Row],[Orange Min]]/Table2[[#This Row],[ClassLength]],"")</f>
        <v>0.26666666666666666</v>
      </c>
      <c r="Z821" s="24">
        <f>IFERROR(Table2[[#This Row],[Red Min]]/Table2[[#This Row],[ClassLength]],"")</f>
        <v>6.6666666666666666E-2</v>
      </c>
      <c r="AA821" s="25">
        <v>139</v>
      </c>
      <c r="AB821" s="25">
        <f t="shared" si="226"/>
        <v>11.583333333333334</v>
      </c>
      <c r="AC821" s="26">
        <f t="shared" si="216"/>
        <v>627.75</v>
      </c>
      <c r="AD821" s="26">
        <f t="shared" si="217"/>
        <v>14.166666666666666</v>
      </c>
      <c r="AE821">
        <f t="shared" si="218"/>
        <v>2025</v>
      </c>
      <c r="AG821">
        <v>12</v>
      </c>
      <c r="AH821" s="26">
        <f t="shared" si="219"/>
        <v>12.466666666666667</v>
      </c>
      <c r="AI821" t="str">
        <f t="shared" si="220"/>
        <v>PM</v>
      </c>
      <c r="AJ821" t="str">
        <f t="shared" si="221"/>
        <v>7-2025-2</v>
      </c>
      <c r="AK821">
        <f t="shared" si="222"/>
        <v>7</v>
      </c>
      <c r="AL821" s="26">
        <f>IFERROR(Table2[[#This Row],[Calories]]/Table2[[#This Row],[Splat]],"")</f>
        <v>37.4</v>
      </c>
      <c r="AM821">
        <f>COUNTIF(N$2:$N$938,N821)</f>
        <v>258</v>
      </c>
      <c r="AN821" t="str">
        <f>VLOOKUP(N821,'Helpful Tables'!A:D,4,FALSE)</f>
        <v>Oregon</v>
      </c>
      <c r="AO821" s="24">
        <f>COUNTIF(AN:AN,Table2[[#This Row],[State]])/COUNTA(AN:AN)</f>
        <v>0.36140724946695096</v>
      </c>
      <c r="AP821">
        <f>VLOOKUP(N821,'Helpful Tables'!A:B,2,FALSE)</f>
        <v>45.534162000000002</v>
      </c>
      <c r="AQ821">
        <f>VLOOKUP(N821,'Helpful Tables'!A:C,3,FALSE)</f>
        <v>-122.69670000000001</v>
      </c>
      <c r="AR821">
        <f>COUNTIF(P$2:$P$938,P821)</f>
        <v>25</v>
      </c>
      <c r="AS821" cm="1">
        <f t="array" ref="AS821">_xlfn.IFS(E821&lt;6,((E821/D821)*60)*0.5,AND(E821&gt;=6,E821&lt;9),((E821/D821)*60)*0.75,AND(E821&gt;=9,E821&lt;=11),((E821/D821)*60)*0.9,AND(E821=12),((E821/D821)*60)*1,AND(E821&gt;=13,E821&lt;=15),((E821/D821)*60)*1.2,AND(E821&gt;=16,E821&lt;=19),((E821/D821)*60)*1.5,E821&gt;=20,((E821/D821)*60)*1.8)</f>
        <v>36</v>
      </c>
      <c r="AT821" cm="1">
        <f t="array" ref="AT821">_xlfn.IFS(F821&lt;550,((F821/D821)*60)*0.5,AND(F821&gt;=550,F821&lt;575),((F821/D821)*60)*0.75,AND(F821&gt;=575,F821&lt;600),((F821/D821)*60)*0.9,AND(F821=600),((F821/D821)*60)*1,AND(F821&gt;=601,F821&lt;=625),((F821/D821)*60)*1.2,AND(F821&gt;=626,F821&lt;=650),((F821/D821)*60)*1.5,F821&gt;=651,((F821/D821)*60)*1.8)</f>
        <v>1346.4</v>
      </c>
      <c r="AU821">
        <f t="shared" si="227"/>
        <v>39.799999999999997</v>
      </c>
      <c r="AV821">
        <f t="shared" si="225"/>
        <v>560.92000000000007</v>
      </c>
      <c r="AW821">
        <f t="shared" si="228"/>
        <v>99</v>
      </c>
      <c r="AX821" t="str">
        <f t="shared" si="223"/>
        <v>Jul-2025</v>
      </c>
      <c r="AY821">
        <f>ROUNDUP(Table2[[#This Row],[Month]]/3,0)</f>
        <v>3</v>
      </c>
    </row>
    <row r="822" spans="1:51" x14ac:dyDescent="0.2">
      <c r="A822">
        <v>821</v>
      </c>
      <c r="B822">
        <f t="shared" si="212"/>
        <v>12</v>
      </c>
      <c r="C822" s="22">
        <v>45848</v>
      </c>
      <c r="D822">
        <f>SUM(Table2[[#This Row],[Gray Min]:[Red Min]])</f>
        <v>57</v>
      </c>
      <c r="E822">
        <v>15</v>
      </c>
      <c r="F822">
        <v>507</v>
      </c>
      <c r="G822">
        <v>111</v>
      </c>
      <c r="H822">
        <v>165</v>
      </c>
      <c r="I822">
        <v>29</v>
      </c>
      <c r="J822">
        <v>4</v>
      </c>
      <c r="K822">
        <v>9</v>
      </c>
      <c r="L822">
        <v>14</v>
      </c>
      <c r="M822">
        <v>1</v>
      </c>
      <c r="N822" t="s">
        <v>125</v>
      </c>
      <c r="O822" t="s">
        <v>127</v>
      </c>
      <c r="P822" t="s">
        <v>268</v>
      </c>
      <c r="Q822">
        <f t="shared" si="224"/>
        <v>3</v>
      </c>
      <c r="R822" t="str">
        <f t="shared" si="213"/>
        <v>7-2025</v>
      </c>
      <c r="S822" t="s">
        <v>104</v>
      </c>
      <c r="T822" t="str">
        <f t="shared" si="214"/>
        <v>Thursday</v>
      </c>
      <c r="U822">
        <f t="shared" si="215"/>
        <v>1</v>
      </c>
      <c r="V822" s="24">
        <f>IFERROR(Table2[[#This Row],[Gray Min]]/Table2[[#This Row],[ClassLength]],"")</f>
        <v>0.50877192982456143</v>
      </c>
      <c r="W822" s="24">
        <f>IFERROR(Table2[[#This Row],[Blue Min]]/Table2[[#This Row],[ClassLength]],"")</f>
        <v>7.0175438596491224E-2</v>
      </c>
      <c r="X822" s="24">
        <f>IFERROR(Table2[[#This Row],[Green Min]]/Table2[[#This Row],[ClassLength]],"")</f>
        <v>0.15789473684210525</v>
      </c>
      <c r="Y822" s="24">
        <f>IFERROR(Table2[[#This Row],[Orange Min]]/Table2[[#This Row],[ClassLength]],"")</f>
        <v>0.24561403508771928</v>
      </c>
      <c r="Z822" s="24">
        <f>IFERROR(Table2[[#This Row],[Red Min]]/Table2[[#This Row],[ClassLength]],"")</f>
        <v>1.7543859649122806E-2</v>
      </c>
      <c r="AA822" s="25">
        <v>139</v>
      </c>
      <c r="AB822" s="25">
        <f t="shared" si="226"/>
        <v>11.583333333333334</v>
      </c>
      <c r="AC822" s="26">
        <f t="shared" si="216"/>
        <v>627.75</v>
      </c>
      <c r="AD822" s="26">
        <f t="shared" si="217"/>
        <v>14.166666666666666</v>
      </c>
      <c r="AE822">
        <f t="shared" si="218"/>
        <v>2025</v>
      </c>
      <c r="AG822">
        <v>12</v>
      </c>
      <c r="AH822" s="26">
        <f t="shared" si="219"/>
        <v>8.8947368421052637</v>
      </c>
      <c r="AI822" t="str">
        <f t="shared" si="220"/>
        <v>PM</v>
      </c>
      <c r="AJ822" t="str">
        <f t="shared" si="221"/>
        <v>7-2025-2</v>
      </c>
      <c r="AK822">
        <f t="shared" si="222"/>
        <v>7</v>
      </c>
      <c r="AL822" s="26">
        <f>IFERROR(Table2[[#This Row],[Calories]]/Table2[[#This Row],[Splat]],"")</f>
        <v>33.799999999999997</v>
      </c>
      <c r="AM822">
        <f>COUNTIF(N$2:$N$938,N822)</f>
        <v>258</v>
      </c>
      <c r="AN822" t="str">
        <f>VLOOKUP(N822,'Helpful Tables'!A:D,4,FALSE)</f>
        <v>Oregon</v>
      </c>
      <c r="AO822" s="24">
        <f>COUNTIF(AN:AN,Table2[[#This Row],[State]])/COUNTA(AN:AN)</f>
        <v>0.36140724946695096</v>
      </c>
      <c r="AP822">
        <f>VLOOKUP(N822,'Helpful Tables'!A:B,2,FALSE)</f>
        <v>45.534162000000002</v>
      </c>
      <c r="AQ822">
        <f>VLOOKUP(N822,'Helpful Tables'!A:C,3,FALSE)</f>
        <v>-122.69670000000001</v>
      </c>
      <c r="AR822">
        <f>COUNTIF(P$2:$P$938,P822)</f>
        <v>1</v>
      </c>
      <c r="AS822" cm="1">
        <f t="array" ref="AS822">_xlfn.IFS(E822&lt;6,((E822/D822)*60)*0.5,AND(E822&gt;=6,E822&lt;9),((E822/D822)*60)*0.75,AND(E822&gt;=9,E822&lt;=11),((E822/D822)*60)*0.9,AND(E822=12),((E822/D822)*60)*1,AND(E822&gt;=13,E822&lt;=15),((E822/D822)*60)*1.2,AND(E822&gt;=16,E822&lt;=19),((E822/D822)*60)*1.5,E822&gt;=20,((E822/D822)*60)*1.8)</f>
        <v>18.94736842105263</v>
      </c>
      <c r="AT822" cm="1">
        <f t="array" ref="AT822">_xlfn.IFS(F822&lt;550,((F822/D822)*60)*0.5,AND(F822&gt;=550,F822&lt;575),((F822/D822)*60)*0.75,AND(F822&gt;=575,F822&lt;600),((F822/D822)*60)*0.9,AND(F822=600),((F822/D822)*60)*1,AND(F822&gt;=601,F822&lt;=625),((F822/D822)*60)*1.2,AND(F822&gt;=626,F822&lt;=650),((F822/D822)*60)*1.5,F822&gt;=651,((F822/D822)*60)*1.8)</f>
        <v>266.84210526315792</v>
      </c>
      <c r="AU822">
        <f t="shared" si="227"/>
        <v>-8.6999999999999993</v>
      </c>
      <c r="AV822">
        <f t="shared" si="225"/>
        <v>112.57578947368424</v>
      </c>
      <c r="AW822">
        <f t="shared" si="228"/>
        <v>4.7</v>
      </c>
      <c r="AX822" t="str">
        <f t="shared" si="223"/>
        <v>Jul-2025</v>
      </c>
      <c r="AY822">
        <f>ROUNDUP(Table2[[#This Row],[Month]]/3,0)</f>
        <v>3</v>
      </c>
    </row>
    <row r="823" spans="1:51" x14ac:dyDescent="0.2">
      <c r="A823">
        <v>822</v>
      </c>
      <c r="B823">
        <f t="shared" si="212"/>
        <v>12</v>
      </c>
      <c r="C823" s="22">
        <v>45849</v>
      </c>
      <c r="D823">
        <f>SUM(Table2[[#This Row],[Gray Min]:[Red Min]])</f>
        <v>60</v>
      </c>
      <c r="E823">
        <v>12</v>
      </c>
      <c r="F823">
        <v>643</v>
      </c>
      <c r="G823">
        <v>124</v>
      </c>
      <c r="H823">
        <v>163</v>
      </c>
      <c r="I823">
        <v>14</v>
      </c>
      <c r="J823">
        <v>19</v>
      </c>
      <c r="K823">
        <v>15</v>
      </c>
      <c r="L823">
        <v>12</v>
      </c>
      <c r="M823">
        <v>0</v>
      </c>
      <c r="N823" t="s">
        <v>208</v>
      </c>
      <c r="O823" t="s">
        <v>83</v>
      </c>
      <c r="P823" t="s">
        <v>209</v>
      </c>
      <c r="Q823">
        <f t="shared" si="224"/>
        <v>1</v>
      </c>
      <c r="R823" t="str">
        <f t="shared" si="213"/>
        <v>7-2025</v>
      </c>
      <c r="S823" t="s">
        <v>104</v>
      </c>
      <c r="T823" t="str">
        <f t="shared" si="214"/>
        <v>Friday</v>
      </c>
      <c r="U823">
        <f t="shared" si="215"/>
        <v>1</v>
      </c>
      <c r="V823" s="24">
        <f>IFERROR(Table2[[#This Row],[Gray Min]]/Table2[[#This Row],[ClassLength]],"")</f>
        <v>0.23333333333333334</v>
      </c>
      <c r="W823" s="24">
        <f>IFERROR(Table2[[#This Row],[Blue Min]]/Table2[[#This Row],[ClassLength]],"")</f>
        <v>0.31666666666666665</v>
      </c>
      <c r="X823" s="24">
        <f>IFERROR(Table2[[#This Row],[Green Min]]/Table2[[#This Row],[ClassLength]],"")</f>
        <v>0.25</v>
      </c>
      <c r="Y823" s="24">
        <f>IFERROR(Table2[[#This Row],[Orange Min]]/Table2[[#This Row],[ClassLength]],"")</f>
        <v>0.2</v>
      </c>
      <c r="Z823" s="24">
        <f>IFERROR(Table2[[#This Row],[Red Min]]/Table2[[#This Row],[ClassLength]],"")</f>
        <v>0</v>
      </c>
      <c r="AA823" s="25">
        <v>139</v>
      </c>
      <c r="AB823" s="25">
        <f t="shared" si="226"/>
        <v>11.583333333333334</v>
      </c>
      <c r="AC823" s="26">
        <f t="shared" si="216"/>
        <v>627.75</v>
      </c>
      <c r="AD823" s="26">
        <f t="shared" si="217"/>
        <v>14.166666666666666</v>
      </c>
      <c r="AE823">
        <f t="shared" si="218"/>
        <v>2025</v>
      </c>
      <c r="AG823">
        <v>12</v>
      </c>
      <c r="AH823" s="26">
        <f t="shared" si="219"/>
        <v>10.716666666666667</v>
      </c>
      <c r="AI823" t="str">
        <f t="shared" si="220"/>
        <v>PM</v>
      </c>
      <c r="AJ823" t="str">
        <f t="shared" si="221"/>
        <v>7-2025-2</v>
      </c>
      <c r="AK823">
        <f t="shared" si="222"/>
        <v>7</v>
      </c>
      <c r="AL823" s="26">
        <f>IFERROR(Table2[[#This Row],[Calories]]/Table2[[#This Row],[Splat]],"")</f>
        <v>53.583333333333336</v>
      </c>
      <c r="AM823">
        <f>COUNTIF(N$2:$N$938,N823)</f>
        <v>78</v>
      </c>
      <c r="AN823" t="str">
        <f>VLOOKUP(N823,'Helpful Tables'!A:D,4,FALSE)</f>
        <v>Oregon</v>
      </c>
      <c r="AO823" s="24">
        <f>COUNTIF(AN:AN,Table2[[#This Row],[State]])/COUNTA(AN:AN)</f>
        <v>0.36140724946695096</v>
      </c>
      <c r="AP823">
        <f>VLOOKUP(N823,'Helpful Tables'!A:B,2,FALSE)</f>
        <v>45.525092999999998</v>
      </c>
      <c r="AQ823">
        <f>VLOOKUP(N823,'Helpful Tables'!A:C,3,FALSE)</f>
        <v>-122.681383</v>
      </c>
      <c r="AR823">
        <f>COUNTIF(P$2:$P$938,P823)</f>
        <v>20</v>
      </c>
      <c r="AS823" cm="1">
        <f t="array" ref="AS823">_xlfn.IFS(E823&lt;6,((E823/D823)*60)*0.5,AND(E823&gt;=6,E823&lt;9),((E823/D823)*60)*0.75,AND(E823&gt;=9,E823&lt;=11),((E823/D823)*60)*0.9,AND(E823=12),((E823/D823)*60)*1,AND(E823&gt;=13,E823&lt;=15),((E823/D823)*60)*1.2,AND(E823&gt;=16,E823&lt;=19),((E823/D823)*60)*1.5,E823&gt;=20,((E823/D823)*60)*1.8)</f>
        <v>12</v>
      </c>
      <c r="AT823" cm="1">
        <f t="array" ref="AT823">_xlfn.IFS(F823&lt;550,((F823/D823)*60)*0.5,AND(F823&gt;=550,F823&lt;575),((F823/D823)*60)*0.75,AND(F823&gt;=575,F823&lt;600),((F823/D823)*60)*0.9,AND(F823=600),((F823/D823)*60)*1,AND(F823&gt;=601,F823&lt;=625),((F823/D823)*60)*1.2,AND(F823&gt;=626,F823&lt;=650),((F823/D823)*60)*1.5,F823&gt;=651,((F823/D823)*60)*1.8)</f>
        <v>964.5</v>
      </c>
      <c r="AU823">
        <f t="shared" si="227"/>
        <v>-4.1000000000000014</v>
      </c>
      <c r="AV823">
        <f t="shared" si="225"/>
        <v>389.78000000000003</v>
      </c>
      <c r="AW823">
        <f t="shared" si="228"/>
        <v>48.4</v>
      </c>
      <c r="AX823" t="str">
        <f t="shared" si="223"/>
        <v>Jul-2025</v>
      </c>
      <c r="AY823">
        <f>ROUNDUP(Table2[[#This Row],[Month]]/3,0)</f>
        <v>3</v>
      </c>
    </row>
    <row r="824" spans="1:51" x14ac:dyDescent="0.2">
      <c r="A824">
        <v>823</v>
      </c>
      <c r="B824">
        <f t="shared" si="212"/>
        <v>12</v>
      </c>
      <c r="C824" s="22">
        <v>45852</v>
      </c>
      <c r="D824">
        <f>SUM(Table2[[#This Row],[Gray Min]:[Red Min]])</f>
        <v>59</v>
      </c>
      <c r="E824">
        <v>15</v>
      </c>
      <c r="F824">
        <v>648</v>
      </c>
      <c r="G824">
        <v>126</v>
      </c>
      <c r="H824">
        <v>168</v>
      </c>
      <c r="I824">
        <v>15</v>
      </c>
      <c r="J824">
        <v>13</v>
      </c>
      <c r="K824">
        <v>16</v>
      </c>
      <c r="L824">
        <v>14</v>
      </c>
      <c r="M824">
        <v>1</v>
      </c>
      <c r="N824" t="s">
        <v>125</v>
      </c>
      <c r="O824" t="s">
        <v>127</v>
      </c>
      <c r="P824" t="s">
        <v>238</v>
      </c>
      <c r="Q824">
        <f t="shared" si="224"/>
        <v>3</v>
      </c>
      <c r="R824" t="str">
        <f t="shared" si="213"/>
        <v>7-2025</v>
      </c>
      <c r="S824" t="s">
        <v>104</v>
      </c>
      <c r="T824" t="str">
        <f t="shared" si="214"/>
        <v>Monday</v>
      </c>
      <c r="U824">
        <f t="shared" si="215"/>
        <v>1</v>
      </c>
      <c r="V824" s="24">
        <f>IFERROR(Table2[[#This Row],[Gray Min]]/Table2[[#This Row],[ClassLength]],"")</f>
        <v>0.25423728813559321</v>
      </c>
      <c r="W824" s="24">
        <f>IFERROR(Table2[[#This Row],[Blue Min]]/Table2[[#This Row],[ClassLength]],"")</f>
        <v>0.22033898305084745</v>
      </c>
      <c r="X824" s="24">
        <f>IFERROR(Table2[[#This Row],[Green Min]]/Table2[[#This Row],[ClassLength]],"")</f>
        <v>0.2711864406779661</v>
      </c>
      <c r="Y824" s="24">
        <f>IFERROR(Table2[[#This Row],[Orange Min]]/Table2[[#This Row],[ClassLength]],"")</f>
        <v>0.23728813559322035</v>
      </c>
      <c r="Z824" s="24">
        <f>IFERROR(Table2[[#This Row],[Red Min]]/Table2[[#This Row],[ClassLength]],"")</f>
        <v>1.6949152542372881E-2</v>
      </c>
      <c r="AA824" s="25">
        <v>139</v>
      </c>
      <c r="AB824" s="25">
        <f t="shared" si="226"/>
        <v>11.583333333333334</v>
      </c>
      <c r="AC824" s="26">
        <f t="shared" si="216"/>
        <v>627.75</v>
      </c>
      <c r="AD824" s="26">
        <f t="shared" si="217"/>
        <v>14.166666666666666</v>
      </c>
      <c r="AE824">
        <f t="shared" si="218"/>
        <v>2025</v>
      </c>
      <c r="AG824">
        <v>12</v>
      </c>
      <c r="AH824" s="26">
        <f t="shared" si="219"/>
        <v>10.983050847457626</v>
      </c>
      <c r="AI824" t="str">
        <f t="shared" si="220"/>
        <v>PM</v>
      </c>
      <c r="AJ824" t="str">
        <f t="shared" si="221"/>
        <v>7-2025-3</v>
      </c>
      <c r="AK824">
        <f t="shared" si="222"/>
        <v>7</v>
      </c>
      <c r="AL824" s="26">
        <f>IFERROR(Table2[[#This Row],[Calories]]/Table2[[#This Row],[Splat]],"")</f>
        <v>43.2</v>
      </c>
      <c r="AM824">
        <f>COUNTIF(N$2:$N$938,N824)</f>
        <v>258</v>
      </c>
      <c r="AN824" t="str">
        <f>VLOOKUP(N824,'Helpful Tables'!A:D,4,FALSE)</f>
        <v>Oregon</v>
      </c>
      <c r="AO824" s="24">
        <f>COUNTIF(AN:AN,Table2[[#This Row],[State]])/COUNTA(AN:AN)</f>
        <v>0.36140724946695096</v>
      </c>
      <c r="AP824">
        <f>VLOOKUP(N824,'Helpful Tables'!A:B,2,FALSE)</f>
        <v>45.534162000000002</v>
      </c>
      <c r="AQ824">
        <f>VLOOKUP(N824,'Helpful Tables'!A:C,3,FALSE)</f>
        <v>-122.69670000000001</v>
      </c>
      <c r="AR824">
        <f>COUNTIF(P$2:$P$938,P824)</f>
        <v>25</v>
      </c>
      <c r="AS824" cm="1">
        <f t="array" ref="AS824">_xlfn.IFS(E824&lt;6,((E824/D824)*60)*0.5,AND(E824&gt;=6,E824&lt;9),((E824/D824)*60)*0.75,AND(E824&gt;=9,E824&lt;=11),((E824/D824)*60)*0.9,AND(E824=12),((E824/D824)*60)*1,AND(E824&gt;=13,E824&lt;=15),((E824/D824)*60)*1.2,AND(E824&gt;=16,E824&lt;=19),((E824/D824)*60)*1.5,E824&gt;=20,((E824/D824)*60)*1.8)</f>
        <v>18.305084745762709</v>
      </c>
      <c r="AT824" cm="1">
        <f t="array" ref="AT824">_xlfn.IFS(F824&lt;550,((F824/D824)*60)*0.5,AND(F824&gt;=550,F824&lt;575),((F824/D824)*60)*0.75,AND(F824&gt;=575,F824&lt;600),((F824/D824)*60)*0.9,AND(F824=600),((F824/D824)*60)*1,AND(F824&gt;=601,F824&lt;=625),((F824/D824)*60)*1.2,AND(F824&gt;=626,F824&lt;=650),((F824/D824)*60)*1.5,F824&gt;=651,((F824/D824)*60)*1.8)</f>
        <v>988.47457627118638</v>
      </c>
      <c r="AU824">
        <f t="shared" si="227"/>
        <v>6.6000000000000014</v>
      </c>
      <c r="AV824">
        <f t="shared" si="225"/>
        <v>404.03186440677968</v>
      </c>
      <c r="AW824">
        <f t="shared" si="228"/>
        <v>55.7</v>
      </c>
      <c r="AX824" t="str">
        <f t="shared" si="223"/>
        <v>Jul-2025</v>
      </c>
      <c r="AY824">
        <f>ROUNDUP(Table2[[#This Row],[Month]]/3,0)</f>
        <v>3</v>
      </c>
    </row>
    <row r="825" spans="1:51" x14ac:dyDescent="0.2">
      <c r="A825">
        <v>824</v>
      </c>
      <c r="B825">
        <f t="shared" si="212"/>
        <v>12</v>
      </c>
      <c r="C825" s="22">
        <v>45854</v>
      </c>
      <c r="D825">
        <f>SUM(Table2[[#This Row],[Gray Min]:[Red Min]])</f>
        <v>57</v>
      </c>
      <c r="E825">
        <v>16</v>
      </c>
      <c r="F825">
        <v>620</v>
      </c>
      <c r="G825">
        <v>125</v>
      </c>
      <c r="H825">
        <v>167</v>
      </c>
      <c r="I825">
        <v>16</v>
      </c>
      <c r="J825">
        <v>15</v>
      </c>
      <c r="K825">
        <v>10</v>
      </c>
      <c r="L825">
        <v>14</v>
      </c>
      <c r="M825">
        <v>2</v>
      </c>
      <c r="N825" t="s">
        <v>125</v>
      </c>
      <c r="O825" t="s">
        <v>127</v>
      </c>
      <c r="P825" t="s">
        <v>217</v>
      </c>
      <c r="Q825">
        <f t="shared" si="224"/>
        <v>2</v>
      </c>
      <c r="R825" t="str">
        <f t="shared" si="213"/>
        <v>7-2025</v>
      </c>
      <c r="S825" t="s">
        <v>104</v>
      </c>
      <c r="T825" t="str">
        <f t="shared" si="214"/>
        <v>Wednesday</v>
      </c>
      <c r="U825">
        <f t="shared" si="215"/>
        <v>1</v>
      </c>
      <c r="V825" s="24">
        <f>IFERROR(Table2[[#This Row],[Gray Min]]/Table2[[#This Row],[ClassLength]],"")</f>
        <v>0.2807017543859649</v>
      </c>
      <c r="W825" s="24">
        <f>IFERROR(Table2[[#This Row],[Blue Min]]/Table2[[#This Row],[ClassLength]],"")</f>
        <v>0.26315789473684209</v>
      </c>
      <c r="X825" s="24">
        <f>IFERROR(Table2[[#This Row],[Green Min]]/Table2[[#This Row],[ClassLength]],"")</f>
        <v>0.17543859649122806</v>
      </c>
      <c r="Y825" s="24">
        <f>IFERROR(Table2[[#This Row],[Orange Min]]/Table2[[#This Row],[ClassLength]],"")</f>
        <v>0.24561403508771928</v>
      </c>
      <c r="Z825" s="24">
        <f>IFERROR(Table2[[#This Row],[Red Min]]/Table2[[#This Row],[ClassLength]],"")</f>
        <v>3.5087719298245612E-2</v>
      </c>
      <c r="AA825" s="25">
        <v>139</v>
      </c>
      <c r="AB825" s="25">
        <f t="shared" si="226"/>
        <v>11.583333333333334</v>
      </c>
      <c r="AC825" s="26">
        <f t="shared" si="216"/>
        <v>627.75</v>
      </c>
      <c r="AD825" s="26">
        <f t="shared" si="217"/>
        <v>14.166666666666666</v>
      </c>
      <c r="AE825">
        <f t="shared" si="218"/>
        <v>2025</v>
      </c>
      <c r="AG825">
        <v>12</v>
      </c>
      <c r="AH825" s="26">
        <f t="shared" si="219"/>
        <v>10.87719298245614</v>
      </c>
      <c r="AI825" t="str">
        <f t="shared" si="220"/>
        <v>PM</v>
      </c>
      <c r="AJ825" t="str">
        <f t="shared" si="221"/>
        <v>7-2025-3</v>
      </c>
      <c r="AK825">
        <f t="shared" si="222"/>
        <v>7</v>
      </c>
      <c r="AL825" s="26">
        <f>IFERROR(Table2[[#This Row],[Calories]]/Table2[[#This Row],[Splat]],"")</f>
        <v>38.75</v>
      </c>
      <c r="AM825">
        <f>COUNTIF(N$2:$N$938,N825)</f>
        <v>258</v>
      </c>
      <c r="AN825" t="str">
        <f>VLOOKUP(N825,'Helpful Tables'!A:D,4,FALSE)</f>
        <v>Oregon</v>
      </c>
      <c r="AO825" s="24">
        <f>COUNTIF(AN:AN,Table2[[#This Row],[State]])/COUNTA(AN:AN)</f>
        <v>0.36140724946695096</v>
      </c>
      <c r="AP825">
        <f>VLOOKUP(N825,'Helpful Tables'!A:B,2,FALSE)</f>
        <v>45.534162000000002</v>
      </c>
      <c r="AQ825">
        <f>VLOOKUP(N825,'Helpful Tables'!A:C,3,FALSE)</f>
        <v>-122.69670000000001</v>
      </c>
      <c r="AR825">
        <f>COUNTIF(P$2:$P$938,P825)</f>
        <v>7</v>
      </c>
      <c r="AS825" cm="1">
        <f t="array" ref="AS825">_xlfn.IFS(E825&lt;6,((E825/D825)*60)*0.5,AND(E825&gt;=6,E825&lt;9),((E825/D825)*60)*0.75,AND(E825&gt;=9,E825&lt;=11),((E825/D825)*60)*0.9,AND(E825=12),((E825/D825)*60)*1,AND(E825&gt;=13,E825&lt;=15),((E825/D825)*60)*1.2,AND(E825&gt;=16,E825&lt;=19),((E825/D825)*60)*1.5,E825&gt;=20,((E825/D825)*60)*1.8)</f>
        <v>25.263157894736842</v>
      </c>
      <c r="AT825" cm="1">
        <f t="array" ref="AT825">_xlfn.IFS(F825&lt;550,((F825/D825)*60)*0.5,AND(F825&gt;=550,F825&lt;575),((F825/D825)*60)*0.75,AND(F825&gt;=575,F825&lt;600),((F825/D825)*60)*0.9,AND(F825=600),((F825/D825)*60)*1,AND(F825&gt;=601,F825&lt;=625),((F825/D825)*60)*1.2,AND(F825&gt;=626,F825&lt;=650),((F825/D825)*60)*1.5,F825&gt;=651,((F825/D825)*60)*1.8)</f>
        <v>783.15789473684208</v>
      </c>
      <c r="AU825">
        <f t="shared" si="227"/>
        <v>-2.5000000000000036</v>
      </c>
      <c r="AV825">
        <f t="shared" si="225"/>
        <v>322.86842105263162</v>
      </c>
      <c r="AW825">
        <f t="shared" si="228"/>
        <v>38.200000000000003</v>
      </c>
      <c r="AX825" t="str">
        <f t="shared" si="223"/>
        <v>Jul-2025</v>
      </c>
      <c r="AY825">
        <f>ROUNDUP(Table2[[#This Row],[Month]]/3,0)</f>
        <v>3</v>
      </c>
    </row>
    <row r="826" spans="1:51" x14ac:dyDescent="0.2">
      <c r="A826">
        <v>825</v>
      </c>
      <c r="B826">
        <f t="shared" si="212"/>
        <v>12</v>
      </c>
      <c r="C826" s="22">
        <v>45860</v>
      </c>
      <c r="D826">
        <f>SUM(Table2[[#This Row],[Gray Min]:[Red Min]])</f>
        <v>58</v>
      </c>
      <c r="E826">
        <v>13</v>
      </c>
      <c r="F826">
        <v>659</v>
      </c>
      <c r="G826">
        <v>127</v>
      </c>
      <c r="H826">
        <v>163</v>
      </c>
      <c r="I826">
        <v>9</v>
      </c>
      <c r="J826">
        <v>17</v>
      </c>
      <c r="K826">
        <v>19</v>
      </c>
      <c r="L826">
        <v>13</v>
      </c>
      <c r="M826">
        <v>0</v>
      </c>
      <c r="N826" t="s">
        <v>208</v>
      </c>
      <c r="O826" t="s">
        <v>53</v>
      </c>
      <c r="P826" t="s">
        <v>213</v>
      </c>
      <c r="Q826">
        <f t="shared" si="224"/>
        <v>6</v>
      </c>
      <c r="R826" t="str">
        <f t="shared" si="213"/>
        <v>7-2025</v>
      </c>
      <c r="S826" t="s">
        <v>117</v>
      </c>
      <c r="T826" t="str">
        <f t="shared" si="214"/>
        <v>Tuesday</v>
      </c>
      <c r="U826">
        <f t="shared" si="215"/>
        <v>1</v>
      </c>
      <c r="V826" s="24">
        <f>IFERROR(Table2[[#This Row],[Gray Min]]/Table2[[#This Row],[ClassLength]],"")</f>
        <v>0.15517241379310345</v>
      </c>
      <c r="W826" s="24">
        <f>IFERROR(Table2[[#This Row],[Blue Min]]/Table2[[#This Row],[ClassLength]],"")</f>
        <v>0.29310344827586204</v>
      </c>
      <c r="X826" s="24">
        <f>IFERROR(Table2[[#This Row],[Green Min]]/Table2[[#This Row],[ClassLength]],"")</f>
        <v>0.32758620689655171</v>
      </c>
      <c r="Y826" s="24">
        <f>IFERROR(Table2[[#This Row],[Orange Min]]/Table2[[#This Row],[ClassLength]],"")</f>
        <v>0.22413793103448276</v>
      </c>
      <c r="Z826" s="24">
        <f>IFERROR(Table2[[#This Row],[Red Min]]/Table2[[#This Row],[ClassLength]],"")</f>
        <v>0</v>
      </c>
      <c r="AA826" s="25">
        <v>139</v>
      </c>
      <c r="AB826" s="25">
        <f t="shared" si="226"/>
        <v>11.583333333333334</v>
      </c>
      <c r="AC826" s="26">
        <f t="shared" si="216"/>
        <v>627.75</v>
      </c>
      <c r="AD826" s="26">
        <f t="shared" si="217"/>
        <v>14.166666666666666</v>
      </c>
      <c r="AE826">
        <f t="shared" si="218"/>
        <v>2025</v>
      </c>
      <c r="AG826">
        <v>12</v>
      </c>
      <c r="AH826" s="26">
        <f t="shared" si="219"/>
        <v>11.362068965517242</v>
      </c>
      <c r="AI826" t="str">
        <f t="shared" si="220"/>
        <v>PM</v>
      </c>
      <c r="AJ826" t="str">
        <f t="shared" si="221"/>
        <v>7-2025-4</v>
      </c>
      <c r="AK826">
        <f t="shared" si="222"/>
        <v>7</v>
      </c>
      <c r="AL826" s="26">
        <f>IFERROR(Table2[[#This Row],[Calories]]/Table2[[#This Row],[Splat]],"")</f>
        <v>50.692307692307693</v>
      </c>
      <c r="AM826">
        <f>COUNTIF(N$2:$N$938,N826)</f>
        <v>78</v>
      </c>
      <c r="AN826" t="str">
        <f>VLOOKUP(N826,'Helpful Tables'!A:D,4,FALSE)</f>
        <v>Oregon</v>
      </c>
      <c r="AO826" s="24">
        <f>COUNTIF(AN:AN,Table2[[#This Row],[State]])/COUNTA(AN:AN)</f>
        <v>0.36140724946695096</v>
      </c>
      <c r="AP826">
        <f>VLOOKUP(N826,'Helpful Tables'!A:B,2,FALSE)</f>
        <v>45.525092999999998</v>
      </c>
      <c r="AQ826">
        <f>VLOOKUP(N826,'Helpful Tables'!A:C,3,FALSE)</f>
        <v>-122.681383</v>
      </c>
      <c r="AR826">
        <f>COUNTIF(P$2:$P$938,P826)</f>
        <v>40</v>
      </c>
      <c r="AS826" cm="1">
        <f t="array" ref="AS826">_xlfn.IFS(E826&lt;6,((E826/D826)*60)*0.5,AND(E826&gt;=6,E826&lt;9),((E826/D826)*60)*0.75,AND(E826&gt;=9,E826&lt;=11),((E826/D826)*60)*0.9,AND(E826=12),((E826/D826)*60)*1,AND(E826&gt;=13,E826&lt;=15),((E826/D826)*60)*1.2,AND(E826&gt;=16,E826&lt;=19),((E826/D826)*60)*1.5,E826&gt;=20,((E826/D826)*60)*1.8)</f>
        <v>16.137931034482758</v>
      </c>
      <c r="AT826" cm="1">
        <f t="array" ref="AT826">_xlfn.IFS(F826&lt;550,((F826/D826)*60)*0.5,AND(F826&gt;=550,F826&lt;575),((F826/D826)*60)*0.75,AND(F826&gt;=575,F826&lt;600),((F826/D826)*60)*0.9,AND(F826=600),((F826/D826)*60)*1,AND(F826&gt;=601,F826&lt;=625),((F826/D826)*60)*1.2,AND(F826&gt;=626,F826&lt;=650),((F826/D826)*60)*1.5,F826&gt;=651,((F826/D826)*60)*1.8)</f>
        <v>1227.1034482758621</v>
      </c>
      <c r="AU826">
        <f t="shared" si="227"/>
        <v>10.200000000000003</v>
      </c>
      <c r="AV826">
        <f t="shared" si="225"/>
        <v>499.33655172413796</v>
      </c>
      <c r="AW826">
        <f t="shared" si="228"/>
        <v>78.5</v>
      </c>
      <c r="AX826" t="str">
        <f t="shared" si="223"/>
        <v>Jul-2025</v>
      </c>
      <c r="AY826">
        <f>ROUNDUP(Table2[[#This Row],[Month]]/3,0)</f>
        <v>3</v>
      </c>
    </row>
    <row r="827" spans="1:51" x14ac:dyDescent="0.2">
      <c r="A827">
        <v>826</v>
      </c>
      <c r="B827">
        <f t="shared" si="212"/>
        <v>12</v>
      </c>
      <c r="C827" s="22">
        <v>45862</v>
      </c>
      <c r="D827">
        <f>SUM(Table2[[#This Row],[Gray Min]:[Red Min]])</f>
        <v>62</v>
      </c>
      <c r="E827">
        <v>12</v>
      </c>
      <c r="F827">
        <v>620</v>
      </c>
      <c r="G827">
        <v>119</v>
      </c>
      <c r="H827">
        <v>170</v>
      </c>
      <c r="I827">
        <v>25</v>
      </c>
      <c r="J827">
        <v>10</v>
      </c>
      <c r="K827">
        <v>15</v>
      </c>
      <c r="L827">
        <v>10</v>
      </c>
      <c r="M827">
        <v>2</v>
      </c>
      <c r="N827" t="s">
        <v>125</v>
      </c>
      <c r="O827" t="s">
        <v>127</v>
      </c>
      <c r="P827" t="s">
        <v>281</v>
      </c>
      <c r="Q827">
        <f t="shared" si="224"/>
        <v>2</v>
      </c>
      <c r="R827" t="str">
        <f t="shared" si="213"/>
        <v>7-2025</v>
      </c>
      <c r="S827" t="s">
        <v>104</v>
      </c>
      <c r="T827" t="str">
        <f t="shared" si="214"/>
        <v>Thursday</v>
      </c>
      <c r="U827">
        <f t="shared" si="215"/>
        <v>1</v>
      </c>
      <c r="V827" s="24">
        <f>IFERROR(Table2[[#This Row],[Gray Min]]/Table2[[#This Row],[ClassLength]],"")</f>
        <v>0.40322580645161288</v>
      </c>
      <c r="W827" s="24">
        <f>IFERROR(Table2[[#This Row],[Blue Min]]/Table2[[#This Row],[ClassLength]],"")</f>
        <v>0.16129032258064516</v>
      </c>
      <c r="X827" s="24">
        <f>IFERROR(Table2[[#This Row],[Green Min]]/Table2[[#This Row],[ClassLength]],"")</f>
        <v>0.24193548387096775</v>
      </c>
      <c r="Y827" s="24">
        <f>IFERROR(Table2[[#This Row],[Orange Min]]/Table2[[#This Row],[ClassLength]],"")</f>
        <v>0.16129032258064516</v>
      </c>
      <c r="Z827" s="24">
        <f>IFERROR(Table2[[#This Row],[Red Min]]/Table2[[#This Row],[ClassLength]],"")</f>
        <v>3.2258064516129031E-2</v>
      </c>
      <c r="AA827" s="25">
        <v>139</v>
      </c>
      <c r="AB827" s="25">
        <f t="shared" si="226"/>
        <v>11.583333333333334</v>
      </c>
      <c r="AC827" s="26">
        <f t="shared" si="216"/>
        <v>627.75</v>
      </c>
      <c r="AD827" s="26">
        <f t="shared" si="217"/>
        <v>14.166666666666666</v>
      </c>
      <c r="AE827">
        <f t="shared" si="218"/>
        <v>2025</v>
      </c>
      <c r="AG827">
        <v>12</v>
      </c>
      <c r="AH827" s="26">
        <f t="shared" si="219"/>
        <v>10</v>
      </c>
      <c r="AI827" t="str">
        <f t="shared" si="220"/>
        <v>PM</v>
      </c>
      <c r="AJ827" t="str">
        <f t="shared" si="221"/>
        <v>7-2025-4</v>
      </c>
      <c r="AK827">
        <f t="shared" si="222"/>
        <v>7</v>
      </c>
      <c r="AL827" s="26">
        <f>IFERROR(Table2[[#This Row],[Calories]]/Table2[[#This Row],[Splat]],"")</f>
        <v>51.666666666666664</v>
      </c>
      <c r="AM827">
        <f>COUNTIF(N$2:$N$938,N827)</f>
        <v>258</v>
      </c>
      <c r="AN827" t="str">
        <f>VLOOKUP(N827,'Helpful Tables'!A:D,4,FALSE)</f>
        <v>Oregon</v>
      </c>
      <c r="AO827" s="24">
        <f>COUNTIF(AN:AN,Table2[[#This Row],[State]])/COUNTA(AN:AN)</f>
        <v>0.36140724946695096</v>
      </c>
      <c r="AP827">
        <f>VLOOKUP(N827,'Helpful Tables'!A:B,2,FALSE)</f>
        <v>45.534162000000002</v>
      </c>
      <c r="AQ827">
        <f>VLOOKUP(N827,'Helpful Tables'!A:C,3,FALSE)</f>
        <v>-122.69670000000001</v>
      </c>
      <c r="AR827">
        <f>COUNTIF(P$2:$P$938,P827)</f>
        <v>41</v>
      </c>
      <c r="AS827" cm="1">
        <f t="array" ref="AS827">_xlfn.IFS(E827&lt;6,((E827/D827)*60)*0.5,AND(E827&gt;=6,E827&lt;9),((E827/D827)*60)*0.75,AND(E827&gt;=9,E827&lt;=11),((E827/D827)*60)*0.9,AND(E827=12),((E827/D827)*60)*1,AND(E827&gt;=13,E827&lt;=15),((E827/D827)*60)*1.2,AND(E827&gt;=16,E827&lt;=19),((E827/D827)*60)*1.5,E827&gt;=20,((E827/D827)*60)*1.8)</f>
        <v>11.612903225806452</v>
      </c>
      <c r="AT827" cm="1">
        <f t="array" ref="AT827">_xlfn.IFS(F827&lt;550,((F827/D827)*60)*0.5,AND(F827&gt;=550,F827&lt;575),((F827/D827)*60)*0.75,AND(F827&gt;=575,F827&lt;600),((F827/D827)*60)*0.9,AND(F827=600),((F827/D827)*60)*1,AND(F827&gt;=601,F827&lt;=625),((F827/D827)*60)*1.2,AND(F827&gt;=626,F827&lt;=650),((F827/D827)*60)*1.5,F827&gt;=651,((F827/D827)*60)*1.8)</f>
        <v>720</v>
      </c>
      <c r="AU827">
        <f t="shared" si="227"/>
        <v>-7</v>
      </c>
      <c r="AV827">
        <f t="shared" si="225"/>
        <v>291.24516129032259</v>
      </c>
      <c r="AW827">
        <f t="shared" si="228"/>
        <v>24.7</v>
      </c>
      <c r="AX827" t="str">
        <f t="shared" si="223"/>
        <v>Jul-2025</v>
      </c>
      <c r="AY827">
        <f>ROUNDUP(Table2[[#This Row],[Month]]/3,0)</f>
        <v>3</v>
      </c>
    </row>
    <row r="828" spans="1:51" x14ac:dyDescent="0.2">
      <c r="A828">
        <v>827</v>
      </c>
      <c r="B828">
        <f t="shared" si="212"/>
        <v>12</v>
      </c>
      <c r="C828" s="22">
        <v>45865</v>
      </c>
      <c r="D828">
        <f>SUM(Table2[[#This Row],[Gray Min]:[Red Min]])</f>
        <v>58</v>
      </c>
      <c r="E828">
        <v>10</v>
      </c>
      <c r="F828">
        <v>533</v>
      </c>
      <c r="G828">
        <v>114</v>
      </c>
      <c r="H828">
        <v>165</v>
      </c>
      <c r="I828">
        <v>26</v>
      </c>
      <c r="J828">
        <v>7</v>
      </c>
      <c r="K828">
        <v>15</v>
      </c>
      <c r="L828">
        <v>9</v>
      </c>
      <c r="M828">
        <v>1</v>
      </c>
      <c r="N828" t="s">
        <v>125</v>
      </c>
      <c r="O828" t="s">
        <v>79</v>
      </c>
      <c r="P828" t="s">
        <v>210</v>
      </c>
      <c r="Q828">
        <f t="shared" si="224"/>
        <v>3</v>
      </c>
      <c r="R828" t="str">
        <f t="shared" si="213"/>
        <v>7-2025</v>
      </c>
      <c r="S828" t="s">
        <v>104</v>
      </c>
      <c r="T828" t="str">
        <f t="shared" si="214"/>
        <v>Sunday</v>
      </c>
      <c r="U828">
        <f t="shared" si="215"/>
        <v>0</v>
      </c>
      <c r="V828" s="24">
        <f>IFERROR(Table2[[#This Row],[Gray Min]]/Table2[[#This Row],[ClassLength]],"")</f>
        <v>0.44827586206896552</v>
      </c>
      <c r="W828" s="24">
        <f>IFERROR(Table2[[#This Row],[Blue Min]]/Table2[[#This Row],[ClassLength]],"")</f>
        <v>0.1206896551724138</v>
      </c>
      <c r="X828" s="24">
        <f>IFERROR(Table2[[#This Row],[Green Min]]/Table2[[#This Row],[ClassLength]],"")</f>
        <v>0.25862068965517243</v>
      </c>
      <c r="Y828" s="24">
        <f>IFERROR(Table2[[#This Row],[Orange Min]]/Table2[[#This Row],[ClassLength]],"")</f>
        <v>0.15517241379310345</v>
      </c>
      <c r="Z828" s="24">
        <f>IFERROR(Table2[[#This Row],[Red Min]]/Table2[[#This Row],[ClassLength]],"")</f>
        <v>1.7241379310344827E-2</v>
      </c>
      <c r="AA828" s="25">
        <v>139</v>
      </c>
      <c r="AB828" s="25">
        <f t="shared" si="226"/>
        <v>11.583333333333334</v>
      </c>
      <c r="AC828" s="26">
        <f t="shared" si="216"/>
        <v>627.75</v>
      </c>
      <c r="AD828" s="26">
        <f t="shared" si="217"/>
        <v>14.166666666666666</v>
      </c>
      <c r="AE828">
        <f t="shared" si="218"/>
        <v>2025</v>
      </c>
      <c r="AG828">
        <v>12</v>
      </c>
      <c r="AH828" s="26">
        <f t="shared" si="219"/>
        <v>9.1896551724137936</v>
      </c>
      <c r="AI828" t="str">
        <f t="shared" si="220"/>
        <v>AM</v>
      </c>
      <c r="AJ828" t="str">
        <f t="shared" si="221"/>
        <v>7-2025-5</v>
      </c>
      <c r="AK828">
        <f t="shared" si="222"/>
        <v>7</v>
      </c>
      <c r="AL828" s="26">
        <f>IFERROR(Table2[[#This Row],[Calories]]/Table2[[#This Row],[Splat]],"")</f>
        <v>53.3</v>
      </c>
      <c r="AM828">
        <f>COUNTIF(N$2:$N$938,N828)</f>
        <v>258</v>
      </c>
      <c r="AN828" t="str">
        <f>VLOOKUP(N828,'Helpful Tables'!A:D,4,FALSE)</f>
        <v>Oregon</v>
      </c>
      <c r="AO828" s="24">
        <f>COUNTIF(AN:AN,Table2[[#This Row],[State]])/COUNTA(AN:AN)</f>
        <v>0.36140724946695096</v>
      </c>
      <c r="AP828">
        <f>VLOOKUP(N828,'Helpful Tables'!A:B,2,FALSE)</f>
        <v>45.534162000000002</v>
      </c>
      <c r="AQ828">
        <f>VLOOKUP(N828,'Helpful Tables'!A:C,3,FALSE)</f>
        <v>-122.69670000000001</v>
      </c>
      <c r="AR828">
        <f>COUNTIF(P$2:$P$938,P828)</f>
        <v>16</v>
      </c>
      <c r="AS828" cm="1">
        <f t="array" ref="AS828">_xlfn.IFS(E828&lt;6,((E828/D828)*60)*0.5,AND(E828&gt;=6,E828&lt;9),((E828/D828)*60)*0.75,AND(E828&gt;=9,E828&lt;=11),((E828/D828)*60)*0.9,AND(E828=12),((E828/D828)*60)*1,AND(E828&gt;=13,E828&lt;=15),((E828/D828)*60)*1.2,AND(E828&gt;=16,E828&lt;=19),((E828/D828)*60)*1.5,E828&gt;=20,((E828/D828)*60)*1.8)</f>
        <v>9.3103448275862082</v>
      </c>
      <c r="AT828" cm="1">
        <f t="array" ref="AT828">_xlfn.IFS(F828&lt;550,((F828/D828)*60)*0.5,AND(F828&gt;=550,F828&lt;575),((F828/D828)*60)*0.75,AND(F828&gt;=575,F828&lt;600),((F828/D828)*60)*0.9,AND(F828=600),((F828/D828)*60)*1,AND(F828&gt;=601,F828&lt;=625),((F828/D828)*60)*1.2,AND(F828&gt;=626,F828&lt;=650),((F828/D828)*60)*1.5,F828&gt;=651,((F828/D828)*60)*1.8)</f>
        <v>275.68965517241384</v>
      </c>
      <c r="AU828">
        <f t="shared" si="227"/>
        <v>-7.6999999999999975</v>
      </c>
      <c r="AV828">
        <f t="shared" si="225"/>
        <v>112.46000000000001</v>
      </c>
      <c r="AW828">
        <f t="shared" si="228"/>
        <v>4.5999999999999996</v>
      </c>
      <c r="AX828" t="str">
        <f t="shared" si="223"/>
        <v>Jul-2025</v>
      </c>
      <c r="AY828">
        <f>ROUNDUP(Table2[[#This Row],[Month]]/3,0)</f>
        <v>3</v>
      </c>
    </row>
    <row r="829" spans="1:51" x14ac:dyDescent="0.2">
      <c r="A829">
        <v>828</v>
      </c>
      <c r="B829">
        <f t="shared" si="212"/>
        <v>12</v>
      </c>
      <c r="C829" s="22">
        <v>45866</v>
      </c>
      <c r="D829">
        <f>SUM(Table2[[#This Row],[Gray Min]:[Red Min]])</f>
        <v>61</v>
      </c>
      <c r="E829">
        <v>14</v>
      </c>
      <c r="F829">
        <v>590</v>
      </c>
      <c r="G829">
        <v>118</v>
      </c>
      <c r="H829">
        <v>165</v>
      </c>
      <c r="I829">
        <v>28</v>
      </c>
      <c r="J829">
        <v>9</v>
      </c>
      <c r="K829">
        <v>10</v>
      </c>
      <c r="L829">
        <v>13</v>
      </c>
      <c r="M829">
        <v>1</v>
      </c>
      <c r="N829" t="s">
        <v>125</v>
      </c>
      <c r="O829" t="s">
        <v>83</v>
      </c>
      <c r="P829" t="s">
        <v>238</v>
      </c>
      <c r="Q829">
        <f t="shared" si="224"/>
        <v>1</v>
      </c>
      <c r="R829" t="str">
        <f t="shared" si="213"/>
        <v>7-2025</v>
      </c>
      <c r="S829" t="s">
        <v>104</v>
      </c>
      <c r="T829" t="str">
        <f t="shared" si="214"/>
        <v>Monday</v>
      </c>
      <c r="U829">
        <f t="shared" si="215"/>
        <v>1</v>
      </c>
      <c r="V829" s="24">
        <f>IFERROR(Table2[[#This Row],[Gray Min]]/Table2[[#This Row],[ClassLength]],"")</f>
        <v>0.45901639344262296</v>
      </c>
      <c r="W829" s="24">
        <f>IFERROR(Table2[[#This Row],[Blue Min]]/Table2[[#This Row],[ClassLength]],"")</f>
        <v>0.14754098360655737</v>
      </c>
      <c r="X829" s="24">
        <f>IFERROR(Table2[[#This Row],[Green Min]]/Table2[[#This Row],[ClassLength]],"")</f>
        <v>0.16393442622950818</v>
      </c>
      <c r="Y829" s="24">
        <f>IFERROR(Table2[[#This Row],[Orange Min]]/Table2[[#This Row],[ClassLength]],"")</f>
        <v>0.21311475409836064</v>
      </c>
      <c r="Z829" s="24">
        <f>IFERROR(Table2[[#This Row],[Red Min]]/Table2[[#This Row],[ClassLength]],"")</f>
        <v>1.6393442622950821E-2</v>
      </c>
      <c r="AA829" s="25">
        <v>139</v>
      </c>
      <c r="AB829" s="25">
        <f t="shared" si="226"/>
        <v>11.583333333333334</v>
      </c>
      <c r="AC829" s="26">
        <f t="shared" si="216"/>
        <v>627.75</v>
      </c>
      <c r="AD829" s="26">
        <f t="shared" si="217"/>
        <v>14.166666666666666</v>
      </c>
      <c r="AE829">
        <f t="shared" si="218"/>
        <v>2025</v>
      </c>
      <c r="AG829">
        <v>12</v>
      </c>
      <c r="AH829" s="26">
        <f t="shared" si="219"/>
        <v>9.6721311475409841</v>
      </c>
      <c r="AI829" t="str">
        <f t="shared" si="220"/>
        <v>PM</v>
      </c>
      <c r="AJ829" t="str">
        <f t="shared" si="221"/>
        <v>7-2025-5</v>
      </c>
      <c r="AK829">
        <f t="shared" si="222"/>
        <v>7</v>
      </c>
      <c r="AL829" s="26">
        <f>IFERROR(Table2[[#This Row],[Calories]]/Table2[[#This Row],[Splat]],"")</f>
        <v>42.142857142857146</v>
      </c>
      <c r="AM829">
        <f>COUNTIF(N$2:$N$938,N829)</f>
        <v>258</v>
      </c>
      <c r="AN829" t="str">
        <f>VLOOKUP(N829,'Helpful Tables'!A:D,4,FALSE)</f>
        <v>Oregon</v>
      </c>
      <c r="AO829" s="24">
        <f>COUNTIF(AN:AN,Table2[[#This Row],[State]])/COUNTA(AN:AN)</f>
        <v>0.36140724946695096</v>
      </c>
      <c r="AP829">
        <f>VLOOKUP(N829,'Helpful Tables'!A:B,2,FALSE)</f>
        <v>45.534162000000002</v>
      </c>
      <c r="AQ829">
        <f>VLOOKUP(N829,'Helpful Tables'!A:C,3,FALSE)</f>
        <v>-122.69670000000001</v>
      </c>
      <c r="AR829">
        <f>COUNTIF(P$2:$P$938,P829)</f>
        <v>25</v>
      </c>
      <c r="AS829" cm="1">
        <f t="array" ref="AS829">_xlfn.IFS(E829&lt;6,((E829/D829)*60)*0.5,AND(E829&gt;=6,E829&lt;9),((E829/D829)*60)*0.75,AND(E829&gt;=9,E829&lt;=11),((E829/D829)*60)*0.9,AND(E829=12),((E829/D829)*60)*1,AND(E829&gt;=13,E829&lt;=15),((E829/D829)*60)*1.2,AND(E829&gt;=16,E829&lt;=19),((E829/D829)*60)*1.5,E829&gt;=20,((E829/D829)*60)*1.8)</f>
        <v>16.524590163934427</v>
      </c>
      <c r="AT829" cm="1">
        <f t="array" ref="AT829">_xlfn.IFS(F829&lt;550,((F829/D829)*60)*0.5,AND(F829&gt;=550,F829&lt;575),((F829/D829)*60)*0.75,AND(F829&gt;=575,F829&lt;600),((F829/D829)*60)*0.9,AND(F829=600),((F829/D829)*60)*1,AND(F829&gt;=601,F829&lt;=625),((F829/D829)*60)*1.2,AND(F829&gt;=626,F829&lt;=650),((F829/D829)*60)*1.5,F829&gt;=651,((F829/D829)*60)*1.8)</f>
        <v>522.29508196721315</v>
      </c>
      <c r="AU829">
        <f t="shared" si="227"/>
        <v>-13.099999999999998</v>
      </c>
      <c r="AV829">
        <f t="shared" si="225"/>
        <v>212.90786885245905</v>
      </c>
      <c r="AW829">
        <f t="shared" si="228"/>
        <v>14.7</v>
      </c>
      <c r="AX829" t="str">
        <f t="shared" si="223"/>
        <v>Jul-2025</v>
      </c>
      <c r="AY829">
        <f>ROUNDUP(Table2[[#This Row],[Month]]/3,0)</f>
        <v>3</v>
      </c>
    </row>
    <row r="830" spans="1:51" x14ac:dyDescent="0.2">
      <c r="A830">
        <v>829</v>
      </c>
      <c r="B830">
        <f t="shared" si="212"/>
        <v>14</v>
      </c>
      <c r="C830" s="22">
        <v>45872</v>
      </c>
      <c r="D830">
        <f>SUM(Table2[[#This Row],[Gray Min]:[Red Min]])</f>
        <v>59</v>
      </c>
      <c r="E830">
        <v>10</v>
      </c>
      <c r="F830">
        <v>576</v>
      </c>
      <c r="G830">
        <v>118</v>
      </c>
      <c r="H830">
        <v>165</v>
      </c>
      <c r="I830">
        <v>23</v>
      </c>
      <c r="J830">
        <v>15</v>
      </c>
      <c r="K830">
        <v>11</v>
      </c>
      <c r="L830">
        <v>9</v>
      </c>
      <c r="M830">
        <v>1</v>
      </c>
      <c r="N830" t="s">
        <v>208</v>
      </c>
      <c r="O830" t="s">
        <v>76</v>
      </c>
      <c r="P830" t="s">
        <v>209</v>
      </c>
      <c r="Q830">
        <f t="shared" si="224"/>
        <v>6</v>
      </c>
      <c r="R830" t="str">
        <f t="shared" si="213"/>
        <v>8-2025</v>
      </c>
      <c r="S830" t="s">
        <v>104</v>
      </c>
      <c r="T830" t="str">
        <f t="shared" si="214"/>
        <v>Sunday</v>
      </c>
      <c r="U830">
        <f t="shared" si="215"/>
        <v>0</v>
      </c>
      <c r="V830" s="24">
        <f>IFERROR(Table2[[#This Row],[Gray Min]]/Table2[[#This Row],[ClassLength]],"")</f>
        <v>0.38983050847457629</v>
      </c>
      <c r="W830" s="24">
        <f>IFERROR(Table2[[#This Row],[Blue Min]]/Table2[[#This Row],[ClassLength]],"")</f>
        <v>0.25423728813559321</v>
      </c>
      <c r="X830" s="24">
        <f>IFERROR(Table2[[#This Row],[Green Min]]/Table2[[#This Row],[ClassLength]],"")</f>
        <v>0.1864406779661017</v>
      </c>
      <c r="Y830" s="24">
        <f>IFERROR(Table2[[#This Row],[Orange Min]]/Table2[[#This Row],[ClassLength]],"")</f>
        <v>0.15254237288135594</v>
      </c>
      <c r="Z830" s="24">
        <f>IFERROR(Table2[[#This Row],[Red Min]]/Table2[[#This Row],[ClassLength]],"")</f>
        <v>1.6949152542372881E-2</v>
      </c>
      <c r="AA830" s="25">
        <v>139</v>
      </c>
      <c r="AB830" s="25">
        <f t="shared" si="226"/>
        <v>9.9285714285714288</v>
      </c>
      <c r="AC830" s="26">
        <f t="shared" si="216"/>
        <v>619</v>
      </c>
      <c r="AD830" s="26">
        <f t="shared" si="217"/>
        <v>14.142857142857142</v>
      </c>
      <c r="AE830">
        <f t="shared" si="218"/>
        <v>2025</v>
      </c>
      <c r="AG830">
        <v>12</v>
      </c>
      <c r="AH830" s="26">
        <f t="shared" si="219"/>
        <v>9.7627118644067803</v>
      </c>
      <c r="AI830" t="str">
        <f t="shared" si="220"/>
        <v>AM</v>
      </c>
      <c r="AJ830" t="str">
        <f t="shared" si="221"/>
        <v>8-2025-2</v>
      </c>
      <c r="AK830">
        <f t="shared" si="222"/>
        <v>8</v>
      </c>
      <c r="AL830" s="26">
        <f>IFERROR(Table2[[#This Row],[Calories]]/Table2[[#This Row],[Splat]],"")</f>
        <v>57.6</v>
      </c>
      <c r="AM830">
        <f>COUNTIF(N$2:$N$938,N830)</f>
        <v>78</v>
      </c>
      <c r="AN830" t="str">
        <f>VLOOKUP(N830,'Helpful Tables'!A:D,4,FALSE)</f>
        <v>Oregon</v>
      </c>
      <c r="AO830" s="24">
        <f>COUNTIF(AN:AN,Table2[[#This Row],[State]])/COUNTA(AN:AN)</f>
        <v>0.36140724946695096</v>
      </c>
      <c r="AP830">
        <f>VLOOKUP(N830,'Helpful Tables'!A:B,2,FALSE)</f>
        <v>45.525092999999998</v>
      </c>
      <c r="AQ830">
        <f>VLOOKUP(N830,'Helpful Tables'!A:C,3,FALSE)</f>
        <v>-122.681383</v>
      </c>
      <c r="AR830">
        <f>COUNTIF(P$2:$P$938,P830)</f>
        <v>20</v>
      </c>
      <c r="AS830" cm="1">
        <f t="array" ref="AS830">_xlfn.IFS(E830&lt;6,((E830/D830)*60)*0.5,AND(E830&gt;=6,E830&lt;9),((E830/D830)*60)*0.75,AND(E830&gt;=9,E830&lt;=11),((E830/D830)*60)*0.9,AND(E830=12),((E830/D830)*60)*1,AND(E830&gt;=13,E830&lt;=15),((E830/D830)*60)*1.2,AND(E830&gt;=16,E830&lt;=19),((E830/D830)*60)*1.5,E830&gt;=20,((E830/D830)*60)*1.8)</f>
        <v>9.1525423728813564</v>
      </c>
      <c r="AT830" cm="1">
        <f t="array" ref="AT830">_xlfn.IFS(F830&lt;550,((F830/D830)*60)*0.5,AND(F830&gt;=550,F830&lt;575),((F830/D830)*60)*0.75,AND(F830&gt;=575,F830&lt;600),((F830/D830)*60)*0.9,AND(F830=600),((F830/D830)*60)*1,AND(F830&gt;=601,F830&lt;=625),((F830/D830)*60)*1.2,AND(F830&gt;=626,F830&lt;=650),((F830/D830)*60)*1.5,F830&gt;=651,((F830/D830)*60)*1.8)</f>
        <v>527.18644067796617</v>
      </c>
      <c r="AU830">
        <f t="shared" si="227"/>
        <v>-17.699999999999996</v>
      </c>
      <c r="AV830">
        <f t="shared" si="225"/>
        <v>210.99559322033903</v>
      </c>
      <c r="AW830">
        <f t="shared" si="228"/>
        <v>14.2</v>
      </c>
      <c r="AX830" t="str">
        <f t="shared" si="223"/>
        <v>Aug-2025</v>
      </c>
      <c r="AY830">
        <f>ROUNDUP(Table2[[#This Row],[Month]]/3,0)</f>
        <v>3</v>
      </c>
    </row>
    <row r="831" spans="1:51" x14ac:dyDescent="0.2">
      <c r="A831">
        <v>830</v>
      </c>
      <c r="B831">
        <f t="shared" si="212"/>
        <v>14</v>
      </c>
      <c r="C831" s="22">
        <v>45873</v>
      </c>
      <c r="D831">
        <f>SUM(Table2[[#This Row],[Gray Min]:[Red Min]])</f>
        <v>59</v>
      </c>
      <c r="E831">
        <v>17</v>
      </c>
      <c r="F831">
        <v>659</v>
      </c>
      <c r="G831">
        <v>126</v>
      </c>
      <c r="H831">
        <v>166</v>
      </c>
      <c r="I831">
        <v>10</v>
      </c>
      <c r="J831">
        <v>21</v>
      </c>
      <c r="K831">
        <v>11</v>
      </c>
      <c r="L831">
        <v>15</v>
      </c>
      <c r="M831">
        <v>2</v>
      </c>
      <c r="N831" t="s">
        <v>125</v>
      </c>
      <c r="O831" t="s">
        <v>127</v>
      </c>
      <c r="P831" t="s">
        <v>238</v>
      </c>
      <c r="Q831">
        <f t="shared" si="224"/>
        <v>1</v>
      </c>
      <c r="R831" t="str">
        <f t="shared" si="213"/>
        <v>8-2025</v>
      </c>
      <c r="S831" t="s">
        <v>104</v>
      </c>
      <c r="T831" t="str">
        <f t="shared" si="214"/>
        <v>Monday</v>
      </c>
      <c r="U831">
        <f t="shared" si="215"/>
        <v>1</v>
      </c>
      <c r="V831" s="24">
        <f>IFERROR(Table2[[#This Row],[Gray Min]]/Table2[[#This Row],[ClassLength]],"")</f>
        <v>0.16949152542372881</v>
      </c>
      <c r="W831" s="24">
        <f>IFERROR(Table2[[#This Row],[Blue Min]]/Table2[[#This Row],[ClassLength]],"")</f>
        <v>0.3559322033898305</v>
      </c>
      <c r="X831" s="24">
        <f>IFERROR(Table2[[#This Row],[Green Min]]/Table2[[#This Row],[ClassLength]],"")</f>
        <v>0.1864406779661017</v>
      </c>
      <c r="Y831" s="24">
        <f>IFERROR(Table2[[#This Row],[Orange Min]]/Table2[[#This Row],[ClassLength]],"")</f>
        <v>0.25423728813559321</v>
      </c>
      <c r="Z831" s="24">
        <f>IFERROR(Table2[[#This Row],[Red Min]]/Table2[[#This Row],[ClassLength]],"")</f>
        <v>3.3898305084745763E-2</v>
      </c>
      <c r="AA831" s="25">
        <v>139</v>
      </c>
      <c r="AB831" s="25">
        <f t="shared" si="226"/>
        <v>9.9285714285714288</v>
      </c>
      <c r="AC831" s="26">
        <f t="shared" si="216"/>
        <v>619</v>
      </c>
      <c r="AD831" s="26">
        <f t="shared" si="217"/>
        <v>14.142857142857142</v>
      </c>
      <c r="AE831">
        <f t="shared" si="218"/>
        <v>2025</v>
      </c>
      <c r="AG831">
        <v>12</v>
      </c>
      <c r="AH831" s="26">
        <f t="shared" si="219"/>
        <v>11.169491525423728</v>
      </c>
      <c r="AI831" t="str">
        <f t="shared" si="220"/>
        <v>PM</v>
      </c>
      <c r="AJ831" t="str">
        <f t="shared" si="221"/>
        <v>8-2025-2</v>
      </c>
      <c r="AK831">
        <f t="shared" si="222"/>
        <v>8</v>
      </c>
      <c r="AL831" s="26">
        <f>IFERROR(Table2[[#This Row],[Calories]]/Table2[[#This Row],[Splat]],"")</f>
        <v>38.764705882352942</v>
      </c>
      <c r="AM831">
        <f>COUNTIF(N$2:$N$938,N831)</f>
        <v>258</v>
      </c>
      <c r="AN831" t="str">
        <f>VLOOKUP(N831,'Helpful Tables'!A:D,4,FALSE)</f>
        <v>Oregon</v>
      </c>
      <c r="AO831" s="24">
        <f>COUNTIF(AN:AN,Table2[[#This Row],[State]])/COUNTA(AN:AN)</f>
        <v>0.36140724946695096</v>
      </c>
      <c r="AP831">
        <f>VLOOKUP(N831,'Helpful Tables'!A:B,2,FALSE)</f>
        <v>45.534162000000002</v>
      </c>
      <c r="AQ831">
        <f>VLOOKUP(N831,'Helpful Tables'!A:C,3,FALSE)</f>
        <v>-122.69670000000001</v>
      </c>
      <c r="AR831">
        <f>COUNTIF(P$2:$P$938,P831)</f>
        <v>25</v>
      </c>
      <c r="AS831" cm="1">
        <f t="array" ref="AS831">_xlfn.IFS(E831&lt;6,((E831/D831)*60)*0.5,AND(E831&gt;=6,E831&lt;9),((E831/D831)*60)*0.75,AND(E831&gt;=9,E831&lt;=11),((E831/D831)*60)*0.9,AND(E831=12),((E831/D831)*60)*1,AND(E831&gt;=13,E831&lt;=15),((E831/D831)*60)*1.2,AND(E831&gt;=16,E831&lt;=19),((E831/D831)*60)*1.5,E831&gt;=20,((E831/D831)*60)*1.8)</f>
        <v>25.932203389830509</v>
      </c>
      <c r="AT831" cm="1">
        <f t="array" ref="AT831">_xlfn.IFS(F831&lt;550,((F831/D831)*60)*0.5,AND(F831&gt;=550,F831&lt;575),((F831/D831)*60)*0.75,AND(F831&gt;=575,F831&lt;600),((F831/D831)*60)*0.9,AND(F831=600),((F831/D831)*60)*1,AND(F831&gt;=601,F831&lt;=625),((F831/D831)*60)*1.2,AND(F831&gt;=626,F831&lt;=650),((F831/D831)*60)*1.5,F831&gt;=651,((F831/D831)*60)*1.8)</f>
        <v>1206.3050847457628</v>
      </c>
      <c r="AU831">
        <f t="shared" si="227"/>
        <v>0.59999999999999787</v>
      </c>
      <c r="AV831">
        <f t="shared" si="225"/>
        <v>493.01491525423734</v>
      </c>
      <c r="AW831">
        <f t="shared" si="228"/>
        <v>74.900000000000006</v>
      </c>
      <c r="AX831" t="str">
        <f t="shared" si="223"/>
        <v>Aug-2025</v>
      </c>
      <c r="AY831">
        <f>ROUNDUP(Table2[[#This Row],[Month]]/3,0)</f>
        <v>3</v>
      </c>
    </row>
    <row r="832" spans="1:51" x14ac:dyDescent="0.2">
      <c r="A832">
        <v>831</v>
      </c>
      <c r="B832">
        <f t="shared" si="212"/>
        <v>14</v>
      </c>
      <c r="C832" s="22">
        <v>45876</v>
      </c>
      <c r="D832">
        <f>SUM(Table2[[#This Row],[Gray Min]:[Red Min]])</f>
        <v>59</v>
      </c>
      <c r="E832">
        <v>16</v>
      </c>
      <c r="F832">
        <v>645</v>
      </c>
      <c r="G832">
        <v>125</v>
      </c>
      <c r="H832">
        <v>167</v>
      </c>
      <c r="I832">
        <v>15</v>
      </c>
      <c r="J832">
        <v>17</v>
      </c>
      <c r="K832">
        <v>11</v>
      </c>
      <c r="L832">
        <v>14</v>
      </c>
      <c r="M832">
        <v>2</v>
      </c>
      <c r="N832" t="s">
        <v>125</v>
      </c>
      <c r="O832" t="s">
        <v>113</v>
      </c>
      <c r="P832" t="s">
        <v>238</v>
      </c>
      <c r="Q832">
        <f t="shared" si="224"/>
        <v>3</v>
      </c>
      <c r="R832" t="str">
        <f t="shared" si="213"/>
        <v>8-2025</v>
      </c>
      <c r="S832" t="s">
        <v>104</v>
      </c>
      <c r="T832" t="str">
        <f t="shared" si="214"/>
        <v>Thursday</v>
      </c>
      <c r="U832">
        <f t="shared" si="215"/>
        <v>1</v>
      </c>
      <c r="V832" s="24">
        <f>IFERROR(Table2[[#This Row],[Gray Min]]/Table2[[#This Row],[ClassLength]],"")</f>
        <v>0.25423728813559321</v>
      </c>
      <c r="W832" s="24">
        <f>IFERROR(Table2[[#This Row],[Blue Min]]/Table2[[#This Row],[ClassLength]],"")</f>
        <v>0.28813559322033899</v>
      </c>
      <c r="X832" s="24">
        <f>IFERROR(Table2[[#This Row],[Green Min]]/Table2[[#This Row],[ClassLength]],"")</f>
        <v>0.1864406779661017</v>
      </c>
      <c r="Y832" s="24">
        <f>IFERROR(Table2[[#This Row],[Orange Min]]/Table2[[#This Row],[ClassLength]],"")</f>
        <v>0.23728813559322035</v>
      </c>
      <c r="Z832" s="24">
        <f>IFERROR(Table2[[#This Row],[Red Min]]/Table2[[#This Row],[ClassLength]],"")</f>
        <v>3.3898305084745763E-2</v>
      </c>
      <c r="AA832" s="25">
        <v>139</v>
      </c>
      <c r="AB832" s="25">
        <f t="shared" si="226"/>
        <v>9.9285714285714288</v>
      </c>
      <c r="AC832" s="26">
        <f t="shared" si="216"/>
        <v>619</v>
      </c>
      <c r="AD832" s="26">
        <f t="shared" si="217"/>
        <v>14.142857142857142</v>
      </c>
      <c r="AE832">
        <f t="shared" si="218"/>
        <v>2025</v>
      </c>
      <c r="AG832">
        <v>12</v>
      </c>
      <c r="AH832" s="26">
        <f t="shared" si="219"/>
        <v>10.932203389830509</v>
      </c>
      <c r="AI832" t="str">
        <f t="shared" si="220"/>
        <v>AM</v>
      </c>
      <c r="AJ832" t="str">
        <f t="shared" si="221"/>
        <v>8-2025-2</v>
      </c>
      <c r="AK832">
        <f t="shared" si="222"/>
        <v>8</v>
      </c>
      <c r="AL832" s="26">
        <f>IFERROR(Table2[[#This Row],[Calories]]/Table2[[#This Row],[Splat]],"")</f>
        <v>40.3125</v>
      </c>
      <c r="AM832">
        <f>COUNTIF(N$2:$N$938,N832)</f>
        <v>258</v>
      </c>
      <c r="AN832" t="str">
        <f>VLOOKUP(N832,'Helpful Tables'!A:D,4,FALSE)</f>
        <v>Oregon</v>
      </c>
      <c r="AO832" s="24">
        <f>COUNTIF(AN:AN,Table2[[#This Row],[State]])/COUNTA(AN:AN)</f>
        <v>0.36140724946695096</v>
      </c>
      <c r="AP832">
        <f>VLOOKUP(N832,'Helpful Tables'!A:B,2,FALSE)</f>
        <v>45.534162000000002</v>
      </c>
      <c r="AQ832">
        <f>VLOOKUP(N832,'Helpful Tables'!A:C,3,FALSE)</f>
        <v>-122.69670000000001</v>
      </c>
      <c r="AR832">
        <f>COUNTIF(P$2:$P$938,P832)</f>
        <v>25</v>
      </c>
      <c r="AS832" cm="1">
        <f t="array" ref="AS832">_xlfn.IFS(E832&lt;6,((E832/D832)*60)*0.5,AND(E832&gt;=6,E832&lt;9),((E832/D832)*60)*0.75,AND(E832&gt;=9,E832&lt;=11),((E832/D832)*60)*0.9,AND(E832=12),((E832/D832)*60)*1,AND(E832&gt;=13,E832&lt;=15),((E832/D832)*60)*1.2,AND(E832&gt;=16,E832&lt;=19),((E832/D832)*60)*1.5,E832&gt;=20,((E832/D832)*60)*1.8)</f>
        <v>24.406779661016948</v>
      </c>
      <c r="AT832" cm="1">
        <f t="array" ref="AT832">_xlfn.IFS(F832&lt;550,((F832/D832)*60)*0.5,AND(F832&gt;=550,F832&lt;575),((F832/D832)*60)*0.75,AND(F832&gt;=575,F832&lt;600),((F832/D832)*60)*0.9,AND(F832=600),((F832/D832)*60)*1,AND(F832&gt;=601,F832&lt;=625),((F832/D832)*60)*1.2,AND(F832&gt;=626,F832&lt;=650),((F832/D832)*60)*1.5,F832&gt;=651,((F832/D832)*60)*1.8)</f>
        <v>983.89830508474574</v>
      </c>
      <c r="AU832">
        <f t="shared" si="227"/>
        <v>-2.3000000000000043</v>
      </c>
      <c r="AV832">
        <f t="shared" si="225"/>
        <v>402.86203389830507</v>
      </c>
      <c r="AW832">
        <f t="shared" si="228"/>
        <v>54.400000000000006</v>
      </c>
      <c r="AX832" t="str">
        <f t="shared" si="223"/>
        <v>Aug-2025</v>
      </c>
      <c r="AY832">
        <f>ROUNDUP(Table2[[#This Row],[Month]]/3,0)</f>
        <v>3</v>
      </c>
    </row>
    <row r="833" spans="1:51" x14ac:dyDescent="0.2">
      <c r="A833">
        <v>832</v>
      </c>
      <c r="B833">
        <f t="shared" si="212"/>
        <v>14</v>
      </c>
      <c r="C833" s="22">
        <v>45878</v>
      </c>
      <c r="D833">
        <f>SUM(Table2[[#This Row],[Gray Min]:[Red Min]])</f>
        <v>61</v>
      </c>
      <c r="E833">
        <v>13</v>
      </c>
      <c r="F833">
        <v>627</v>
      </c>
      <c r="G833">
        <v>122</v>
      </c>
      <c r="H833">
        <v>167</v>
      </c>
      <c r="I833">
        <v>20</v>
      </c>
      <c r="J833">
        <v>15</v>
      </c>
      <c r="K833">
        <v>13</v>
      </c>
      <c r="L833">
        <v>12</v>
      </c>
      <c r="M833">
        <v>1</v>
      </c>
      <c r="N833" t="s">
        <v>208</v>
      </c>
      <c r="O833" t="s">
        <v>76</v>
      </c>
      <c r="P833" t="s">
        <v>210</v>
      </c>
      <c r="Q833">
        <f t="shared" si="224"/>
        <v>2</v>
      </c>
      <c r="R833" t="str">
        <f t="shared" si="213"/>
        <v>8-2025</v>
      </c>
      <c r="S833" t="s">
        <v>104</v>
      </c>
      <c r="T833" t="str">
        <f t="shared" si="214"/>
        <v>Saturday</v>
      </c>
      <c r="U833">
        <f t="shared" ref="U833:U838" si="229">IF(E833&gt;=12,1,0)</f>
        <v>1</v>
      </c>
      <c r="V833" s="24">
        <f>IFERROR(Table2[[#This Row],[Gray Min]]/Table2[[#This Row],[ClassLength]],"")</f>
        <v>0.32786885245901637</v>
      </c>
      <c r="W833" s="24">
        <f>IFERROR(Table2[[#This Row],[Blue Min]]/Table2[[#This Row],[ClassLength]],"")</f>
        <v>0.24590163934426229</v>
      </c>
      <c r="X833" s="24">
        <f>IFERROR(Table2[[#This Row],[Green Min]]/Table2[[#This Row],[ClassLength]],"")</f>
        <v>0.21311475409836064</v>
      </c>
      <c r="Y833" s="24">
        <f>IFERROR(Table2[[#This Row],[Orange Min]]/Table2[[#This Row],[ClassLength]],"")</f>
        <v>0.19672131147540983</v>
      </c>
      <c r="Z833" s="24">
        <f>IFERROR(Table2[[#This Row],[Red Min]]/Table2[[#This Row],[ClassLength]],"")</f>
        <v>1.6393442622950821E-2</v>
      </c>
      <c r="AA833" s="25">
        <v>139</v>
      </c>
      <c r="AB833" s="25">
        <f t="shared" si="226"/>
        <v>9.9285714285714288</v>
      </c>
      <c r="AC833" s="26">
        <f t="shared" si="216"/>
        <v>619</v>
      </c>
      <c r="AD833" s="26">
        <f t="shared" si="217"/>
        <v>14.142857142857142</v>
      </c>
      <c r="AE833">
        <f t="shared" si="218"/>
        <v>2025</v>
      </c>
      <c r="AG833">
        <v>12</v>
      </c>
      <c r="AH833" s="26">
        <f t="shared" si="219"/>
        <v>10.278688524590164</v>
      </c>
      <c r="AI833" t="str">
        <f t="shared" si="220"/>
        <v>AM</v>
      </c>
      <c r="AJ833" t="str">
        <f t="shared" si="221"/>
        <v>8-2025-2</v>
      </c>
      <c r="AK833">
        <f t="shared" si="222"/>
        <v>8</v>
      </c>
      <c r="AL833" s="26">
        <f>IFERROR(Table2[[#This Row],[Calories]]/Table2[[#This Row],[Splat]],"")</f>
        <v>48.230769230769234</v>
      </c>
      <c r="AM833">
        <f>COUNTIF(N$2:$N$938,N833)</f>
        <v>78</v>
      </c>
      <c r="AN833" t="str">
        <f>VLOOKUP(N833,'Helpful Tables'!A:D,4,FALSE)</f>
        <v>Oregon</v>
      </c>
      <c r="AO833" s="24">
        <f>COUNTIF(AN:AN,Table2[[#This Row],[State]])/COUNTA(AN:AN)</f>
        <v>0.36140724946695096</v>
      </c>
      <c r="AP833">
        <f>VLOOKUP(N833,'Helpful Tables'!A:B,2,FALSE)</f>
        <v>45.525092999999998</v>
      </c>
      <c r="AQ833">
        <f>VLOOKUP(N833,'Helpful Tables'!A:C,3,FALSE)</f>
        <v>-122.681383</v>
      </c>
      <c r="AR833">
        <f>COUNTIF(P$2:$P$938,P833)</f>
        <v>16</v>
      </c>
      <c r="AS833" cm="1">
        <f t="array" ref="AS833">_xlfn.IFS(E833&lt;6,((E833/D833)*60)*0.5,AND(E833&gt;=6,E833&lt;9),((E833/D833)*60)*0.75,AND(E833&gt;=9,E833&lt;=11),((E833/D833)*60)*0.9,AND(E833=12),((E833/D833)*60)*1,AND(E833&gt;=13,E833&lt;=15),((E833/D833)*60)*1.2,AND(E833&gt;=16,E833&lt;=19),((E833/D833)*60)*1.5,E833&gt;=20,((E833/D833)*60)*1.8)</f>
        <v>15.344262295081965</v>
      </c>
      <c r="AT833" cm="1">
        <f t="array" ref="AT833">_xlfn.IFS(F833&lt;550,((F833/D833)*60)*0.5,AND(F833&gt;=550,F833&lt;575),((F833/D833)*60)*0.75,AND(F833&gt;=575,F833&lt;600),((F833/D833)*60)*0.9,AND(F833=600),((F833/D833)*60)*1,AND(F833&gt;=601,F833&lt;=625),((F833/D833)*60)*1.2,AND(F833&gt;=626,F833&lt;=650),((F833/D833)*60)*1.5,F833&gt;=651,((F833/D833)*60)*1.8)</f>
        <v>925.08196721311469</v>
      </c>
      <c r="AU833">
        <f t="shared" si="227"/>
        <v>-7.7999999999999972</v>
      </c>
      <c r="AV833">
        <f t="shared" si="225"/>
        <v>374.61049180327871</v>
      </c>
      <c r="AW833">
        <f t="shared" si="228"/>
        <v>43.8</v>
      </c>
      <c r="AX833" t="str">
        <f t="shared" si="223"/>
        <v>Aug-2025</v>
      </c>
      <c r="AY833">
        <f>ROUNDUP(Table2[[#This Row],[Month]]/3,0)</f>
        <v>3</v>
      </c>
    </row>
    <row r="834" spans="1:51" x14ac:dyDescent="0.2">
      <c r="A834">
        <v>833</v>
      </c>
      <c r="B834">
        <f t="shared" ref="B834:B897" si="230">COUNTIF(R:R,R834)</f>
        <v>14</v>
      </c>
      <c r="C834" s="22">
        <v>45880</v>
      </c>
      <c r="D834">
        <f>SUM(Table2[[#This Row],[Gray Min]:[Red Min]])</f>
        <v>60</v>
      </c>
      <c r="E834">
        <v>12</v>
      </c>
      <c r="F834">
        <v>634</v>
      </c>
      <c r="G834">
        <v>122</v>
      </c>
      <c r="H834">
        <v>168</v>
      </c>
      <c r="I834">
        <v>19</v>
      </c>
      <c r="J834">
        <v>13</v>
      </c>
      <c r="K834">
        <v>16</v>
      </c>
      <c r="L834">
        <v>11</v>
      </c>
      <c r="M834">
        <v>1</v>
      </c>
      <c r="N834" t="s">
        <v>125</v>
      </c>
      <c r="O834" t="s">
        <v>127</v>
      </c>
      <c r="P834" t="s">
        <v>238</v>
      </c>
      <c r="Q834">
        <f t="shared" si="224"/>
        <v>2</v>
      </c>
      <c r="R834" t="str">
        <f t="shared" ref="R834" si="231">MONTH(C834)&amp;"-"&amp;YEAR(C834)</f>
        <v>8-2025</v>
      </c>
      <c r="S834" t="s">
        <v>104</v>
      </c>
      <c r="T834" t="str">
        <f t="shared" ref="T834" si="232">IF(WEEKDAY(C834)=1,"Sunday",IF(WEEKDAY(C834)=2,"Monday",IF(WEEKDAY(C834)=3,"Tuesday",IF(WEEKDAY(C834)=4,"Wednesday",IF(WEEKDAY(C834)=5,"Thursday",IF(WEEKDAY(C834)=6,"Friday","Saturday"))))))</f>
        <v>Monday</v>
      </c>
      <c r="U834">
        <f t="shared" si="229"/>
        <v>1</v>
      </c>
      <c r="V834" s="24">
        <f>IFERROR(Table2[[#This Row],[Gray Min]]/Table2[[#This Row],[ClassLength]],"")</f>
        <v>0.31666666666666665</v>
      </c>
      <c r="W834" s="24">
        <f>IFERROR(Table2[[#This Row],[Blue Min]]/Table2[[#This Row],[ClassLength]],"")</f>
        <v>0.21666666666666667</v>
      </c>
      <c r="X834" s="24">
        <f>IFERROR(Table2[[#This Row],[Green Min]]/Table2[[#This Row],[ClassLength]],"")</f>
        <v>0.26666666666666666</v>
      </c>
      <c r="Y834" s="24">
        <f>IFERROR(Table2[[#This Row],[Orange Min]]/Table2[[#This Row],[ClassLength]],"")</f>
        <v>0.18333333333333332</v>
      </c>
      <c r="Z834" s="24">
        <f>IFERROR(Table2[[#This Row],[Red Min]]/Table2[[#This Row],[ClassLength]],"")</f>
        <v>1.6666666666666666E-2</v>
      </c>
      <c r="AA834" s="25">
        <v>139</v>
      </c>
      <c r="AB834" s="25">
        <f t="shared" si="226"/>
        <v>9.9285714285714288</v>
      </c>
      <c r="AC834" s="26">
        <f t="shared" ref="AC834:AC897" si="233">AVERAGEIF(R:R,R834,F:F)</f>
        <v>619</v>
      </c>
      <c r="AD834" s="26">
        <f t="shared" ref="AD834:AD897" si="234">AVERAGEIF(R:R,R834,E:E)</f>
        <v>14.142857142857142</v>
      </c>
      <c r="AE834">
        <f t="shared" ref="AE834:AE892" si="235">YEAR(C834)</f>
        <v>2025</v>
      </c>
      <c r="AG834">
        <v>12</v>
      </c>
      <c r="AH834" s="26">
        <f t="shared" ref="AH834:AH892" si="236">F834/D834</f>
        <v>10.566666666666666</v>
      </c>
      <c r="AI834" t="str">
        <f t="shared" ref="AI834:AI892" si="237">RIGHT(O834,2)</f>
        <v>PM</v>
      </c>
      <c r="AJ834" t="str">
        <f t="shared" ref="AJ834:AJ892" si="238">R834&amp;"-"&amp;WEEKNUM(C834,1)-WEEKNUM(DATE(YEAR(C834),MONTH(C834),1),1)+1</f>
        <v>8-2025-3</v>
      </c>
      <c r="AK834">
        <f t="shared" ref="AK834:AK892" si="239">MONTH(C834)</f>
        <v>8</v>
      </c>
      <c r="AL834" s="26">
        <f>IFERROR(Table2[[#This Row],[Calories]]/Table2[[#This Row],[Splat]],"")</f>
        <v>52.833333333333336</v>
      </c>
      <c r="AM834">
        <f>COUNTIF(N$2:$N$938,N834)</f>
        <v>258</v>
      </c>
      <c r="AN834" t="str">
        <f>VLOOKUP(N834,'Helpful Tables'!A:D,4,FALSE)</f>
        <v>Oregon</v>
      </c>
      <c r="AO834" s="24">
        <f>COUNTIF(AN:AN,Table2[[#This Row],[State]])/COUNTA(AN:AN)</f>
        <v>0.36140724946695096</v>
      </c>
      <c r="AP834">
        <f>VLOOKUP(N834,'Helpful Tables'!A:B,2,FALSE)</f>
        <v>45.534162000000002</v>
      </c>
      <c r="AQ834">
        <f>VLOOKUP(N834,'Helpful Tables'!A:C,3,FALSE)</f>
        <v>-122.69670000000001</v>
      </c>
      <c r="AR834">
        <f>COUNTIF(P$2:$P$938,P834)</f>
        <v>25</v>
      </c>
      <c r="AS834" cm="1">
        <f t="array" ref="AS834">_xlfn.IFS(E834&lt;6,((E834/D834)*60)*0.5,AND(E834&gt;=6,E834&lt;9),((E834/D834)*60)*0.75,AND(E834&gt;=9,E834&lt;=11),((E834/D834)*60)*0.9,AND(E834=12),((E834/D834)*60)*1,AND(E834&gt;=13,E834&lt;=15),((E834/D834)*60)*1.2,AND(E834&gt;=16,E834&lt;=19),((E834/D834)*60)*1.5,E834&gt;=20,((E834/D834)*60)*1.8)</f>
        <v>12</v>
      </c>
      <c r="AT834" cm="1">
        <f t="array" ref="AT834">_xlfn.IFS(F834&lt;550,((F834/D834)*60)*0.5,AND(F834&gt;=550,F834&lt;575),((F834/D834)*60)*0.75,AND(F834&gt;=575,F834&lt;600),((F834/D834)*60)*0.9,AND(F834=600),((F834/D834)*60)*1,AND(F834&gt;=601,F834&lt;=625),((F834/D834)*60)*1.2,AND(F834&gt;=626,F834&lt;=650),((F834/D834)*60)*1.5,F834&gt;=651,((F834/D834)*60)*1.8)</f>
        <v>951</v>
      </c>
      <c r="AU834">
        <f t="shared" si="227"/>
        <v>-2.1000000000000014</v>
      </c>
      <c r="AV834">
        <f t="shared" si="225"/>
        <v>384.78000000000003</v>
      </c>
      <c r="AW834">
        <f t="shared" si="228"/>
        <v>46.800000000000004</v>
      </c>
      <c r="AX834" t="str">
        <f t="shared" ref="AX834:AX892" si="240">_xlfn.CONCAT(TEXT(C834,"mmm"),"-",AE834)</f>
        <v>Aug-2025</v>
      </c>
      <c r="AY834">
        <f>ROUNDUP(Table2[[#This Row],[Month]]/3,0)</f>
        <v>3</v>
      </c>
    </row>
    <row r="835" spans="1:51" x14ac:dyDescent="0.2">
      <c r="A835">
        <v>834</v>
      </c>
      <c r="B835">
        <f t="shared" si="230"/>
        <v>14</v>
      </c>
      <c r="C835" s="22">
        <v>45881</v>
      </c>
      <c r="D835">
        <f>SUM(Table2[[#This Row],[Gray Min]:[Red Min]])</f>
        <v>60</v>
      </c>
      <c r="E835">
        <v>17</v>
      </c>
      <c r="F835">
        <v>666</v>
      </c>
      <c r="G835">
        <v>126</v>
      </c>
      <c r="H835">
        <v>159</v>
      </c>
      <c r="I835">
        <v>11</v>
      </c>
      <c r="J835">
        <v>19</v>
      </c>
      <c r="K835">
        <v>13</v>
      </c>
      <c r="L835">
        <v>17</v>
      </c>
      <c r="M835">
        <v>0</v>
      </c>
      <c r="N835" t="s">
        <v>208</v>
      </c>
      <c r="O835" t="s">
        <v>53</v>
      </c>
      <c r="P835" t="s">
        <v>213</v>
      </c>
      <c r="Q835">
        <f t="shared" ref="Q835:Q840" si="241">C835-C834</f>
        <v>1</v>
      </c>
      <c r="R835" t="str">
        <f t="shared" ref="R835:R840" si="242">MONTH(C835)&amp;"-"&amp;YEAR(C835)</f>
        <v>8-2025</v>
      </c>
      <c r="S835" t="s">
        <v>104</v>
      </c>
      <c r="T835" t="str">
        <f t="shared" ref="T835:T840" si="243">IF(WEEKDAY(C835)=1,"Sunday",IF(WEEKDAY(C835)=2,"Monday",IF(WEEKDAY(C835)=3,"Tuesday",IF(WEEKDAY(C835)=4,"Wednesday",IF(WEEKDAY(C835)=5,"Thursday",IF(WEEKDAY(C835)=6,"Friday","Saturday"))))))</f>
        <v>Tuesday</v>
      </c>
      <c r="U835">
        <f t="shared" si="229"/>
        <v>1</v>
      </c>
      <c r="V835" s="24">
        <f>IFERROR(Table2[[#This Row],[Gray Min]]/Table2[[#This Row],[ClassLength]],"")</f>
        <v>0.18333333333333332</v>
      </c>
      <c r="W835" s="24">
        <f>IFERROR(Table2[[#This Row],[Blue Min]]/Table2[[#This Row],[ClassLength]],"")</f>
        <v>0.31666666666666665</v>
      </c>
      <c r="X835" s="24">
        <f>IFERROR(Table2[[#This Row],[Green Min]]/Table2[[#This Row],[ClassLength]],"")</f>
        <v>0.21666666666666667</v>
      </c>
      <c r="Y835" s="24">
        <f>IFERROR(Table2[[#This Row],[Orange Min]]/Table2[[#This Row],[ClassLength]],"")</f>
        <v>0.28333333333333333</v>
      </c>
      <c r="Z835" s="24">
        <f>IFERROR(Table2[[#This Row],[Red Min]]/Table2[[#This Row],[ClassLength]],"")</f>
        <v>0</v>
      </c>
      <c r="AA835" s="25">
        <v>139</v>
      </c>
      <c r="AB835" s="25">
        <f t="shared" si="226"/>
        <v>9.9285714285714288</v>
      </c>
      <c r="AC835" s="26">
        <f t="shared" si="233"/>
        <v>619</v>
      </c>
      <c r="AD835" s="26">
        <f t="shared" si="234"/>
        <v>14.142857142857142</v>
      </c>
      <c r="AE835">
        <f t="shared" si="235"/>
        <v>2025</v>
      </c>
      <c r="AG835">
        <v>12</v>
      </c>
      <c r="AH835" s="26">
        <f t="shared" si="236"/>
        <v>11.1</v>
      </c>
      <c r="AI835" t="str">
        <f t="shared" si="237"/>
        <v>PM</v>
      </c>
      <c r="AJ835" t="str">
        <f t="shared" si="238"/>
        <v>8-2025-3</v>
      </c>
      <c r="AK835">
        <f t="shared" si="239"/>
        <v>8</v>
      </c>
      <c r="AL835" s="26">
        <f>IFERROR(Table2[[#This Row],[Calories]]/Table2[[#This Row],[Splat]],"")</f>
        <v>39.176470588235297</v>
      </c>
      <c r="AM835">
        <f>COUNTIF(N$2:$N$938,N835)</f>
        <v>78</v>
      </c>
      <c r="AN835" t="str">
        <f>VLOOKUP(N835,'Helpful Tables'!A:D,4,FALSE)</f>
        <v>Oregon</v>
      </c>
      <c r="AO835" s="24">
        <f>COUNTIF(AN:AN,Table2[[#This Row],[State]])/COUNTA(AN:AN)</f>
        <v>0.36140724946695096</v>
      </c>
      <c r="AP835">
        <f>VLOOKUP(N835,'Helpful Tables'!A:B,2,FALSE)</f>
        <v>45.525092999999998</v>
      </c>
      <c r="AQ835">
        <f>VLOOKUP(N835,'Helpful Tables'!A:C,3,FALSE)</f>
        <v>-122.681383</v>
      </c>
      <c r="AR835">
        <f>COUNTIF(P$2:$P$938,P835)</f>
        <v>40</v>
      </c>
      <c r="AS835" cm="1">
        <f t="array" ref="AS835">_xlfn.IFS(E835&lt;6,((E835/D835)*60)*0.5,AND(E835&gt;=6,E835&lt;9),((E835/D835)*60)*0.75,AND(E835&gt;=9,E835&lt;=11),((E835/D835)*60)*0.9,AND(E835=12),((E835/D835)*60)*1,AND(E835&gt;=13,E835&lt;=15),((E835/D835)*60)*1.2,AND(E835&gt;=16,E835&lt;=19),((E835/D835)*60)*1.5,E835&gt;=20,((E835/D835)*60)*1.8)</f>
        <v>25.5</v>
      </c>
      <c r="AT835" cm="1">
        <f t="array" ref="AT835">_xlfn.IFS(F835&lt;550,((F835/D835)*60)*0.5,AND(F835&gt;=550,F835&lt;575),((F835/D835)*60)*0.75,AND(F835&gt;=575,F835&lt;600),((F835/D835)*60)*0.9,AND(F835=600),((F835/D835)*60)*1,AND(F835&gt;=601,F835&lt;=625),((F835/D835)*60)*1.2,AND(F835&gt;=626,F835&lt;=650),((F835/D835)*60)*1.5,F835&gt;=651,((F835/D835)*60)*1.8)</f>
        <v>1198.8</v>
      </c>
      <c r="AU835">
        <f t="shared" si="227"/>
        <v>3.6000000000000014</v>
      </c>
      <c r="AV835">
        <f t="shared" ref="AV835:AV838" si="244">(AS835*0.4)+(AT835*0.4)+(AU835*0.2)</f>
        <v>490.44</v>
      </c>
      <c r="AW835">
        <f t="shared" si="228"/>
        <v>74.5</v>
      </c>
      <c r="AX835" t="str">
        <f t="shared" si="240"/>
        <v>Aug-2025</v>
      </c>
      <c r="AY835">
        <f>ROUNDUP(Table2[[#This Row],[Month]]/3,0)</f>
        <v>3</v>
      </c>
    </row>
    <row r="836" spans="1:51" x14ac:dyDescent="0.2">
      <c r="A836">
        <v>835</v>
      </c>
      <c r="B836">
        <f t="shared" si="230"/>
        <v>14</v>
      </c>
      <c r="C836" s="22">
        <v>45884</v>
      </c>
      <c r="D836">
        <f>SUM(Table2[[#This Row],[Gray Min]:[Red Min]])</f>
        <v>61</v>
      </c>
      <c r="E836">
        <v>12</v>
      </c>
      <c r="F836">
        <v>597</v>
      </c>
      <c r="G836">
        <v>118</v>
      </c>
      <c r="H836">
        <v>165</v>
      </c>
      <c r="I836">
        <v>25</v>
      </c>
      <c r="J836">
        <v>11</v>
      </c>
      <c r="K836">
        <v>13</v>
      </c>
      <c r="L836">
        <v>11</v>
      </c>
      <c r="M836">
        <v>1</v>
      </c>
      <c r="N836" t="s">
        <v>125</v>
      </c>
      <c r="O836" t="s">
        <v>127</v>
      </c>
      <c r="P836" t="s">
        <v>281</v>
      </c>
      <c r="Q836">
        <f t="shared" si="241"/>
        <v>3</v>
      </c>
      <c r="R836" t="str">
        <f t="shared" si="242"/>
        <v>8-2025</v>
      </c>
      <c r="S836" t="s">
        <v>104</v>
      </c>
      <c r="T836" t="str">
        <f t="shared" si="243"/>
        <v>Friday</v>
      </c>
      <c r="U836">
        <f t="shared" si="229"/>
        <v>1</v>
      </c>
      <c r="V836" s="24">
        <f>IFERROR(Table2[[#This Row],[Gray Min]]/Table2[[#This Row],[ClassLength]],"")</f>
        <v>0.4098360655737705</v>
      </c>
      <c r="W836" s="24">
        <f>IFERROR(Table2[[#This Row],[Blue Min]]/Table2[[#This Row],[ClassLength]],"")</f>
        <v>0.18032786885245902</v>
      </c>
      <c r="X836" s="24">
        <f>IFERROR(Table2[[#This Row],[Green Min]]/Table2[[#This Row],[ClassLength]],"")</f>
        <v>0.21311475409836064</v>
      </c>
      <c r="Y836" s="24">
        <f>IFERROR(Table2[[#This Row],[Orange Min]]/Table2[[#This Row],[ClassLength]],"")</f>
        <v>0.18032786885245902</v>
      </c>
      <c r="Z836" s="24">
        <f>IFERROR(Table2[[#This Row],[Red Min]]/Table2[[#This Row],[ClassLength]],"")</f>
        <v>1.6393442622950821E-2</v>
      </c>
      <c r="AA836" s="25">
        <v>139</v>
      </c>
      <c r="AB836" s="25">
        <f t="shared" si="226"/>
        <v>9.9285714285714288</v>
      </c>
      <c r="AC836" s="26">
        <f t="shared" si="233"/>
        <v>619</v>
      </c>
      <c r="AD836" s="26">
        <f t="shared" si="234"/>
        <v>14.142857142857142</v>
      </c>
      <c r="AE836">
        <f t="shared" si="235"/>
        <v>2025</v>
      </c>
      <c r="AG836">
        <v>12</v>
      </c>
      <c r="AH836" s="26">
        <f t="shared" si="236"/>
        <v>9.7868852459016402</v>
      </c>
      <c r="AI836" t="str">
        <f t="shared" si="237"/>
        <v>PM</v>
      </c>
      <c r="AJ836" t="str">
        <f t="shared" si="238"/>
        <v>8-2025-3</v>
      </c>
      <c r="AK836">
        <f t="shared" si="239"/>
        <v>8</v>
      </c>
      <c r="AL836" s="26">
        <f>IFERROR(Table2[[#This Row],[Calories]]/Table2[[#This Row],[Splat]],"")</f>
        <v>49.75</v>
      </c>
      <c r="AM836">
        <f>COUNTIF(N$2:$N$938,N836)</f>
        <v>258</v>
      </c>
      <c r="AN836" t="str">
        <f>VLOOKUP(N836,'Helpful Tables'!A:D,4,FALSE)</f>
        <v>Oregon</v>
      </c>
      <c r="AO836" s="24">
        <f>COUNTIF(AN:AN,Table2[[#This Row],[State]])/COUNTA(AN:AN)</f>
        <v>0.36140724946695096</v>
      </c>
      <c r="AP836">
        <f>VLOOKUP(N836,'Helpful Tables'!A:B,2,FALSE)</f>
        <v>45.534162000000002</v>
      </c>
      <c r="AQ836">
        <f>VLOOKUP(N836,'Helpful Tables'!A:C,3,FALSE)</f>
        <v>-122.69670000000001</v>
      </c>
      <c r="AR836">
        <f>COUNTIF(P$2:$P$938,P836)</f>
        <v>41</v>
      </c>
      <c r="AS836" cm="1">
        <f t="array" ref="AS836">_xlfn.IFS(E836&lt;6,((E836/D836)*60)*0.5,AND(E836&gt;=6,E836&lt;9),((E836/D836)*60)*0.75,AND(E836&gt;=9,E836&lt;=11),((E836/D836)*60)*0.9,AND(E836=12),((E836/D836)*60)*1,AND(E836&gt;=13,E836&lt;=15),((E836/D836)*60)*1.2,AND(E836&gt;=16,E836&lt;=19),((E836/D836)*60)*1.5,E836&gt;=20,((E836/D836)*60)*1.8)</f>
        <v>11.803278688524589</v>
      </c>
      <c r="AT836" cm="1">
        <f t="array" ref="AT836">_xlfn.IFS(F836&lt;550,((F836/D836)*60)*0.5,AND(F836&gt;=550,F836&lt;575),((F836/D836)*60)*0.75,AND(F836&gt;=575,F836&lt;600),((F836/D836)*60)*0.9,AND(F836=600),((F836/D836)*60)*1,AND(F836&gt;=601,F836&lt;=625),((F836/D836)*60)*1.2,AND(F836&gt;=626,F836&lt;=650),((F836/D836)*60)*1.5,F836&gt;=651,((F836/D836)*60)*1.8)</f>
        <v>528.49180327868862</v>
      </c>
      <c r="AU836">
        <f t="shared" si="227"/>
        <v>-10.7</v>
      </c>
      <c r="AV836">
        <f t="shared" si="244"/>
        <v>213.97803278688531</v>
      </c>
      <c r="AW836">
        <f t="shared" si="228"/>
        <v>15</v>
      </c>
      <c r="AX836" t="str">
        <f t="shared" si="240"/>
        <v>Aug-2025</v>
      </c>
      <c r="AY836">
        <f>ROUNDUP(Table2[[#This Row],[Month]]/3,0)</f>
        <v>3</v>
      </c>
    </row>
    <row r="837" spans="1:51" x14ac:dyDescent="0.2">
      <c r="A837">
        <v>836</v>
      </c>
      <c r="B837">
        <f t="shared" si="230"/>
        <v>14</v>
      </c>
      <c r="C837" s="22">
        <v>45885</v>
      </c>
      <c r="D837">
        <f>SUM(Table2[[#This Row],[Gray Min]:[Red Min]])</f>
        <v>58</v>
      </c>
      <c r="E837">
        <v>17</v>
      </c>
      <c r="F837">
        <v>651</v>
      </c>
      <c r="G837">
        <v>128</v>
      </c>
      <c r="H837">
        <v>165</v>
      </c>
      <c r="I837">
        <v>12</v>
      </c>
      <c r="J837">
        <v>15</v>
      </c>
      <c r="K837">
        <v>14</v>
      </c>
      <c r="L837">
        <v>16</v>
      </c>
      <c r="M837">
        <v>1</v>
      </c>
      <c r="N837" t="s">
        <v>125</v>
      </c>
      <c r="O837" t="s">
        <v>159</v>
      </c>
      <c r="P837" t="s">
        <v>281</v>
      </c>
      <c r="Q837">
        <f t="shared" si="241"/>
        <v>1</v>
      </c>
      <c r="R837" t="str">
        <f t="shared" si="242"/>
        <v>8-2025</v>
      </c>
      <c r="S837" t="s">
        <v>104</v>
      </c>
      <c r="T837" t="str">
        <f t="shared" si="243"/>
        <v>Saturday</v>
      </c>
      <c r="U837">
        <f t="shared" si="229"/>
        <v>1</v>
      </c>
      <c r="V837" s="24">
        <f>IFERROR(Table2[[#This Row],[Gray Min]]/Table2[[#This Row],[ClassLength]],"")</f>
        <v>0.20689655172413793</v>
      </c>
      <c r="W837" s="24">
        <f>IFERROR(Table2[[#This Row],[Blue Min]]/Table2[[#This Row],[ClassLength]],"")</f>
        <v>0.25862068965517243</v>
      </c>
      <c r="X837" s="24">
        <f>IFERROR(Table2[[#This Row],[Green Min]]/Table2[[#This Row],[ClassLength]],"")</f>
        <v>0.2413793103448276</v>
      </c>
      <c r="Y837" s="24">
        <f>IFERROR(Table2[[#This Row],[Orange Min]]/Table2[[#This Row],[ClassLength]],"")</f>
        <v>0.27586206896551724</v>
      </c>
      <c r="Z837" s="24">
        <f>IFERROR(Table2[[#This Row],[Red Min]]/Table2[[#This Row],[ClassLength]],"")</f>
        <v>1.7241379310344827E-2</v>
      </c>
      <c r="AA837" s="25">
        <v>139</v>
      </c>
      <c r="AB837" s="25">
        <f t="shared" si="226"/>
        <v>9.9285714285714288</v>
      </c>
      <c r="AC837" s="26">
        <f t="shared" si="233"/>
        <v>619</v>
      </c>
      <c r="AD837" s="26">
        <f t="shared" si="234"/>
        <v>14.142857142857142</v>
      </c>
      <c r="AE837">
        <f t="shared" si="235"/>
        <v>2025</v>
      </c>
      <c r="AG837">
        <v>12</v>
      </c>
      <c r="AH837" s="26">
        <f t="shared" si="236"/>
        <v>11.224137931034482</v>
      </c>
      <c r="AI837" t="str">
        <f t="shared" si="237"/>
        <v>AM</v>
      </c>
      <c r="AJ837" t="str">
        <f t="shared" si="238"/>
        <v>8-2025-3</v>
      </c>
      <c r="AK837">
        <f t="shared" si="239"/>
        <v>8</v>
      </c>
      <c r="AL837" s="26">
        <f>IFERROR(Table2[[#This Row],[Calories]]/Table2[[#This Row],[Splat]],"")</f>
        <v>38.294117647058826</v>
      </c>
      <c r="AM837">
        <f>COUNTIF(N$2:$N$938,N837)</f>
        <v>258</v>
      </c>
      <c r="AN837" t="str">
        <f>VLOOKUP(N837,'Helpful Tables'!A:D,4,FALSE)</f>
        <v>Oregon</v>
      </c>
      <c r="AO837" s="24">
        <f>COUNTIF(AN:AN,Table2[[#This Row],[State]])/COUNTA(AN:AN)</f>
        <v>0.36140724946695096</v>
      </c>
      <c r="AP837">
        <f>VLOOKUP(N837,'Helpful Tables'!A:B,2,FALSE)</f>
        <v>45.534162000000002</v>
      </c>
      <c r="AQ837">
        <f>VLOOKUP(N837,'Helpful Tables'!A:C,3,FALSE)</f>
        <v>-122.69670000000001</v>
      </c>
      <c r="AR837">
        <f>COUNTIF(P$2:$P$938,P837)</f>
        <v>41</v>
      </c>
      <c r="AS837" cm="1">
        <f t="array" ref="AS837">_xlfn.IFS(E837&lt;6,((E837/D837)*60)*0.5,AND(E837&gt;=6,E837&lt;9),((E837/D837)*60)*0.75,AND(E837&gt;=9,E837&lt;=11),((E837/D837)*60)*0.9,AND(E837=12),((E837/D837)*60)*1,AND(E837&gt;=13,E837&lt;=15),((E837/D837)*60)*1.2,AND(E837&gt;=16,E837&lt;=19),((E837/D837)*60)*1.5,E837&gt;=20,((E837/D837)*60)*1.8)</f>
        <v>26.379310344827584</v>
      </c>
      <c r="AT837" cm="1">
        <f t="array" ref="AT837">_xlfn.IFS(F837&lt;550,((F837/D837)*60)*0.5,AND(F837&gt;=550,F837&lt;575),((F837/D837)*60)*0.75,AND(F837&gt;=575,F837&lt;600),((F837/D837)*60)*0.9,AND(F837=600),((F837/D837)*60)*1,AND(F837&gt;=601,F837&lt;=625),((F837/D837)*60)*1.2,AND(F837&gt;=626,F837&lt;=650),((F837/D837)*60)*1.5,F837&gt;=651,((F837/D837)*60)*1.8)</f>
        <v>1212.2068965517242</v>
      </c>
      <c r="AU837">
        <f t="shared" si="227"/>
        <v>8.2000000000000028</v>
      </c>
      <c r="AV837">
        <f t="shared" si="244"/>
        <v>497.07448275862072</v>
      </c>
      <c r="AW837">
        <f t="shared" si="228"/>
        <v>77.2</v>
      </c>
      <c r="AX837" t="str">
        <f t="shared" si="240"/>
        <v>Aug-2025</v>
      </c>
      <c r="AY837">
        <f>ROUNDUP(Table2[[#This Row],[Month]]/3,0)</f>
        <v>3</v>
      </c>
    </row>
    <row r="838" spans="1:51" x14ac:dyDescent="0.2">
      <c r="A838">
        <v>837</v>
      </c>
      <c r="B838">
        <f t="shared" si="230"/>
        <v>14</v>
      </c>
      <c r="C838" s="22">
        <v>45889</v>
      </c>
      <c r="D838">
        <f>SUM(Table2[[#This Row],[Gray Min]:[Red Min]])</f>
        <v>58</v>
      </c>
      <c r="E838">
        <v>16</v>
      </c>
      <c r="F838">
        <v>645</v>
      </c>
      <c r="G838">
        <v>127</v>
      </c>
      <c r="H838">
        <v>168</v>
      </c>
      <c r="I838">
        <v>11</v>
      </c>
      <c r="J838">
        <v>19</v>
      </c>
      <c r="K838">
        <v>12</v>
      </c>
      <c r="L838">
        <v>14</v>
      </c>
      <c r="M838">
        <v>2</v>
      </c>
      <c r="N838" t="s">
        <v>125</v>
      </c>
      <c r="O838" t="s">
        <v>127</v>
      </c>
      <c r="P838" t="s">
        <v>281</v>
      </c>
      <c r="Q838">
        <f t="shared" si="241"/>
        <v>4</v>
      </c>
      <c r="R838" t="str">
        <f t="shared" si="242"/>
        <v>8-2025</v>
      </c>
      <c r="S838" t="s">
        <v>104</v>
      </c>
      <c r="T838" t="str">
        <f t="shared" si="243"/>
        <v>Wednesday</v>
      </c>
      <c r="U838">
        <f t="shared" si="229"/>
        <v>1</v>
      </c>
      <c r="V838" s="24">
        <f>IFERROR(Table2[[#This Row],[Gray Min]]/Table2[[#This Row],[ClassLength]],"")</f>
        <v>0.18965517241379309</v>
      </c>
      <c r="W838" s="24">
        <f>IFERROR(Table2[[#This Row],[Blue Min]]/Table2[[#This Row],[ClassLength]],"")</f>
        <v>0.32758620689655171</v>
      </c>
      <c r="X838" s="24">
        <f>IFERROR(Table2[[#This Row],[Green Min]]/Table2[[#This Row],[ClassLength]],"")</f>
        <v>0.20689655172413793</v>
      </c>
      <c r="Y838" s="24">
        <f>IFERROR(Table2[[#This Row],[Orange Min]]/Table2[[#This Row],[ClassLength]],"")</f>
        <v>0.2413793103448276</v>
      </c>
      <c r="Z838" s="24">
        <f>IFERROR(Table2[[#This Row],[Red Min]]/Table2[[#This Row],[ClassLength]],"")</f>
        <v>3.4482758620689655E-2</v>
      </c>
      <c r="AA838" s="25">
        <v>139</v>
      </c>
      <c r="AB838" s="25">
        <f t="shared" si="226"/>
        <v>9.9285714285714288</v>
      </c>
      <c r="AC838" s="26">
        <f t="shared" si="233"/>
        <v>619</v>
      </c>
      <c r="AD838" s="26">
        <f t="shared" si="234"/>
        <v>14.142857142857142</v>
      </c>
      <c r="AE838">
        <f t="shared" si="235"/>
        <v>2025</v>
      </c>
      <c r="AG838">
        <v>12</v>
      </c>
      <c r="AH838" s="26">
        <f t="shared" si="236"/>
        <v>11.120689655172415</v>
      </c>
      <c r="AI838" t="str">
        <f t="shared" si="237"/>
        <v>PM</v>
      </c>
      <c r="AJ838" t="str">
        <f t="shared" si="238"/>
        <v>8-2025-4</v>
      </c>
      <c r="AK838">
        <f t="shared" si="239"/>
        <v>8</v>
      </c>
      <c r="AL838" s="26">
        <f>IFERROR(Table2[[#This Row],[Calories]]/Table2[[#This Row],[Splat]],"")</f>
        <v>40.3125</v>
      </c>
      <c r="AM838">
        <f>COUNTIF(N$2:$N$938,N838)</f>
        <v>258</v>
      </c>
      <c r="AN838" t="str">
        <f>VLOOKUP(N838,'Helpful Tables'!A:D,4,FALSE)</f>
        <v>Oregon</v>
      </c>
      <c r="AO838" s="24">
        <f>COUNTIF(AN:AN,Table2[[#This Row],[State]])/COUNTA(AN:AN)</f>
        <v>0.36140724946695096</v>
      </c>
      <c r="AP838">
        <f>VLOOKUP(N838,'Helpful Tables'!A:B,2,FALSE)</f>
        <v>45.534162000000002</v>
      </c>
      <c r="AQ838">
        <f>VLOOKUP(N838,'Helpful Tables'!A:C,3,FALSE)</f>
        <v>-122.69670000000001</v>
      </c>
      <c r="AR838">
        <f>COUNTIF(P$2:$P$938,P838)</f>
        <v>41</v>
      </c>
      <c r="AS838" cm="1">
        <f t="array" ref="AS838">_xlfn.IFS(E838&lt;6,((E838/D838)*60)*0.5,AND(E838&gt;=6,E838&lt;9),((E838/D838)*60)*0.75,AND(E838&gt;=9,E838&lt;=11),((E838/D838)*60)*0.9,AND(E838=12),((E838/D838)*60)*1,AND(E838&gt;=13,E838&lt;=15),((E838/D838)*60)*1.2,AND(E838&gt;=16,E838&lt;=19),((E838/D838)*60)*1.5,E838&gt;=20,((E838/D838)*60)*1.8)</f>
        <v>24.827586206896555</v>
      </c>
      <c r="AT838" cm="1">
        <f t="array" ref="AT838">_xlfn.IFS(F838&lt;550,((F838/D838)*60)*0.5,AND(F838&gt;=550,F838&lt;575),((F838/D838)*60)*0.75,AND(F838&gt;=575,F838&lt;600),((F838/D838)*60)*0.9,AND(F838=600),((F838/D838)*60)*1,AND(F838&gt;=601,F838&lt;=625),((F838/D838)*60)*1.2,AND(F838&gt;=626,F838&lt;=650),((F838/D838)*60)*1.5,F838&gt;=651,((F838/D838)*60)*1.8)</f>
        <v>1000.8620689655173</v>
      </c>
      <c r="AU838">
        <f t="shared" si="227"/>
        <v>1.4999999999999964</v>
      </c>
      <c r="AV838">
        <f t="shared" si="244"/>
        <v>410.57586206896559</v>
      </c>
      <c r="AW838">
        <f t="shared" si="228"/>
        <v>58.4</v>
      </c>
      <c r="AX838" t="str">
        <f t="shared" si="240"/>
        <v>Aug-2025</v>
      </c>
      <c r="AY838">
        <f>ROUNDUP(Table2[[#This Row],[Month]]/3,0)</f>
        <v>3</v>
      </c>
    </row>
    <row r="839" spans="1:51" x14ac:dyDescent="0.2">
      <c r="A839">
        <v>838</v>
      </c>
      <c r="B839">
        <f t="shared" si="230"/>
        <v>14</v>
      </c>
      <c r="C839" s="22">
        <v>45891</v>
      </c>
      <c r="D839">
        <f>SUM(Table2[[#This Row],[Gray Min]:[Red Min]])</f>
        <v>61</v>
      </c>
      <c r="E839">
        <v>13</v>
      </c>
      <c r="F839">
        <v>635</v>
      </c>
      <c r="G839">
        <v>122</v>
      </c>
      <c r="H839">
        <v>168</v>
      </c>
      <c r="I839">
        <v>16</v>
      </c>
      <c r="J839">
        <v>20</v>
      </c>
      <c r="K839">
        <v>12</v>
      </c>
      <c r="L839">
        <v>12</v>
      </c>
      <c r="M839">
        <v>1</v>
      </c>
      <c r="N839" t="s">
        <v>125</v>
      </c>
      <c r="O839" t="s">
        <v>127</v>
      </c>
      <c r="P839" t="s">
        <v>281</v>
      </c>
      <c r="Q839">
        <f t="shared" si="241"/>
        <v>2</v>
      </c>
      <c r="R839" t="str">
        <f t="shared" si="242"/>
        <v>8-2025</v>
      </c>
      <c r="S839" t="s">
        <v>104</v>
      </c>
      <c r="T839" t="str">
        <f t="shared" si="243"/>
        <v>Friday</v>
      </c>
      <c r="U839">
        <f t="shared" ref="U839:U844" si="245">IF(E839&gt;=12,1,0)</f>
        <v>1</v>
      </c>
      <c r="V839" s="24">
        <f>IFERROR(Table2[[#This Row],[Gray Min]]/Table2[[#This Row],[ClassLength]],"")</f>
        <v>0.26229508196721313</v>
      </c>
      <c r="W839" s="24">
        <f>IFERROR(Table2[[#This Row],[Blue Min]]/Table2[[#This Row],[ClassLength]],"")</f>
        <v>0.32786885245901637</v>
      </c>
      <c r="X839" s="24">
        <f>IFERROR(Table2[[#This Row],[Green Min]]/Table2[[#This Row],[ClassLength]],"")</f>
        <v>0.19672131147540983</v>
      </c>
      <c r="Y839" s="24">
        <f>IFERROR(Table2[[#This Row],[Orange Min]]/Table2[[#This Row],[ClassLength]],"")</f>
        <v>0.19672131147540983</v>
      </c>
      <c r="Z839" s="24">
        <f>IFERROR(Table2[[#This Row],[Red Min]]/Table2[[#This Row],[ClassLength]],"")</f>
        <v>1.6393442622950821E-2</v>
      </c>
      <c r="AA839" s="25">
        <v>139</v>
      </c>
      <c r="AB839" s="25">
        <f t="shared" si="226"/>
        <v>9.9285714285714288</v>
      </c>
      <c r="AC839" s="26">
        <f t="shared" si="233"/>
        <v>619</v>
      </c>
      <c r="AD839" s="26">
        <f t="shared" si="234"/>
        <v>14.142857142857142</v>
      </c>
      <c r="AE839">
        <f t="shared" si="235"/>
        <v>2025</v>
      </c>
      <c r="AG839">
        <v>12</v>
      </c>
      <c r="AH839" s="26">
        <f t="shared" si="236"/>
        <v>10.409836065573771</v>
      </c>
      <c r="AI839" t="str">
        <f t="shared" si="237"/>
        <v>PM</v>
      </c>
      <c r="AJ839" t="str">
        <f t="shared" si="238"/>
        <v>8-2025-4</v>
      </c>
      <c r="AK839">
        <f t="shared" si="239"/>
        <v>8</v>
      </c>
      <c r="AL839" s="26">
        <f>IFERROR(Table2[[#This Row],[Calories]]/Table2[[#This Row],[Splat]],"")</f>
        <v>48.846153846153847</v>
      </c>
      <c r="AM839">
        <f>COUNTIF(N$2:$N$938,N839)</f>
        <v>258</v>
      </c>
      <c r="AN839" t="str">
        <f>VLOOKUP(N839,'Helpful Tables'!A:D,4,FALSE)</f>
        <v>Oregon</v>
      </c>
      <c r="AO839" s="24">
        <f>COUNTIF(AN:AN,Table2[[#This Row],[State]])/COUNTA(AN:AN)</f>
        <v>0.36140724946695096</v>
      </c>
      <c r="AP839">
        <f>VLOOKUP(N839,'Helpful Tables'!A:B,2,FALSE)</f>
        <v>45.534162000000002</v>
      </c>
      <c r="AQ839">
        <f>VLOOKUP(N839,'Helpful Tables'!A:C,3,FALSE)</f>
        <v>-122.69670000000001</v>
      </c>
      <c r="AR839">
        <f>COUNTIF(P$2:$P$938,P839)</f>
        <v>41</v>
      </c>
      <c r="AS839" cm="1">
        <f t="array" ref="AS839">_xlfn.IFS(E839&lt;6,((E839/D839)*60)*0.5,AND(E839&gt;=6,E839&lt;9),((E839/D839)*60)*0.75,AND(E839&gt;=9,E839&lt;=11),((E839/D839)*60)*0.9,AND(E839=12),((E839/D839)*60)*1,AND(E839&gt;=13,E839&lt;=15),((E839/D839)*60)*1.2,AND(E839&gt;=16,E839&lt;=19),((E839/D839)*60)*1.5,E839&gt;=20,((E839/D839)*60)*1.8)</f>
        <v>15.344262295081965</v>
      </c>
      <c r="AT839" cm="1">
        <f t="array" ref="AT839">_xlfn.IFS(F839&lt;550,((F839/D839)*60)*0.5,AND(F839&gt;=550,F839&lt;575),((F839/D839)*60)*0.75,AND(F839&gt;=575,F839&lt;600),((F839/D839)*60)*0.9,AND(F839=600),((F839/D839)*60)*1,AND(F839&gt;=601,F839&lt;=625),((F839/D839)*60)*1.2,AND(F839&gt;=626,F839&lt;=650),((F839/D839)*60)*1.5,F839&gt;=651,((F839/D839)*60)*1.8)</f>
        <v>936.88524590163945</v>
      </c>
      <c r="AU839">
        <f t="shared" si="227"/>
        <v>-9.7000000000000028</v>
      </c>
      <c r="AV839">
        <f t="shared" ref="AV839:AV844" si="246">(AS839*0.4)+(AT839*0.4)+(AU839*0.2)</f>
        <v>378.9518032786886</v>
      </c>
      <c r="AW839">
        <f t="shared" si="228"/>
        <v>44.800000000000004</v>
      </c>
      <c r="AX839" t="str">
        <f t="shared" si="240"/>
        <v>Aug-2025</v>
      </c>
      <c r="AY839">
        <f>ROUNDUP(Table2[[#This Row],[Month]]/3,0)</f>
        <v>3</v>
      </c>
    </row>
    <row r="840" spans="1:51" x14ac:dyDescent="0.2">
      <c r="A840">
        <v>839</v>
      </c>
      <c r="B840">
        <f t="shared" si="230"/>
        <v>14</v>
      </c>
      <c r="C840" s="22">
        <v>45892</v>
      </c>
      <c r="D840">
        <f>SUM(Table2[[#This Row],[Gray Min]:[Red Min]])</f>
        <v>56</v>
      </c>
      <c r="E840">
        <v>14</v>
      </c>
      <c r="F840">
        <v>590</v>
      </c>
      <c r="G840">
        <v>122</v>
      </c>
      <c r="H840">
        <v>166</v>
      </c>
      <c r="I840">
        <v>20</v>
      </c>
      <c r="J840">
        <v>11</v>
      </c>
      <c r="K840">
        <v>11</v>
      </c>
      <c r="L840">
        <v>13</v>
      </c>
      <c r="M840">
        <v>1</v>
      </c>
      <c r="N840" t="s">
        <v>208</v>
      </c>
      <c r="O840" t="s">
        <v>76</v>
      </c>
      <c r="P840" t="s">
        <v>210</v>
      </c>
      <c r="Q840">
        <f t="shared" si="241"/>
        <v>1</v>
      </c>
      <c r="R840" t="str">
        <f t="shared" si="242"/>
        <v>8-2025</v>
      </c>
      <c r="S840" t="s">
        <v>104</v>
      </c>
      <c r="T840" t="str">
        <f t="shared" si="243"/>
        <v>Saturday</v>
      </c>
      <c r="U840">
        <f t="shared" si="245"/>
        <v>1</v>
      </c>
      <c r="V840" s="24">
        <f>IFERROR(Table2[[#This Row],[Gray Min]]/Table2[[#This Row],[ClassLength]],"")</f>
        <v>0.35714285714285715</v>
      </c>
      <c r="W840" s="24">
        <f>IFERROR(Table2[[#This Row],[Blue Min]]/Table2[[#This Row],[ClassLength]],"")</f>
        <v>0.19642857142857142</v>
      </c>
      <c r="X840" s="24">
        <f>IFERROR(Table2[[#This Row],[Green Min]]/Table2[[#This Row],[ClassLength]],"")</f>
        <v>0.19642857142857142</v>
      </c>
      <c r="Y840" s="24">
        <f>IFERROR(Table2[[#This Row],[Orange Min]]/Table2[[#This Row],[ClassLength]],"")</f>
        <v>0.23214285714285715</v>
      </c>
      <c r="Z840" s="24">
        <f>IFERROR(Table2[[#This Row],[Red Min]]/Table2[[#This Row],[ClassLength]],"")</f>
        <v>1.7857142857142856E-2</v>
      </c>
      <c r="AA840" s="25">
        <v>139</v>
      </c>
      <c r="AB840" s="25">
        <f t="shared" si="226"/>
        <v>9.9285714285714288</v>
      </c>
      <c r="AC840" s="26">
        <f t="shared" si="233"/>
        <v>619</v>
      </c>
      <c r="AD840" s="26">
        <f t="shared" si="234"/>
        <v>14.142857142857142</v>
      </c>
      <c r="AE840">
        <f t="shared" si="235"/>
        <v>2025</v>
      </c>
      <c r="AG840">
        <v>12</v>
      </c>
      <c r="AH840" s="26">
        <f t="shared" si="236"/>
        <v>10.535714285714286</v>
      </c>
      <c r="AI840" t="str">
        <f t="shared" si="237"/>
        <v>AM</v>
      </c>
      <c r="AJ840" t="str">
        <f t="shared" si="238"/>
        <v>8-2025-4</v>
      </c>
      <c r="AK840">
        <f t="shared" si="239"/>
        <v>8</v>
      </c>
      <c r="AL840" s="26">
        <f>IFERROR(Table2[[#This Row],[Calories]]/Table2[[#This Row],[Splat]],"")</f>
        <v>42.142857142857146</v>
      </c>
      <c r="AM840">
        <f>COUNTIF(N$2:$N$938,N840)</f>
        <v>78</v>
      </c>
      <c r="AN840" t="str">
        <f>VLOOKUP(N840,'Helpful Tables'!A:D,4,FALSE)</f>
        <v>Oregon</v>
      </c>
      <c r="AO840" s="24">
        <f>COUNTIF(AN:AN,Table2[[#This Row],[State]])/COUNTA(AN:AN)</f>
        <v>0.36140724946695096</v>
      </c>
      <c r="AP840">
        <f>VLOOKUP(N840,'Helpful Tables'!A:B,2,FALSE)</f>
        <v>45.525092999999998</v>
      </c>
      <c r="AQ840">
        <f>VLOOKUP(N840,'Helpful Tables'!A:C,3,FALSE)</f>
        <v>-122.681383</v>
      </c>
      <c r="AR840">
        <f>COUNTIF(P$2:$P$938,P840)</f>
        <v>16</v>
      </c>
      <c r="AS840" cm="1">
        <f t="array" ref="AS840">_xlfn.IFS(E840&lt;6,((E840/D840)*60)*0.5,AND(E840&gt;=6,E840&lt;9),((E840/D840)*60)*0.75,AND(E840&gt;=9,E840&lt;=11),((E840/D840)*60)*0.9,AND(E840=12),((E840/D840)*60)*1,AND(E840&gt;=13,E840&lt;=15),((E840/D840)*60)*1.2,AND(E840&gt;=16,E840&lt;=19),((E840/D840)*60)*1.5,E840&gt;=20,((E840/D840)*60)*1.8)</f>
        <v>18</v>
      </c>
      <c r="AT840" cm="1">
        <f t="array" ref="AT840">_xlfn.IFS(F840&lt;550,((F840/D840)*60)*0.5,AND(F840&gt;=550,F840&lt;575),((F840/D840)*60)*0.75,AND(F840&gt;=575,F840&lt;600),((F840/D840)*60)*0.9,AND(F840=600),((F840/D840)*60)*1,AND(F840&gt;=601,F840&lt;=625),((F840/D840)*60)*1.2,AND(F840&gt;=626,F840&lt;=650),((F840/D840)*60)*1.5,F840&gt;=651,((F840/D840)*60)*1.8)</f>
        <v>568.92857142857156</v>
      </c>
      <c r="AU840">
        <f t="shared" si="227"/>
        <v>-4.5</v>
      </c>
      <c r="AV840">
        <f t="shared" si="246"/>
        <v>233.87142857142862</v>
      </c>
      <c r="AW840">
        <f t="shared" si="228"/>
        <v>20.8</v>
      </c>
      <c r="AX840" t="str">
        <f t="shared" si="240"/>
        <v>Aug-2025</v>
      </c>
      <c r="AY840">
        <f>ROUNDUP(Table2[[#This Row],[Month]]/3,0)</f>
        <v>3</v>
      </c>
    </row>
    <row r="841" spans="1:51" x14ac:dyDescent="0.2">
      <c r="A841">
        <v>840</v>
      </c>
      <c r="B841">
        <f t="shared" si="230"/>
        <v>14</v>
      </c>
      <c r="C841" s="22">
        <v>45894</v>
      </c>
      <c r="D841">
        <f>SUM(Table2[[#This Row],[Gray Min]:[Red Min]])</f>
        <v>61</v>
      </c>
      <c r="E841">
        <v>12</v>
      </c>
      <c r="F841">
        <v>508</v>
      </c>
      <c r="G841">
        <v>109</v>
      </c>
      <c r="H841">
        <v>165</v>
      </c>
      <c r="I841">
        <v>33</v>
      </c>
      <c r="J841">
        <v>3</v>
      </c>
      <c r="K841">
        <v>13</v>
      </c>
      <c r="L841">
        <v>11</v>
      </c>
      <c r="M841">
        <v>1</v>
      </c>
      <c r="N841" t="s">
        <v>125</v>
      </c>
      <c r="O841" t="s">
        <v>127</v>
      </c>
      <c r="P841" t="s">
        <v>282</v>
      </c>
      <c r="Q841">
        <f t="shared" ref="Q841:Q846" si="247">C841-C840</f>
        <v>2</v>
      </c>
      <c r="R841" t="str">
        <f t="shared" ref="R841:R846" si="248">MONTH(C841)&amp;"-"&amp;YEAR(C841)</f>
        <v>8-2025</v>
      </c>
      <c r="S841" t="s">
        <v>104</v>
      </c>
      <c r="T841" t="str">
        <f t="shared" ref="T841:T846" si="249">IF(WEEKDAY(C841)=1,"Sunday",IF(WEEKDAY(C841)=2,"Monday",IF(WEEKDAY(C841)=3,"Tuesday",IF(WEEKDAY(C841)=4,"Wednesday",IF(WEEKDAY(C841)=5,"Thursday",IF(WEEKDAY(C841)=6,"Friday","Saturday"))))))</f>
        <v>Monday</v>
      </c>
      <c r="U841">
        <f t="shared" si="245"/>
        <v>1</v>
      </c>
      <c r="V841" s="24">
        <f>IFERROR(Table2[[#This Row],[Gray Min]]/Table2[[#This Row],[ClassLength]],"")</f>
        <v>0.54098360655737709</v>
      </c>
      <c r="W841" s="24">
        <f>IFERROR(Table2[[#This Row],[Blue Min]]/Table2[[#This Row],[ClassLength]],"")</f>
        <v>4.9180327868852458E-2</v>
      </c>
      <c r="X841" s="24">
        <f>IFERROR(Table2[[#This Row],[Green Min]]/Table2[[#This Row],[ClassLength]],"")</f>
        <v>0.21311475409836064</v>
      </c>
      <c r="Y841" s="24">
        <f>IFERROR(Table2[[#This Row],[Orange Min]]/Table2[[#This Row],[ClassLength]],"")</f>
        <v>0.18032786885245902</v>
      </c>
      <c r="Z841" s="24">
        <f>IFERROR(Table2[[#This Row],[Red Min]]/Table2[[#This Row],[ClassLength]],"")</f>
        <v>1.6393442622950821E-2</v>
      </c>
      <c r="AA841" s="25">
        <v>139</v>
      </c>
      <c r="AB841" s="25">
        <f t="shared" si="226"/>
        <v>9.9285714285714288</v>
      </c>
      <c r="AC841" s="26">
        <f t="shared" si="233"/>
        <v>619</v>
      </c>
      <c r="AD841" s="26">
        <f t="shared" si="234"/>
        <v>14.142857142857142</v>
      </c>
      <c r="AE841">
        <f t="shared" si="235"/>
        <v>2025</v>
      </c>
      <c r="AG841">
        <v>12</v>
      </c>
      <c r="AH841" s="26">
        <f t="shared" si="236"/>
        <v>8.3278688524590159</v>
      </c>
      <c r="AI841" t="str">
        <f t="shared" si="237"/>
        <v>PM</v>
      </c>
      <c r="AJ841" t="str">
        <f t="shared" si="238"/>
        <v>8-2025-5</v>
      </c>
      <c r="AK841">
        <f t="shared" si="239"/>
        <v>8</v>
      </c>
      <c r="AL841" s="26">
        <f>IFERROR(Table2[[#This Row],[Calories]]/Table2[[#This Row],[Splat]],"")</f>
        <v>42.333333333333336</v>
      </c>
      <c r="AM841">
        <f>COUNTIF(N$2:$N$938,N841)</f>
        <v>258</v>
      </c>
      <c r="AN841" t="str">
        <f>VLOOKUP(N841,'Helpful Tables'!A:D,4,FALSE)</f>
        <v>Oregon</v>
      </c>
      <c r="AO841" s="24">
        <f>COUNTIF(AN:AN,Table2[[#This Row],[State]])/COUNTA(AN:AN)</f>
        <v>0.36140724946695096</v>
      </c>
      <c r="AP841">
        <f>VLOOKUP(N841,'Helpful Tables'!A:B,2,FALSE)</f>
        <v>45.534162000000002</v>
      </c>
      <c r="AQ841">
        <f>VLOOKUP(N841,'Helpful Tables'!A:C,3,FALSE)</f>
        <v>-122.69670000000001</v>
      </c>
      <c r="AR841">
        <f>COUNTIF(P$2:$P$938,P841)</f>
        <v>1</v>
      </c>
      <c r="AS841" cm="1">
        <f t="array" ref="AS841">_xlfn.IFS(E841&lt;6,((E841/D841)*60)*0.5,AND(E841&gt;=6,E841&lt;9),((E841/D841)*60)*0.75,AND(E841&gt;=9,E841&lt;=11),((E841/D841)*60)*0.9,AND(E841=12),((E841/D841)*60)*1,AND(E841&gt;=13,E841&lt;=15),((E841/D841)*60)*1.2,AND(E841&gt;=16,E841&lt;=19),((E841/D841)*60)*1.5,E841&gt;=20,((E841/D841)*60)*1.8)</f>
        <v>11.803278688524589</v>
      </c>
      <c r="AT841" cm="1">
        <f t="array" ref="AT841">_xlfn.IFS(F841&lt;550,((F841/D841)*60)*0.5,AND(F841&gt;=550,F841&lt;575),((F841/D841)*60)*0.75,AND(F841&gt;=575,F841&lt;600),((F841/D841)*60)*0.9,AND(F841=600),((F841/D841)*60)*1,AND(F841&gt;=601,F841&lt;=625),((F841/D841)*60)*1.2,AND(F841&gt;=626,F841&lt;=650),((F841/D841)*60)*1.5,F841&gt;=651,((F841/D841)*60)*1.8)</f>
        <v>249.83606557377047</v>
      </c>
      <c r="AU841">
        <f t="shared" si="227"/>
        <v>-11.499999999999996</v>
      </c>
      <c r="AV841">
        <f t="shared" si="246"/>
        <v>102.35573770491803</v>
      </c>
      <c r="AW841">
        <f t="shared" si="228"/>
        <v>1.7000000000000002</v>
      </c>
      <c r="AX841" t="str">
        <f t="shared" si="240"/>
        <v>Aug-2025</v>
      </c>
      <c r="AY841">
        <f>ROUNDUP(Table2[[#This Row],[Month]]/3,0)</f>
        <v>3</v>
      </c>
    </row>
    <row r="842" spans="1:51" x14ac:dyDescent="0.2">
      <c r="A842">
        <v>841</v>
      </c>
      <c r="B842">
        <f t="shared" si="230"/>
        <v>14</v>
      </c>
      <c r="C842" s="22">
        <v>45897</v>
      </c>
      <c r="D842">
        <f>SUM(Table2[[#This Row],[Gray Min]:[Red Min]])</f>
        <v>61</v>
      </c>
      <c r="E842">
        <v>18</v>
      </c>
      <c r="F842">
        <v>675</v>
      </c>
      <c r="G842">
        <v>127</v>
      </c>
      <c r="H842">
        <v>169</v>
      </c>
      <c r="I842">
        <v>14</v>
      </c>
      <c r="J842">
        <v>16</v>
      </c>
      <c r="K842">
        <v>13</v>
      </c>
      <c r="L842">
        <v>16</v>
      </c>
      <c r="M842">
        <v>2</v>
      </c>
      <c r="N842" t="s">
        <v>125</v>
      </c>
      <c r="O842" t="s">
        <v>127</v>
      </c>
      <c r="P842" t="s">
        <v>281</v>
      </c>
      <c r="Q842">
        <f t="shared" si="247"/>
        <v>3</v>
      </c>
      <c r="R842" t="str">
        <f t="shared" si="248"/>
        <v>8-2025</v>
      </c>
      <c r="S842" t="s">
        <v>104</v>
      </c>
      <c r="T842" t="str">
        <f t="shared" si="249"/>
        <v>Thursday</v>
      </c>
      <c r="U842">
        <f t="shared" si="245"/>
        <v>1</v>
      </c>
      <c r="V842" s="24">
        <f>IFERROR(Table2[[#This Row],[Gray Min]]/Table2[[#This Row],[ClassLength]],"")</f>
        <v>0.22950819672131148</v>
      </c>
      <c r="W842" s="24">
        <f>IFERROR(Table2[[#This Row],[Blue Min]]/Table2[[#This Row],[ClassLength]],"")</f>
        <v>0.26229508196721313</v>
      </c>
      <c r="X842" s="24">
        <f>IFERROR(Table2[[#This Row],[Green Min]]/Table2[[#This Row],[ClassLength]],"")</f>
        <v>0.21311475409836064</v>
      </c>
      <c r="Y842" s="24">
        <f>IFERROR(Table2[[#This Row],[Orange Min]]/Table2[[#This Row],[ClassLength]],"")</f>
        <v>0.26229508196721313</v>
      </c>
      <c r="Z842" s="24">
        <f>IFERROR(Table2[[#This Row],[Red Min]]/Table2[[#This Row],[ClassLength]],"")</f>
        <v>3.2786885245901641E-2</v>
      </c>
      <c r="AA842" s="25">
        <v>139</v>
      </c>
      <c r="AB842" s="25">
        <f t="shared" si="226"/>
        <v>9.9285714285714288</v>
      </c>
      <c r="AC842" s="26">
        <f t="shared" si="233"/>
        <v>619</v>
      </c>
      <c r="AD842" s="26">
        <f t="shared" si="234"/>
        <v>14.142857142857142</v>
      </c>
      <c r="AE842">
        <f t="shared" si="235"/>
        <v>2025</v>
      </c>
      <c r="AG842">
        <v>12</v>
      </c>
      <c r="AH842" s="26">
        <f t="shared" si="236"/>
        <v>11.065573770491802</v>
      </c>
      <c r="AI842" t="str">
        <f t="shared" si="237"/>
        <v>PM</v>
      </c>
      <c r="AJ842" t="str">
        <f t="shared" si="238"/>
        <v>8-2025-5</v>
      </c>
      <c r="AK842">
        <f t="shared" si="239"/>
        <v>8</v>
      </c>
      <c r="AL842" s="26">
        <f>IFERROR(Table2[[#This Row],[Calories]]/Table2[[#This Row],[Splat]],"")</f>
        <v>37.5</v>
      </c>
      <c r="AM842">
        <f>COUNTIF(N$2:$N$938,N842)</f>
        <v>258</v>
      </c>
      <c r="AN842" t="str">
        <f>VLOOKUP(N842,'Helpful Tables'!A:D,4,FALSE)</f>
        <v>Oregon</v>
      </c>
      <c r="AO842" s="24">
        <f>COUNTIF(AN:AN,Table2[[#This Row],[State]])/COUNTA(AN:AN)</f>
        <v>0.36140724946695096</v>
      </c>
      <c r="AP842">
        <f>VLOOKUP(N842,'Helpful Tables'!A:B,2,FALSE)</f>
        <v>45.534162000000002</v>
      </c>
      <c r="AQ842">
        <f>VLOOKUP(N842,'Helpful Tables'!A:C,3,FALSE)</f>
        <v>-122.69670000000001</v>
      </c>
      <c r="AR842">
        <f>COUNTIF(P$2:$P$938,P842)</f>
        <v>41</v>
      </c>
      <c r="AS842" cm="1">
        <f t="array" ref="AS842">_xlfn.IFS(E842&lt;6,((E842/D842)*60)*0.5,AND(E842&gt;=6,E842&lt;9),((E842/D842)*60)*0.75,AND(E842&gt;=9,E842&lt;=11),((E842/D842)*60)*0.9,AND(E842=12),((E842/D842)*60)*1,AND(E842&gt;=13,E842&lt;=15),((E842/D842)*60)*1.2,AND(E842&gt;=16,E842&lt;=19),((E842/D842)*60)*1.5,E842&gt;=20,((E842/D842)*60)*1.8)</f>
        <v>26.557377049180328</v>
      </c>
      <c r="AT842" cm="1">
        <f t="array" ref="AT842">_xlfn.IFS(F842&lt;550,((F842/D842)*60)*0.5,AND(F842&gt;=550,F842&lt;575),((F842/D842)*60)*0.75,AND(F842&gt;=575,F842&lt;600),((F842/D842)*60)*0.9,AND(F842=600),((F842/D842)*60)*1,AND(F842&gt;=601,F842&lt;=625),((F842/D842)*60)*1.2,AND(F842&gt;=626,F842&lt;=650),((F842/D842)*60)*1.5,F842&gt;=651,((F842/D842)*60)*1.8)</f>
        <v>1195.0819672131147</v>
      </c>
      <c r="AU842">
        <f t="shared" si="227"/>
        <v>4.9999999999999964</v>
      </c>
      <c r="AV842">
        <f t="shared" si="246"/>
        <v>489.65573770491807</v>
      </c>
      <c r="AW842">
        <f t="shared" si="228"/>
        <v>73.599999999999994</v>
      </c>
      <c r="AX842" t="str">
        <f t="shared" si="240"/>
        <v>Aug-2025</v>
      </c>
      <c r="AY842">
        <f>ROUNDUP(Table2[[#This Row],[Month]]/3,0)</f>
        <v>3</v>
      </c>
    </row>
    <row r="843" spans="1:51" x14ac:dyDescent="0.2">
      <c r="A843">
        <v>842</v>
      </c>
      <c r="B843">
        <f t="shared" si="230"/>
        <v>14</v>
      </c>
      <c r="C843" s="22">
        <v>45899</v>
      </c>
      <c r="D843">
        <f>SUM(Table2[[#This Row],[Gray Min]:[Red Min]])</f>
        <v>61</v>
      </c>
      <c r="E843">
        <v>11</v>
      </c>
      <c r="F843">
        <v>558</v>
      </c>
      <c r="G843">
        <v>113</v>
      </c>
      <c r="H843">
        <v>165</v>
      </c>
      <c r="I843">
        <v>27</v>
      </c>
      <c r="J843">
        <v>13</v>
      </c>
      <c r="K843">
        <v>10</v>
      </c>
      <c r="L843">
        <v>10</v>
      </c>
      <c r="M843">
        <v>1</v>
      </c>
      <c r="N843" t="s">
        <v>208</v>
      </c>
      <c r="O843" t="s">
        <v>76</v>
      </c>
      <c r="P843" t="s">
        <v>213</v>
      </c>
      <c r="Q843">
        <f t="shared" si="247"/>
        <v>2</v>
      </c>
      <c r="R843" t="str">
        <f t="shared" si="248"/>
        <v>8-2025</v>
      </c>
      <c r="S843" t="s">
        <v>117</v>
      </c>
      <c r="T843" t="str">
        <f t="shared" si="249"/>
        <v>Saturday</v>
      </c>
      <c r="U843">
        <f t="shared" si="245"/>
        <v>0</v>
      </c>
      <c r="V843" s="24">
        <f>IFERROR(Table2[[#This Row],[Gray Min]]/Table2[[#This Row],[ClassLength]],"")</f>
        <v>0.44262295081967212</v>
      </c>
      <c r="W843" s="24">
        <f>IFERROR(Table2[[#This Row],[Blue Min]]/Table2[[#This Row],[ClassLength]],"")</f>
        <v>0.21311475409836064</v>
      </c>
      <c r="X843" s="24">
        <f>IFERROR(Table2[[#This Row],[Green Min]]/Table2[[#This Row],[ClassLength]],"")</f>
        <v>0.16393442622950818</v>
      </c>
      <c r="Y843" s="24">
        <f>IFERROR(Table2[[#This Row],[Orange Min]]/Table2[[#This Row],[ClassLength]],"")</f>
        <v>0.16393442622950818</v>
      </c>
      <c r="Z843" s="24">
        <f>IFERROR(Table2[[#This Row],[Red Min]]/Table2[[#This Row],[ClassLength]],"")</f>
        <v>1.6393442622950821E-2</v>
      </c>
      <c r="AA843" s="25">
        <v>139</v>
      </c>
      <c r="AB843" s="25">
        <f t="shared" si="226"/>
        <v>9.9285714285714288</v>
      </c>
      <c r="AC843" s="26">
        <f t="shared" si="233"/>
        <v>619</v>
      </c>
      <c r="AD843" s="26">
        <f t="shared" si="234"/>
        <v>14.142857142857142</v>
      </c>
      <c r="AE843">
        <f t="shared" si="235"/>
        <v>2025</v>
      </c>
      <c r="AG843">
        <v>12</v>
      </c>
      <c r="AH843" s="26">
        <f t="shared" si="236"/>
        <v>9.1475409836065573</v>
      </c>
      <c r="AI843" t="str">
        <f t="shared" si="237"/>
        <v>AM</v>
      </c>
      <c r="AJ843" t="str">
        <f t="shared" si="238"/>
        <v>8-2025-5</v>
      </c>
      <c r="AK843">
        <f t="shared" si="239"/>
        <v>8</v>
      </c>
      <c r="AL843" s="26">
        <f>IFERROR(Table2[[#This Row],[Calories]]/Table2[[#This Row],[Splat]],"")</f>
        <v>50.727272727272727</v>
      </c>
      <c r="AM843">
        <f>COUNTIF(N$2:$N$938,N843)</f>
        <v>78</v>
      </c>
      <c r="AN843" t="str">
        <f>VLOOKUP(N843,'Helpful Tables'!A:D,4,FALSE)</f>
        <v>Oregon</v>
      </c>
      <c r="AO843" s="24">
        <f>COUNTIF(AN:AN,Table2[[#This Row],[State]])/COUNTA(AN:AN)</f>
        <v>0.36140724946695096</v>
      </c>
      <c r="AP843">
        <f>VLOOKUP(N843,'Helpful Tables'!A:B,2,FALSE)</f>
        <v>45.525092999999998</v>
      </c>
      <c r="AQ843">
        <f>VLOOKUP(N843,'Helpful Tables'!A:C,3,FALSE)</f>
        <v>-122.681383</v>
      </c>
      <c r="AR843">
        <f>COUNTIF(P$2:$P$938,P843)</f>
        <v>40</v>
      </c>
      <c r="AS843" cm="1">
        <f t="array" ref="AS843">_xlfn.IFS(E843&lt;6,((E843/D843)*60)*0.5,AND(E843&gt;=6,E843&lt;9),((E843/D843)*60)*0.75,AND(E843&gt;=9,E843&lt;=11),((E843/D843)*60)*0.9,AND(E843=12),((E843/D843)*60)*1,AND(E843&gt;=13,E843&lt;=15),((E843/D843)*60)*1.2,AND(E843&gt;=16,E843&lt;=19),((E843/D843)*60)*1.5,E843&gt;=20,((E843/D843)*60)*1.8)</f>
        <v>9.7377049180327884</v>
      </c>
      <c r="AT843" cm="1">
        <f t="array" ref="AT843">_xlfn.IFS(F843&lt;550,((F843/D843)*60)*0.5,AND(F843&gt;=550,F843&lt;575),((F843/D843)*60)*0.75,AND(F843&gt;=575,F843&lt;600),((F843/D843)*60)*0.9,AND(F843=600),((F843/D843)*60)*1,AND(F843&gt;=601,F843&lt;=625),((F843/D843)*60)*1.2,AND(F843&gt;=626,F843&lt;=650),((F843/D843)*60)*1.5,F843&gt;=651,((F843/D843)*60)*1.8)</f>
        <v>411.63934426229514</v>
      </c>
      <c r="AU843">
        <f t="shared" si="227"/>
        <v>-20.200000000000003</v>
      </c>
      <c r="AV843">
        <f t="shared" si="246"/>
        <v>164.51081967213119</v>
      </c>
      <c r="AW843">
        <f t="shared" si="228"/>
        <v>7.7</v>
      </c>
      <c r="AX843" t="str">
        <f t="shared" si="240"/>
        <v>Aug-2025</v>
      </c>
      <c r="AY843">
        <f>ROUNDUP(Table2[[#This Row],[Month]]/3,0)</f>
        <v>3</v>
      </c>
    </row>
    <row r="844" spans="1:51" x14ac:dyDescent="0.2">
      <c r="A844">
        <v>843</v>
      </c>
      <c r="B844">
        <f t="shared" si="230"/>
        <v>14</v>
      </c>
      <c r="C844" s="22">
        <v>45901</v>
      </c>
      <c r="D844">
        <f>SUM(Table2[[#This Row],[Gray Min]:[Red Min]])</f>
        <v>59</v>
      </c>
      <c r="E844">
        <v>11</v>
      </c>
      <c r="F844">
        <v>579</v>
      </c>
      <c r="G844">
        <v>118</v>
      </c>
      <c r="H844">
        <v>162</v>
      </c>
      <c r="I844">
        <v>24</v>
      </c>
      <c r="J844">
        <v>13</v>
      </c>
      <c r="K844">
        <v>11</v>
      </c>
      <c r="L844">
        <v>11</v>
      </c>
      <c r="M844">
        <v>0</v>
      </c>
      <c r="N844" t="s">
        <v>125</v>
      </c>
      <c r="O844" t="s">
        <v>159</v>
      </c>
      <c r="P844" t="s">
        <v>283</v>
      </c>
      <c r="Q844">
        <f t="shared" si="247"/>
        <v>2</v>
      </c>
      <c r="R844" t="str">
        <f t="shared" si="248"/>
        <v>9-2025</v>
      </c>
      <c r="S844" t="s">
        <v>117</v>
      </c>
      <c r="T844" t="str">
        <f t="shared" si="249"/>
        <v>Monday</v>
      </c>
      <c r="U844">
        <f t="shared" si="245"/>
        <v>0</v>
      </c>
      <c r="V844" s="24">
        <f>IFERROR(Table2[[#This Row],[Gray Min]]/Table2[[#This Row],[ClassLength]],"")</f>
        <v>0.40677966101694918</v>
      </c>
      <c r="W844" s="24">
        <f>IFERROR(Table2[[#This Row],[Blue Min]]/Table2[[#This Row],[ClassLength]],"")</f>
        <v>0.22033898305084745</v>
      </c>
      <c r="X844" s="24">
        <f>IFERROR(Table2[[#This Row],[Green Min]]/Table2[[#This Row],[ClassLength]],"")</f>
        <v>0.1864406779661017</v>
      </c>
      <c r="Y844" s="24">
        <f>IFERROR(Table2[[#This Row],[Orange Min]]/Table2[[#This Row],[ClassLength]],"")</f>
        <v>0.1864406779661017</v>
      </c>
      <c r="Z844" s="24">
        <f>IFERROR(Table2[[#This Row],[Red Min]]/Table2[[#This Row],[ClassLength]],"")</f>
        <v>0</v>
      </c>
      <c r="AA844" s="25">
        <v>139</v>
      </c>
      <c r="AB844" s="25">
        <f t="shared" si="226"/>
        <v>9.9285714285714288</v>
      </c>
      <c r="AC844" s="26">
        <f t="shared" si="233"/>
        <v>620</v>
      </c>
      <c r="AD844" s="26">
        <f t="shared" si="234"/>
        <v>13.428571428571429</v>
      </c>
      <c r="AE844">
        <f t="shared" si="235"/>
        <v>2025</v>
      </c>
      <c r="AG844">
        <v>12</v>
      </c>
      <c r="AH844" s="26">
        <f t="shared" si="236"/>
        <v>9.8135593220338979</v>
      </c>
      <c r="AI844" t="str">
        <f t="shared" si="237"/>
        <v>AM</v>
      </c>
      <c r="AJ844" t="str">
        <f t="shared" si="238"/>
        <v>9-2025-1</v>
      </c>
      <c r="AK844">
        <f t="shared" si="239"/>
        <v>9</v>
      </c>
      <c r="AL844" s="26">
        <f>IFERROR(Table2[[#This Row],[Calories]]/Table2[[#This Row],[Splat]],"")</f>
        <v>52.636363636363633</v>
      </c>
      <c r="AM844">
        <f>COUNTIF(N$2:$N$938,N844)</f>
        <v>258</v>
      </c>
      <c r="AN844" t="str">
        <f>VLOOKUP(N844,'Helpful Tables'!A:D,4,FALSE)</f>
        <v>Oregon</v>
      </c>
      <c r="AO844" s="24">
        <f>COUNTIF(AN:AN,Table2[[#This Row],[State]])/COUNTA(AN:AN)</f>
        <v>0.36140724946695096</v>
      </c>
      <c r="AP844">
        <f>VLOOKUP(N844,'Helpful Tables'!A:B,2,FALSE)</f>
        <v>45.534162000000002</v>
      </c>
      <c r="AQ844">
        <f>VLOOKUP(N844,'Helpful Tables'!A:C,3,FALSE)</f>
        <v>-122.69670000000001</v>
      </c>
      <c r="AR844">
        <f>COUNTIF(P$2:$P$938,P844)</f>
        <v>3</v>
      </c>
      <c r="AS844" cm="1">
        <f t="array" ref="AS844">_xlfn.IFS(E844&lt;6,((E844/D844)*60)*0.5,AND(E844&gt;=6,E844&lt;9),((E844/D844)*60)*0.75,AND(E844&gt;=9,E844&lt;=11),((E844/D844)*60)*0.9,AND(E844=12),((E844/D844)*60)*1,AND(E844&gt;=13,E844&lt;=15),((E844/D844)*60)*1.2,AND(E844&gt;=16,E844&lt;=19),((E844/D844)*60)*1.5,E844&gt;=20,((E844/D844)*60)*1.8)</f>
        <v>10.067796610169491</v>
      </c>
      <c r="AT844" cm="1">
        <f t="array" ref="AT844">_xlfn.IFS(F844&lt;550,((F844/D844)*60)*0.5,AND(F844&gt;=550,F844&lt;575),((F844/D844)*60)*0.75,AND(F844&gt;=575,F844&lt;600),((F844/D844)*60)*0.9,AND(F844=600),((F844/D844)*60)*1,AND(F844&gt;=601,F844&lt;=625),((F844/D844)*60)*1.2,AND(F844&gt;=626,F844&lt;=650),((F844/D844)*60)*1.5,F844&gt;=651,((F844/D844)*60)*1.8)</f>
        <v>529.93220338983042</v>
      </c>
      <c r="AU844">
        <f t="shared" si="227"/>
        <v>-15.599999999999994</v>
      </c>
      <c r="AV844">
        <f t="shared" si="246"/>
        <v>212.87999999999997</v>
      </c>
      <c r="AW844">
        <f t="shared" si="228"/>
        <v>14.6</v>
      </c>
      <c r="AX844" t="str">
        <f t="shared" si="240"/>
        <v>Sep-2025</v>
      </c>
      <c r="AY844">
        <f>ROUNDUP(Table2[[#This Row],[Month]]/3,0)</f>
        <v>3</v>
      </c>
    </row>
    <row r="845" spans="1:51" x14ac:dyDescent="0.2">
      <c r="A845">
        <v>844</v>
      </c>
      <c r="B845">
        <f t="shared" si="230"/>
        <v>14</v>
      </c>
      <c r="C845" s="22">
        <v>45903</v>
      </c>
      <c r="D845">
        <f>SUM(Table2[[#This Row],[Gray Min]:[Red Min]])</f>
        <v>61</v>
      </c>
      <c r="E845">
        <v>15</v>
      </c>
      <c r="F845">
        <v>656</v>
      </c>
      <c r="G845">
        <v>124</v>
      </c>
      <c r="H845">
        <v>166</v>
      </c>
      <c r="I845">
        <v>15</v>
      </c>
      <c r="J845">
        <v>18</v>
      </c>
      <c r="K845">
        <v>13</v>
      </c>
      <c r="L845">
        <v>14</v>
      </c>
      <c r="M845">
        <v>1</v>
      </c>
      <c r="N845" t="s">
        <v>125</v>
      </c>
      <c r="O845" t="s">
        <v>127</v>
      </c>
      <c r="P845" t="s">
        <v>281</v>
      </c>
      <c r="Q845">
        <f t="shared" si="247"/>
        <v>2</v>
      </c>
      <c r="R845" t="str">
        <f t="shared" si="248"/>
        <v>9-2025</v>
      </c>
      <c r="S845" t="s">
        <v>104</v>
      </c>
      <c r="T845" t="str">
        <f t="shared" si="249"/>
        <v>Wednesday</v>
      </c>
      <c r="U845">
        <f t="shared" ref="U845:U850" si="250">IF(E845&gt;=12,1,0)</f>
        <v>1</v>
      </c>
      <c r="V845" s="24">
        <f>IFERROR(Table2[[#This Row],[Gray Min]]/Table2[[#This Row],[ClassLength]],"")</f>
        <v>0.24590163934426229</v>
      </c>
      <c r="W845" s="24">
        <f>IFERROR(Table2[[#This Row],[Blue Min]]/Table2[[#This Row],[ClassLength]],"")</f>
        <v>0.29508196721311475</v>
      </c>
      <c r="X845" s="24">
        <f>IFERROR(Table2[[#This Row],[Green Min]]/Table2[[#This Row],[ClassLength]],"")</f>
        <v>0.21311475409836064</v>
      </c>
      <c r="Y845" s="24">
        <f>IFERROR(Table2[[#This Row],[Orange Min]]/Table2[[#This Row],[ClassLength]],"")</f>
        <v>0.22950819672131148</v>
      </c>
      <c r="Z845" s="24">
        <f>IFERROR(Table2[[#This Row],[Red Min]]/Table2[[#This Row],[ClassLength]],"")</f>
        <v>1.6393442622950821E-2</v>
      </c>
      <c r="AA845" s="25">
        <v>139</v>
      </c>
      <c r="AB845" s="25">
        <f t="shared" si="226"/>
        <v>9.9285714285714288</v>
      </c>
      <c r="AC845" s="26">
        <f t="shared" si="233"/>
        <v>620</v>
      </c>
      <c r="AD845" s="26">
        <f t="shared" si="234"/>
        <v>13.428571428571429</v>
      </c>
      <c r="AE845">
        <f t="shared" si="235"/>
        <v>2025</v>
      </c>
      <c r="AG845">
        <v>12</v>
      </c>
      <c r="AH845" s="26">
        <f t="shared" si="236"/>
        <v>10.754098360655737</v>
      </c>
      <c r="AI845" t="str">
        <f t="shared" si="237"/>
        <v>PM</v>
      </c>
      <c r="AJ845" t="str">
        <f t="shared" si="238"/>
        <v>9-2025-1</v>
      </c>
      <c r="AK845">
        <f t="shared" si="239"/>
        <v>9</v>
      </c>
      <c r="AL845" s="26">
        <f>IFERROR(Table2[[#This Row],[Calories]]/Table2[[#This Row],[Splat]],"")</f>
        <v>43.733333333333334</v>
      </c>
      <c r="AM845">
        <f>COUNTIF(N$2:$N$938,N845)</f>
        <v>258</v>
      </c>
      <c r="AN845" t="str">
        <f>VLOOKUP(N845,'Helpful Tables'!A:D,4,FALSE)</f>
        <v>Oregon</v>
      </c>
      <c r="AO845" s="24">
        <f>COUNTIF(AN:AN,Table2[[#This Row],[State]])/COUNTA(AN:AN)</f>
        <v>0.36140724946695096</v>
      </c>
      <c r="AP845">
        <f>VLOOKUP(N845,'Helpful Tables'!A:B,2,FALSE)</f>
        <v>45.534162000000002</v>
      </c>
      <c r="AQ845">
        <f>VLOOKUP(N845,'Helpful Tables'!A:C,3,FALSE)</f>
        <v>-122.69670000000001</v>
      </c>
      <c r="AR845">
        <f>COUNTIF(P$2:$P$938,P845)</f>
        <v>41</v>
      </c>
      <c r="AS845" cm="1">
        <f t="array" ref="AS845">_xlfn.IFS(E845&lt;6,((E845/D845)*60)*0.5,AND(E845&gt;=6,E845&lt;9),((E845/D845)*60)*0.75,AND(E845&gt;=9,E845&lt;=11),((E845/D845)*60)*0.9,AND(E845=12),((E845/D845)*60)*1,AND(E845&gt;=13,E845&lt;=15),((E845/D845)*60)*1.2,AND(E845&gt;=16,E845&lt;=19),((E845/D845)*60)*1.5,E845&gt;=20,((E845/D845)*60)*1.8)</f>
        <v>17.704918032786885</v>
      </c>
      <c r="AT845" cm="1">
        <f t="array" ref="AT845">_xlfn.IFS(F845&lt;550,((F845/D845)*60)*0.5,AND(F845&gt;=550,F845&lt;575),((F845/D845)*60)*0.75,AND(F845&gt;=575,F845&lt;600),((F845/D845)*60)*0.9,AND(F845=600),((F845/D845)*60)*1,AND(F845&gt;=601,F845&lt;=625),((F845/D845)*60)*1.2,AND(F845&gt;=626,F845&lt;=650),((F845/D845)*60)*1.5,F845&gt;=651,((F845/D845)*60)*1.8)</f>
        <v>1161.4426229508197</v>
      </c>
      <c r="AU845">
        <f t="shared" si="227"/>
        <v>-2.4999999999999964</v>
      </c>
      <c r="AV845">
        <f t="shared" ref="AV845:AV850" si="251">(AS845*0.4)+(AT845*0.4)+(AU845*0.2)</f>
        <v>471.15901639344264</v>
      </c>
      <c r="AW845">
        <f t="shared" si="228"/>
        <v>67.800000000000011</v>
      </c>
      <c r="AX845" t="str">
        <f t="shared" si="240"/>
        <v>Sep-2025</v>
      </c>
      <c r="AY845">
        <f>ROUNDUP(Table2[[#This Row],[Month]]/3,0)</f>
        <v>3</v>
      </c>
    </row>
    <row r="846" spans="1:51" x14ac:dyDescent="0.2">
      <c r="A846">
        <v>845</v>
      </c>
      <c r="B846">
        <f t="shared" si="230"/>
        <v>14</v>
      </c>
      <c r="C846" s="22">
        <v>45905</v>
      </c>
      <c r="D846">
        <f>SUM(Table2[[#This Row],[Gray Min]:[Red Min]])</f>
        <v>60</v>
      </c>
      <c r="E846">
        <v>5</v>
      </c>
      <c r="F846">
        <v>527</v>
      </c>
      <c r="G846">
        <v>110</v>
      </c>
      <c r="H846">
        <v>158</v>
      </c>
      <c r="I846">
        <v>29</v>
      </c>
      <c r="J846">
        <v>12</v>
      </c>
      <c r="K846">
        <v>14</v>
      </c>
      <c r="L846">
        <v>5</v>
      </c>
      <c r="M846">
        <v>0</v>
      </c>
      <c r="N846" t="s">
        <v>125</v>
      </c>
      <c r="O846" t="s">
        <v>127</v>
      </c>
      <c r="P846" t="s">
        <v>281</v>
      </c>
      <c r="Q846">
        <f t="shared" si="247"/>
        <v>2</v>
      </c>
      <c r="R846" t="str">
        <f t="shared" si="248"/>
        <v>9-2025</v>
      </c>
      <c r="S846" t="s">
        <v>104</v>
      </c>
      <c r="T846" t="str">
        <f t="shared" si="249"/>
        <v>Friday</v>
      </c>
      <c r="U846">
        <f t="shared" si="250"/>
        <v>0</v>
      </c>
      <c r="V846" s="24">
        <f>IFERROR(Table2[[#This Row],[Gray Min]]/Table2[[#This Row],[ClassLength]],"")</f>
        <v>0.48333333333333334</v>
      </c>
      <c r="W846" s="24">
        <f>IFERROR(Table2[[#This Row],[Blue Min]]/Table2[[#This Row],[ClassLength]],"")</f>
        <v>0.2</v>
      </c>
      <c r="X846" s="24">
        <f>IFERROR(Table2[[#This Row],[Green Min]]/Table2[[#This Row],[ClassLength]],"")</f>
        <v>0.23333333333333334</v>
      </c>
      <c r="Y846" s="24">
        <f>IFERROR(Table2[[#This Row],[Orange Min]]/Table2[[#This Row],[ClassLength]],"")</f>
        <v>8.3333333333333329E-2</v>
      </c>
      <c r="Z846" s="24">
        <f>IFERROR(Table2[[#This Row],[Red Min]]/Table2[[#This Row],[ClassLength]],"")</f>
        <v>0</v>
      </c>
      <c r="AA846" s="25">
        <v>139</v>
      </c>
      <c r="AB846" s="25">
        <f t="shared" si="226"/>
        <v>9.9285714285714288</v>
      </c>
      <c r="AC846" s="26">
        <f t="shared" si="233"/>
        <v>620</v>
      </c>
      <c r="AD846" s="26">
        <f t="shared" si="234"/>
        <v>13.428571428571429</v>
      </c>
      <c r="AE846">
        <f t="shared" si="235"/>
        <v>2025</v>
      </c>
      <c r="AG846">
        <v>12</v>
      </c>
      <c r="AH846" s="26">
        <f t="shared" si="236"/>
        <v>8.7833333333333332</v>
      </c>
      <c r="AI846" t="str">
        <f t="shared" si="237"/>
        <v>PM</v>
      </c>
      <c r="AJ846" t="str">
        <f t="shared" si="238"/>
        <v>9-2025-1</v>
      </c>
      <c r="AK846">
        <f t="shared" si="239"/>
        <v>9</v>
      </c>
      <c r="AL846" s="26">
        <f>IFERROR(Table2[[#This Row],[Calories]]/Table2[[#This Row],[Splat]],"")</f>
        <v>105.4</v>
      </c>
      <c r="AM846">
        <f>COUNTIF(N$2:$N$938,N846)</f>
        <v>258</v>
      </c>
      <c r="AN846" t="str">
        <f>VLOOKUP(N846,'Helpful Tables'!A:D,4,FALSE)</f>
        <v>Oregon</v>
      </c>
      <c r="AO846" s="24">
        <f>COUNTIF(AN:AN,Table2[[#This Row],[State]])/COUNTA(AN:AN)</f>
        <v>0.36140724946695096</v>
      </c>
      <c r="AP846">
        <f>VLOOKUP(N846,'Helpful Tables'!A:B,2,FALSE)</f>
        <v>45.534162000000002</v>
      </c>
      <c r="AQ846">
        <f>VLOOKUP(N846,'Helpful Tables'!A:C,3,FALSE)</f>
        <v>-122.69670000000001</v>
      </c>
      <c r="AR846">
        <f>COUNTIF(P$2:$P$938,P846)</f>
        <v>41</v>
      </c>
      <c r="AS846" cm="1">
        <f t="array" ref="AS846">_xlfn.IFS(E846&lt;6,((E846/D846)*60)*0.5,AND(E846&gt;=6,E846&lt;9),((E846/D846)*60)*0.75,AND(E846&gt;=9,E846&lt;=11),((E846/D846)*60)*0.9,AND(E846=12),((E846/D846)*60)*1,AND(E846&gt;=13,E846&lt;=15),((E846/D846)*60)*1.2,AND(E846&gt;=16,E846&lt;=19),((E846/D846)*60)*1.5,E846&gt;=20,((E846/D846)*60)*1.8)</f>
        <v>2.5</v>
      </c>
      <c r="AT846" cm="1">
        <f t="array" ref="AT846">_xlfn.IFS(F846&lt;550,((F846/D846)*60)*0.5,AND(F846&gt;=550,F846&lt;575),((F846/D846)*60)*0.75,AND(F846&gt;=575,F846&lt;600),((F846/D846)*60)*0.9,AND(F846=600),((F846/D846)*60)*1,AND(F846&gt;=601,F846&lt;=625),((F846/D846)*60)*1.2,AND(F846&gt;=626,F846&lt;=650),((F846/D846)*60)*1.5,F846&gt;=651,((F846/D846)*60)*1.8)</f>
        <v>263.5</v>
      </c>
      <c r="AU846">
        <f t="shared" si="227"/>
        <v>-24.7</v>
      </c>
      <c r="AV846">
        <f t="shared" si="251"/>
        <v>101.46000000000001</v>
      </c>
      <c r="AW846">
        <f t="shared" si="228"/>
        <v>1.0999999999999999</v>
      </c>
      <c r="AX846" t="str">
        <f t="shared" si="240"/>
        <v>Sep-2025</v>
      </c>
      <c r="AY846">
        <f>ROUNDUP(Table2[[#This Row],[Month]]/3,0)</f>
        <v>3</v>
      </c>
    </row>
    <row r="847" spans="1:51" x14ac:dyDescent="0.2">
      <c r="A847">
        <v>846</v>
      </c>
      <c r="B847">
        <f t="shared" si="230"/>
        <v>14</v>
      </c>
      <c r="C847" s="22">
        <v>45906</v>
      </c>
      <c r="D847">
        <f>SUM(Table2[[#This Row],[Gray Min]:[Red Min]])</f>
        <v>57</v>
      </c>
      <c r="E847">
        <v>14</v>
      </c>
      <c r="F847">
        <v>632</v>
      </c>
      <c r="G847">
        <v>125</v>
      </c>
      <c r="H847">
        <v>166</v>
      </c>
      <c r="I847">
        <v>15</v>
      </c>
      <c r="J847">
        <v>14</v>
      </c>
      <c r="K847">
        <v>14</v>
      </c>
      <c r="L847">
        <v>13</v>
      </c>
      <c r="M847">
        <v>1</v>
      </c>
      <c r="N847" t="s">
        <v>208</v>
      </c>
      <c r="O847" t="s">
        <v>76</v>
      </c>
      <c r="P847" t="s">
        <v>213</v>
      </c>
      <c r="Q847">
        <f t="shared" ref="Q847:Q852" si="252">C847-C846</f>
        <v>1</v>
      </c>
      <c r="R847" t="str">
        <f t="shared" ref="R847:R852" si="253">MONTH(C847)&amp;"-"&amp;YEAR(C847)</f>
        <v>9-2025</v>
      </c>
      <c r="S847" t="s">
        <v>104</v>
      </c>
      <c r="T847" t="str">
        <f t="shared" ref="T847:T852" si="254">IF(WEEKDAY(C847)=1,"Sunday",IF(WEEKDAY(C847)=2,"Monday",IF(WEEKDAY(C847)=3,"Tuesday",IF(WEEKDAY(C847)=4,"Wednesday",IF(WEEKDAY(C847)=5,"Thursday",IF(WEEKDAY(C847)=6,"Friday","Saturday"))))))</f>
        <v>Saturday</v>
      </c>
      <c r="U847">
        <f t="shared" si="250"/>
        <v>1</v>
      </c>
      <c r="V847" s="24">
        <f>IFERROR(Table2[[#This Row],[Gray Min]]/Table2[[#This Row],[ClassLength]],"")</f>
        <v>0.26315789473684209</v>
      </c>
      <c r="W847" s="24">
        <f>IFERROR(Table2[[#This Row],[Blue Min]]/Table2[[#This Row],[ClassLength]],"")</f>
        <v>0.24561403508771928</v>
      </c>
      <c r="X847" s="24">
        <f>IFERROR(Table2[[#This Row],[Green Min]]/Table2[[#This Row],[ClassLength]],"")</f>
        <v>0.24561403508771928</v>
      </c>
      <c r="Y847" s="24">
        <f>IFERROR(Table2[[#This Row],[Orange Min]]/Table2[[#This Row],[ClassLength]],"")</f>
        <v>0.22807017543859648</v>
      </c>
      <c r="Z847" s="24">
        <f>IFERROR(Table2[[#This Row],[Red Min]]/Table2[[#This Row],[ClassLength]],"")</f>
        <v>1.7543859649122806E-2</v>
      </c>
      <c r="AA847" s="25">
        <v>139</v>
      </c>
      <c r="AB847" s="25">
        <f t="shared" si="226"/>
        <v>9.9285714285714288</v>
      </c>
      <c r="AC847" s="26">
        <f t="shared" si="233"/>
        <v>620</v>
      </c>
      <c r="AD847" s="26">
        <f t="shared" si="234"/>
        <v>13.428571428571429</v>
      </c>
      <c r="AE847">
        <f t="shared" si="235"/>
        <v>2025</v>
      </c>
      <c r="AG847">
        <v>12</v>
      </c>
      <c r="AH847" s="26">
        <f t="shared" si="236"/>
        <v>11.087719298245615</v>
      </c>
      <c r="AI847" t="str">
        <f t="shared" si="237"/>
        <v>AM</v>
      </c>
      <c r="AJ847" t="str">
        <f t="shared" si="238"/>
        <v>9-2025-1</v>
      </c>
      <c r="AK847">
        <f t="shared" si="239"/>
        <v>9</v>
      </c>
      <c r="AL847" s="26">
        <f>IFERROR(Table2[[#This Row],[Calories]]/Table2[[#This Row],[Splat]],"")</f>
        <v>45.142857142857146</v>
      </c>
      <c r="AM847">
        <f>COUNTIF(N$2:$N$938,N847)</f>
        <v>78</v>
      </c>
      <c r="AN847" t="str">
        <f>VLOOKUP(N847,'Helpful Tables'!A:D,4,FALSE)</f>
        <v>Oregon</v>
      </c>
      <c r="AO847" s="24">
        <f>COUNTIF(AN:AN,Table2[[#This Row],[State]])/COUNTA(AN:AN)</f>
        <v>0.36140724946695096</v>
      </c>
      <c r="AP847">
        <f>VLOOKUP(N847,'Helpful Tables'!A:B,2,FALSE)</f>
        <v>45.525092999999998</v>
      </c>
      <c r="AQ847">
        <f>VLOOKUP(N847,'Helpful Tables'!A:C,3,FALSE)</f>
        <v>-122.681383</v>
      </c>
      <c r="AR847">
        <f>COUNTIF(P$2:$P$938,P847)</f>
        <v>40</v>
      </c>
      <c r="AS847" cm="1">
        <f t="array" ref="AS847">_xlfn.IFS(E847&lt;6,((E847/D847)*60)*0.5,AND(E847&gt;=6,E847&lt;9),((E847/D847)*60)*0.75,AND(E847&gt;=9,E847&lt;=11),((E847/D847)*60)*0.9,AND(E847=12),((E847/D847)*60)*1,AND(E847&gt;=13,E847&lt;=15),((E847/D847)*60)*1.2,AND(E847&gt;=16,E847&lt;=19),((E847/D847)*60)*1.5,E847&gt;=20,((E847/D847)*60)*1.8)</f>
        <v>17.684210526315788</v>
      </c>
      <c r="AT847" cm="1">
        <f t="array" ref="AT847">_xlfn.IFS(F847&lt;550,((F847/D847)*60)*0.5,AND(F847&gt;=550,F847&lt;575),((F847/D847)*60)*0.75,AND(F847&gt;=575,F847&lt;600),((F847/D847)*60)*0.9,AND(F847=600),((F847/D847)*60)*1,AND(F847&gt;=601,F847&lt;=625),((F847/D847)*60)*1.2,AND(F847&gt;=626,F847&lt;=650),((F847/D847)*60)*1.5,F847&gt;=651,((F847/D847)*60)*1.8)</f>
        <v>997.89473684210532</v>
      </c>
      <c r="AU847">
        <f t="shared" si="227"/>
        <v>1.7999999999999972</v>
      </c>
      <c r="AV847">
        <f t="shared" si="251"/>
        <v>406.59157894736848</v>
      </c>
      <c r="AW847">
        <f t="shared" si="228"/>
        <v>56.599999999999994</v>
      </c>
      <c r="AX847" t="str">
        <f t="shared" si="240"/>
        <v>Sep-2025</v>
      </c>
      <c r="AY847">
        <f>ROUNDUP(Table2[[#This Row],[Month]]/3,0)</f>
        <v>3</v>
      </c>
    </row>
    <row r="848" spans="1:51" x14ac:dyDescent="0.2">
      <c r="A848">
        <v>847</v>
      </c>
      <c r="B848">
        <f t="shared" si="230"/>
        <v>14</v>
      </c>
      <c r="C848" s="22">
        <v>45908</v>
      </c>
      <c r="D848">
        <f>SUM(Table2[[#This Row],[Gray Min]:[Red Min]])</f>
        <v>65</v>
      </c>
      <c r="E848">
        <v>15</v>
      </c>
      <c r="F848">
        <v>654</v>
      </c>
      <c r="G848">
        <v>120</v>
      </c>
      <c r="H848">
        <v>165</v>
      </c>
      <c r="I848">
        <v>24</v>
      </c>
      <c r="J848">
        <v>12</v>
      </c>
      <c r="K848">
        <v>14</v>
      </c>
      <c r="L848">
        <v>13</v>
      </c>
      <c r="M848">
        <v>2</v>
      </c>
      <c r="N848" t="s">
        <v>125</v>
      </c>
      <c r="O848" t="s">
        <v>127</v>
      </c>
      <c r="P848" t="s">
        <v>238</v>
      </c>
      <c r="Q848">
        <f t="shared" si="252"/>
        <v>2</v>
      </c>
      <c r="R848" t="str">
        <f t="shared" si="253"/>
        <v>9-2025</v>
      </c>
      <c r="S848" t="s">
        <v>104</v>
      </c>
      <c r="T848" t="str">
        <f t="shared" si="254"/>
        <v>Monday</v>
      </c>
      <c r="U848">
        <f t="shared" si="250"/>
        <v>1</v>
      </c>
      <c r="V848" s="24">
        <f>IFERROR(Table2[[#This Row],[Gray Min]]/Table2[[#This Row],[ClassLength]],"")</f>
        <v>0.36923076923076925</v>
      </c>
      <c r="W848" s="24">
        <f>IFERROR(Table2[[#This Row],[Blue Min]]/Table2[[#This Row],[ClassLength]],"")</f>
        <v>0.18461538461538463</v>
      </c>
      <c r="X848" s="24">
        <f>IFERROR(Table2[[#This Row],[Green Min]]/Table2[[#This Row],[ClassLength]],"")</f>
        <v>0.2153846153846154</v>
      </c>
      <c r="Y848" s="24">
        <f>IFERROR(Table2[[#This Row],[Orange Min]]/Table2[[#This Row],[ClassLength]],"")</f>
        <v>0.2</v>
      </c>
      <c r="Z848" s="24">
        <f>IFERROR(Table2[[#This Row],[Red Min]]/Table2[[#This Row],[ClassLength]],"")</f>
        <v>3.0769230769230771E-2</v>
      </c>
      <c r="AA848" s="25">
        <v>139</v>
      </c>
      <c r="AB848" s="25">
        <f t="shared" ref="AB848:AB892" si="255">AA848/B848</f>
        <v>9.9285714285714288</v>
      </c>
      <c r="AC848" s="26">
        <f t="shared" si="233"/>
        <v>620</v>
      </c>
      <c r="AD848" s="26">
        <f t="shared" si="234"/>
        <v>13.428571428571429</v>
      </c>
      <c r="AE848">
        <f t="shared" si="235"/>
        <v>2025</v>
      </c>
      <c r="AG848">
        <v>12</v>
      </c>
      <c r="AH848" s="26">
        <f t="shared" si="236"/>
        <v>10.061538461538461</v>
      </c>
      <c r="AI848" t="str">
        <f t="shared" si="237"/>
        <v>PM</v>
      </c>
      <c r="AJ848" t="str">
        <f t="shared" si="238"/>
        <v>9-2025-2</v>
      </c>
      <c r="AK848">
        <f t="shared" si="239"/>
        <v>9</v>
      </c>
      <c r="AL848" s="26">
        <f>IFERROR(Table2[[#This Row],[Calories]]/Table2[[#This Row],[Splat]],"")</f>
        <v>43.6</v>
      </c>
      <c r="AM848">
        <f>COUNTIF(N$2:$N$938,N848)</f>
        <v>258</v>
      </c>
      <c r="AN848" t="str">
        <f>VLOOKUP(N848,'Helpful Tables'!A:D,4,FALSE)</f>
        <v>Oregon</v>
      </c>
      <c r="AO848" s="24">
        <f>COUNTIF(AN:AN,Table2[[#This Row],[State]])/COUNTA(AN:AN)</f>
        <v>0.36140724946695096</v>
      </c>
      <c r="AP848">
        <f>VLOOKUP(N848,'Helpful Tables'!A:B,2,FALSE)</f>
        <v>45.534162000000002</v>
      </c>
      <c r="AQ848">
        <f>VLOOKUP(N848,'Helpful Tables'!A:C,3,FALSE)</f>
        <v>-122.69670000000001</v>
      </c>
      <c r="AR848">
        <f>COUNTIF(P$2:$P$938,P848)</f>
        <v>25</v>
      </c>
      <c r="AS848" cm="1">
        <f t="array" ref="AS848">_xlfn.IFS(E848&lt;6,((E848/D848)*60)*0.5,AND(E848&gt;=6,E848&lt;9),((E848/D848)*60)*0.75,AND(E848&gt;=9,E848&lt;=11),((E848/D848)*60)*0.9,AND(E848=12),((E848/D848)*60)*1,AND(E848&gt;=13,E848&lt;=15),((E848/D848)*60)*1.2,AND(E848&gt;=16,E848&lt;=19),((E848/D848)*60)*1.5,E848&gt;=20,((E848/D848)*60)*1.8)</f>
        <v>16.615384615384617</v>
      </c>
      <c r="AT848" cm="1">
        <f t="array" ref="AT848">_xlfn.IFS(F848&lt;550,((F848/D848)*60)*0.5,AND(F848&gt;=550,F848&lt;575),((F848/D848)*60)*0.75,AND(F848&gt;=575,F848&lt;600),((F848/D848)*60)*0.9,AND(F848=600),((F848/D848)*60)*1,AND(F848&gt;=601,F848&lt;=625),((F848/D848)*60)*1.2,AND(F848&gt;=626,F848&lt;=650),((F848/D848)*60)*1.5,F848&gt;=651,((F848/D848)*60)*1.8)</f>
        <v>1086.6461538461538</v>
      </c>
      <c r="AU848">
        <f t="shared" si="227"/>
        <v>-5.2999999999999972</v>
      </c>
      <c r="AV848">
        <f t="shared" si="251"/>
        <v>440.24461538461537</v>
      </c>
      <c r="AW848">
        <f t="shared" si="228"/>
        <v>65.5</v>
      </c>
      <c r="AX848" t="str">
        <f t="shared" si="240"/>
        <v>Sep-2025</v>
      </c>
      <c r="AY848">
        <f>ROUNDUP(Table2[[#This Row],[Month]]/3,0)</f>
        <v>3</v>
      </c>
    </row>
    <row r="849" spans="1:51" x14ac:dyDescent="0.2">
      <c r="A849">
        <v>848</v>
      </c>
      <c r="B849">
        <f t="shared" si="230"/>
        <v>14</v>
      </c>
      <c r="C849" s="22">
        <v>45909</v>
      </c>
      <c r="D849">
        <f>SUM(Table2[[#This Row],[Gray Min]:[Red Min]])</f>
        <v>58</v>
      </c>
      <c r="E849">
        <v>13</v>
      </c>
      <c r="F849">
        <v>639</v>
      </c>
      <c r="G849">
        <v>126</v>
      </c>
      <c r="H849">
        <v>161</v>
      </c>
      <c r="I849">
        <v>11</v>
      </c>
      <c r="J849">
        <v>18</v>
      </c>
      <c r="K849">
        <v>16</v>
      </c>
      <c r="L849">
        <v>13</v>
      </c>
      <c r="M849">
        <v>0</v>
      </c>
      <c r="N849" t="s">
        <v>208</v>
      </c>
      <c r="O849" t="s">
        <v>53</v>
      </c>
      <c r="P849" t="s">
        <v>213</v>
      </c>
      <c r="Q849">
        <f t="shared" si="252"/>
        <v>1</v>
      </c>
      <c r="R849" t="str">
        <f t="shared" si="253"/>
        <v>9-2025</v>
      </c>
      <c r="S849" t="s">
        <v>104</v>
      </c>
      <c r="T849" t="str">
        <f t="shared" si="254"/>
        <v>Tuesday</v>
      </c>
      <c r="U849">
        <f t="shared" si="250"/>
        <v>1</v>
      </c>
      <c r="V849" s="24">
        <f>IFERROR(Table2[[#This Row],[Gray Min]]/Table2[[#This Row],[ClassLength]],"")</f>
        <v>0.18965517241379309</v>
      </c>
      <c r="W849" s="24">
        <f>IFERROR(Table2[[#This Row],[Blue Min]]/Table2[[#This Row],[ClassLength]],"")</f>
        <v>0.31034482758620691</v>
      </c>
      <c r="X849" s="24">
        <f>IFERROR(Table2[[#This Row],[Green Min]]/Table2[[#This Row],[ClassLength]],"")</f>
        <v>0.27586206896551724</v>
      </c>
      <c r="Y849" s="24">
        <f>IFERROR(Table2[[#This Row],[Orange Min]]/Table2[[#This Row],[ClassLength]],"")</f>
        <v>0.22413793103448276</v>
      </c>
      <c r="Z849" s="24">
        <f>IFERROR(Table2[[#This Row],[Red Min]]/Table2[[#This Row],[ClassLength]],"")</f>
        <v>0</v>
      </c>
      <c r="AA849" s="25">
        <v>139</v>
      </c>
      <c r="AB849" s="25">
        <f t="shared" si="255"/>
        <v>9.9285714285714288</v>
      </c>
      <c r="AC849" s="26">
        <f t="shared" si="233"/>
        <v>620</v>
      </c>
      <c r="AD849" s="26">
        <f t="shared" si="234"/>
        <v>13.428571428571429</v>
      </c>
      <c r="AE849">
        <f t="shared" si="235"/>
        <v>2025</v>
      </c>
      <c r="AG849">
        <v>12</v>
      </c>
      <c r="AH849" s="26">
        <f t="shared" si="236"/>
        <v>11.017241379310345</v>
      </c>
      <c r="AI849" t="str">
        <f t="shared" si="237"/>
        <v>PM</v>
      </c>
      <c r="AJ849" t="str">
        <f t="shared" si="238"/>
        <v>9-2025-2</v>
      </c>
      <c r="AK849">
        <f t="shared" si="239"/>
        <v>9</v>
      </c>
      <c r="AL849" s="26">
        <f>IFERROR(Table2[[#This Row],[Calories]]/Table2[[#This Row],[Splat]],"")</f>
        <v>49.153846153846153</v>
      </c>
      <c r="AM849">
        <f>COUNTIF(N$2:$N$938,N849)</f>
        <v>78</v>
      </c>
      <c r="AN849" t="str">
        <f>VLOOKUP(N849,'Helpful Tables'!A:D,4,FALSE)</f>
        <v>Oregon</v>
      </c>
      <c r="AO849" s="24">
        <f>COUNTIF(AN:AN,Table2[[#This Row],[State]])/COUNTA(AN:AN)</f>
        <v>0.36140724946695096</v>
      </c>
      <c r="AP849">
        <f>VLOOKUP(N849,'Helpful Tables'!A:B,2,FALSE)</f>
        <v>45.525092999999998</v>
      </c>
      <c r="AQ849">
        <f>VLOOKUP(N849,'Helpful Tables'!A:C,3,FALSE)</f>
        <v>-122.681383</v>
      </c>
      <c r="AR849">
        <f>COUNTIF(P$2:$P$938,P849)</f>
        <v>40</v>
      </c>
      <c r="AS849" cm="1">
        <f t="array" ref="AS849">_xlfn.IFS(E849&lt;6,((E849/D849)*60)*0.5,AND(E849&gt;=6,E849&lt;9),((E849/D849)*60)*0.75,AND(E849&gt;=9,E849&lt;=11),((E849/D849)*60)*0.9,AND(E849=12),((E849/D849)*60)*1,AND(E849&gt;=13,E849&lt;=15),((E849/D849)*60)*1.2,AND(E849&gt;=16,E849&lt;=19),((E849/D849)*60)*1.5,E849&gt;=20,((E849/D849)*60)*1.8)</f>
        <v>16.137931034482758</v>
      </c>
      <c r="AT849" cm="1">
        <f t="array" ref="AT849">_xlfn.IFS(F849&lt;550,((F849/D849)*60)*0.5,AND(F849&gt;=550,F849&lt;575),((F849/D849)*60)*0.75,AND(F849&gt;=575,F849&lt;600),((F849/D849)*60)*0.9,AND(F849=600),((F849/D849)*60)*1,AND(F849&gt;=601,F849&lt;=625),((F849/D849)*60)*1.2,AND(F849&gt;=626,F849&lt;=650),((F849/D849)*60)*1.5,F849&gt;=651,((F849/D849)*60)*1.8)</f>
        <v>991.55172413793105</v>
      </c>
      <c r="AU849">
        <f t="shared" si="227"/>
        <v>3.1000000000000014</v>
      </c>
      <c r="AV849">
        <f t="shared" si="251"/>
        <v>403.69586206896554</v>
      </c>
      <c r="AW849">
        <f t="shared" si="228"/>
        <v>55.2</v>
      </c>
      <c r="AX849" t="str">
        <f t="shared" si="240"/>
        <v>Sep-2025</v>
      </c>
      <c r="AY849">
        <f>ROUNDUP(Table2[[#This Row],[Month]]/3,0)</f>
        <v>3</v>
      </c>
    </row>
    <row r="850" spans="1:51" x14ac:dyDescent="0.2">
      <c r="A850">
        <v>849</v>
      </c>
      <c r="B850">
        <f t="shared" si="230"/>
        <v>14</v>
      </c>
      <c r="C850" s="22">
        <v>45911</v>
      </c>
      <c r="D850" s="30">
        <f>SUM(Table2[[#This Row],[Gray Min]:[Red Min]])</f>
        <v>58.84615384615384</v>
      </c>
      <c r="E850">
        <v>13</v>
      </c>
      <c r="F850">
        <v>625</v>
      </c>
      <c r="G850" s="30">
        <f>'Helpful Tables'!J15</f>
        <v>123.15384615384616</v>
      </c>
      <c r="H850" s="30">
        <f>'Helpful Tables'!I15</f>
        <v>164.76923076923077</v>
      </c>
      <c r="I850" s="30">
        <f>'Helpful Tables'!K15</f>
        <v>15.846153846153847</v>
      </c>
      <c r="J850" s="30">
        <f>'Helpful Tables'!L15</f>
        <v>16.384615384615383</v>
      </c>
      <c r="K850" s="30">
        <f>'Helpful Tables'!M15</f>
        <v>13.615384615384615</v>
      </c>
      <c r="L850">
        <v>12</v>
      </c>
      <c r="M850">
        <v>1</v>
      </c>
      <c r="N850" t="s">
        <v>125</v>
      </c>
      <c r="O850" t="s">
        <v>127</v>
      </c>
      <c r="P850" t="s">
        <v>281</v>
      </c>
      <c r="Q850">
        <f t="shared" si="252"/>
        <v>2</v>
      </c>
      <c r="R850" t="str">
        <f t="shared" si="253"/>
        <v>9-2025</v>
      </c>
      <c r="S850" t="s">
        <v>104</v>
      </c>
      <c r="T850" t="str">
        <f t="shared" si="254"/>
        <v>Thursday</v>
      </c>
      <c r="U850">
        <f t="shared" si="250"/>
        <v>1</v>
      </c>
      <c r="V850" s="24">
        <f>IFERROR(Table2[[#This Row],[Gray Min]]/Table2[[#This Row],[ClassLength]],"")</f>
        <v>0.26928104575163403</v>
      </c>
      <c r="W850" s="24">
        <f>IFERROR(Table2[[#This Row],[Blue Min]]/Table2[[#This Row],[ClassLength]],"")</f>
        <v>0.27843137254901962</v>
      </c>
      <c r="X850" s="24">
        <f>IFERROR(Table2[[#This Row],[Green Min]]/Table2[[#This Row],[ClassLength]],"")</f>
        <v>0.23137254901960785</v>
      </c>
      <c r="Y850" s="24">
        <f>IFERROR(Table2[[#This Row],[Orange Min]]/Table2[[#This Row],[ClassLength]],"")</f>
        <v>0.20392156862745101</v>
      </c>
      <c r="Z850" s="24">
        <f>IFERROR(Table2[[#This Row],[Red Min]]/Table2[[#This Row],[ClassLength]],"")</f>
        <v>1.6993464052287584E-2</v>
      </c>
      <c r="AA850" s="25">
        <v>139</v>
      </c>
      <c r="AB850" s="25">
        <f t="shared" si="255"/>
        <v>9.9285714285714288</v>
      </c>
      <c r="AC850" s="26">
        <f t="shared" si="233"/>
        <v>620</v>
      </c>
      <c r="AD850" s="26">
        <f t="shared" si="234"/>
        <v>13.428571428571429</v>
      </c>
      <c r="AE850">
        <f t="shared" si="235"/>
        <v>2025</v>
      </c>
      <c r="AG850">
        <v>12</v>
      </c>
      <c r="AH850" s="26">
        <f t="shared" si="236"/>
        <v>10.62091503267974</v>
      </c>
      <c r="AI850" t="str">
        <f t="shared" si="237"/>
        <v>PM</v>
      </c>
      <c r="AJ850" t="str">
        <f t="shared" si="238"/>
        <v>9-2025-2</v>
      </c>
      <c r="AK850">
        <f t="shared" si="239"/>
        <v>9</v>
      </c>
      <c r="AL850" s="26">
        <f>IFERROR(Table2[[#This Row],[Calories]]/Table2[[#This Row],[Splat]],"")</f>
        <v>48.07692307692308</v>
      </c>
      <c r="AM850">
        <f>COUNTIF(N$2:$N$938,N850)</f>
        <v>258</v>
      </c>
      <c r="AN850" t="str">
        <f>VLOOKUP(N850,'Helpful Tables'!A:D,4,FALSE)</f>
        <v>Oregon</v>
      </c>
      <c r="AO850" s="24">
        <f>COUNTIF(AN:AN,Table2[[#This Row],[State]])/COUNTA(AN:AN)</f>
        <v>0.36140724946695096</v>
      </c>
      <c r="AP850">
        <f>VLOOKUP(N850,'Helpful Tables'!A:B,2,FALSE)</f>
        <v>45.534162000000002</v>
      </c>
      <c r="AQ850">
        <f>VLOOKUP(N850,'Helpful Tables'!A:C,3,FALSE)</f>
        <v>-122.69670000000001</v>
      </c>
      <c r="AR850">
        <f>COUNTIF(P$2:$P$938,P850)</f>
        <v>41</v>
      </c>
      <c r="AS850" cm="1">
        <f t="array" ref="AS850">_xlfn.IFS(E850&lt;6,((E850/D850)*60)*0.5,AND(E850&gt;=6,E850&lt;9),((E850/D850)*60)*0.75,AND(E850&gt;=9,E850&lt;=11),((E850/D850)*60)*0.9,AND(E850=12),((E850/D850)*60)*1,AND(E850&gt;=13,E850&lt;=15),((E850/D850)*60)*1.2,AND(E850&gt;=16,E850&lt;=19),((E850/D850)*60)*1.5,E850&gt;=20,((E850/D850)*60)*1.8)</f>
        <v>15.905882352941177</v>
      </c>
      <c r="AT850" cm="1">
        <f t="array" ref="AT850">_xlfn.IFS(F850&lt;550,((F850/D850)*60)*0.5,AND(F850&gt;=550,F850&lt;575),((F850/D850)*60)*0.75,AND(F850&gt;=575,F850&lt;600),((F850/D850)*60)*0.9,AND(F850=600),((F850/D850)*60)*1,AND(F850&gt;=601,F850&lt;=625),((F850/D850)*60)*1.2,AND(F850&gt;=626,F850&lt;=650),((F850/D850)*60)*1.5,F850&gt;=651,((F850/D850)*60)*1.8)</f>
        <v>764.70588235294133</v>
      </c>
      <c r="AU850">
        <f t="shared" si="227"/>
        <v>-3.6000000000000014</v>
      </c>
      <c r="AV850">
        <f t="shared" si="251"/>
        <v>311.52470588235298</v>
      </c>
      <c r="AW850">
        <f t="shared" si="228"/>
        <v>32.1</v>
      </c>
      <c r="AX850" t="str">
        <f t="shared" si="240"/>
        <v>Sep-2025</v>
      </c>
      <c r="AY850">
        <f>ROUNDUP(Table2[[#This Row],[Month]]/3,0)</f>
        <v>3</v>
      </c>
    </row>
    <row r="851" spans="1:51" x14ac:dyDescent="0.2">
      <c r="A851">
        <v>850</v>
      </c>
      <c r="B851">
        <f t="shared" si="230"/>
        <v>14</v>
      </c>
      <c r="C851" s="22">
        <v>45915</v>
      </c>
      <c r="D851">
        <f>SUM(Table2[[#This Row],[Gray Min]:[Red Min]])</f>
        <v>64</v>
      </c>
      <c r="E851">
        <v>14</v>
      </c>
      <c r="F851">
        <v>601</v>
      </c>
      <c r="G851">
        <v>115</v>
      </c>
      <c r="H851">
        <v>170</v>
      </c>
      <c r="I851">
        <v>33</v>
      </c>
      <c r="J851">
        <v>7</v>
      </c>
      <c r="K851">
        <v>10</v>
      </c>
      <c r="L851">
        <v>13</v>
      </c>
      <c r="M851">
        <v>1</v>
      </c>
      <c r="N851" t="s">
        <v>125</v>
      </c>
      <c r="O851" t="s">
        <v>127</v>
      </c>
      <c r="P851" t="s">
        <v>238</v>
      </c>
      <c r="Q851">
        <f t="shared" si="252"/>
        <v>4</v>
      </c>
      <c r="R851" t="str">
        <f t="shared" si="253"/>
        <v>9-2025</v>
      </c>
      <c r="S851" t="s">
        <v>104</v>
      </c>
      <c r="T851" t="str">
        <f t="shared" si="254"/>
        <v>Monday</v>
      </c>
      <c r="U851">
        <f t="shared" ref="U851:U856" si="256">IF(E851&gt;=12,1,0)</f>
        <v>1</v>
      </c>
      <c r="V851" s="24">
        <f>IFERROR(Table2[[#This Row],[Gray Min]]/Table2[[#This Row],[ClassLength]],"")</f>
        <v>0.515625</v>
      </c>
      <c r="W851" s="24">
        <f>IFERROR(Table2[[#This Row],[Blue Min]]/Table2[[#This Row],[ClassLength]],"")</f>
        <v>0.109375</v>
      </c>
      <c r="X851" s="24">
        <f>IFERROR(Table2[[#This Row],[Green Min]]/Table2[[#This Row],[ClassLength]],"")</f>
        <v>0.15625</v>
      </c>
      <c r="Y851" s="24">
        <f>IFERROR(Table2[[#This Row],[Orange Min]]/Table2[[#This Row],[ClassLength]],"")</f>
        <v>0.203125</v>
      </c>
      <c r="Z851" s="24">
        <f>IFERROR(Table2[[#This Row],[Red Min]]/Table2[[#This Row],[ClassLength]],"")</f>
        <v>1.5625E-2</v>
      </c>
      <c r="AA851" s="25">
        <v>139</v>
      </c>
      <c r="AB851" s="25">
        <f t="shared" si="255"/>
        <v>9.9285714285714288</v>
      </c>
      <c r="AC851" s="26">
        <f t="shared" si="233"/>
        <v>620</v>
      </c>
      <c r="AD851" s="26">
        <f t="shared" si="234"/>
        <v>13.428571428571429</v>
      </c>
      <c r="AE851">
        <f t="shared" si="235"/>
        <v>2025</v>
      </c>
      <c r="AF851" s="25">
        <v>10</v>
      </c>
      <c r="AG851">
        <v>12</v>
      </c>
      <c r="AH851" s="26">
        <f t="shared" si="236"/>
        <v>9.390625</v>
      </c>
      <c r="AI851" t="str">
        <f t="shared" si="237"/>
        <v>PM</v>
      </c>
      <c r="AJ851" t="str">
        <f t="shared" si="238"/>
        <v>9-2025-3</v>
      </c>
      <c r="AK851">
        <f t="shared" si="239"/>
        <v>9</v>
      </c>
      <c r="AL851" s="26">
        <f>IFERROR(Table2[[#This Row],[Calories]]/Table2[[#This Row],[Splat]],"")</f>
        <v>42.928571428571431</v>
      </c>
      <c r="AM851">
        <f>COUNTIF(N$2:$N$938,N851)</f>
        <v>258</v>
      </c>
      <c r="AN851" t="str">
        <f>VLOOKUP(N851,'Helpful Tables'!A:D,4,FALSE)</f>
        <v>Oregon</v>
      </c>
      <c r="AO851" s="24">
        <f>COUNTIF(AN:AN,Table2[[#This Row],[State]])/COUNTA(AN:AN)</f>
        <v>0.36140724946695096</v>
      </c>
      <c r="AP851">
        <f>VLOOKUP(N851,'Helpful Tables'!A:B,2,FALSE)</f>
        <v>45.534162000000002</v>
      </c>
      <c r="AQ851">
        <f>VLOOKUP(N851,'Helpful Tables'!A:C,3,FALSE)</f>
        <v>-122.69670000000001</v>
      </c>
      <c r="AR851">
        <f>COUNTIF(P$2:$P$938,P851)</f>
        <v>25</v>
      </c>
      <c r="AS851" cm="1">
        <f t="array" ref="AS851">_xlfn.IFS(E851&lt;6,((E851/D851)*60)*0.5,AND(E851&gt;=6,E851&lt;9),((E851/D851)*60)*0.75,AND(E851&gt;=9,E851&lt;=11),((E851/D851)*60)*0.9,AND(E851=12),((E851/D851)*60)*1,AND(E851&gt;=13,E851&lt;=15),((E851/D851)*60)*1.2,AND(E851&gt;=16,E851&lt;=19),((E851/D851)*60)*1.5,E851&gt;=20,((E851/D851)*60)*1.8)</f>
        <v>15.75</v>
      </c>
      <c r="AT851" cm="1">
        <f t="array" ref="AT851">_xlfn.IFS(F851&lt;550,((F851/D851)*60)*0.5,AND(F851&gt;=550,F851&lt;575),((F851/D851)*60)*0.75,AND(F851&gt;=575,F851&lt;600),((F851/D851)*60)*0.9,AND(F851=600),((F851/D851)*60)*1,AND(F851&gt;=601,F851&lt;=625),((F851/D851)*60)*1.2,AND(F851&gt;=626,F851&lt;=650),((F851/D851)*60)*1.5,F851&gt;=651,((F851/D851)*60)*1.8)</f>
        <v>676.125</v>
      </c>
      <c r="AU851">
        <f t="shared" si="227"/>
        <v>-16.900000000000002</v>
      </c>
      <c r="AV851">
        <f t="shared" ref="AV851:AV856" si="257">(AS851*0.4)+(AT851*0.4)+(AU851*0.2)</f>
        <v>273.37</v>
      </c>
      <c r="AW851">
        <f t="shared" si="228"/>
        <v>23.9</v>
      </c>
      <c r="AX851" t="str">
        <f t="shared" si="240"/>
        <v>Sep-2025</v>
      </c>
      <c r="AY851">
        <f>ROUNDUP(Table2[[#This Row],[Month]]/3,0)</f>
        <v>3</v>
      </c>
    </row>
    <row r="852" spans="1:51" x14ac:dyDescent="0.2">
      <c r="A852">
        <v>851</v>
      </c>
      <c r="B852">
        <f t="shared" si="230"/>
        <v>14</v>
      </c>
      <c r="C852" s="22">
        <v>45917</v>
      </c>
      <c r="D852">
        <f>SUM(Table2[[#This Row],[Gray Min]:[Red Min]])</f>
        <v>64</v>
      </c>
      <c r="E852">
        <v>14</v>
      </c>
      <c r="F852">
        <v>638</v>
      </c>
      <c r="G852">
        <v>119</v>
      </c>
      <c r="H852">
        <v>160</v>
      </c>
      <c r="I852">
        <v>25</v>
      </c>
      <c r="J852">
        <v>12</v>
      </c>
      <c r="K852">
        <v>13</v>
      </c>
      <c r="L852">
        <v>14</v>
      </c>
      <c r="M852">
        <v>0</v>
      </c>
      <c r="N852" t="s">
        <v>125</v>
      </c>
      <c r="O852" t="s">
        <v>127</v>
      </c>
      <c r="P852" t="s">
        <v>281</v>
      </c>
      <c r="Q852">
        <f t="shared" si="252"/>
        <v>2</v>
      </c>
      <c r="R852" t="str">
        <f t="shared" si="253"/>
        <v>9-2025</v>
      </c>
      <c r="S852" t="s">
        <v>104</v>
      </c>
      <c r="T852" t="str">
        <f t="shared" si="254"/>
        <v>Wednesday</v>
      </c>
      <c r="U852">
        <f t="shared" si="256"/>
        <v>1</v>
      </c>
      <c r="V852" s="24">
        <f>IFERROR(Table2[[#This Row],[Gray Min]]/Table2[[#This Row],[ClassLength]],"")</f>
        <v>0.390625</v>
      </c>
      <c r="W852" s="24">
        <f>IFERROR(Table2[[#This Row],[Blue Min]]/Table2[[#This Row],[ClassLength]],"")</f>
        <v>0.1875</v>
      </c>
      <c r="X852" s="24">
        <f>IFERROR(Table2[[#This Row],[Green Min]]/Table2[[#This Row],[ClassLength]],"")</f>
        <v>0.203125</v>
      </c>
      <c r="Y852" s="24">
        <f>IFERROR(Table2[[#This Row],[Orange Min]]/Table2[[#This Row],[ClassLength]],"")</f>
        <v>0.21875</v>
      </c>
      <c r="Z852" s="24">
        <f>IFERROR(Table2[[#This Row],[Red Min]]/Table2[[#This Row],[ClassLength]],"")</f>
        <v>0</v>
      </c>
      <c r="AA852" s="25">
        <v>139</v>
      </c>
      <c r="AB852" s="25">
        <f t="shared" si="255"/>
        <v>9.9285714285714288</v>
      </c>
      <c r="AC852" s="26">
        <f t="shared" si="233"/>
        <v>620</v>
      </c>
      <c r="AD852" s="26">
        <f t="shared" si="234"/>
        <v>13.428571428571429</v>
      </c>
      <c r="AE852">
        <f t="shared" si="235"/>
        <v>2025</v>
      </c>
      <c r="AG852">
        <v>12</v>
      </c>
      <c r="AH852" s="26">
        <f t="shared" si="236"/>
        <v>9.96875</v>
      </c>
      <c r="AI852" t="str">
        <f t="shared" si="237"/>
        <v>PM</v>
      </c>
      <c r="AJ852" t="str">
        <f t="shared" si="238"/>
        <v>9-2025-3</v>
      </c>
      <c r="AK852">
        <f t="shared" si="239"/>
        <v>9</v>
      </c>
      <c r="AL852" s="26">
        <f>IFERROR(Table2[[#This Row],[Calories]]/Table2[[#This Row],[Splat]],"")</f>
        <v>45.571428571428569</v>
      </c>
      <c r="AM852">
        <f>COUNTIF(N$2:$N$938,N852)</f>
        <v>258</v>
      </c>
      <c r="AN852" t="str">
        <f>VLOOKUP(N852,'Helpful Tables'!A:D,4,FALSE)</f>
        <v>Oregon</v>
      </c>
      <c r="AO852" s="24">
        <f>COUNTIF(AN:AN,Table2[[#This Row],[State]])/COUNTA(AN:AN)</f>
        <v>0.36140724946695096</v>
      </c>
      <c r="AP852">
        <f>VLOOKUP(N852,'Helpful Tables'!A:B,2,FALSE)</f>
        <v>45.534162000000002</v>
      </c>
      <c r="AQ852">
        <f>VLOOKUP(N852,'Helpful Tables'!A:C,3,FALSE)</f>
        <v>-122.69670000000001</v>
      </c>
      <c r="AR852">
        <f>COUNTIF(P$2:$P$938,P852)</f>
        <v>41</v>
      </c>
      <c r="AS852" cm="1">
        <f t="array" ref="AS852">_xlfn.IFS(E852&lt;6,((E852/D852)*60)*0.5,AND(E852&gt;=6,E852&lt;9),((E852/D852)*60)*0.75,AND(E852&gt;=9,E852&lt;=11),((E852/D852)*60)*0.9,AND(E852=12),((E852/D852)*60)*1,AND(E852&gt;=13,E852&lt;=15),((E852/D852)*60)*1.2,AND(E852&gt;=16,E852&lt;=19),((E852/D852)*60)*1.5,E852&gt;=20,((E852/D852)*60)*1.8)</f>
        <v>15.75</v>
      </c>
      <c r="AT852" cm="1">
        <f t="array" ref="AT852">_xlfn.IFS(F852&lt;550,((F852/D852)*60)*0.5,AND(F852&gt;=550,F852&lt;575),((F852/D852)*60)*0.75,AND(F852&gt;=575,F852&lt;600),((F852/D852)*60)*0.9,AND(F852=600),((F852/D852)*60)*1,AND(F852&gt;=601,F852&lt;=625),((F852/D852)*60)*1.2,AND(F852&gt;=626,F852&lt;=650),((F852/D852)*60)*1.5,F852&gt;=651,((F852/D852)*60)*1.8)</f>
        <v>897.1875</v>
      </c>
      <c r="AU852">
        <f t="shared" si="227"/>
        <v>-9.4000000000000021</v>
      </c>
      <c r="AV852">
        <f t="shared" si="257"/>
        <v>363.29500000000002</v>
      </c>
      <c r="AW852">
        <f t="shared" si="228"/>
        <v>42.8</v>
      </c>
      <c r="AX852" t="str">
        <f t="shared" si="240"/>
        <v>Sep-2025</v>
      </c>
      <c r="AY852">
        <f>ROUNDUP(Table2[[#This Row],[Month]]/3,0)</f>
        <v>3</v>
      </c>
    </row>
    <row r="853" spans="1:51" x14ac:dyDescent="0.2">
      <c r="A853">
        <v>852</v>
      </c>
      <c r="B853">
        <f t="shared" si="230"/>
        <v>14</v>
      </c>
      <c r="C853" s="22">
        <v>45919</v>
      </c>
      <c r="D853" s="30">
        <f>SUM(Table2[[#This Row],[Gray Min]:[Red Min]])</f>
        <v>61</v>
      </c>
      <c r="E853">
        <v>21</v>
      </c>
      <c r="F853">
        <v>653</v>
      </c>
      <c r="G853" s="30">
        <v>124</v>
      </c>
      <c r="H853" s="30">
        <v>167</v>
      </c>
      <c r="I853" s="30">
        <v>20</v>
      </c>
      <c r="J853" s="30">
        <v>14</v>
      </c>
      <c r="K853" s="30">
        <v>6</v>
      </c>
      <c r="L853">
        <v>19</v>
      </c>
      <c r="M853">
        <v>2</v>
      </c>
      <c r="N853" t="s">
        <v>125</v>
      </c>
      <c r="O853" t="s">
        <v>127</v>
      </c>
      <c r="P853" t="s">
        <v>281</v>
      </c>
      <c r="Q853">
        <f t="shared" ref="Q853:Q858" si="258">C853-C852</f>
        <v>2</v>
      </c>
      <c r="R853" t="str">
        <f t="shared" ref="R853:R858" si="259">MONTH(C853)&amp;"-"&amp;YEAR(C853)</f>
        <v>9-2025</v>
      </c>
      <c r="S853" t="s">
        <v>104</v>
      </c>
      <c r="T853" t="str">
        <f t="shared" ref="T853:T858" si="260">IF(WEEKDAY(C853)=1,"Sunday",IF(WEEKDAY(C853)=2,"Monday",IF(WEEKDAY(C853)=3,"Tuesday",IF(WEEKDAY(C853)=4,"Wednesday",IF(WEEKDAY(C853)=5,"Thursday",IF(WEEKDAY(C853)=6,"Friday","Saturday"))))))</f>
        <v>Friday</v>
      </c>
      <c r="U853">
        <f t="shared" si="256"/>
        <v>1</v>
      </c>
      <c r="V853" s="24">
        <f>IFERROR(Table2[[#This Row],[Gray Min]]/Table2[[#This Row],[ClassLength]],"")</f>
        <v>0.32786885245901637</v>
      </c>
      <c r="W853" s="24">
        <f>IFERROR(Table2[[#This Row],[Blue Min]]/Table2[[#This Row],[ClassLength]],"")</f>
        <v>0.22950819672131148</v>
      </c>
      <c r="X853" s="24">
        <f>IFERROR(Table2[[#This Row],[Green Min]]/Table2[[#This Row],[ClassLength]],"")</f>
        <v>9.8360655737704916E-2</v>
      </c>
      <c r="Y853" s="24">
        <f>IFERROR(Table2[[#This Row],[Orange Min]]/Table2[[#This Row],[ClassLength]],"")</f>
        <v>0.31147540983606559</v>
      </c>
      <c r="Z853" s="24">
        <f>IFERROR(Table2[[#This Row],[Red Min]]/Table2[[#This Row],[ClassLength]],"")</f>
        <v>3.2786885245901641E-2</v>
      </c>
      <c r="AA853" s="25">
        <v>139</v>
      </c>
      <c r="AB853" s="25">
        <f t="shared" si="255"/>
        <v>9.9285714285714288</v>
      </c>
      <c r="AC853" s="26">
        <f t="shared" si="233"/>
        <v>620</v>
      </c>
      <c r="AD853" s="26">
        <f t="shared" si="234"/>
        <v>13.428571428571429</v>
      </c>
      <c r="AE853">
        <f t="shared" si="235"/>
        <v>2025</v>
      </c>
      <c r="AG853">
        <v>12</v>
      </c>
      <c r="AH853" s="26">
        <f t="shared" si="236"/>
        <v>10.704918032786885</v>
      </c>
      <c r="AI853" t="str">
        <f t="shared" si="237"/>
        <v>PM</v>
      </c>
      <c r="AJ853" t="str">
        <f t="shared" si="238"/>
        <v>9-2025-3</v>
      </c>
      <c r="AK853">
        <f t="shared" si="239"/>
        <v>9</v>
      </c>
      <c r="AL853" s="26">
        <f>IFERROR(Table2[[#This Row],[Calories]]/Table2[[#This Row],[Splat]],"")</f>
        <v>31.095238095238095</v>
      </c>
      <c r="AM853">
        <f>COUNTIF(N$2:$N$938,N853)</f>
        <v>258</v>
      </c>
      <c r="AN853" t="str">
        <f>VLOOKUP(N853,'Helpful Tables'!A:D,4,FALSE)</f>
        <v>Oregon</v>
      </c>
      <c r="AO853" s="24">
        <f>COUNTIF(AN:AN,Table2[[#This Row],[State]])/COUNTA(AN:AN)</f>
        <v>0.36140724946695096</v>
      </c>
      <c r="AP853">
        <f>VLOOKUP(N853,'Helpful Tables'!A:B,2,FALSE)</f>
        <v>45.534162000000002</v>
      </c>
      <c r="AQ853">
        <f>VLOOKUP(N853,'Helpful Tables'!A:C,3,FALSE)</f>
        <v>-122.69670000000001</v>
      </c>
      <c r="AR853">
        <f>COUNTIF(P$2:$P$938,P853)</f>
        <v>41</v>
      </c>
      <c r="AS853" cm="1">
        <f t="array" ref="AS853">_xlfn.IFS(E853&lt;6,((E853/D853)*60)*0.5,AND(E853&gt;=6,E853&lt;9),((E853/D853)*60)*0.75,AND(E853&gt;=9,E853&lt;=11),((E853/D853)*60)*0.9,AND(E853=12),((E853/D853)*60)*1,AND(E853&gt;=13,E853&lt;=15),((E853/D853)*60)*1.2,AND(E853&gt;=16,E853&lt;=19),((E853/D853)*60)*1.5,E853&gt;=20,((E853/D853)*60)*1.8)</f>
        <v>37.180327868852459</v>
      </c>
      <c r="AT853" cm="1">
        <f t="array" ref="AT853">_xlfn.IFS(F853&lt;550,((F853/D853)*60)*0.5,AND(F853&gt;=550,F853&lt;575),((F853/D853)*60)*0.75,AND(F853&gt;=575,F853&lt;600),((F853/D853)*60)*0.9,AND(F853=600),((F853/D853)*60)*1,AND(F853&gt;=601,F853&lt;=625),((F853/D853)*60)*1.2,AND(F853&gt;=626,F853&lt;=650),((F853/D853)*60)*1.5,F853&gt;=651,((F853/D853)*60)*1.8)</f>
        <v>1156.1311475409836</v>
      </c>
      <c r="AU853">
        <f t="shared" si="227"/>
        <v>-4.5000000000000036</v>
      </c>
      <c r="AV853">
        <f t="shared" si="257"/>
        <v>476.42459016393451</v>
      </c>
      <c r="AW853">
        <f t="shared" si="228"/>
        <v>68.7</v>
      </c>
      <c r="AX853" t="str">
        <f t="shared" si="240"/>
        <v>Sep-2025</v>
      </c>
      <c r="AY853">
        <f>ROUNDUP(Table2[[#This Row],[Month]]/3,0)</f>
        <v>3</v>
      </c>
    </row>
    <row r="854" spans="1:51" x14ac:dyDescent="0.2">
      <c r="A854">
        <v>853</v>
      </c>
      <c r="B854">
        <f t="shared" si="230"/>
        <v>14</v>
      </c>
      <c r="C854" s="22">
        <v>45921</v>
      </c>
      <c r="D854">
        <f>SUM(Table2[[#This Row],[Gray Min]:[Red Min]])</f>
        <v>60</v>
      </c>
      <c r="E854">
        <v>15</v>
      </c>
      <c r="F854">
        <v>638</v>
      </c>
      <c r="G854" s="30">
        <v>124</v>
      </c>
      <c r="H854" s="30">
        <v>167</v>
      </c>
      <c r="I854" s="30">
        <v>15</v>
      </c>
      <c r="J854" s="30">
        <v>18</v>
      </c>
      <c r="K854" s="30">
        <v>12</v>
      </c>
      <c r="L854">
        <v>14</v>
      </c>
      <c r="M854">
        <v>1</v>
      </c>
      <c r="N854" t="s">
        <v>208</v>
      </c>
      <c r="O854" t="s">
        <v>76</v>
      </c>
      <c r="P854" t="s">
        <v>210</v>
      </c>
      <c r="Q854">
        <f t="shared" si="258"/>
        <v>2</v>
      </c>
      <c r="R854" t="str">
        <f t="shared" si="259"/>
        <v>9-2025</v>
      </c>
      <c r="S854" t="s">
        <v>104</v>
      </c>
      <c r="T854" t="str">
        <f t="shared" si="260"/>
        <v>Sunday</v>
      </c>
      <c r="U854">
        <f t="shared" si="256"/>
        <v>1</v>
      </c>
      <c r="V854" s="24">
        <f>IFERROR(Table2[[#This Row],[Gray Min]]/Table2[[#This Row],[ClassLength]],"")</f>
        <v>0.25</v>
      </c>
      <c r="W854" s="24">
        <f>IFERROR(Table2[[#This Row],[Blue Min]]/Table2[[#This Row],[ClassLength]],"")</f>
        <v>0.3</v>
      </c>
      <c r="X854" s="24">
        <f>IFERROR(Table2[[#This Row],[Green Min]]/Table2[[#This Row],[ClassLength]],"")</f>
        <v>0.2</v>
      </c>
      <c r="Y854" s="24">
        <f>IFERROR(Table2[[#This Row],[Orange Min]]/Table2[[#This Row],[ClassLength]],"")</f>
        <v>0.23333333333333334</v>
      </c>
      <c r="Z854" s="24">
        <f>IFERROR(Table2[[#This Row],[Red Min]]/Table2[[#This Row],[ClassLength]],"")</f>
        <v>1.6666666666666666E-2</v>
      </c>
      <c r="AA854" s="25">
        <v>139</v>
      </c>
      <c r="AB854" s="25">
        <f t="shared" si="255"/>
        <v>9.9285714285714288</v>
      </c>
      <c r="AC854" s="26">
        <f t="shared" si="233"/>
        <v>620</v>
      </c>
      <c r="AD854" s="26">
        <f t="shared" si="234"/>
        <v>13.428571428571429</v>
      </c>
      <c r="AE854">
        <f t="shared" si="235"/>
        <v>2025</v>
      </c>
      <c r="AG854">
        <v>12</v>
      </c>
      <c r="AH854" s="26">
        <f t="shared" si="236"/>
        <v>10.633333333333333</v>
      </c>
      <c r="AI854" t="str">
        <f t="shared" si="237"/>
        <v>AM</v>
      </c>
      <c r="AJ854" t="str">
        <f t="shared" si="238"/>
        <v>9-2025-4</v>
      </c>
      <c r="AK854">
        <f t="shared" si="239"/>
        <v>9</v>
      </c>
      <c r="AL854" s="26">
        <f>IFERROR(Table2[[#This Row],[Calories]]/Table2[[#This Row],[Splat]],"")</f>
        <v>42.533333333333331</v>
      </c>
      <c r="AM854">
        <f>COUNTIF(N$2:$N$938,N854)</f>
        <v>78</v>
      </c>
      <c r="AN854" t="str">
        <f>VLOOKUP(N854,'Helpful Tables'!A:D,4,FALSE)</f>
        <v>Oregon</v>
      </c>
      <c r="AO854" s="24">
        <f>COUNTIF(AN:AN,Table2[[#This Row],[State]])/COUNTA(AN:AN)</f>
        <v>0.36140724946695096</v>
      </c>
      <c r="AP854">
        <f>VLOOKUP(N854,'Helpful Tables'!A:B,2,FALSE)</f>
        <v>45.525092999999998</v>
      </c>
      <c r="AQ854">
        <f>VLOOKUP(N854,'Helpful Tables'!A:C,3,FALSE)</f>
        <v>-122.681383</v>
      </c>
      <c r="AR854">
        <f>COUNTIF(P$2:$P$938,P854)</f>
        <v>16</v>
      </c>
      <c r="AS854" cm="1">
        <f t="array" ref="AS854">_xlfn.IFS(E854&lt;6,((E854/D854)*60)*0.5,AND(E854&gt;=6,E854&lt;9),((E854/D854)*60)*0.75,AND(E854&gt;=9,E854&lt;=11),((E854/D854)*60)*0.9,AND(E854=12),((E854/D854)*60)*1,AND(E854&gt;=13,E854&lt;=15),((E854/D854)*60)*1.2,AND(E854&gt;=16,E854&lt;=19),((E854/D854)*60)*1.5,E854&gt;=20,((E854/D854)*60)*1.8)</f>
        <v>18</v>
      </c>
      <c r="AT854" cm="1">
        <f t="array" ref="AT854">_xlfn.IFS(F854&lt;550,((F854/D854)*60)*0.5,AND(F854&gt;=550,F854&lt;575),((F854/D854)*60)*0.75,AND(F854&gt;=575,F854&lt;600),((F854/D854)*60)*0.9,AND(F854=600),((F854/D854)*60)*1,AND(F854&gt;=601,F854&lt;=625),((F854/D854)*60)*1.2,AND(F854&gt;=626,F854&lt;=650),((F854/D854)*60)*1.5,F854&gt;=651,((F854/D854)*60)*1.8)</f>
        <v>957</v>
      </c>
      <c r="AU854">
        <f t="shared" si="227"/>
        <v>-3.6999999999999993</v>
      </c>
      <c r="AV854">
        <f t="shared" si="257"/>
        <v>389.26</v>
      </c>
      <c r="AW854">
        <f t="shared" si="228"/>
        <v>48.199999999999996</v>
      </c>
      <c r="AX854" t="str">
        <f t="shared" si="240"/>
        <v>Sep-2025</v>
      </c>
      <c r="AY854">
        <f>ROUNDUP(Table2[[#This Row],[Month]]/3,0)</f>
        <v>3</v>
      </c>
    </row>
    <row r="855" spans="1:51" x14ac:dyDescent="0.2">
      <c r="A855">
        <v>854</v>
      </c>
      <c r="B855">
        <f t="shared" si="230"/>
        <v>14</v>
      </c>
      <c r="C855" s="22">
        <v>45923</v>
      </c>
      <c r="D855">
        <f>SUM(Table2[[#This Row],[Gray Min]:[Red Min]])</f>
        <v>58</v>
      </c>
      <c r="E855">
        <v>8</v>
      </c>
      <c r="F855">
        <v>555</v>
      </c>
      <c r="G855">
        <v>116</v>
      </c>
      <c r="H855">
        <v>165</v>
      </c>
      <c r="I855">
        <v>24</v>
      </c>
      <c r="J855">
        <v>11</v>
      </c>
      <c r="K855">
        <v>15</v>
      </c>
      <c r="L855">
        <v>7</v>
      </c>
      <c r="M855">
        <v>1</v>
      </c>
      <c r="N855" t="s">
        <v>208</v>
      </c>
      <c r="O855" t="s">
        <v>53</v>
      </c>
      <c r="P855" t="s">
        <v>213</v>
      </c>
      <c r="Q855">
        <f t="shared" si="258"/>
        <v>2</v>
      </c>
      <c r="R855" t="str">
        <f t="shared" si="259"/>
        <v>9-2025</v>
      </c>
      <c r="S855" t="s">
        <v>104</v>
      </c>
      <c r="T855" t="str">
        <f t="shared" si="260"/>
        <v>Tuesday</v>
      </c>
      <c r="U855">
        <f t="shared" si="256"/>
        <v>0</v>
      </c>
      <c r="V855" s="24">
        <f>IFERROR(Table2[[#This Row],[Gray Min]]/Table2[[#This Row],[ClassLength]],"")</f>
        <v>0.41379310344827586</v>
      </c>
      <c r="W855" s="24">
        <f>IFERROR(Table2[[#This Row],[Blue Min]]/Table2[[#This Row],[ClassLength]],"")</f>
        <v>0.18965517241379309</v>
      </c>
      <c r="X855" s="24">
        <f>IFERROR(Table2[[#This Row],[Green Min]]/Table2[[#This Row],[ClassLength]],"")</f>
        <v>0.25862068965517243</v>
      </c>
      <c r="Y855" s="24">
        <f>IFERROR(Table2[[#This Row],[Orange Min]]/Table2[[#This Row],[ClassLength]],"")</f>
        <v>0.1206896551724138</v>
      </c>
      <c r="Z855" s="24">
        <f>IFERROR(Table2[[#This Row],[Red Min]]/Table2[[#This Row],[ClassLength]],"")</f>
        <v>1.7241379310344827E-2</v>
      </c>
      <c r="AA855" s="25">
        <v>139</v>
      </c>
      <c r="AB855" s="25">
        <f t="shared" si="255"/>
        <v>9.9285714285714288</v>
      </c>
      <c r="AC855" s="26">
        <f t="shared" si="233"/>
        <v>620</v>
      </c>
      <c r="AD855" s="26">
        <f t="shared" si="234"/>
        <v>13.428571428571429</v>
      </c>
      <c r="AE855">
        <f t="shared" si="235"/>
        <v>2025</v>
      </c>
      <c r="AG855">
        <v>12</v>
      </c>
      <c r="AH855" s="26">
        <f t="shared" si="236"/>
        <v>9.568965517241379</v>
      </c>
      <c r="AI855" t="str">
        <f t="shared" si="237"/>
        <v>PM</v>
      </c>
      <c r="AJ855" t="str">
        <f t="shared" si="238"/>
        <v>9-2025-4</v>
      </c>
      <c r="AK855">
        <f t="shared" si="239"/>
        <v>9</v>
      </c>
      <c r="AL855" s="26">
        <f>IFERROR(Table2[[#This Row],[Calories]]/Table2[[#This Row],[Splat]],"")</f>
        <v>69.375</v>
      </c>
      <c r="AM855">
        <f>COUNTIF(N$2:$N$938,N855)</f>
        <v>78</v>
      </c>
      <c r="AN855" t="str">
        <f>VLOOKUP(N855,'Helpful Tables'!A:D,4,FALSE)</f>
        <v>Oregon</v>
      </c>
      <c r="AO855" s="24">
        <f>COUNTIF(AN:AN,Table2[[#This Row],[State]])/COUNTA(AN:AN)</f>
        <v>0.36140724946695096</v>
      </c>
      <c r="AP855">
        <f>VLOOKUP(N855,'Helpful Tables'!A:B,2,FALSE)</f>
        <v>45.525092999999998</v>
      </c>
      <c r="AQ855">
        <f>VLOOKUP(N855,'Helpful Tables'!A:C,3,FALSE)</f>
        <v>-122.681383</v>
      </c>
      <c r="AR855">
        <f>COUNTIF(P$2:$P$938,P855)</f>
        <v>40</v>
      </c>
      <c r="AS855" cm="1">
        <f t="array" ref="AS855">_xlfn.IFS(E855&lt;6,((E855/D855)*60)*0.5,AND(E855&gt;=6,E855&lt;9),((E855/D855)*60)*0.75,AND(E855&gt;=9,E855&lt;=11),((E855/D855)*60)*0.9,AND(E855=12),((E855/D855)*60)*1,AND(E855&gt;=13,E855&lt;=15),((E855/D855)*60)*1.2,AND(E855&gt;=16,E855&lt;=19),((E855/D855)*60)*1.5,E855&gt;=20,((E855/D855)*60)*1.8)</f>
        <v>6.2068965517241388</v>
      </c>
      <c r="AT855" cm="1">
        <f t="array" ref="AT855">_xlfn.IFS(F855&lt;550,((F855/D855)*60)*0.5,AND(F855&gt;=550,F855&lt;575),((F855/D855)*60)*0.75,AND(F855&gt;=575,F855&lt;600),((F855/D855)*60)*0.9,AND(F855=600),((F855/D855)*60)*1,AND(F855&gt;=601,F855&lt;=625),((F855/D855)*60)*1.2,AND(F855&gt;=626,F855&lt;=650),((F855/D855)*60)*1.5,F855&gt;=651,((F855/D855)*60)*1.8)</f>
        <v>430.60344827586209</v>
      </c>
      <c r="AU855">
        <f t="shared" si="227"/>
        <v>-12.299999999999999</v>
      </c>
      <c r="AV855">
        <f t="shared" si="257"/>
        <v>172.2641379310345</v>
      </c>
      <c r="AW855">
        <f t="shared" si="228"/>
        <v>8.5</v>
      </c>
      <c r="AX855" t="str">
        <f t="shared" si="240"/>
        <v>Sep-2025</v>
      </c>
      <c r="AY855">
        <f>ROUNDUP(Table2[[#This Row],[Month]]/3,0)</f>
        <v>3</v>
      </c>
    </row>
    <row r="856" spans="1:51" x14ac:dyDescent="0.2">
      <c r="A856">
        <v>855</v>
      </c>
      <c r="B856">
        <f t="shared" si="230"/>
        <v>14</v>
      </c>
      <c r="C856" s="22">
        <v>45925</v>
      </c>
      <c r="D856">
        <f>SUM(Table2[[#This Row],[Gray Min]:[Red Min]])</f>
        <v>62</v>
      </c>
      <c r="E856">
        <v>15</v>
      </c>
      <c r="F856">
        <v>667</v>
      </c>
      <c r="G856">
        <v>124</v>
      </c>
      <c r="H856">
        <v>158</v>
      </c>
      <c r="I856">
        <v>15</v>
      </c>
      <c r="J856">
        <v>19</v>
      </c>
      <c r="K856">
        <v>13</v>
      </c>
      <c r="L856">
        <v>15</v>
      </c>
      <c r="M856">
        <v>0</v>
      </c>
      <c r="N856" t="s">
        <v>125</v>
      </c>
      <c r="O856" t="s">
        <v>127</v>
      </c>
      <c r="P856" t="s">
        <v>281</v>
      </c>
      <c r="Q856">
        <f t="shared" si="258"/>
        <v>2</v>
      </c>
      <c r="R856" t="str">
        <f t="shared" si="259"/>
        <v>9-2025</v>
      </c>
      <c r="S856" t="s">
        <v>104</v>
      </c>
      <c r="T856" t="str">
        <f t="shared" si="260"/>
        <v>Thursday</v>
      </c>
      <c r="U856">
        <f t="shared" si="256"/>
        <v>1</v>
      </c>
      <c r="V856" s="24">
        <f>IFERROR(Table2[[#This Row],[Gray Min]]/Table2[[#This Row],[ClassLength]],"")</f>
        <v>0.24193548387096775</v>
      </c>
      <c r="W856" s="24">
        <f>IFERROR(Table2[[#This Row],[Blue Min]]/Table2[[#This Row],[ClassLength]],"")</f>
        <v>0.30645161290322581</v>
      </c>
      <c r="X856" s="24">
        <f>IFERROR(Table2[[#This Row],[Green Min]]/Table2[[#This Row],[ClassLength]],"")</f>
        <v>0.20967741935483872</v>
      </c>
      <c r="Y856" s="24">
        <f>IFERROR(Table2[[#This Row],[Orange Min]]/Table2[[#This Row],[ClassLength]],"")</f>
        <v>0.24193548387096775</v>
      </c>
      <c r="Z856" s="24">
        <f>IFERROR(Table2[[#This Row],[Red Min]]/Table2[[#This Row],[ClassLength]],"")</f>
        <v>0</v>
      </c>
      <c r="AA856" s="25">
        <v>139</v>
      </c>
      <c r="AB856" s="25">
        <f t="shared" si="255"/>
        <v>9.9285714285714288</v>
      </c>
      <c r="AC856" s="26">
        <f t="shared" si="233"/>
        <v>620</v>
      </c>
      <c r="AD856" s="26">
        <f t="shared" si="234"/>
        <v>13.428571428571429</v>
      </c>
      <c r="AE856">
        <f t="shared" si="235"/>
        <v>2025</v>
      </c>
      <c r="AG856">
        <v>12</v>
      </c>
      <c r="AH856" s="26">
        <f t="shared" si="236"/>
        <v>10.758064516129032</v>
      </c>
      <c r="AI856" t="str">
        <f t="shared" si="237"/>
        <v>PM</v>
      </c>
      <c r="AJ856" t="str">
        <f t="shared" si="238"/>
        <v>9-2025-4</v>
      </c>
      <c r="AK856">
        <f t="shared" si="239"/>
        <v>9</v>
      </c>
      <c r="AL856" s="26">
        <f>IFERROR(Table2[[#This Row],[Calories]]/Table2[[#This Row],[Splat]],"")</f>
        <v>44.466666666666669</v>
      </c>
      <c r="AM856">
        <f>COUNTIF(N$2:$N$938,N856)</f>
        <v>258</v>
      </c>
      <c r="AN856" t="str">
        <f>VLOOKUP(N856,'Helpful Tables'!A:D,4,FALSE)</f>
        <v>Oregon</v>
      </c>
      <c r="AO856" s="24">
        <f>COUNTIF(AN:AN,Table2[[#This Row],[State]])/COUNTA(AN:AN)</f>
        <v>0.36140724946695096</v>
      </c>
      <c r="AP856">
        <f>VLOOKUP(N856,'Helpful Tables'!A:B,2,FALSE)</f>
        <v>45.534162000000002</v>
      </c>
      <c r="AQ856">
        <f>VLOOKUP(N856,'Helpful Tables'!A:C,3,FALSE)</f>
        <v>-122.69670000000001</v>
      </c>
      <c r="AR856">
        <f>COUNTIF(P$2:$P$938,P856)</f>
        <v>41</v>
      </c>
      <c r="AS856" cm="1">
        <f t="array" ref="AS856">_xlfn.IFS(E856&lt;6,((E856/D856)*60)*0.5,AND(E856&gt;=6,E856&lt;9),((E856/D856)*60)*0.75,AND(E856&gt;=9,E856&lt;=11),((E856/D856)*60)*0.9,AND(E856=12),((E856/D856)*60)*1,AND(E856&gt;=13,E856&lt;=15),((E856/D856)*60)*1.2,AND(E856&gt;=16,E856&lt;=19),((E856/D856)*60)*1.5,E856&gt;=20,((E856/D856)*60)*1.8)</f>
        <v>17.419354838709676</v>
      </c>
      <c r="AT856" cm="1">
        <f t="array" ref="AT856">_xlfn.IFS(F856&lt;550,((F856/D856)*60)*0.5,AND(F856&gt;=550,F856&lt;575),((F856/D856)*60)*0.75,AND(F856&gt;=575,F856&lt;600),((F856/D856)*60)*0.9,AND(F856=600),((F856/D856)*60)*1,AND(F856&gt;=601,F856&lt;=625),((F856/D856)*60)*1.2,AND(F856&gt;=626,F856&lt;=650),((F856/D856)*60)*1.5,F856&gt;=651,((F856/D856)*60)*1.8)</f>
        <v>1161.8709677419356</v>
      </c>
      <c r="AU856">
        <f t="shared" si="227"/>
        <v>-3.8000000000000043</v>
      </c>
      <c r="AV856">
        <f t="shared" si="257"/>
        <v>470.9561290322581</v>
      </c>
      <c r="AW856">
        <f t="shared" si="228"/>
        <v>67.7</v>
      </c>
      <c r="AX856" t="str">
        <f t="shared" si="240"/>
        <v>Sep-2025</v>
      </c>
      <c r="AY856">
        <f>ROUNDUP(Table2[[#This Row],[Month]]/3,0)</f>
        <v>3</v>
      </c>
    </row>
    <row r="857" spans="1:51" x14ac:dyDescent="0.2">
      <c r="A857">
        <v>856</v>
      </c>
      <c r="B857">
        <f t="shared" si="230"/>
        <v>14</v>
      </c>
      <c r="C857" s="22">
        <v>45928</v>
      </c>
      <c r="D857">
        <f>SUM(Table2[[#This Row],[Gray Min]:[Red Min]])</f>
        <v>58</v>
      </c>
      <c r="E857">
        <v>15</v>
      </c>
      <c r="F857">
        <v>616</v>
      </c>
      <c r="G857">
        <v>123</v>
      </c>
      <c r="H857">
        <v>158</v>
      </c>
      <c r="I857">
        <v>18</v>
      </c>
      <c r="J857">
        <v>15</v>
      </c>
      <c r="K857">
        <v>10</v>
      </c>
      <c r="L857">
        <v>15</v>
      </c>
      <c r="M857">
        <v>0</v>
      </c>
      <c r="N857" t="s">
        <v>208</v>
      </c>
      <c r="O857" t="s">
        <v>76</v>
      </c>
      <c r="P857" t="s">
        <v>209</v>
      </c>
      <c r="Q857">
        <f t="shared" si="258"/>
        <v>3</v>
      </c>
      <c r="R857" t="str">
        <f t="shared" si="259"/>
        <v>9-2025</v>
      </c>
      <c r="S857" t="s">
        <v>104</v>
      </c>
      <c r="T857" t="str">
        <f t="shared" si="260"/>
        <v>Sunday</v>
      </c>
      <c r="U857">
        <f t="shared" ref="U857:U862" si="261">IF(E857&gt;=12,1,0)</f>
        <v>1</v>
      </c>
      <c r="V857" s="24">
        <f>IFERROR(Table2[[#This Row],[Gray Min]]/Table2[[#This Row],[ClassLength]],"")</f>
        <v>0.31034482758620691</v>
      </c>
      <c r="W857" s="24">
        <f>IFERROR(Table2[[#This Row],[Blue Min]]/Table2[[#This Row],[ClassLength]],"")</f>
        <v>0.25862068965517243</v>
      </c>
      <c r="X857" s="24">
        <f>IFERROR(Table2[[#This Row],[Green Min]]/Table2[[#This Row],[ClassLength]],"")</f>
        <v>0.17241379310344829</v>
      </c>
      <c r="Y857" s="24">
        <f>IFERROR(Table2[[#This Row],[Orange Min]]/Table2[[#This Row],[ClassLength]],"")</f>
        <v>0.25862068965517243</v>
      </c>
      <c r="Z857" s="24">
        <f>IFERROR(Table2[[#This Row],[Red Min]]/Table2[[#This Row],[ClassLength]],"")</f>
        <v>0</v>
      </c>
      <c r="AA857" s="25">
        <v>139</v>
      </c>
      <c r="AB857" s="25">
        <f t="shared" si="255"/>
        <v>9.9285714285714288</v>
      </c>
      <c r="AC857" s="26">
        <f t="shared" si="233"/>
        <v>620</v>
      </c>
      <c r="AD857" s="26">
        <f t="shared" si="234"/>
        <v>13.428571428571429</v>
      </c>
      <c r="AE857">
        <f t="shared" si="235"/>
        <v>2025</v>
      </c>
      <c r="AF857" s="25">
        <v>10</v>
      </c>
      <c r="AG857">
        <v>12</v>
      </c>
      <c r="AH857" s="26">
        <f t="shared" si="236"/>
        <v>10.620689655172415</v>
      </c>
      <c r="AI857" t="str">
        <f t="shared" si="237"/>
        <v>AM</v>
      </c>
      <c r="AJ857" t="str">
        <f t="shared" si="238"/>
        <v>9-2025-5</v>
      </c>
      <c r="AK857">
        <f t="shared" si="239"/>
        <v>9</v>
      </c>
      <c r="AL857" s="26">
        <f>IFERROR(Table2[[#This Row],[Calories]]/Table2[[#This Row],[Splat]],"")</f>
        <v>41.06666666666667</v>
      </c>
      <c r="AM857">
        <f>COUNTIF(N$2:$N$938,N857)</f>
        <v>78</v>
      </c>
      <c r="AN857" t="str">
        <f>VLOOKUP(N857,'Helpful Tables'!A:D,4,FALSE)</f>
        <v>Oregon</v>
      </c>
      <c r="AO857" s="24">
        <f>COUNTIF(AN:AN,Table2[[#This Row],[State]])/COUNTA(AN:AN)</f>
        <v>0.36140724946695096</v>
      </c>
      <c r="AP857">
        <f>VLOOKUP(N857,'Helpful Tables'!A:B,2,FALSE)</f>
        <v>45.525092999999998</v>
      </c>
      <c r="AQ857">
        <f>VLOOKUP(N857,'Helpful Tables'!A:C,3,FALSE)</f>
        <v>-122.681383</v>
      </c>
      <c r="AR857">
        <f>COUNTIF(P$2:$P$938,P857)</f>
        <v>20</v>
      </c>
      <c r="AS857" cm="1">
        <f t="array" ref="AS857">_xlfn.IFS(E857&lt;6,((E857/D857)*60)*0.5,AND(E857&gt;=6,E857&lt;9),((E857/D857)*60)*0.75,AND(E857&gt;=9,E857&lt;=11),((E857/D857)*60)*0.9,AND(E857=12),((E857/D857)*60)*1,AND(E857&gt;=13,E857&lt;=15),((E857/D857)*60)*1.2,AND(E857&gt;=16,E857&lt;=19),((E857/D857)*60)*1.5,E857&gt;=20,((E857/D857)*60)*1.8)</f>
        <v>18.620689655172413</v>
      </c>
      <c r="AT857" cm="1">
        <f t="array" ref="AT857">_xlfn.IFS(F857&lt;550,((F857/D857)*60)*0.5,AND(F857&gt;=550,F857&lt;575),((F857/D857)*60)*0.75,AND(F857&gt;=575,F857&lt;600),((F857/D857)*60)*0.9,AND(F857=600),((F857/D857)*60)*1,AND(F857&gt;=601,F857&lt;=625),((F857/D857)*60)*1.2,AND(F857&gt;=626,F857&lt;=650),((F857/D857)*60)*1.5,F857&gt;=651,((F857/D857)*60)*1.8)</f>
        <v>764.68965517241384</v>
      </c>
      <c r="AU857">
        <f t="shared" si="227"/>
        <v>-6.5999999999999943</v>
      </c>
      <c r="AV857">
        <f t="shared" ref="AV857:AV862" si="262">(AS857*0.4)+(AT857*0.4)+(AU857*0.2)</f>
        <v>312.00413793103451</v>
      </c>
      <c r="AW857">
        <f t="shared" si="228"/>
        <v>32.200000000000003</v>
      </c>
      <c r="AX857" t="str">
        <f t="shared" si="240"/>
        <v>Sep-2025</v>
      </c>
      <c r="AY857">
        <f>ROUNDUP(Table2[[#This Row],[Month]]/3,0)</f>
        <v>3</v>
      </c>
    </row>
    <row r="858" spans="1:51" x14ac:dyDescent="0.2">
      <c r="A858">
        <v>857</v>
      </c>
      <c r="B858">
        <f t="shared" si="230"/>
        <v>15</v>
      </c>
      <c r="C858" s="22">
        <v>45931</v>
      </c>
      <c r="D858">
        <f>SUM(Table2[[#This Row],[Gray Min]:[Red Min]])</f>
        <v>61</v>
      </c>
      <c r="E858">
        <v>17</v>
      </c>
      <c r="F858">
        <v>690</v>
      </c>
      <c r="G858">
        <v>128</v>
      </c>
      <c r="H858">
        <v>165</v>
      </c>
      <c r="I858">
        <v>10</v>
      </c>
      <c r="J858">
        <v>21</v>
      </c>
      <c r="K858">
        <v>13</v>
      </c>
      <c r="L858">
        <v>15</v>
      </c>
      <c r="M858">
        <v>2</v>
      </c>
      <c r="N858" t="s">
        <v>125</v>
      </c>
      <c r="O858" t="s">
        <v>127</v>
      </c>
      <c r="P858" t="s">
        <v>281</v>
      </c>
      <c r="Q858">
        <f t="shared" si="258"/>
        <v>3</v>
      </c>
      <c r="R858" t="str">
        <f t="shared" si="259"/>
        <v>10-2025</v>
      </c>
      <c r="S858" t="s">
        <v>104</v>
      </c>
      <c r="T858" t="str">
        <f t="shared" si="260"/>
        <v>Wednesday</v>
      </c>
      <c r="U858">
        <f t="shared" si="261"/>
        <v>1</v>
      </c>
      <c r="V858" s="24">
        <f>IFERROR(Table2[[#This Row],[Gray Min]]/Table2[[#This Row],[ClassLength]],"")</f>
        <v>0.16393442622950818</v>
      </c>
      <c r="W858" s="24">
        <f>IFERROR(Table2[[#This Row],[Blue Min]]/Table2[[#This Row],[ClassLength]],"")</f>
        <v>0.34426229508196721</v>
      </c>
      <c r="X858" s="24">
        <f>IFERROR(Table2[[#This Row],[Green Min]]/Table2[[#This Row],[ClassLength]],"")</f>
        <v>0.21311475409836064</v>
      </c>
      <c r="Y858" s="24">
        <f>IFERROR(Table2[[#This Row],[Orange Min]]/Table2[[#This Row],[ClassLength]],"")</f>
        <v>0.24590163934426229</v>
      </c>
      <c r="Z858" s="24">
        <f>IFERROR(Table2[[#This Row],[Red Min]]/Table2[[#This Row],[ClassLength]],"")</f>
        <v>3.2786885245901641E-2</v>
      </c>
      <c r="AA858" s="25">
        <v>139</v>
      </c>
      <c r="AB858" s="25">
        <f t="shared" si="255"/>
        <v>9.2666666666666675</v>
      </c>
      <c r="AC858" s="26">
        <f t="shared" si="233"/>
        <v>643.20000000000005</v>
      </c>
      <c r="AD858" s="26">
        <f t="shared" si="234"/>
        <v>15.2</v>
      </c>
      <c r="AE858">
        <f t="shared" si="235"/>
        <v>2025</v>
      </c>
      <c r="AG858">
        <v>12</v>
      </c>
      <c r="AH858" s="26">
        <f t="shared" si="236"/>
        <v>11.311475409836065</v>
      </c>
      <c r="AI858" t="str">
        <f t="shared" si="237"/>
        <v>PM</v>
      </c>
      <c r="AJ858" t="str">
        <f t="shared" si="238"/>
        <v>10-2025-1</v>
      </c>
      <c r="AK858">
        <f t="shared" si="239"/>
        <v>10</v>
      </c>
      <c r="AL858" s="26">
        <f>IFERROR(Table2[[#This Row],[Calories]]/Table2[[#This Row],[Splat]],"")</f>
        <v>40.588235294117645</v>
      </c>
      <c r="AM858">
        <f>COUNTIF(N$2:$N$938,N858)</f>
        <v>258</v>
      </c>
      <c r="AN858" t="str">
        <f>VLOOKUP(N858,'Helpful Tables'!A:D,4,FALSE)</f>
        <v>Oregon</v>
      </c>
      <c r="AO858" s="24">
        <f>COUNTIF(AN:AN,Table2[[#This Row],[State]])/COUNTA(AN:AN)</f>
        <v>0.36140724946695096</v>
      </c>
      <c r="AP858">
        <f>VLOOKUP(N858,'Helpful Tables'!A:B,2,FALSE)</f>
        <v>45.534162000000002</v>
      </c>
      <c r="AQ858">
        <f>VLOOKUP(N858,'Helpful Tables'!A:C,3,FALSE)</f>
        <v>-122.69670000000001</v>
      </c>
      <c r="AR858">
        <f>COUNTIF(P$2:$P$938,P858)</f>
        <v>41</v>
      </c>
      <c r="AS858" cm="1">
        <f t="array" ref="AS858">_xlfn.IFS(E858&lt;6,((E858/D858)*60)*0.5,AND(E858&gt;=6,E858&lt;9),((E858/D858)*60)*0.75,AND(E858&gt;=9,E858&lt;=11),((E858/D858)*60)*0.9,AND(E858=12),((E858/D858)*60)*1,AND(E858&gt;=13,E858&lt;=15),((E858/D858)*60)*1.2,AND(E858&gt;=16,E858&lt;=19),((E858/D858)*60)*1.5,E858&gt;=20,((E858/D858)*60)*1.8)</f>
        <v>25.081967213114751</v>
      </c>
      <c r="AT858" cm="1">
        <f t="array" ref="AT858">_xlfn.IFS(F858&lt;550,((F858/D858)*60)*0.5,AND(F858&gt;=550,F858&lt;575),((F858/D858)*60)*0.75,AND(F858&gt;=575,F858&lt;600),((F858/D858)*60)*0.9,AND(F858=600),((F858/D858)*60)*1,AND(F858&gt;=601,F858&lt;=625),((F858/D858)*60)*1.2,AND(F858&gt;=626,F858&lt;=650),((F858/D858)*60)*1.5,F858&gt;=651,((F858/D858)*60)*1.8)</f>
        <v>1221.639344262295</v>
      </c>
      <c r="AU858">
        <f t="shared" si="227"/>
        <v>3</v>
      </c>
      <c r="AV858">
        <f t="shared" si="262"/>
        <v>499.28852459016395</v>
      </c>
      <c r="AW858">
        <f t="shared" si="228"/>
        <v>78.400000000000006</v>
      </c>
      <c r="AX858" t="str">
        <f t="shared" si="240"/>
        <v>Oct-2025</v>
      </c>
      <c r="AY858">
        <f>ROUNDUP(Table2[[#This Row],[Month]]/3,0)</f>
        <v>4</v>
      </c>
    </row>
    <row r="859" spans="1:51" x14ac:dyDescent="0.2">
      <c r="A859">
        <v>858</v>
      </c>
      <c r="B859">
        <f t="shared" si="230"/>
        <v>15</v>
      </c>
      <c r="C859" s="22">
        <v>45933</v>
      </c>
      <c r="D859">
        <f>SUM(Table2[[#This Row],[Gray Min]:[Red Min]])</f>
        <v>62</v>
      </c>
      <c r="E859">
        <v>16</v>
      </c>
      <c r="F859">
        <v>659</v>
      </c>
      <c r="G859">
        <v>124</v>
      </c>
      <c r="H859">
        <v>167</v>
      </c>
      <c r="I859">
        <v>22</v>
      </c>
      <c r="J859">
        <v>12</v>
      </c>
      <c r="K859">
        <v>12</v>
      </c>
      <c r="L859">
        <v>14</v>
      </c>
      <c r="M859">
        <v>2</v>
      </c>
      <c r="N859" t="s">
        <v>125</v>
      </c>
      <c r="O859" t="s">
        <v>127</v>
      </c>
      <c r="P859" t="s">
        <v>281</v>
      </c>
      <c r="Q859">
        <f t="shared" ref="Q859:Q864" si="263">C859-C858</f>
        <v>2</v>
      </c>
      <c r="R859" t="str">
        <f t="shared" ref="R859:R864" si="264">MONTH(C859)&amp;"-"&amp;YEAR(C859)</f>
        <v>10-2025</v>
      </c>
      <c r="S859" t="s">
        <v>104</v>
      </c>
      <c r="T859" t="str">
        <f t="shared" ref="T859:T864" si="265">IF(WEEKDAY(C859)=1,"Sunday",IF(WEEKDAY(C859)=2,"Monday",IF(WEEKDAY(C859)=3,"Tuesday",IF(WEEKDAY(C859)=4,"Wednesday",IF(WEEKDAY(C859)=5,"Thursday",IF(WEEKDAY(C859)=6,"Friday","Saturday"))))))</f>
        <v>Friday</v>
      </c>
      <c r="U859">
        <f t="shared" si="261"/>
        <v>1</v>
      </c>
      <c r="V859" s="24">
        <f>IFERROR(Table2[[#This Row],[Gray Min]]/Table2[[#This Row],[ClassLength]],"")</f>
        <v>0.35483870967741937</v>
      </c>
      <c r="W859" s="24">
        <f>IFERROR(Table2[[#This Row],[Blue Min]]/Table2[[#This Row],[ClassLength]],"")</f>
        <v>0.19354838709677419</v>
      </c>
      <c r="X859" s="24">
        <f>IFERROR(Table2[[#This Row],[Green Min]]/Table2[[#This Row],[ClassLength]],"")</f>
        <v>0.19354838709677419</v>
      </c>
      <c r="Y859" s="24">
        <f>IFERROR(Table2[[#This Row],[Orange Min]]/Table2[[#This Row],[ClassLength]],"")</f>
        <v>0.22580645161290322</v>
      </c>
      <c r="Z859" s="24">
        <f>IFERROR(Table2[[#This Row],[Red Min]]/Table2[[#This Row],[ClassLength]],"")</f>
        <v>3.2258064516129031E-2</v>
      </c>
      <c r="AA859" s="25">
        <v>139</v>
      </c>
      <c r="AB859" s="25">
        <f t="shared" si="255"/>
        <v>9.2666666666666675</v>
      </c>
      <c r="AC859" s="26">
        <f t="shared" si="233"/>
        <v>643.20000000000005</v>
      </c>
      <c r="AD859" s="26">
        <f t="shared" si="234"/>
        <v>15.2</v>
      </c>
      <c r="AE859">
        <f t="shared" si="235"/>
        <v>2025</v>
      </c>
      <c r="AG859">
        <v>12</v>
      </c>
      <c r="AH859" s="26">
        <f t="shared" si="236"/>
        <v>10.629032258064516</v>
      </c>
      <c r="AI859" t="str">
        <f t="shared" si="237"/>
        <v>PM</v>
      </c>
      <c r="AJ859" t="str">
        <f t="shared" si="238"/>
        <v>10-2025-1</v>
      </c>
      <c r="AK859">
        <f t="shared" si="239"/>
        <v>10</v>
      </c>
      <c r="AL859" s="26">
        <f>IFERROR(Table2[[#This Row],[Calories]]/Table2[[#This Row],[Splat]],"")</f>
        <v>41.1875</v>
      </c>
      <c r="AM859">
        <f>COUNTIF(N$2:$N$938,N859)</f>
        <v>258</v>
      </c>
      <c r="AN859" t="str">
        <f>VLOOKUP(N859,'Helpful Tables'!A:D,4,FALSE)</f>
        <v>Oregon</v>
      </c>
      <c r="AO859" s="24">
        <f>COUNTIF(AN:AN,Table2[[#This Row],[State]])/COUNTA(AN:AN)</f>
        <v>0.36140724946695096</v>
      </c>
      <c r="AP859">
        <f>VLOOKUP(N859,'Helpful Tables'!A:B,2,FALSE)</f>
        <v>45.534162000000002</v>
      </c>
      <c r="AQ859">
        <f>VLOOKUP(N859,'Helpful Tables'!A:C,3,FALSE)</f>
        <v>-122.69670000000001</v>
      </c>
      <c r="AR859">
        <f>COUNTIF(P$2:$P$938,P859)</f>
        <v>41</v>
      </c>
      <c r="AS859" cm="1">
        <f t="array" ref="AS859">_xlfn.IFS(E859&lt;6,((E859/D859)*60)*0.5,AND(E859&gt;=6,E859&lt;9),((E859/D859)*60)*0.75,AND(E859&gt;=9,E859&lt;=11),((E859/D859)*60)*0.9,AND(E859=12),((E859/D859)*60)*1,AND(E859&gt;=13,E859&lt;=15),((E859/D859)*60)*1.2,AND(E859&gt;=16,E859&lt;=19),((E859/D859)*60)*1.5,E859&gt;=20,((E859/D859)*60)*1.8)</f>
        <v>23.225806451612904</v>
      </c>
      <c r="AT859" cm="1">
        <f t="array" ref="AT859">_xlfn.IFS(F859&lt;550,((F859/D859)*60)*0.5,AND(F859&gt;=550,F859&lt;575),((F859/D859)*60)*0.75,AND(F859&gt;=575,F859&lt;600),((F859/D859)*60)*0.9,AND(F859=600),((F859/D859)*60)*1,AND(F859&gt;=601,F859&lt;=625),((F859/D859)*60)*1.2,AND(F859&gt;=626,F859&lt;=650),((F859/D859)*60)*1.5,F859&gt;=651,((F859/D859)*60)*1.8)</f>
        <v>1147.9354838709678</v>
      </c>
      <c r="AU859">
        <f t="shared" si="227"/>
        <v>-4.0000000000000036</v>
      </c>
      <c r="AV859">
        <f t="shared" si="262"/>
        <v>467.66451612903234</v>
      </c>
      <c r="AW859">
        <f t="shared" si="228"/>
        <v>67.100000000000009</v>
      </c>
      <c r="AX859" t="str">
        <f t="shared" si="240"/>
        <v>Oct-2025</v>
      </c>
      <c r="AY859">
        <f>ROUNDUP(Table2[[#This Row],[Month]]/3,0)</f>
        <v>4</v>
      </c>
    </row>
    <row r="860" spans="1:51" x14ac:dyDescent="0.2">
      <c r="A860">
        <v>859</v>
      </c>
      <c r="B860">
        <f t="shared" si="230"/>
        <v>15</v>
      </c>
      <c r="C860" s="22">
        <v>45937</v>
      </c>
      <c r="D860">
        <f>SUM(Table2[[#This Row],[Gray Min]:[Red Min]])</f>
        <v>54</v>
      </c>
      <c r="E860">
        <v>13</v>
      </c>
      <c r="F860">
        <v>600</v>
      </c>
      <c r="G860">
        <v>126</v>
      </c>
      <c r="H860">
        <v>165</v>
      </c>
      <c r="I860">
        <v>13</v>
      </c>
      <c r="J860">
        <v>13</v>
      </c>
      <c r="K860">
        <v>15</v>
      </c>
      <c r="L860">
        <v>12</v>
      </c>
      <c r="M860">
        <v>1</v>
      </c>
      <c r="N860" t="s">
        <v>208</v>
      </c>
      <c r="O860" t="s">
        <v>53</v>
      </c>
      <c r="P860" t="s">
        <v>213</v>
      </c>
      <c r="Q860">
        <f t="shared" si="263"/>
        <v>4</v>
      </c>
      <c r="R860" t="str">
        <f t="shared" si="264"/>
        <v>10-2025</v>
      </c>
      <c r="S860" t="s">
        <v>104</v>
      </c>
      <c r="T860" t="str">
        <f t="shared" si="265"/>
        <v>Tuesday</v>
      </c>
      <c r="U860">
        <f t="shared" si="261"/>
        <v>1</v>
      </c>
      <c r="V860" s="24">
        <f>IFERROR(Table2[[#This Row],[Gray Min]]/Table2[[#This Row],[ClassLength]],"")</f>
        <v>0.24074074074074073</v>
      </c>
      <c r="W860" s="24">
        <f>IFERROR(Table2[[#This Row],[Blue Min]]/Table2[[#This Row],[ClassLength]],"")</f>
        <v>0.24074074074074073</v>
      </c>
      <c r="X860" s="24">
        <f>IFERROR(Table2[[#This Row],[Green Min]]/Table2[[#This Row],[ClassLength]],"")</f>
        <v>0.27777777777777779</v>
      </c>
      <c r="Y860" s="24">
        <f>IFERROR(Table2[[#This Row],[Orange Min]]/Table2[[#This Row],[ClassLength]],"")</f>
        <v>0.22222222222222221</v>
      </c>
      <c r="Z860" s="24">
        <f>IFERROR(Table2[[#This Row],[Red Min]]/Table2[[#This Row],[ClassLength]],"")</f>
        <v>1.8518518518518517E-2</v>
      </c>
      <c r="AA860" s="25">
        <v>139</v>
      </c>
      <c r="AB860" s="25">
        <f t="shared" si="255"/>
        <v>9.2666666666666675</v>
      </c>
      <c r="AC860" s="26">
        <f t="shared" si="233"/>
        <v>643.20000000000005</v>
      </c>
      <c r="AD860" s="26">
        <f t="shared" si="234"/>
        <v>15.2</v>
      </c>
      <c r="AE860">
        <f t="shared" si="235"/>
        <v>2025</v>
      </c>
      <c r="AG860">
        <v>12</v>
      </c>
      <c r="AH860" s="26">
        <f t="shared" si="236"/>
        <v>11.111111111111111</v>
      </c>
      <c r="AI860" t="str">
        <f t="shared" si="237"/>
        <v>PM</v>
      </c>
      <c r="AJ860" t="str">
        <f t="shared" si="238"/>
        <v>10-2025-2</v>
      </c>
      <c r="AK860">
        <f t="shared" si="239"/>
        <v>10</v>
      </c>
      <c r="AL860" s="26">
        <f>IFERROR(Table2[[#This Row],[Calories]]/Table2[[#This Row],[Splat]],"")</f>
        <v>46.153846153846153</v>
      </c>
      <c r="AM860">
        <f>COUNTIF(N$2:$N$938,N860)</f>
        <v>78</v>
      </c>
      <c r="AN860" t="str">
        <f>VLOOKUP(N860,'Helpful Tables'!A:D,4,FALSE)</f>
        <v>Oregon</v>
      </c>
      <c r="AO860" s="24">
        <f>COUNTIF(AN:AN,Table2[[#This Row],[State]])/COUNTA(AN:AN)</f>
        <v>0.36140724946695096</v>
      </c>
      <c r="AP860">
        <f>VLOOKUP(N860,'Helpful Tables'!A:B,2,FALSE)</f>
        <v>45.525092999999998</v>
      </c>
      <c r="AQ860">
        <f>VLOOKUP(N860,'Helpful Tables'!A:C,3,FALSE)</f>
        <v>-122.681383</v>
      </c>
      <c r="AR860">
        <f>COUNTIF(P$2:$P$938,P860)</f>
        <v>40</v>
      </c>
      <c r="AS860" cm="1">
        <f t="array" ref="AS860">_xlfn.IFS(E860&lt;6,((E860/D860)*60)*0.5,AND(E860&gt;=6,E860&lt;9),((E860/D860)*60)*0.75,AND(E860&gt;=9,E860&lt;=11),((E860/D860)*60)*0.9,AND(E860=12),((E860/D860)*60)*1,AND(E860&gt;=13,E860&lt;=15),((E860/D860)*60)*1.2,AND(E860&gt;=16,E860&lt;=19),((E860/D860)*60)*1.5,E860&gt;=20,((E860/D860)*60)*1.8)</f>
        <v>17.333333333333332</v>
      </c>
      <c r="AT860" cm="1">
        <f t="array" ref="AT860">_xlfn.IFS(F860&lt;550,((F860/D860)*60)*0.5,AND(F860&gt;=550,F860&lt;575),((F860/D860)*60)*0.75,AND(F860&gt;=575,F860&lt;600),((F860/D860)*60)*0.9,AND(F860=600),((F860/D860)*60)*1,AND(F860&gt;=601,F860&lt;=625),((F860/D860)*60)*1.2,AND(F860&gt;=626,F860&lt;=650),((F860/D860)*60)*1.5,F860&gt;=651,((F860/D860)*60)*1.8)</f>
        <v>666.66666666666663</v>
      </c>
      <c r="AU860">
        <f t="shared" si="227"/>
        <v>5.2000000000000028</v>
      </c>
      <c r="AV860">
        <f t="shared" si="262"/>
        <v>274.64000000000004</v>
      </c>
      <c r="AW860">
        <f t="shared" si="228"/>
        <v>24</v>
      </c>
      <c r="AX860" t="str">
        <f t="shared" si="240"/>
        <v>Oct-2025</v>
      </c>
      <c r="AY860">
        <f>ROUNDUP(Table2[[#This Row],[Month]]/3,0)</f>
        <v>4</v>
      </c>
    </row>
    <row r="861" spans="1:51" x14ac:dyDescent="0.2">
      <c r="A861">
        <v>860</v>
      </c>
      <c r="B861">
        <f t="shared" si="230"/>
        <v>15</v>
      </c>
      <c r="C861" s="22">
        <v>45939</v>
      </c>
      <c r="D861">
        <f>SUM(Table2[[#This Row],[Gray Min]:[Red Min]])</f>
        <v>62</v>
      </c>
      <c r="E861">
        <v>16</v>
      </c>
      <c r="F861">
        <v>683</v>
      </c>
      <c r="G861">
        <v>126</v>
      </c>
      <c r="H861">
        <v>159</v>
      </c>
      <c r="I861">
        <v>12</v>
      </c>
      <c r="J861">
        <v>19</v>
      </c>
      <c r="K861">
        <v>15</v>
      </c>
      <c r="L861">
        <v>16</v>
      </c>
      <c r="M861">
        <v>0</v>
      </c>
      <c r="N861" t="s">
        <v>125</v>
      </c>
      <c r="O861" t="s">
        <v>127</v>
      </c>
      <c r="P861" t="s">
        <v>281</v>
      </c>
      <c r="Q861">
        <f t="shared" si="263"/>
        <v>2</v>
      </c>
      <c r="R861" t="str">
        <f t="shared" si="264"/>
        <v>10-2025</v>
      </c>
      <c r="S861" t="s">
        <v>104</v>
      </c>
      <c r="T861" t="str">
        <f t="shared" si="265"/>
        <v>Thursday</v>
      </c>
      <c r="U861">
        <f t="shared" si="261"/>
        <v>1</v>
      </c>
      <c r="V861" s="24">
        <f>IFERROR(Table2[[#This Row],[Gray Min]]/Table2[[#This Row],[ClassLength]],"")</f>
        <v>0.19354838709677419</v>
      </c>
      <c r="W861" s="24">
        <f>IFERROR(Table2[[#This Row],[Blue Min]]/Table2[[#This Row],[ClassLength]],"")</f>
        <v>0.30645161290322581</v>
      </c>
      <c r="X861" s="24">
        <f>IFERROR(Table2[[#This Row],[Green Min]]/Table2[[#This Row],[ClassLength]],"")</f>
        <v>0.24193548387096775</v>
      </c>
      <c r="Y861" s="24">
        <f>IFERROR(Table2[[#This Row],[Orange Min]]/Table2[[#This Row],[ClassLength]],"")</f>
        <v>0.25806451612903225</v>
      </c>
      <c r="Z861" s="24">
        <f>IFERROR(Table2[[#This Row],[Red Min]]/Table2[[#This Row],[ClassLength]],"")</f>
        <v>0</v>
      </c>
      <c r="AA861" s="25">
        <v>139</v>
      </c>
      <c r="AB861" s="25">
        <f t="shared" si="255"/>
        <v>9.2666666666666675</v>
      </c>
      <c r="AC861" s="26">
        <f t="shared" si="233"/>
        <v>643.20000000000005</v>
      </c>
      <c r="AD861" s="26">
        <f t="shared" si="234"/>
        <v>15.2</v>
      </c>
      <c r="AE861">
        <f t="shared" si="235"/>
        <v>2025</v>
      </c>
      <c r="AG861">
        <v>12</v>
      </c>
      <c r="AH861" s="26">
        <f t="shared" si="236"/>
        <v>11.016129032258064</v>
      </c>
      <c r="AI861" t="str">
        <f t="shared" si="237"/>
        <v>PM</v>
      </c>
      <c r="AJ861" t="str">
        <f t="shared" si="238"/>
        <v>10-2025-2</v>
      </c>
      <c r="AK861">
        <f t="shared" si="239"/>
        <v>10</v>
      </c>
      <c r="AL861" s="26">
        <f>IFERROR(Table2[[#This Row],[Calories]]/Table2[[#This Row],[Splat]],"")</f>
        <v>42.6875</v>
      </c>
      <c r="AM861">
        <f>COUNTIF(N$2:$N$938,N861)</f>
        <v>258</v>
      </c>
      <c r="AN861" t="str">
        <f>VLOOKUP(N861,'Helpful Tables'!A:D,4,FALSE)</f>
        <v>Oregon</v>
      </c>
      <c r="AO861" s="24">
        <f>COUNTIF(AN:AN,Table2[[#This Row],[State]])/COUNTA(AN:AN)</f>
        <v>0.36140724946695096</v>
      </c>
      <c r="AP861">
        <f>VLOOKUP(N861,'Helpful Tables'!A:B,2,FALSE)</f>
        <v>45.534162000000002</v>
      </c>
      <c r="AQ861">
        <f>VLOOKUP(N861,'Helpful Tables'!A:C,3,FALSE)</f>
        <v>-122.69670000000001</v>
      </c>
      <c r="AR861">
        <f>COUNTIF(P$2:$P$938,P861)</f>
        <v>41</v>
      </c>
      <c r="AS861" cm="1">
        <f t="array" ref="AS861">_xlfn.IFS(E861&lt;6,((E861/D861)*60)*0.5,AND(E861&gt;=6,E861&lt;9),((E861/D861)*60)*0.75,AND(E861&gt;=9,E861&lt;=11),((E861/D861)*60)*0.9,AND(E861=12),((E861/D861)*60)*1,AND(E861&gt;=13,E861&lt;=15),((E861/D861)*60)*1.2,AND(E861&gt;=16,E861&lt;=19),((E861/D861)*60)*1.5,E861&gt;=20,((E861/D861)*60)*1.8)</f>
        <v>23.225806451612904</v>
      </c>
      <c r="AT861" cm="1">
        <f t="array" ref="AT861">_xlfn.IFS(F861&lt;550,((F861/D861)*60)*0.5,AND(F861&gt;=550,F861&lt;575),((F861/D861)*60)*0.75,AND(F861&gt;=575,F861&lt;600),((F861/D861)*60)*0.9,AND(F861=600),((F861/D861)*60)*1,AND(F861&gt;=601,F861&lt;=625),((F861/D861)*60)*1.2,AND(F861&gt;=626,F861&lt;=650),((F861/D861)*60)*1.5,F861&gt;=651,((F861/D861)*60)*1.8)</f>
        <v>1189.741935483871</v>
      </c>
      <c r="AU861">
        <f t="shared" si="227"/>
        <v>3.5000000000000036</v>
      </c>
      <c r="AV861">
        <f t="shared" si="262"/>
        <v>485.88709677419359</v>
      </c>
      <c r="AW861">
        <f t="shared" si="228"/>
        <v>71.7</v>
      </c>
      <c r="AX861" t="str">
        <f t="shared" si="240"/>
        <v>Oct-2025</v>
      </c>
      <c r="AY861">
        <f>ROUNDUP(Table2[[#This Row],[Month]]/3,0)</f>
        <v>4</v>
      </c>
    </row>
    <row r="862" spans="1:51" x14ac:dyDescent="0.2">
      <c r="A862">
        <v>861</v>
      </c>
      <c r="B862">
        <f t="shared" si="230"/>
        <v>15</v>
      </c>
      <c r="C862" s="22">
        <v>45941</v>
      </c>
      <c r="D862">
        <f>SUM(Table2[[#This Row],[Gray Min]:[Red Min]])</f>
        <v>59</v>
      </c>
      <c r="E862">
        <v>20</v>
      </c>
      <c r="F862">
        <v>727</v>
      </c>
      <c r="G862">
        <v>134</v>
      </c>
      <c r="H862">
        <v>165</v>
      </c>
      <c r="I862">
        <v>7</v>
      </c>
      <c r="J862">
        <v>9</v>
      </c>
      <c r="K862">
        <v>23</v>
      </c>
      <c r="L862">
        <v>18</v>
      </c>
      <c r="M862">
        <v>2</v>
      </c>
      <c r="N862" t="s">
        <v>208</v>
      </c>
      <c r="O862" t="s">
        <v>76</v>
      </c>
      <c r="P862" t="s">
        <v>213</v>
      </c>
      <c r="Q862">
        <f t="shared" si="263"/>
        <v>2</v>
      </c>
      <c r="R862" t="str">
        <f t="shared" si="264"/>
        <v>10-2025</v>
      </c>
      <c r="S862" t="s">
        <v>104</v>
      </c>
      <c r="T862" t="str">
        <f t="shared" si="265"/>
        <v>Saturday</v>
      </c>
      <c r="U862">
        <f t="shared" si="261"/>
        <v>1</v>
      </c>
      <c r="V862" s="24">
        <f>IFERROR(Table2[[#This Row],[Gray Min]]/Table2[[#This Row],[ClassLength]],"")</f>
        <v>0.11864406779661017</v>
      </c>
      <c r="W862" s="24">
        <f>IFERROR(Table2[[#This Row],[Blue Min]]/Table2[[#This Row],[ClassLength]],"")</f>
        <v>0.15254237288135594</v>
      </c>
      <c r="X862" s="24">
        <f>IFERROR(Table2[[#This Row],[Green Min]]/Table2[[#This Row],[ClassLength]],"")</f>
        <v>0.38983050847457629</v>
      </c>
      <c r="Y862" s="24">
        <f>IFERROR(Table2[[#This Row],[Orange Min]]/Table2[[#This Row],[ClassLength]],"")</f>
        <v>0.30508474576271188</v>
      </c>
      <c r="Z862" s="24">
        <f>IFERROR(Table2[[#This Row],[Red Min]]/Table2[[#This Row],[ClassLength]],"")</f>
        <v>3.3898305084745763E-2</v>
      </c>
      <c r="AA862" s="25">
        <v>139</v>
      </c>
      <c r="AB862" s="25">
        <f t="shared" si="255"/>
        <v>9.2666666666666675</v>
      </c>
      <c r="AC862" s="26">
        <f t="shared" si="233"/>
        <v>643.20000000000005</v>
      </c>
      <c r="AD862" s="26">
        <f t="shared" si="234"/>
        <v>15.2</v>
      </c>
      <c r="AE862">
        <f t="shared" si="235"/>
        <v>2025</v>
      </c>
      <c r="AG862">
        <v>12</v>
      </c>
      <c r="AH862" s="26">
        <f t="shared" si="236"/>
        <v>12.322033898305085</v>
      </c>
      <c r="AI862" t="str">
        <f t="shared" si="237"/>
        <v>AM</v>
      </c>
      <c r="AJ862" t="str">
        <f t="shared" si="238"/>
        <v>10-2025-2</v>
      </c>
      <c r="AK862">
        <f t="shared" si="239"/>
        <v>10</v>
      </c>
      <c r="AL862" s="26">
        <f>IFERROR(Table2[[#This Row],[Calories]]/Table2[[#This Row],[Splat]],"")</f>
        <v>36.35</v>
      </c>
      <c r="AM862">
        <f>COUNTIF(N$2:$N$938,N862)</f>
        <v>78</v>
      </c>
      <c r="AN862" t="str">
        <f>VLOOKUP(N862,'Helpful Tables'!A:D,4,FALSE)</f>
        <v>Oregon</v>
      </c>
      <c r="AO862" s="24">
        <f>COUNTIF(AN:AN,Table2[[#This Row],[State]])/COUNTA(AN:AN)</f>
        <v>0.36140724946695096</v>
      </c>
      <c r="AP862">
        <f>VLOOKUP(N862,'Helpful Tables'!A:B,2,FALSE)</f>
        <v>45.525092999999998</v>
      </c>
      <c r="AQ862">
        <f>VLOOKUP(N862,'Helpful Tables'!A:C,3,FALSE)</f>
        <v>-122.681383</v>
      </c>
      <c r="AR862">
        <f>COUNTIF(P$2:$P$938,P862)</f>
        <v>40</v>
      </c>
      <c r="AS862" cm="1">
        <f t="array" ref="AS862">_xlfn.IFS(E862&lt;6,((E862/D862)*60)*0.5,AND(E862&gt;=6,E862&lt;9),((E862/D862)*60)*0.75,AND(E862&gt;=9,E862&lt;=11),((E862/D862)*60)*0.9,AND(E862=12),((E862/D862)*60)*1,AND(E862&gt;=13,E862&lt;=15),((E862/D862)*60)*1.2,AND(E862&gt;=16,E862&lt;=19),((E862/D862)*60)*1.5,E862&gt;=20,((E862/D862)*60)*1.8)</f>
        <v>36.610169491525426</v>
      </c>
      <c r="AT862" cm="1">
        <f t="array" ref="AT862">_xlfn.IFS(F862&lt;550,((F862/D862)*60)*0.5,AND(F862&gt;=550,F862&lt;575),((F862/D862)*60)*0.75,AND(F862&gt;=575,F862&lt;600),((F862/D862)*60)*0.9,AND(F862=600),((F862/D862)*60)*1,AND(F862&gt;=601,F862&lt;=625),((F862/D862)*60)*1.2,AND(F862&gt;=626,F862&lt;=650),((F862/D862)*60)*1.5,F862&gt;=651,((F862/D862)*60)*1.8)</f>
        <v>1330.7796610169491</v>
      </c>
      <c r="AU862">
        <f t="shared" ref="AU862:AU892" si="266">(I862*-1.2)+(J862*-1.1)+(K862*1.2)+(L862*1.3)+(M862*1.5)</f>
        <v>35.700000000000003</v>
      </c>
      <c r="AV862">
        <f t="shared" si="262"/>
        <v>554.09593220338991</v>
      </c>
      <c r="AW862">
        <f t="shared" ref="AW862:AW925" si="267">PERCENTRANK(AV:AV,AV862)*100</f>
        <v>98.3</v>
      </c>
      <c r="AX862" t="str">
        <f t="shared" si="240"/>
        <v>Oct-2025</v>
      </c>
      <c r="AY862">
        <f>ROUNDUP(Table2[[#This Row],[Month]]/3,0)</f>
        <v>4</v>
      </c>
    </row>
    <row r="863" spans="1:51" x14ac:dyDescent="0.2">
      <c r="A863">
        <v>862</v>
      </c>
      <c r="B863">
        <f t="shared" si="230"/>
        <v>15</v>
      </c>
      <c r="C863" s="22">
        <v>45943</v>
      </c>
      <c r="D863">
        <f>SUM(Table2[[#This Row],[Gray Min]:[Red Min]])</f>
        <v>60</v>
      </c>
      <c r="E863">
        <v>12</v>
      </c>
      <c r="F863">
        <v>574</v>
      </c>
      <c r="G863">
        <v>117</v>
      </c>
      <c r="H863">
        <v>159</v>
      </c>
      <c r="I863">
        <v>27</v>
      </c>
      <c r="J863">
        <v>7</v>
      </c>
      <c r="K863">
        <v>14</v>
      </c>
      <c r="L863">
        <v>12</v>
      </c>
      <c r="M863">
        <v>0</v>
      </c>
      <c r="N863" t="s">
        <v>125</v>
      </c>
      <c r="O863" t="s">
        <v>76</v>
      </c>
      <c r="P863" t="s">
        <v>283</v>
      </c>
      <c r="Q863">
        <f t="shared" si="263"/>
        <v>2</v>
      </c>
      <c r="R863" t="str">
        <f t="shared" si="264"/>
        <v>10-2025</v>
      </c>
      <c r="S863" t="s">
        <v>104</v>
      </c>
      <c r="T863" t="str">
        <f t="shared" si="265"/>
        <v>Monday</v>
      </c>
      <c r="U863">
        <f t="shared" ref="U863:U868" si="268">IF(E863&gt;=12,1,0)</f>
        <v>1</v>
      </c>
      <c r="V863" s="24">
        <f>IFERROR(Table2[[#This Row],[Gray Min]]/Table2[[#This Row],[ClassLength]],"")</f>
        <v>0.45</v>
      </c>
      <c r="W863" s="24">
        <f>IFERROR(Table2[[#This Row],[Blue Min]]/Table2[[#This Row],[ClassLength]],"")</f>
        <v>0.11666666666666667</v>
      </c>
      <c r="X863" s="24">
        <f>IFERROR(Table2[[#This Row],[Green Min]]/Table2[[#This Row],[ClassLength]],"")</f>
        <v>0.23333333333333334</v>
      </c>
      <c r="Y863" s="24">
        <f>IFERROR(Table2[[#This Row],[Orange Min]]/Table2[[#This Row],[ClassLength]],"")</f>
        <v>0.2</v>
      </c>
      <c r="Z863" s="24">
        <f>IFERROR(Table2[[#This Row],[Red Min]]/Table2[[#This Row],[ClassLength]],"")</f>
        <v>0</v>
      </c>
      <c r="AA863" s="25">
        <v>139</v>
      </c>
      <c r="AB863" s="25">
        <f t="shared" si="255"/>
        <v>9.2666666666666675</v>
      </c>
      <c r="AC863" s="26">
        <f t="shared" si="233"/>
        <v>643.20000000000005</v>
      </c>
      <c r="AD863" s="26">
        <f t="shared" si="234"/>
        <v>15.2</v>
      </c>
      <c r="AE863">
        <f t="shared" si="235"/>
        <v>2025</v>
      </c>
      <c r="AG863">
        <v>12</v>
      </c>
      <c r="AH863" s="26">
        <f t="shared" si="236"/>
        <v>9.5666666666666664</v>
      </c>
      <c r="AI863" t="str">
        <f t="shared" si="237"/>
        <v>AM</v>
      </c>
      <c r="AJ863" t="str">
        <f t="shared" si="238"/>
        <v>10-2025-3</v>
      </c>
      <c r="AK863">
        <f t="shared" si="239"/>
        <v>10</v>
      </c>
      <c r="AL863" s="26">
        <f>IFERROR(Table2[[#This Row],[Calories]]/Table2[[#This Row],[Splat]],"")</f>
        <v>47.833333333333336</v>
      </c>
      <c r="AM863">
        <f>COUNTIF(N$2:$N$938,N863)</f>
        <v>258</v>
      </c>
      <c r="AN863" t="str">
        <f>VLOOKUP(N863,'Helpful Tables'!A:D,4,FALSE)</f>
        <v>Oregon</v>
      </c>
      <c r="AO863" s="24">
        <f>COUNTIF(AN:AN,Table2[[#This Row],[State]])/COUNTA(AN:AN)</f>
        <v>0.36140724946695096</v>
      </c>
      <c r="AP863">
        <f>VLOOKUP(N863,'Helpful Tables'!A:B,2,FALSE)</f>
        <v>45.534162000000002</v>
      </c>
      <c r="AQ863">
        <f>VLOOKUP(N863,'Helpful Tables'!A:C,3,FALSE)</f>
        <v>-122.69670000000001</v>
      </c>
      <c r="AR863">
        <f>COUNTIF(P$2:$P$938,P863)</f>
        <v>3</v>
      </c>
      <c r="AS863" cm="1">
        <f t="array" ref="AS863">_xlfn.IFS(E863&lt;6,((E863/D863)*60)*0.5,AND(E863&gt;=6,E863&lt;9),((E863/D863)*60)*0.75,AND(E863&gt;=9,E863&lt;=11),((E863/D863)*60)*0.9,AND(E863=12),((E863/D863)*60)*1,AND(E863&gt;=13,E863&lt;=15),((E863/D863)*60)*1.2,AND(E863&gt;=16,E863&lt;=19),((E863/D863)*60)*1.5,E863&gt;=20,((E863/D863)*60)*1.8)</f>
        <v>12</v>
      </c>
      <c r="AT863" cm="1">
        <f t="array" ref="AT863">_xlfn.IFS(F863&lt;550,((F863/D863)*60)*0.5,AND(F863&gt;=550,F863&lt;575),((F863/D863)*60)*0.75,AND(F863&gt;=575,F863&lt;600),((F863/D863)*60)*0.9,AND(F863=600),((F863/D863)*60)*1,AND(F863&gt;=601,F863&lt;=625),((F863/D863)*60)*1.2,AND(F863&gt;=626,F863&lt;=650),((F863/D863)*60)*1.5,F863&gt;=651,((F863/D863)*60)*1.8)</f>
        <v>430.5</v>
      </c>
      <c r="AU863">
        <f t="shared" si="266"/>
        <v>-7.6999999999999993</v>
      </c>
      <c r="AV863">
        <f t="shared" ref="AV863:AV868" si="269">(AS863*0.4)+(AT863*0.4)+(AU863*0.2)</f>
        <v>175.46000000000004</v>
      </c>
      <c r="AW863">
        <f t="shared" si="267"/>
        <v>9.4</v>
      </c>
      <c r="AX863" t="str">
        <f t="shared" si="240"/>
        <v>Oct-2025</v>
      </c>
      <c r="AY863">
        <f>ROUNDUP(Table2[[#This Row],[Month]]/3,0)</f>
        <v>4</v>
      </c>
    </row>
    <row r="864" spans="1:51" x14ac:dyDescent="0.2">
      <c r="A864">
        <v>863</v>
      </c>
      <c r="B864">
        <f t="shared" si="230"/>
        <v>15</v>
      </c>
      <c r="C864" s="22">
        <v>45945</v>
      </c>
      <c r="D864">
        <f>SUM(Table2[[#This Row],[Gray Min]:[Red Min]])</f>
        <v>60</v>
      </c>
      <c r="E864">
        <v>14</v>
      </c>
      <c r="F864">
        <v>630</v>
      </c>
      <c r="G864">
        <v>122</v>
      </c>
      <c r="H864">
        <v>165</v>
      </c>
      <c r="I864">
        <v>22</v>
      </c>
      <c r="J864">
        <v>11</v>
      </c>
      <c r="K864">
        <v>13</v>
      </c>
      <c r="L864">
        <v>13</v>
      </c>
      <c r="M864">
        <v>1</v>
      </c>
      <c r="N864" t="s">
        <v>125</v>
      </c>
      <c r="O864" t="s">
        <v>127</v>
      </c>
      <c r="P864" t="s">
        <v>281</v>
      </c>
      <c r="Q864">
        <f t="shared" si="263"/>
        <v>2</v>
      </c>
      <c r="R864" t="str">
        <f t="shared" si="264"/>
        <v>10-2025</v>
      </c>
      <c r="S864" t="s">
        <v>104</v>
      </c>
      <c r="T864" t="str">
        <f t="shared" si="265"/>
        <v>Wednesday</v>
      </c>
      <c r="U864">
        <f t="shared" si="268"/>
        <v>1</v>
      </c>
      <c r="V864" s="24">
        <f>IFERROR(Table2[[#This Row],[Gray Min]]/Table2[[#This Row],[ClassLength]],"")</f>
        <v>0.36666666666666664</v>
      </c>
      <c r="W864" s="24">
        <f>IFERROR(Table2[[#This Row],[Blue Min]]/Table2[[#This Row],[ClassLength]],"")</f>
        <v>0.18333333333333332</v>
      </c>
      <c r="X864" s="24">
        <f>IFERROR(Table2[[#This Row],[Green Min]]/Table2[[#This Row],[ClassLength]],"")</f>
        <v>0.21666666666666667</v>
      </c>
      <c r="Y864" s="24">
        <f>IFERROR(Table2[[#This Row],[Orange Min]]/Table2[[#This Row],[ClassLength]],"")</f>
        <v>0.21666666666666667</v>
      </c>
      <c r="Z864" s="24">
        <f>IFERROR(Table2[[#This Row],[Red Min]]/Table2[[#This Row],[ClassLength]],"")</f>
        <v>1.6666666666666666E-2</v>
      </c>
      <c r="AA864" s="25">
        <v>139</v>
      </c>
      <c r="AB864" s="25">
        <f t="shared" si="255"/>
        <v>9.2666666666666675</v>
      </c>
      <c r="AC864" s="26">
        <f t="shared" si="233"/>
        <v>643.20000000000005</v>
      </c>
      <c r="AD864" s="26">
        <f t="shared" si="234"/>
        <v>15.2</v>
      </c>
      <c r="AE864">
        <f t="shared" si="235"/>
        <v>2025</v>
      </c>
      <c r="AG864">
        <v>12</v>
      </c>
      <c r="AH864" s="26">
        <f t="shared" si="236"/>
        <v>10.5</v>
      </c>
      <c r="AI864" t="str">
        <f t="shared" si="237"/>
        <v>PM</v>
      </c>
      <c r="AJ864" t="str">
        <f t="shared" si="238"/>
        <v>10-2025-3</v>
      </c>
      <c r="AK864">
        <f t="shared" si="239"/>
        <v>10</v>
      </c>
      <c r="AL864" s="26">
        <f>IFERROR(Table2[[#This Row],[Calories]]/Table2[[#This Row],[Splat]],"")</f>
        <v>45</v>
      </c>
      <c r="AM864">
        <f>COUNTIF(N$2:$N$938,N864)</f>
        <v>258</v>
      </c>
      <c r="AN864" t="str">
        <f>VLOOKUP(N864,'Helpful Tables'!A:D,4,FALSE)</f>
        <v>Oregon</v>
      </c>
      <c r="AO864" s="24">
        <f>COUNTIF(AN:AN,Table2[[#This Row],[State]])/COUNTA(AN:AN)</f>
        <v>0.36140724946695096</v>
      </c>
      <c r="AP864">
        <f>VLOOKUP(N864,'Helpful Tables'!A:B,2,FALSE)</f>
        <v>45.534162000000002</v>
      </c>
      <c r="AQ864">
        <f>VLOOKUP(N864,'Helpful Tables'!A:C,3,FALSE)</f>
        <v>-122.69670000000001</v>
      </c>
      <c r="AR864">
        <f>COUNTIF(P$2:$P$938,P864)</f>
        <v>41</v>
      </c>
      <c r="AS864" cm="1">
        <f t="array" ref="AS864">_xlfn.IFS(E864&lt;6,((E864/D864)*60)*0.5,AND(E864&gt;=6,E864&lt;9),((E864/D864)*60)*0.75,AND(E864&gt;=9,E864&lt;=11),((E864/D864)*60)*0.9,AND(E864=12),((E864/D864)*60)*1,AND(E864&gt;=13,E864&lt;=15),((E864/D864)*60)*1.2,AND(E864&gt;=16,E864&lt;=19),((E864/D864)*60)*1.5,E864&gt;=20,((E864/D864)*60)*1.8)</f>
        <v>16.8</v>
      </c>
      <c r="AT864" cm="1">
        <f t="array" ref="AT864">_xlfn.IFS(F864&lt;550,((F864/D864)*60)*0.5,AND(F864&gt;=550,F864&lt;575),((F864/D864)*60)*0.75,AND(F864&gt;=575,F864&lt;600),((F864/D864)*60)*0.9,AND(F864=600),((F864/D864)*60)*1,AND(F864&gt;=601,F864&lt;=625),((F864/D864)*60)*1.2,AND(F864&gt;=626,F864&lt;=650),((F864/D864)*60)*1.5,F864&gt;=651,((F864/D864)*60)*1.8)</f>
        <v>945</v>
      </c>
      <c r="AU864">
        <f t="shared" si="266"/>
        <v>-4.4999999999999964</v>
      </c>
      <c r="AV864">
        <f t="shared" si="269"/>
        <v>383.82000000000005</v>
      </c>
      <c r="AW864">
        <f t="shared" si="267"/>
        <v>46.5</v>
      </c>
      <c r="AX864" t="str">
        <f t="shared" si="240"/>
        <v>Oct-2025</v>
      </c>
      <c r="AY864">
        <f>ROUNDUP(Table2[[#This Row],[Month]]/3,0)</f>
        <v>4</v>
      </c>
    </row>
    <row r="865" spans="1:51" x14ac:dyDescent="0.2">
      <c r="A865">
        <v>864</v>
      </c>
      <c r="B865">
        <f t="shared" si="230"/>
        <v>15</v>
      </c>
      <c r="C865" s="22">
        <v>45947</v>
      </c>
      <c r="D865">
        <f>SUM(Table2[[#This Row],[Gray Min]:[Red Min]])</f>
        <v>63</v>
      </c>
      <c r="E865">
        <v>13</v>
      </c>
      <c r="F865">
        <v>648</v>
      </c>
      <c r="G865">
        <v>122</v>
      </c>
      <c r="H865">
        <v>167</v>
      </c>
      <c r="I865">
        <v>20</v>
      </c>
      <c r="J865">
        <v>10</v>
      </c>
      <c r="K865">
        <v>20</v>
      </c>
      <c r="L865">
        <v>12</v>
      </c>
      <c r="M865">
        <v>1</v>
      </c>
      <c r="N865" t="s">
        <v>125</v>
      </c>
      <c r="O865" t="s">
        <v>127</v>
      </c>
      <c r="P865" t="s">
        <v>281</v>
      </c>
      <c r="Q865">
        <f t="shared" ref="Q865:Q870" si="270">C865-C864</f>
        <v>2</v>
      </c>
      <c r="R865" t="str">
        <f t="shared" ref="R865:R870" si="271">MONTH(C865)&amp;"-"&amp;YEAR(C865)</f>
        <v>10-2025</v>
      </c>
      <c r="S865" t="s">
        <v>104</v>
      </c>
      <c r="T865" t="str">
        <f t="shared" ref="T865:T870" si="272">IF(WEEKDAY(C865)=1,"Sunday",IF(WEEKDAY(C865)=2,"Monday",IF(WEEKDAY(C865)=3,"Tuesday",IF(WEEKDAY(C865)=4,"Wednesday",IF(WEEKDAY(C865)=5,"Thursday",IF(WEEKDAY(C865)=6,"Friday","Saturday"))))))</f>
        <v>Friday</v>
      </c>
      <c r="U865">
        <f t="shared" si="268"/>
        <v>1</v>
      </c>
      <c r="V865" s="24">
        <f>IFERROR(Table2[[#This Row],[Gray Min]]/Table2[[#This Row],[ClassLength]],"")</f>
        <v>0.31746031746031744</v>
      </c>
      <c r="W865" s="24">
        <f>IFERROR(Table2[[#This Row],[Blue Min]]/Table2[[#This Row],[ClassLength]],"")</f>
        <v>0.15873015873015872</v>
      </c>
      <c r="X865" s="24">
        <f>IFERROR(Table2[[#This Row],[Green Min]]/Table2[[#This Row],[ClassLength]],"")</f>
        <v>0.31746031746031744</v>
      </c>
      <c r="Y865" s="24">
        <f>IFERROR(Table2[[#This Row],[Orange Min]]/Table2[[#This Row],[ClassLength]],"")</f>
        <v>0.19047619047619047</v>
      </c>
      <c r="Z865" s="24">
        <f>IFERROR(Table2[[#This Row],[Red Min]]/Table2[[#This Row],[ClassLength]],"")</f>
        <v>1.5873015873015872E-2</v>
      </c>
      <c r="AA865" s="25">
        <v>139</v>
      </c>
      <c r="AB865" s="25">
        <f t="shared" si="255"/>
        <v>9.2666666666666675</v>
      </c>
      <c r="AC865" s="26">
        <f t="shared" si="233"/>
        <v>643.20000000000005</v>
      </c>
      <c r="AD865" s="26">
        <f t="shared" si="234"/>
        <v>15.2</v>
      </c>
      <c r="AE865">
        <f t="shared" si="235"/>
        <v>2025</v>
      </c>
      <c r="AG865">
        <v>12</v>
      </c>
      <c r="AH865" s="26">
        <f t="shared" si="236"/>
        <v>10.285714285714286</v>
      </c>
      <c r="AI865" t="str">
        <f t="shared" si="237"/>
        <v>PM</v>
      </c>
      <c r="AJ865" t="str">
        <f t="shared" si="238"/>
        <v>10-2025-3</v>
      </c>
      <c r="AK865">
        <f t="shared" si="239"/>
        <v>10</v>
      </c>
      <c r="AL865" s="26">
        <f>IFERROR(Table2[[#This Row],[Calories]]/Table2[[#This Row],[Splat]],"")</f>
        <v>49.846153846153847</v>
      </c>
      <c r="AM865">
        <f>COUNTIF(N$2:$N$938,N865)</f>
        <v>258</v>
      </c>
      <c r="AN865" t="str">
        <f>VLOOKUP(N865,'Helpful Tables'!A:D,4,FALSE)</f>
        <v>Oregon</v>
      </c>
      <c r="AO865" s="24">
        <f>COUNTIF(AN:AN,Table2[[#This Row],[State]])/COUNTA(AN:AN)</f>
        <v>0.36140724946695096</v>
      </c>
      <c r="AP865">
        <f>VLOOKUP(N865,'Helpful Tables'!A:B,2,FALSE)</f>
        <v>45.534162000000002</v>
      </c>
      <c r="AQ865">
        <f>VLOOKUP(N865,'Helpful Tables'!A:C,3,FALSE)</f>
        <v>-122.69670000000001</v>
      </c>
      <c r="AR865">
        <f>COUNTIF(P$2:$P$938,P865)</f>
        <v>41</v>
      </c>
      <c r="AS865" cm="1">
        <f t="array" ref="AS865">_xlfn.IFS(E865&lt;6,((E865/D865)*60)*0.5,AND(E865&gt;=6,E865&lt;9),((E865/D865)*60)*0.75,AND(E865&gt;=9,E865&lt;=11),((E865/D865)*60)*0.9,AND(E865=12),((E865/D865)*60)*1,AND(E865&gt;=13,E865&lt;=15),((E865/D865)*60)*1.2,AND(E865&gt;=16,E865&lt;=19),((E865/D865)*60)*1.5,E865&gt;=20,((E865/D865)*60)*1.8)</f>
        <v>14.857142857142854</v>
      </c>
      <c r="AT865" cm="1">
        <f t="array" ref="AT865">_xlfn.IFS(F865&lt;550,((F865/D865)*60)*0.5,AND(F865&gt;=550,F865&lt;575),((F865/D865)*60)*0.75,AND(F865&gt;=575,F865&lt;600),((F865/D865)*60)*0.9,AND(F865=600),((F865/D865)*60)*1,AND(F865&gt;=601,F865&lt;=625),((F865/D865)*60)*1.2,AND(F865&gt;=626,F865&lt;=650),((F865/D865)*60)*1.5,F865&gt;=651,((F865/D865)*60)*1.8)</f>
        <v>925.71428571428578</v>
      </c>
      <c r="AU865">
        <f t="shared" si="266"/>
        <v>6.1000000000000014</v>
      </c>
      <c r="AV865">
        <f t="shared" si="269"/>
        <v>377.44857142857148</v>
      </c>
      <c r="AW865">
        <f t="shared" si="267"/>
        <v>44.2</v>
      </c>
      <c r="AX865" t="str">
        <f t="shared" si="240"/>
        <v>Oct-2025</v>
      </c>
      <c r="AY865">
        <f>ROUNDUP(Table2[[#This Row],[Month]]/3,0)</f>
        <v>4</v>
      </c>
    </row>
    <row r="866" spans="1:51" x14ac:dyDescent="0.2">
      <c r="A866">
        <v>865</v>
      </c>
      <c r="B866">
        <f t="shared" si="230"/>
        <v>15</v>
      </c>
      <c r="C866" s="22">
        <v>45951</v>
      </c>
      <c r="D866">
        <f>SUM(Table2[[#This Row],[Gray Min]:[Red Min]])</f>
        <v>58</v>
      </c>
      <c r="E866">
        <v>17</v>
      </c>
      <c r="F866">
        <v>635</v>
      </c>
      <c r="G866">
        <v>125</v>
      </c>
      <c r="H866">
        <v>163</v>
      </c>
      <c r="I866">
        <v>13</v>
      </c>
      <c r="J866">
        <v>18</v>
      </c>
      <c r="K866">
        <v>10</v>
      </c>
      <c r="L866">
        <v>17</v>
      </c>
      <c r="M866">
        <v>0</v>
      </c>
      <c r="N866" t="s">
        <v>208</v>
      </c>
      <c r="O866" t="s">
        <v>53</v>
      </c>
      <c r="P866" t="s">
        <v>213</v>
      </c>
      <c r="Q866">
        <f t="shared" si="270"/>
        <v>4</v>
      </c>
      <c r="R866" t="str">
        <f t="shared" si="271"/>
        <v>10-2025</v>
      </c>
      <c r="S866" t="s">
        <v>104</v>
      </c>
      <c r="T866" t="str">
        <f t="shared" si="272"/>
        <v>Tuesday</v>
      </c>
      <c r="U866">
        <f t="shared" si="268"/>
        <v>1</v>
      </c>
      <c r="V866" s="24">
        <f>IFERROR(Table2[[#This Row],[Gray Min]]/Table2[[#This Row],[ClassLength]],"")</f>
        <v>0.22413793103448276</v>
      </c>
      <c r="W866" s="24">
        <f>IFERROR(Table2[[#This Row],[Blue Min]]/Table2[[#This Row],[ClassLength]],"")</f>
        <v>0.31034482758620691</v>
      </c>
      <c r="X866" s="24">
        <f>IFERROR(Table2[[#This Row],[Green Min]]/Table2[[#This Row],[ClassLength]],"")</f>
        <v>0.17241379310344829</v>
      </c>
      <c r="Y866" s="24">
        <f>IFERROR(Table2[[#This Row],[Orange Min]]/Table2[[#This Row],[ClassLength]],"")</f>
        <v>0.29310344827586204</v>
      </c>
      <c r="Z866" s="24">
        <f>IFERROR(Table2[[#This Row],[Red Min]]/Table2[[#This Row],[ClassLength]],"")</f>
        <v>0</v>
      </c>
      <c r="AA866" s="25">
        <v>139</v>
      </c>
      <c r="AB866" s="25">
        <f t="shared" si="255"/>
        <v>9.2666666666666675</v>
      </c>
      <c r="AC866" s="26">
        <f t="shared" si="233"/>
        <v>643.20000000000005</v>
      </c>
      <c r="AD866" s="26">
        <f t="shared" si="234"/>
        <v>15.2</v>
      </c>
      <c r="AE866">
        <f t="shared" si="235"/>
        <v>2025</v>
      </c>
      <c r="AG866">
        <v>12</v>
      </c>
      <c r="AH866" s="26">
        <f t="shared" si="236"/>
        <v>10.948275862068966</v>
      </c>
      <c r="AI866" t="str">
        <f t="shared" si="237"/>
        <v>PM</v>
      </c>
      <c r="AJ866" t="str">
        <f t="shared" si="238"/>
        <v>10-2025-4</v>
      </c>
      <c r="AK866">
        <f t="shared" si="239"/>
        <v>10</v>
      </c>
      <c r="AL866" s="26">
        <f>IFERROR(Table2[[#This Row],[Calories]]/Table2[[#This Row],[Splat]],"")</f>
        <v>37.352941176470587</v>
      </c>
      <c r="AM866">
        <f>COUNTIF(N$2:$N$938,N866)</f>
        <v>78</v>
      </c>
      <c r="AN866" t="str">
        <f>VLOOKUP(N866,'Helpful Tables'!A:D,4,FALSE)</f>
        <v>Oregon</v>
      </c>
      <c r="AO866" s="24">
        <f>COUNTIF(AN:AN,Table2[[#This Row],[State]])/COUNTA(AN:AN)</f>
        <v>0.36140724946695096</v>
      </c>
      <c r="AP866">
        <f>VLOOKUP(N866,'Helpful Tables'!A:B,2,FALSE)</f>
        <v>45.525092999999998</v>
      </c>
      <c r="AQ866">
        <f>VLOOKUP(N866,'Helpful Tables'!A:C,3,FALSE)</f>
        <v>-122.681383</v>
      </c>
      <c r="AR866">
        <f>COUNTIF(P$2:$P$938,P866)</f>
        <v>40</v>
      </c>
      <c r="AS866" cm="1">
        <f t="array" ref="AS866">_xlfn.IFS(E866&lt;6,((E866/D866)*60)*0.5,AND(E866&gt;=6,E866&lt;9),((E866/D866)*60)*0.75,AND(E866&gt;=9,E866&lt;=11),((E866/D866)*60)*0.9,AND(E866=12),((E866/D866)*60)*1,AND(E866&gt;=13,E866&lt;=15),((E866/D866)*60)*1.2,AND(E866&gt;=16,E866&lt;=19),((E866/D866)*60)*1.5,E866&gt;=20,((E866/D866)*60)*1.8)</f>
        <v>26.379310344827584</v>
      </c>
      <c r="AT866" cm="1">
        <f t="array" ref="AT866">_xlfn.IFS(F866&lt;550,((F866/D866)*60)*0.5,AND(F866&gt;=550,F866&lt;575),((F866/D866)*60)*0.75,AND(F866&gt;=575,F866&lt;600),((F866/D866)*60)*0.9,AND(F866=600),((F866/D866)*60)*1,AND(F866&gt;=601,F866&lt;=625),((F866/D866)*60)*1.2,AND(F866&gt;=626,F866&lt;=650),((F866/D866)*60)*1.5,F866&gt;=651,((F866/D866)*60)*1.8)</f>
        <v>985.34482758620697</v>
      </c>
      <c r="AU866">
        <f t="shared" si="266"/>
        <v>-1.2999999999999972</v>
      </c>
      <c r="AV866">
        <f t="shared" si="269"/>
        <v>404.42965517241385</v>
      </c>
      <c r="AW866">
        <f t="shared" si="267"/>
        <v>55.800000000000004</v>
      </c>
      <c r="AX866" t="str">
        <f t="shared" si="240"/>
        <v>Oct-2025</v>
      </c>
      <c r="AY866">
        <f>ROUNDUP(Table2[[#This Row],[Month]]/3,0)</f>
        <v>4</v>
      </c>
    </row>
    <row r="867" spans="1:51" x14ac:dyDescent="0.2">
      <c r="A867">
        <v>866</v>
      </c>
      <c r="B867">
        <f t="shared" si="230"/>
        <v>15</v>
      </c>
      <c r="C867" s="22">
        <v>45953</v>
      </c>
      <c r="D867">
        <f>SUM(Table2[[#This Row],[Gray Min]:[Red Min]])</f>
        <v>63</v>
      </c>
      <c r="E867">
        <v>14</v>
      </c>
      <c r="F867">
        <v>692</v>
      </c>
      <c r="G867">
        <v>124</v>
      </c>
      <c r="H867">
        <v>156</v>
      </c>
      <c r="I867">
        <v>15</v>
      </c>
      <c r="J867">
        <v>17</v>
      </c>
      <c r="K867">
        <v>17</v>
      </c>
      <c r="L867">
        <v>14</v>
      </c>
      <c r="M867">
        <v>0</v>
      </c>
      <c r="N867" t="s">
        <v>125</v>
      </c>
      <c r="O867" t="s">
        <v>127</v>
      </c>
      <c r="P867" t="s">
        <v>281</v>
      </c>
      <c r="Q867">
        <f t="shared" si="270"/>
        <v>2</v>
      </c>
      <c r="R867" t="str">
        <f t="shared" si="271"/>
        <v>10-2025</v>
      </c>
      <c r="S867" t="s">
        <v>104</v>
      </c>
      <c r="T867" t="str">
        <f t="shared" si="272"/>
        <v>Thursday</v>
      </c>
      <c r="U867">
        <f t="shared" si="268"/>
        <v>1</v>
      </c>
      <c r="V867" s="24">
        <f>IFERROR(Table2[[#This Row],[Gray Min]]/Table2[[#This Row],[ClassLength]],"")</f>
        <v>0.23809523809523808</v>
      </c>
      <c r="W867" s="24">
        <f>IFERROR(Table2[[#This Row],[Blue Min]]/Table2[[#This Row],[ClassLength]],"")</f>
        <v>0.26984126984126983</v>
      </c>
      <c r="X867" s="24">
        <f>IFERROR(Table2[[#This Row],[Green Min]]/Table2[[#This Row],[ClassLength]],"")</f>
        <v>0.26984126984126983</v>
      </c>
      <c r="Y867" s="24">
        <f>IFERROR(Table2[[#This Row],[Orange Min]]/Table2[[#This Row],[ClassLength]],"")</f>
        <v>0.22222222222222221</v>
      </c>
      <c r="Z867" s="24">
        <f>IFERROR(Table2[[#This Row],[Red Min]]/Table2[[#This Row],[ClassLength]],"")</f>
        <v>0</v>
      </c>
      <c r="AA867" s="25">
        <v>139</v>
      </c>
      <c r="AB867" s="25">
        <f t="shared" si="255"/>
        <v>9.2666666666666675</v>
      </c>
      <c r="AC867" s="26">
        <f t="shared" si="233"/>
        <v>643.20000000000005</v>
      </c>
      <c r="AD867" s="26">
        <f t="shared" si="234"/>
        <v>15.2</v>
      </c>
      <c r="AE867">
        <f t="shared" si="235"/>
        <v>2025</v>
      </c>
      <c r="AG867">
        <v>12</v>
      </c>
      <c r="AH867" s="26">
        <f t="shared" si="236"/>
        <v>10.984126984126984</v>
      </c>
      <c r="AI867" t="str">
        <f t="shared" si="237"/>
        <v>PM</v>
      </c>
      <c r="AJ867" t="str">
        <f t="shared" si="238"/>
        <v>10-2025-4</v>
      </c>
      <c r="AK867">
        <f t="shared" si="239"/>
        <v>10</v>
      </c>
      <c r="AL867" s="26">
        <f>IFERROR(Table2[[#This Row],[Calories]]/Table2[[#This Row],[Splat]],"")</f>
        <v>49.428571428571431</v>
      </c>
      <c r="AM867">
        <f>COUNTIF(N$2:$N$938,N867)</f>
        <v>258</v>
      </c>
      <c r="AN867" t="str">
        <f>VLOOKUP(N867,'Helpful Tables'!A:D,4,FALSE)</f>
        <v>Oregon</v>
      </c>
      <c r="AO867" s="24">
        <f>COUNTIF(AN:AN,Table2[[#This Row],[State]])/COUNTA(AN:AN)</f>
        <v>0.36140724946695096</v>
      </c>
      <c r="AP867">
        <f>VLOOKUP(N867,'Helpful Tables'!A:B,2,FALSE)</f>
        <v>45.534162000000002</v>
      </c>
      <c r="AQ867">
        <f>VLOOKUP(N867,'Helpful Tables'!A:C,3,FALSE)</f>
        <v>-122.69670000000001</v>
      </c>
      <c r="AR867">
        <f>COUNTIF(P$2:$P$938,P867)</f>
        <v>41</v>
      </c>
      <c r="AS867" cm="1">
        <f t="array" ref="AS867">_xlfn.IFS(E867&lt;6,((E867/D867)*60)*0.5,AND(E867&gt;=6,E867&lt;9),((E867/D867)*60)*0.75,AND(E867&gt;=9,E867&lt;=11),((E867/D867)*60)*0.9,AND(E867=12),((E867/D867)*60)*1,AND(E867&gt;=13,E867&lt;=15),((E867/D867)*60)*1.2,AND(E867&gt;=16,E867&lt;=19),((E867/D867)*60)*1.5,E867&gt;=20,((E867/D867)*60)*1.8)</f>
        <v>15.999999999999998</v>
      </c>
      <c r="AT867" cm="1">
        <f t="array" ref="AT867">_xlfn.IFS(F867&lt;550,((F867/D867)*60)*0.5,AND(F867&gt;=550,F867&lt;575),((F867/D867)*60)*0.75,AND(F867&gt;=575,F867&lt;600),((F867/D867)*60)*0.9,AND(F867=600),((F867/D867)*60)*1,AND(F867&gt;=601,F867&lt;=625),((F867/D867)*60)*1.2,AND(F867&gt;=626,F867&lt;=650),((F867/D867)*60)*1.5,F867&gt;=651,((F867/D867)*60)*1.8)</f>
        <v>1186.2857142857142</v>
      </c>
      <c r="AU867">
        <f t="shared" si="266"/>
        <v>1.899999999999995</v>
      </c>
      <c r="AV867">
        <f t="shared" si="269"/>
        <v>481.29428571428571</v>
      </c>
      <c r="AW867">
        <f t="shared" si="267"/>
        <v>70.199999999999989</v>
      </c>
      <c r="AX867" t="str">
        <f t="shared" si="240"/>
        <v>Oct-2025</v>
      </c>
      <c r="AY867">
        <f>ROUNDUP(Table2[[#This Row],[Month]]/3,0)</f>
        <v>4</v>
      </c>
    </row>
    <row r="868" spans="1:51" x14ac:dyDescent="0.2">
      <c r="A868">
        <v>867</v>
      </c>
      <c r="B868">
        <f t="shared" si="230"/>
        <v>15</v>
      </c>
      <c r="C868" s="22">
        <v>45955</v>
      </c>
      <c r="D868">
        <f>SUM(Table2[[#This Row],[Gray Min]:[Red Min]])</f>
        <v>58</v>
      </c>
      <c r="E868">
        <v>19</v>
      </c>
      <c r="F868">
        <v>667</v>
      </c>
      <c r="G868">
        <v>131</v>
      </c>
      <c r="H868">
        <v>172</v>
      </c>
      <c r="I868">
        <v>8</v>
      </c>
      <c r="J868">
        <v>12</v>
      </c>
      <c r="K868">
        <v>19</v>
      </c>
      <c r="L868">
        <v>16</v>
      </c>
      <c r="M868">
        <v>3</v>
      </c>
      <c r="N868" t="s">
        <v>208</v>
      </c>
      <c r="O868" t="s">
        <v>76</v>
      </c>
      <c r="P868" t="s">
        <v>213</v>
      </c>
      <c r="Q868">
        <f t="shared" si="270"/>
        <v>2</v>
      </c>
      <c r="R868" t="str">
        <f t="shared" si="271"/>
        <v>10-2025</v>
      </c>
      <c r="S868" t="s">
        <v>104</v>
      </c>
      <c r="T868" t="str">
        <f t="shared" si="272"/>
        <v>Saturday</v>
      </c>
      <c r="U868">
        <f t="shared" si="268"/>
        <v>1</v>
      </c>
      <c r="V868" s="24">
        <f>IFERROR(Table2[[#This Row],[Gray Min]]/Table2[[#This Row],[ClassLength]],"")</f>
        <v>0.13793103448275862</v>
      </c>
      <c r="W868" s="24">
        <f>IFERROR(Table2[[#This Row],[Blue Min]]/Table2[[#This Row],[ClassLength]],"")</f>
        <v>0.20689655172413793</v>
      </c>
      <c r="X868" s="24">
        <f>IFERROR(Table2[[#This Row],[Green Min]]/Table2[[#This Row],[ClassLength]],"")</f>
        <v>0.32758620689655171</v>
      </c>
      <c r="Y868" s="24">
        <f>IFERROR(Table2[[#This Row],[Orange Min]]/Table2[[#This Row],[ClassLength]],"")</f>
        <v>0.27586206896551724</v>
      </c>
      <c r="Z868" s="24">
        <f>IFERROR(Table2[[#This Row],[Red Min]]/Table2[[#This Row],[ClassLength]],"")</f>
        <v>5.1724137931034482E-2</v>
      </c>
      <c r="AA868" s="25">
        <v>139</v>
      </c>
      <c r="AB868" s="25">
        <f t="shared" si="255"/>
        <v>9.2666666666666675</v>
      </c>
      <c r="AC868" s="26">
        <f t="shared" si="233"/>
        <v>643.20000000000005</v>
      </c>
      <c r="AD868" s="26">
        <f t="shared" si="234"/>
        <v>15.2</v>
      </c>
      <c r="AE868">
        <f t="shared" si="235"/>
        <v>2025</v>
      </c>
      <c r="AG868">
        <v>12</v>
      </c>
      <c r="AH868" s="26">
        <f t="shared" si="236"/>
        <v>11.5</v>
      </c>
      <c r="AI868" t="str">
        <f t="shared" si="237"/>
        <v>AM</v>
      </c>
      <c r="AJ868" t="str">
        <f t="shared" si="238"/>
        <v>10-2025-4</v>
      </c>
      <c r="AK868">
        <f t="shared" si="239"/>
        <v>10</v>
      </c>
      <c r="AL868" s="26">
        <f>IFERROR(Table2[[#This Row],[Calories]]/Table2[[#This Row],[Splat]],"")</f>
        <v>35.10526315789474</v>
      </c>
      <c r="AM868">
        <f>COUNTIF(N$2:$N$938,N868)</f>
        <v>78</v>
      </c>
      <c r="AN868" t="str">
        <f>VLOOKUP(N868,'Helpful Tables'!A:D,4,FALSE)</f>
        <v>Oregon</v>
      </c>
      <c r="AO868" s="24">
        <f>COUNTIF(AN:AN,Table2[[#This Row],[State]])/COUNTA(AN:AN)</f>
        <v>0.36140724946695096</v>
      </c>
      <c r="AP868">
        <f>VLOOKUP(N868,'Helpful Tables'!A:B,2,FALSE)</f>
        <v>45.525092999999998</v>
      </c>
      <c r="AQ868">
        <f>VLOOKUP(N868,'Helpful Tables'!A:C,3,FALSE)</f>
        <v>-122.681383</v>
      </c>
      <c r="AR868">
        <f>COUNTIF(P$2:$P$938,P868)</f>
        <v>40</v>
      </c>
      <c r="AS868" cm="1">
        <f t="array" ref="AS868">_xlfn.IFS(E868&lt;6,((E868/D868)*60)*0.5,AND(E868&gt;=6,E868&lt;9),((E868/D868)*60)*0.75,AND(E868&gt;=9,E868&lt;=11),((E868/D868)*60)*0.9,AND(E868=12),((E868/D868)*60)*1,AND(E868&gt;=13,E868&lt;=15),((E868/D868)*60)*1.2,AND(E868&gt;=16,E868&lt;=19),((E868/D868)*60)*1.5,E868&gt;=20,((E868/D868)*60)*1.8)</f>
        <v>29.482758620689655</v>
      </c>
      <c r="AT868" cm="1">
        <f t="array" ref="AT868">_xlfn.IFS(F868&lt;550,((F868/D868)*60)*0.5,AND(F868&gt;=550,F868&lt;575),((F868/D868)*60)*0.75,AND(F868&gt;=575,F868&lt;600),((F868/D868)*60)*0.9,AND(F868=600),((F868/D868)*60)*1,AND(F868&gt;=601,F868&lt;=625),((F868/D868)*60)*1.2,AND(F868&gt;=626,F868&lt;=650),((F868/D868)*60)*1.5,F868&gt;=651,((F868/D868)*60)*1.8)</f>
        <v>1242</v>
      </c>
      <c r="AU868">
        <f t="shared" si="266"/>
        <v>25.3</v>
      </c>
      <c r="AV868">
        <f t="shared" si="269"/>
        <v>513.65310344827583</v>
      </c>
      <c r="AW868">
        <f t="shared" si="267"/>
        <v>87.4</v>
      </c>
      <c r="AX868" t="str">
        <f t="shared" si="240"/>
        <v>Oct-2025</v>
      </c>
      <c r="AY868">
        <f>ROUNDUP(Table2[[#This Row],[Month]]/3,0)</f>
        <v>4</v>
      </c>
    </row>
    <row r="869" spans="1:51" x14ac:dyDescent="0.2">
      <c r="A869">
        <v>868</v>
      </c>
      <c r="B869">
        <f t="shared" si="230"/>
        <v>15</v>
      </c>
      <c r="C869" s="22">
        <v>45956</v>
      </c>
      <c r="D869">
        <f>SUM(Table2[[#This Row],[Gray Min]:[Red Min]])</f>
        <v>61</v>
      </c>
      <c r="E869">
        <v>16</v>
      </c>
      <c r="F869">
        <v>654</v>
      </c>
      <c r="G869">
        <v>123</v>
      </c>
      <c r="H869">
        <v>159</v>
      </c>
      <c r="I869">
        <v>17</v>
      </c>
      <c r="J869">
        <v>17</v>
      </c>
      <c r="K869">
        <v>11</v>
      </c>
      <c r="L869">
        <v>16</v>
      </c>
      <c r="M869">
        <v>0</v>
      </c>
      <c r="N869" t="s">
        <v>125</v>
      </c>
      <c r="O869" t="s">
        <v>79</v>
      </c>
      <c r="P869" t="s">
        <v>294</v>
      </c>
      <c r="Q869">
        <f t="shared" si="270"/>
        <v>1</v>
      </c>
      <c r="R869" t="str">
        <f t="shared" si="271"/>
        <v>10-2025</v>
      </c>
      <c r="S869" t="s">
        <v>104</v>
      </c>
      <c r="T869" t="str">
        <f t="shared" si="272"/>
        <v>Sunday</v>
      </c>
      <c r="U869">
        <f t="shared" ref="U869:U874" si="273">IF(E869&gt;=12,1,0)</f>
        <v>1</v>
      </c>
      <c r="V869" s="24">
        <f>IFERROR(Table2[[#This Row],[Gray Min]]/Table2[[#This Row],[ClassLength]],"")</f>
        <v>0.27868852459016391</v>
      </c>
      <c r="W869" s="24">
        <f>IFERROR(Table2[[#This Row],[Blue Min]]/Table2[[#This Row],[ClassLength]],"")</f>
        <v>0.27868852459016391</v>
      </c>
      <c r="X869" s="24">
        <f>IFERROR(Table2[[#This Row],[Green Min]]/Table2[[#This Row],[ClassLength]],"")</f>
        <v>0.18032786885245902</v>
      </c>
      <c r="Y869" s="24">
        <f>IFERROR(Table2[[#This Row],[Orange Min]]/Table2[[#This Row],[ClassLength]],"")</f>
        <v>0.26229508196721313</v>
      </c>
      <c r="Z869" s="24">
        <f>IFERROR(Table2[[#This Row],[Red Min]]/Table2[[#This Row],[ClassLength]],"")</f>
        <v>0</v>
      </c>
      <c r="AA869" s="25">
        <v>139</v>
      </c>
      <c r="AB869" s="25">
        <f t="shared" si="255"/>
        <v>9.2666666666666675</v>
      </c>
      <c r="AC869" s="26">
        <f t="shared" si="233"/>
        <v>643.20000000000005</v>
      </c>
      <c r="AD869" s="26">
        <f t="shared" si="234"/>
        <v>15.2</v>
      </c>
      <c r="AE869">
        <f t="shared" si="235"/>
        <v>2025</v>
      </c>
      <c r="AG869">
        <v>12</v>
      </c>
      <c r="AH869" s="26">
        <f t="shared" si="236"/>
        <v>10.721311475409836</v>
      </c>
      <c r="AI869" t="str">
        <f t="shared" si="237"/>
        <v>AM</v>
      </c>
      <c r="AJ869" t="str">
        <f t="shared" si="238"/>
        <v>10-2025-5</v>
      </c>
      <c r="AK869">
        <f t="shared" si="239"/>
        <v>10</v>
      </c>
      <c r="AL869" s="26">
        <f>IFERROR(Table2[[#This Row],[Calories]]/Table2[[#This Row],[Splat]],"")</f>
        <v>40.875</v>
      </c>
      <c r="AM869">
        <f>COUNTIF(N$2:$N$938,N869)</f>
        <v>258</v>
      </c>
      <c r="AN869" t="str">
        <f>VLOOKUP(N869,'Helpful Tables'!A:D,4,FALSE)</f>
        <v>Oregon</v>
      </c>
      <c r="AO869" s="24">
        <f>COUNTIF(AN:AN,Table2[[#This Row],[State]])/COUNTA(AN:AN)</f>
        <v>0.36140724946695096</v>
      </c>
      <c r="AP869">
        <f>VLOOKUP(N869,'Helpful Tables'!A:B,2,FALSE)</f>
        <v>45.534162000000002</v>
      </c>
      <c r="AQ869">
        <f>VLOOKUP(N869,'Helpful Tables'!A:C,3,FALSE)</f>
        <v>-122.69670000000001</v>
      </c>
      <c r="AR869">
        <f>COUNTIF(P$2:$P$938,P869)</f>
        <v>2</v>
      </c>
      <c r="AS869" cm="1">
        <f t="array" ref="AS869">_xlfn.IFS(E869&lt;6,((E869/D869)*60)*0.5,AND(E869&gt;=6,E869&lt;9),((E869/D869)*60)*0.75,AND(E869&gt;=9,E869&lt;=11),((E869/D869)*60)*0.9,AND(E869=12),((E869/D869)*60)*1,AND(E869&gt;=13,E869&lt;=15),((E869/D869)*60)*1.2,AND(E869&gt;=16,E869&lt;=19),((E869/D869)*60)*1.5,E869&gt;=20,((E869/D869)*60)*1.8)</f>
        <v>23.606557377049182</v>
      </c>
      <c r="AT869" cm="1">
        <f t="array" ref="AT869">_xlfn.IFS(F869&lt;550,((F869/D869)*60)*0.5,AND(F869&gt;=550,F869&lt;575),((F869/D869)*60)*0.75,AND(F869&gt;=575,F869&lt;600),((F869/D869)*60)*0.9,AND(F869=600),((F869/D869)*60)*1,AND(F869&gt;=601,F869&lt;=625),((F869/D869)*60)*1.2,AND(F869&gt;=626,F869&lt;=650),((F869/D869)*60)*1.5,F869&gt;=651,((F869/D869)*60)*1.8)</f>
        <v>1157.9016393442623</v>
      </c>
      <c r="AU869">
        <f t="shared" si="266"/>
        <v>-5.1000000000000014</v>
      </c>
      <c r="AV869">
        <f t="shared" ref="AV869:AV874" si="274">(AS869*0.4)+(AT869*0.4)+(AU869*0.2)</f>
        <v>471.58327868852462</v>
      </c>
      <c r="AW869">
        <f t="shared" si="267"/>
        <v>67.900000000000006</v>
      </c>
      <c r="AX869" t="str">
        <f t="shared" si="240"/>
        <v>Oct-2025</v>
      </c>
      <c r="AY869">
        <f>ROUNDUP(Table2[[#This Row],[Month]]/3,0)</f>
        <v>4</v>
      </c>
    </row>
    <row r="870" spans="1:51" x14ac:dyDescent="0.2">
      <c r="A870">
        <v>869</v>
      </c>
      <c r="B870">
        <f t="shared" si="230"/>
        <v>15</v>
      </c>
      <c r="C870" s="22">
        <v>45958</v>
      </c>
      <c r="D870">
        <f>SUM(Table2[[#This Row],[Gray Min]:[Red Min]])</f>
        <v>59</v>
      </c>
      <c r="E870">
        <v>12</v>
      </c>
      <c r="F870">
        <v>581</v>
      </c>
      <c r="G870">
        <v>119</v>
      </c>
      <c r="H870">
        <v>160</v>
      </c>
      <c r="I870">
        <v>22</v>
      </c>
      <c r="J870">
        <v>13</v>
      </c>
      <c r="K870">
        <v>12</v>
      </c>
      <c r="L870">
        <v>12</v>
      </c>
      <c r="M870">
        <v>0</v>
      </c>
      <c r="N870" t="s">
        <v>125</v>
      </c>
      <c r="O870" t="s">
        <v>215</v>
      </c>
      <c r="P870" t="s">
        <v>210</v>
      </c>
      <c r="Q870">
        <f t="shared" si="270"/>
        <v>2</v>
      </c>
      <c r="R870" t="str">
        <f t="shared" si="271"/>
        <v>10-2025</v>
      </c>
      <c r="S870" t="s">
        <v>104</v>
      </c>
      <c r="T870" t="str">
        <f t="shared" si="272"/>
        <v>Tuesday</v>
      </c>
      <c r="U870">
        <f t="shared" si="273"/>
        <v>1</v>
      </c>
      <c r="V870" s="24">
        <f>IFERROR(Table2[[#This Row],[Gray Min]]/Table2[[#This Row],[ClassLength]],"")</f>
        <v>0.3728813559322034</v>
      </c>
      <c r="W870" s="24">
        <f>IFERROR(Table2[[#This Row],[Blue Min]]/Table2[[#This Row],[ClassLength]],"")</f>
        <v>0.22033898305084745</v>
      </c>
      <c r="X870" s="24">
        <f>IFERROR(Table2[[#This Row],[Green Min]]/Table2[[#This Row],[ClassLength]],"")</f>
        <v>0.20338983050847459</v>
      </c>
      <c r="Y870" s="24">
        <f>IFERROR(Table2[[#This Row],[Orange Min]]/Table2[[#This Row],[ClassLength]],"")</f>
        <v>0.20338983050847459</v>
      </c>
      <c r="Z870" s="24">
        <f>IFERROR(Table2[[#This Row],[Red Min]]/Table2[[#This Row],[ClassLength]],"")</f>
        <v>0</v>
      </c>
      <c r="AA870" s="25">
        <v>139</v>
      </c>
      <c r="AB870" s="25">
        <f t="shared" si="255"/>
        <v>9.2666666666666675</v>
      </c>
      <c r="AC870" s="26">
        <f t="shared" si="233"/>
        <v>643.20000000000005</v>
      </c>
      <c r="AD870" s="26">
        <f t="shared" si="234"/>
        <v>15.2</v>
      </c>
      <c r="AE870">
        <f t="shared" si="235"/>
        <v>2025</v>
      </c>
      <c r="AG870">
        <v>12</v>
      </c>
      <c r="AH870" s="26">
        <f t="shared" si="236"/>
        <v>9.8474576271186436</v>
      </c>
      <c r="AI870" t="str">
        <f t="shared" si="237"/>
        <v>PM</v>
      </c>
      <c r="AJ870" t="str">
        <f t="shared" si="238"/>
        <v>10-2025-5</v>
      </c>
      <c r="AK870">
        <f t="shared" si="239"/>
        <v>10</v>
      </c>
      <c r="AL870" s="26">
        <f>IFERROR(Table2[[#This Row],[Calories]]/Table2[[#This Row],[Splat]],"")</f>
        <v>48.416666666666664</v>
      </c>
      <c r="AM870">
        <f>COUNTIF(N$2:$N$938,N870)</f>
        <v>258</v>
      </c>
      <c r="AN870" t="str">
        <f>VLOOKUP(N870,'Helpful Tables'!A:D,4,FALSE)</f>
        <v>Oregon</v>
      </c>
      <c r="AO870" s="24">
        <f>COUNTIF(AN:AN,Table2[[#This Row],[State]])/COUNTA(AN:AN)</f>
        <v>0.36140724946695096</v>
      </c>
      <c r="AP870">
        <f>VLOOKUP(N870,'Helpful Tables'!A:B,2,FALSE)</f>
        <v>45.534162000000002</v>
      </c>
      <c r="AQ870">
        <f>VLOOKUP(N870,'Helpful Tables'!A:C,3,FALSE)</f>
        <v>-122.69670000000001</v>
      </c>
      <c r="AR870">
        <f>COUNTIF(P$2:$P$938,P870)</f>
        <v>16</v>
      </c>
      <c r="AS870" cm="1">
        <f t="array" ref="AS870">_xlfn.IFS(E870&lt;6,((E870/D870)*60)*0.5,AND(E870&gt;=6,E870&lt;9),((E870/D870)*60)*0.75,AND(E870&gt;=9,E870&lt;=11),((E870/D870)*60)*0.9,AND(E870=12),((E870/D870)*60)*1,AND(E870&gt;=13,E870&lt;=15),((E870/D870)*60)*1.2,AND(E870&gt;=16,E870&lt;=19),((E870/D870)*60)*1.5,E870&gt;=20,((E870/D870)*60)*1.8)</f>
        <v>12.203389830508476</v>
      </c>
      <c r="AT870" cm="1">
        <f t="array" ref="AT870">_xlfn.IFS(F870&lt;550,((F870/D870)*60)*0.5,AND(F870&gt;=550,F870&lt;575),((F870/D870)*60)*0.75,AND(F870&gt;=575,F870&lt;600),((F870/D870)*60)*0.9,AND(F870=600),((F870/D870)*60)*1,AND(F870&gt;=601,F870&lt;=625),((F870/D870)*60)*1.2,AND(F870&gt;=626,F870&lt;=650),((F870/D870)*60)*1.5,F870&gt;=651,((F870/D870)*60)*1.8)</f>
        <v>531.76271186440681</v>
      </c>
      <c r="AU870">
        <f t="shared" si="266"/>
        <v>-10.700000000000003</v>
      </c>
      <c r="AV870">
        <f t="shared" si="274"/>
        <v>215.44644067796617</v>
      </c>
      <c r="AW870">
        <f t="shared" si="267"/>
        <v>15.4</v>
      </c>
      <c r="AX870" t="str">
        <f t="shared" si="240"/>
        <v>Oct-2025</v>
      </c>
      <c r="AY870">
        <f>ROUNDUP(Table2[[#This Row],[Month]]/3,0)</f>
        <v>4</v>
      </c>
    </row>
    <row r="871" spans="1:51" x14ac:dyDescent="0.2">
      <c r="A871">
        <v>870</v>
      </c>
      <c r="B871">
        <f t="shared" si="230"/>
        <v>15</v>
      </c>
      <c r="C871" s="22">
        <v>45959</v>
      </c>
      <c r="D871">
        <f>SUM(Table2[[#This Row],[Gray Min]:[Red Min]])</f>
        <v>66</v>
      </c>
      <c r="E871">
        <v>16</v>
      </c>
      <c r="F871">
        <v>638</v>
      </c>
      <c r="G871">
        <v>118</v>
      </c>
      <c r="H871">
        <v>156</v>
      </c>
      <c r="I871">
        <v>27</v>
      </c>
      <c r="J871">
        <v>13</v>
      </c>
      <c r="K871">
        <v>10</v>
      </c>
      <c r="L871">
        <v>16</v>
      </c>
      <c r="M871">
        <v>0</v>
      </c>
      <c r="N871" t="s">
        <v>125</v>
      </c>
      <c r="O871" t="s">
        <v>127</v>
      </c>
      <c r="P871" t="s">
        <v>281</v>
      </c>
      <c r="Q871">
        <f t="shared" ref="Q871:Q876" si="275">C871-C870</f>
        <v>1</v>
      </c>
      <c r="R871" t="str">
        <f t="shared" ref="R871:R876" si="276">MONTH(C871)&amp;"-"&amp;YEAR(C871)</f>
        <v>10-2025</v>
      </c>
      <c r="S871" t="s">
        <v>104</v>
      </c>
      <c r="T871" t="str">
        <f t="shared" ref="T871:T876" si="277">IF(WEEKDAY(C871)=1,"Sunday",IF(WEEKDAY(C871)=2,"Monday",IF(WEEKDAY(C871)=3,"Tuesday",IF(WEEKDAY(C871)=4,"Wednesday",IF(WEEKDAY(C871)=5,"Thursday",IF(WEEKDAY(C871)=6,"Friday","Saturday"))))))</f>
        <v>Wednesday</v>
      </c>
      <c r="U871">
        <f t="shared" si="273"/>
        <v>1</v>
      </c>
      <c r="V871" s="24">
        <f>IFERROR(Table2[[#This Row],[Gray Min]]/Table2[[#This Row],[ClassLength]],"")</f>
        <v>0.40909090909090912</v>
      </c>
      <c r="W871" s="24">
        <f>IFERROR(Table2[[#This Row],[Blue Min]]/Table2[[#This Row],[ClassLength]],"")</f>
        <v>0.19696969696969696</v>
      </c>
      <c r="X871" s="24">
        <f>IFERROR(Table2[[#This Row],[Green Min]]/Table2[[#This Row],[ClassLength]],"")</f>
        <v>0.15151515151515152</v>
      </c>
      <c r="Y871" s="24">
        <f>IFERROR(Table2[[#This Row],[Orange Min]]/Table2[[#This Row],[ClassLength]],"")</f>
        <v>0.24242424242424243</v>
      </c>
      <c r="Z871" s="24">
        <f>IFERROR(Table2[[#This Row],[Red Min]]/Table2[[#This Row],[ClassLength]],"")</f>
        <v>0</v>
      </c>
      <c r="AA871" s="25">
        <v>139</v>
      </c>
      <c r="AB871" s="25">
        <f t="shared" si="255"/>
        <v>9.2666666666666675</v>
      </c>
      <c r="AC871" s="26">
        <f t="shared" si="233"/>
        <v>643.20000000000005</v>
      </c>
      <c r="AD871" s="26">
        <f t="shared" si="234"/>
        <v>15.2</v>
      </c>
      <c r="AE871">
        <f t="shared" si="235"/>
        <v>2025</v>
      </c>
      <c r="AG871">
        <v>12</v>
      </c>
      <c r="AH871" s="26">
        <f t="shared" si="236"/>
        <v>9.6666666666666661</v>
      </c>
      <c r="AI871" t="str">
        <f t="shared" si="237"/>
        <v>PM</v>
      </c>
      <c r="AJ871" t="str">
        <f t="shared" si="238"/>
        <v>10-2025-5</v>
      </c>
      <c r="AK871">
        <f t="shared" si="239"/>
        <v>10</v>
      </c>
      <c r="AL871" s="26">
        <f>IFERROR(Table2[[#This Row],[Calories]]/Table2[[#This Row],[Splat]],"")</f>
        <v>39.875</v>
      </c>
      <c r="AM871">
        <f>COUNTIF(N$2:$N$938,N871)</f>
        <v>258</v>
      </c>
      <c r="AN871" t="str">
        <f>VLOOKUP(N871,'Helpful Tables'!A:D,4,FALSE)</f>
        <v>Oregon</v>
      </c>
      <c r="AO871" s="24">
        <f>COUNTIF(AN:AN,Table2[[#This Row],[State]])/COUNTA(AN:AN)</f>
        <v>0.36140724946695096</v>
      </c>
      <c r="AP871">
        <f>VLOOKUP(N871,'Helpful Tables'!A:B,2,FALSE)</f>
        <v>45.534162000000002</v>
      </c>
      <c r="AQ871">
        <f>VLOOKUP(N871,'Helpful Tables'!A:C,3,FALSE)</f>
        <v>-122.69670000000001</v>
      </c>
      <c r="AR871">
        <f>COUNTIF(P$2:$P$938,P871)</f>
        <v>41</v>
      </c>
      <c r="AS871" cm="1">
        <f t="array" ref="AS871">_xlfn.IFS(E871&lt;6,((E871/D871)*60)*0.5,AND(E871&gt;=6,E871&lt;9),((E871/D871)*60)*0.75,AND(E871&gt;=9,E871&lt;=11),((E871/D871)*60)*0.9,AND(E871=12),((E871/D871)*60)*1,AND(E871&gt;=13,E871&lt;=15),((E871/D871)*60)*1.2,AND(E871&gt;=16,E871&lt;=19),((E871/D871)*60)*1.5,E871&gt;=20,((E871/D871)*60)*1.8)</f>
        <v>21.81818181818182</v>
      </c>
      <c r="AT871" cm="1">
        <f t="array" ref="AT871">_xlfn.IFS(F871&lt;550,((F871/D871)*60)*0.5,AND(F871&gt;=550,F871&lt;575),((F871/D871)*60)*0.75,AND(F871&gt;=575,F871&lt;600),((F871/D871)*60)*0.9,AND(F871=600),((F871/D871)*60)*1,AND(F871&gt;=601,F871&lt;=625),((F871/D871)*60)*1.2,AND(F871&gt;=626,F871&lt;=650),((F871/D871)*60)*1.5,F871&gt;=651,((F871/D871)*60)*1.8)</f>
        <v>870</v>
      </c>
      <c r="AU871">
        <f t="shared" si="266"/>
        <v>-13.900000000000002</v>
      </c>
      <c r="AV871">
        <f t="shared" si="274"/>
        <v>353.94727272727278</v>
      </c>
      <c r="AW871">
        <f t="shared" si="267"/>
        <v>42.6</v>
      </c>
      <c r="AX871" t="str">
        <f t="shared" si="240"/>
        <v>Oct-2025</v>
      </c>
      <c r="AY871">
        <f>ROUNDUP(Table2[[#This Row],[Month]]/3,0)</f>
        <v>4</v>
      </c>
    </row>
    <row r="872" spans="1:51" x14ac:dyDescent="0.2">
      <c r="A872">
        <v>871</v>
      </c>
      <c r="B872">
        <f t="shared" si="230"/>
        <v>15</v>
      </c>
      <c r="C872" s="22">
        <v>45961</v>
      </c>
      <c r="D872">
        <f>SUM(Table2[[#This Row],[Gray Min]:[Red Min]])</f>
        <v>59</v>
      </c>
      <c r="E872">
        <v>13</v>
      </c>
      <c r="F872">
        <v>570</v>
      </c>
      <c r="G872">
        <v>117</v>
      </c>
      <c r="H872">
        <v>157</v>
      </c>
      <c r="I872">
        <v>19</v>
      </c>
      <c r="J872">
        <v>17</v>
      </c>
      <c r="K872">
        <v>10</v>
      </c>
      <c r="L872">
        <v>13</v>
      </c>
      <c r="M872">
        <v>0</v>
      </c>
      <c r="N872" t="s">
        <v>125</v>
      </c>
      <c r="O872" t="s">
        <v>127</v>
      </c>
      <c r="P872" t="s">
        <v>281</v>
      </c>
      <c r="Q872">
        <f t="shared" si="275"/>
        <v>2</v>
      </c>
      <c r="R872" t="str">
        <f t="shared" si="276"/>
        <v>10-2025</v>
      </c>
      <c r="S872" t="s">
        <v>117</v>
      </c>
      <c r="T872" t="str">
        <f t="shared" si="277"/>
        <v>Friday</v>
      </c>
      <c r="U872">
        <f t="shared" si="273"/>
        <v>1</v>
      </c>
      <c r="V872" s="24">
        <f>IFERROR(Table2[[#This Row],[Gray Min]]/Table2[[#This Row],[ClassLength]],"")</f>
        <v>0.32203389830508472</v>
      </c>
      <c r="W872" s="24">
        <f>IFERROR(Table2[[#This Row],[Blue Min]]/Table2[[#This Row],[ClassLength]],"")</f>
        <v>0.28813559322033899</v>
      </c>
      <c r="X872" s="24">
        <f>IFERROR(Table2[[#This Row],[Green Min]]/Table2[[#This Row],[ClassLength]],"")</f>
        <v>0.16949152542372881</v>
      </c>
      <c r="Y872" s="24">
        <f>IFERROR(Table2[[#This Row],[Orange Min]]/Table2[[#This Row],[ClassLength]],"")</f>
        <v>0.22033898305084745</v>
      </c>
      <c r="Z872" s="24">
        <f>IFERROR(Table2[[#This Row],[Red Min]]/Table2[[#This Row],[ClassLength]],"")</f>
        <v>0</v>
      </c>
      <c r="AA872" s="25">
        <v>139</v>
      </c>
      <c r="AB872" s="25">
        <f t="shared" si="255"/>
        <v>9.2666666666666675</v>
      </c>
      <c r="AC872" s="26">
        <f t="shared" si="233"/>
        <v>643.20000000000005</v>
      </c>
      <c r="AD872" s="26">
        <f t="shared" si="234"/>
        <v>15.2</v>
      </c>
      <c r="AE872">
        <f t="shared" si="235"/>
        <v>2025</v>
      </c>
      <c r="AG872">
        <v>12</v>
      </c>
      <c r="AH872" s="26">
        <f t="shared" si="236"/>
        <v>9.6610169491525415</v>
      </c>
      <c r="AI872" t="str">
        <f t="shared" si="237"/>
        <v>PM</v>
      </c>
      <c r="AJ872" t="str">
        <f t="shared" si="238"/>
        <v>10-2025-5</v>
      </c>
      <c r="AK872">
        <f t="shared" si="239"/>
        <v>10</v>
      </c>
      <c r="AL872" s="26">
        <f>IFERROR(Table2[[#This Row],[Calories]]/Table2[[#This Row],[Splat]],"")</f>
        <v>43.846153846153847</v>
      </c>
      <c r="AM872">
        <f>COUNTIF(N$2:$N$938,N872)</f>
        <v>258</v>
      </c>
      <c r="AN872" t="str">
        <f>VLOOKUP(N872,'Helpful Tables'!A:D,4,FALSE)</f>
        <v>Oregon</v>
      </c>
      <c r="AO872" s="24">
        <f>COUNTIF(AN:AN,Table2[[#This Row],[State]])/COUNTA(AN:AN)</f>
        <v>0.36140724946695096</v>
      </c>
      <c r="AP872">
        <f>VLOOKUP(N872,'Helpful Tables'!A:B,2,FALSE)</f>
        <v>45.534162000000002</v>
      </c>
      <c r="AQ872">
        <f>VLOOKUP(N872,'Helpful Tables'!A:C,3,FALSE)</f>
        <v>-122.69670000000001</v>
      </c>
      <c r="AR872">
        <f>COUNTIF(P$2:$P$938,P872)</f>
        <v>41</v>
      </c>
      <c r="AS872" cm="1">
        <f t="array" ref="AS872">_xlfn.IFS(E872&lt;6,((E872/D872)*60)*0.5,AND(E872&gt;=6,E872&lt;9),((E872/D872)*60)*0.75,AND(E872&gt;=9,E872&lt;=11),((E872/D872)*60)*0.9,AND(E872=12),((E872/D872)*60)*1,AND(E872&gt;=13,E872&lt;=15),((E872/D872)*60)*1.2,AND(E872&gt;=16,E872&lt;=19),((E872/D872)*60)*1.5,E872&gt;=20,((E872/D872)*60)*1.8)</f>
        <v>15.864406779661017</v>
      </c>
      <c r="AT872" cm="1">
        <f t="array" ref="AT872">_xlfn.IFS(F872&lt;550,((F872/D872)*60)*0.5,AND(F872&gt;=550,F872&lt;575),((F872/D872)*60)*0.75,AND(F872&gt;=575,F872&lt;600),((F872/D872)*60)*0.9,AND(F872=600),((F872/D872)*60)*1,AND(F872&gt;=601,F872&lt;=625),((F872/D872)*60)*1.2,AND(F872&gt;=626,F872&lt;=650),((F872/D872)*60)*1.5,F872&gt;=651,((F872/D872)*60)*1.8)</f>
        <v>434.74576271186436</v>
      </c>
      <c r="AU872">
        <f t="shared" si="266"/>
        <v>-12.599999999999998</v>
      </c>
      <c r="AV872">
        <f t="shared" si="274"/>
        <v>177.72406779661014</v>
      </c>
      <c r="AW872">
        <f t="shared" si="267"/>
        <v>10</v>
      </c>
      <c r="AX872" t="str">
        <f t="shared" si="240"/>
        <v>Oct-2025</v>
      </c>
      <c r="AY872">
        <f>ROUNDUP(Table2[[#This Row],[Month]]/3,0)</f>
        <v>4</v>
      </c>
    </row>
    <row r="873" spans="1:51" x14ac:dyDescent="0.2">
      <c r="A873">
        <v>872</v>
      </c>
      <c r="B873">
        <f t="shared" si="230"/>
        <v>12</v>
      </c>
      <c r="C873" s="22">
        <v>45963</v>
      </c>
      <c r="D873">
        <f>SUM(Table2[[#This Row],[Gray Min]:[Red Min]])</f>
        <v>59</v>
      </c>
      <c r="E873">
        <v>13</v>
      </c>
      <c r="F873">
        <v>636</v>
      </c>
      <c r="G873">
        <v>125</v>
      </c>
      <c r="H873">
        <v>167</v>
      </c>
      <c r="I873">
        <v>15</v>
      </c>
      <c r="J873">
        <v>14</v>
      </c>
      <c r="K873">
        <v>17</v>
      </c>
      <c r="L873">
        <v>11</v>
      </c>
      <c r="M873">
        <v>2</v>
      </c>
      <c r="N873" t="s">
        <v>208</v>
      </c>
      <c r="O873" t="s">
        <v>76</v>
      </c>
      <c r="P873" t="s">
        <v>219</v>
      </c>
      <c r="Q873">
        <f t="shared" si="275"/>
        <v>2</v>
      </c>
      <c r="R873" t="str">
        <f t="shared" si="276"/>
        <v>11-2025</v>
      </c>
      <c r="S873" t="s">
        <v>104</v>
      </c>
      <c r="T873" t="str">
        <f t="shared" si="277"/>
        <v>Sunday</v>
      </c>
      <c r="U873">
        <f t="shared" si="273"/>
        <v>1</v>
      </c>
      <c r="V873" s="24">
        <f>IFERROR(Table2[[#This Row],[Gray Min]]/Table2[[#This Row],[ClassLength]],"")</f>
        <v>0.25423728813559321</v>
      </c>
      <c r="W873" s="24">
        <f>IFERROR(Table2[[#This Row],[Blue Min]]/Table2[[#This Row],[ClassLength]],"")</f>
        <v>0.23728813559322035</v>
      </c>
      <c r="X873" s="24">
        <f>IFERROR(Table2[[#This Row],[Green Min]]/Table2[[#This Row],[ClassLength]],"")</f>
        <v>0.28813559322033899</v>
      </c>
      <c r="Y873" s="24">
        <f>IFERROR(Table2[[#This Row],[Orange Min]]/Table2[[#This Row],[ClassLength]],"")</f>
        <v>0.1864406779661017</v>
      </c>
      <c r="Z873" s="24">
        <f>IFERROR(Table2[[#This Row],[Red Min]]/Table2[[#This Row],[ClassLength]],"")</f>
        <v>3.3898305084745763E-2</v>
      </c>
      <c r="AA873" s="25">
        <v>139</v>
      </c>
      <c r="AB873" s="25">
        <f t="shared" si="255"/>
        <v>11.583333333333334</v>
      </c>
      <c r="AC873" s="26">
        <f t="shared" si="233"/>
        <v>624.25</v>
      </c>
      <c r="AD873" s="26">
        <f t="shared" si="234"/>
        <v>13.916666666666666</v>
      </c>
      <c r="AE873">
        <f t="shared" si="235"/>
        <v>2025</v>
      </c>
      <c r="AG873">
        <v>12</v>
      </c>
      <c r="AH873" s="26">
        <f t="shared" si="236"/>
        <v>10.779661016949152</v>
      </c>
      <c r="AI873" t="str">
        <f t="shared" si="237"/>
        <v>AM</v>
      </c>
      <c r="AJ873" t="str">
        <f t="shared" si="238"/>
        <v>11-2025-2</v>
      </c>
      <c r="AK873">
        <f t="shared" si="239"/>
        <v>11</v>
      </c>
      <c r="AL873" s="26">
        <f>IFERROR(Table2[[#This Row],[Calories]]/Table2[[#This Row],[Splat]],"")</f>
        <v>48.92307692307692</v>
      </c>
      <c r="AM873">
        <f>COUNTIF(N$2:$N$938,N873)</f>
        <v>78</v>
      </c>
      <c r="AN873" t="str">
        <f>VLOOKUP(N873,'Helpful Tables'!A:D,4,FALSE)</f>
        <v>Oregon</v>
      </c>
      <c r="AO873" s="24">
        <f>COUNTIF(AN:AN,Table2[[#This Row],[State]])/COUNTA(AN:AN)</f>
        <v>0.36140724946695096</v>
      </c>
      <c r="AP873">
        <f>VLOOKUP(N873,'Helpful Tables'!A:B,2,FALSE)</f>
        <v>45.525092999999998</v>
      </c>
      <c r="AQ873">
        <f>VLOOKUP(N873,'Helpful Tables'!A:C,3,FALSE)</f>
        <v>-122.681383</v>
      </c>
      <c r="AR873">
        <f>COUNTIF(P$2:$P$938,P873)</f>
        <v>3</v>
      </c>
      <c r="AS873" cm="1">
        <f t="array" ref="AS873">_xlfn.IFS(E873&lt;6,((E873/D873)*60)*0.5,AND(E873&gt;=6,E873&lt;9),((E873/D873)*60)*0.75,AND(E873&gt;=9,E873&lt;=11),((E873/D873)*60)*0.9,AND(E873=12),((E873/D873)*60)*1,AND(E873&gt;=13,E873&lt;=15),((E873/D873)*60)*1.2,AND(E873&gt;=16,E873&lt;=19),((E873/D873)*60)*1.5,E873&gt;=20,((E873/D873)*60)*1.8)</f>
        <v>15.864406779661017</v>
      </c>
      <c r="AT873" cm="1">
        <f t="array" ref="AT873">_xlfn.IFS(F873&lt;550,((F873/D873)*60)*0.5,AND(F873&gt;=550,F873&lt;575),((F873/D873)*60)*0.75,AND(F873&gt;=575,F873&lt;600),((F873/D873)*60)*0.9,AND(F873=600),((F873/D873)*60)*1,AND(F873&gt;=601,F873&lt;=625),((F873/D873)*60)*1.2,AND(F873&gt;=626,F873&lt;=650),((F873/D873)*60)*1.5,F873&gt;=651,((F873/D873)*60)*1.8)</f>
        <v>970.16949152542372</v>
      </c>
      <c r="AU873">
        <f t="shared" si="266"/>
        <v>4.2999999999999936</v>
      </c>
      <c r="AV873">
        <f t="shared" si="274"/>
        <v>395.27355932203392</v>
      </c>
      <c r="AW873">
        <f t="shared" si="267"/>
        <v>50.5</v>
      </c>
      <c r="AX873" t="str">
        <f t="shared" si="240"/>
        <v>Nov-2025</v>
      </c>
      <c r="AY873">
        <f>ROUNDUP(Table2[[#This Row],[Month]]/3,0)</f>
        <v>4</v>
      </c>
    </row>
    <row r="874" spans="1:51" x14ac:dyDescent="0.2">
      <c r="A874">
        <v>873</v>
      </c>
      <c r="B874">
        <f t="shared" si="230"/>
        <v>12</v>
      </c>
      <c r="C874" s="22">
        <v>45964</v>
      </c>
      <c r="D874">
        <f>SUM(Table2[[#This Row],[Gray Min]:[Red Min]])</f>
        <v>61</v>
      </c>
      <c r="E874">
        <v>12</v>
      </c>
      <c r="F874">
        <v>635</v>
      </c>
      <c r="G874">
        <v>122</v>
      </c>
      <c r="H874">
        <v>165</v>
      </c>
      <c r="I874">
        <v>16</v>
      </c>
      <c r="J874">
        <v>19</v>
      </c>
      <c r="K874">
        <v>14</v>
      </c>
      <c r="L874">
        <v>11</v>
      </c>
      <c r="M874">
        <v>1</v>
      </c>
      <c r="N874" t="s">
        <v>125</v>
      </c>
      <c r="O874" t="s">
        <v>127</v>
      </c>
      <c r="P874" t="s">
        <v>238</v>
      </c>
      <c r="Q874">
        <f t="shared" si="275"/>
        <v>1</v>
      </c>
      <c r="R874" t="str">
        <f t="shared" si="276"/>
        <v>11-2025</v>
      </c>
      <c r="S874" t="s">
        <v>104</v>
      </c>
      <c r="T874" t="str">
        <f t="shared" si="277"/>
        <v>Monday</v>
      </c>
      <c r="U874">
        <f t="shared" si="273"/>
        <v>1</v>
      </c>
      <c r="V874" s="24">
        <f>IFERROR(Table2[[#This Row],[Gray Min]]/Table2[[#This Row],[ClassLength]],"")</f>
        <v>0.26229508196721313</v>
      </c>
      <c r="W874" s="24">
        <f>IFERROR(Table2[[#This Row],[Blue Min]]/Table2[[#This Row],[ClassLength]],"")</f>
        <v>0.31147540983606559</v>
      </c>
      <c r="X874" s="24">
        <f>IFERROR(Table2[[#This Row],[Green Min]]/Table2[[#This Row],[ClassLength]],"")</f>
        <v>0.22950819672131148</v>
      </c>
      <c r="Y874" s="24">
        <f>IFERROR(Table2[[#This Row],[Orange Min]]/Table2[[#This Row],[ClassLength]],"")</f>
        <v>0.18032786885245902</v>
      </c>
      <c r="Z874" s="24">
        <f>IFERROR(Table2[[#This Row],[Red Min]]/Table2[[#This Row],[ClassLength]],"")</f>
        <v>1.6393442622950821E-2</v>
      </c>
      <c r="AA874" s="25">
        <v>139</v>
      </c>
      <c r="AB874" s="25">
        <f t="shared" si="255"/>
        <v>11.583333333333334</v>
      </c>
      <c r="AC874" s="26">
        <f t="shared" si="233"/>
        <v>624.25</v>
      </c>
      <c r="AD874" s="26">
        <f t="shared" si="234"/>
        <v>13.916666666666666</v>
      </c>
      <c r="AE874">
        <f t="shared" si="235"/>
        <v>2025</v>
      </c>
      <c r="AG874">
        <v>12</v>
      </c>
      <c r="AH874" s="26">
        <f t="shared" si="236"/>
        <v>10.409836065573771</v>
      </c>
      <c r="AI874" t="str">
        <f t="shared" si="237"/>
        <v>PM</v>
      </c>
      <c r="AJ874" t="str">
        <f t="shared" si="238"/>
        <v>11-2025-2</v>
      </c>
      <c r="AK874">
        <f t="shared" si="239"/>
        <v>11</v>
      </c>
      <c r="AL874" s="26">
        <f>IFERROR(Table2[[#This Row],[Calories]]/Table2[[#This Row],[Splat]],"")</f>
        <v>52.916666666666664</v>
      </c>
      <c r="AM874">
        <f>COUNTIF(N$2:$N$938,N874)</f>
        <v>258</v>
      </c>
      <c r="AN874" t="str">
        <f>VLOOKUP(N874,'Helpful Tables'!A:D,4,FALSE)</f>
        <v>Oregon</v>
      </c>
      <c r="AO874" s="24">
        <f>COUNTIF(AN:AN,Table2[[#This Row],[State]])/COUNTA(AN:AN)</f>
        <v>0.36140724946695096</v>
      </c>
      <c r="AP874">
        <f>VLOOKUP(N874,'Helpful Tables'!A:B,2,FALSE)</f>
        <v>45.534162000000002</v>
      </c>
      <c r="AQ874">
        <f>VLOOKUP(N874,'Helpful Tables'!A:C,3,FALSE)</f>
        <v>-122.69670000000001</v>
      </c>
      <c r="AR874">
        <f>COUNTIF(P$2:$P$938,P874)</f>
        <v>25</v>
      </c>
      <c r="AS874" cm="1">
        <f t="array" ref="AS874">_xlfn.IFS(E874&lt;6,((E874/D874)*60)*0.5,AND(E874&gt;=6,E874&lt;9),((E874/D874)*60)*0.75,AND(E874&gt;=9,E874&lt;=11),((E874/D874)*60)*0.9,AND(E874=12),((E874/D874)*60)*1,AND(E874&gt;=13,E874&lt;=15),((E874/D874)*60)*1.2,AND(E874&gt;=16,E874&lt;=19),((E874/D874)*60)*1.5,E874&gt;=20,((E874/D874)*60)*1.8)</f>
        <v>11.803278688524589</v>
      </c>
      <c r="AT874" cm="1">
        <f t="array" ref="AT874">_xlfn.IFS(F874&lt;550,((F874/D874)*60)*0.5,AND(F874&gt;=550,F874&lt;575),((F874/D874)*60)*0.75,AND(F874&gt;=575,F874&lt;600),((F874/D874)*60)*0.9,AND(F874=600),((F874/D874)*60)*1,AND(F874&gt;=601,F874&lt;=625),((F874/D874)*60)*1.2,AND(F874&gt;=626,F874&lt;=650),((F874/D874)*60)*1.5,F874&gt;=651,((F874/D874)*60)*1.8)</f>
        <v>936.88524590163945</v>
      </c>
      <c r="AU874">
        <f t="shared" si="266"/>
        <v>-7.5</v>
      </c>
      <c r="AV874">
        <f t="shared" si="274"/>
        <v>377.97540983606564</v>
      </c>
      <c r="AW874">
        <f t="shared" si="267"/>
        <v>44.5</v>
      </c>
      <c r="AX874" t="str">
        <f t="shared" si="240"/>
        <v>Nov-2025</v>
      </c>
      <c r="AY874">
        <f>ROUNDUP(Table2[[#This Row],[Month]]/3,0)</f>
        <v>4</v>
      </c>
    </row>
    <row r="875" spans="1:51" x14ac:dyDescent="0.2">
      <c r="A875">
        <v>874</v>
      </c>
      <c r="B875">
        <f t="shared" si="230"/>
        <v>12</v>
      </c>
      <c r="C875" s="22">
        <v>45967</v>
      </c>
      <c r="D875">
        <f>SUM(Table2[[#This Row],[Gray Min]:[Red Min]])</f>
        <v>62</v>
      </c>
      <c r="E875">
        <v>14</v>
      </c>
      <c r="F875">
        <v>643</v>
      </c>
      <c r="G875">
        <v>121</v>
      </c>
      <c r="H875">
        <v>160</v>
      </c>
      <c r="I875">
        <v>22</v>
      </c>
      <c r="J875">
        <v>11</v>
      </c>
      <c r="K875">
        <v>15</v>
      </c>
      <c r="L875">
        <v>14</v>
      </c>
      <c r="M875">
        <v>0</v>
      </c>
      <c r="N875" t="s">
        <v>125</v>
      </c>
      <c r="O875" t="s">
        <v>127</v>
      </c>
      <c r="P875" t="s">
        <v>281</v>
      </c>
      <c r="Q875">
        <f t="shared" si="275"/>
        <v>3</v>
      </c>
      <c r="R875" t="str">
        <f t="shared" si="276"/>
        <v>11-2025</v>
      </c>
      <c r="S875" t="s">
        <v>104</v>
      </c>
      <c r="T875" t="str">
        <f t="shared" si="277"/>
        <v>Thursday</v>
      </c>
      <c r="U875">
        <f t="shared" ref="U875:U880" si="278">IF(E875&gt;=12,1,0)</f>
        <v>1</v>
      </c>
      <c r="V875" s="24">
        <f>IFERROR(Table2[[#This Row],[Gray Min]]/Table2[[#This Row],[ClassLength]],"")</f>
        <v>0.35483870967741937</v>
      </c>
      <c r="W875" s="24">
        <f>IFERROR(Table2[[#This Row],[Blue Min]]/Table2[[#This Row],[ClassLength]],"")</f>
        <v>0.17741935483870969</v>
      </c>
      <c r="X875" s="24">
        <f>IFERROR(Table2[[#This Row],[Green Min]]/Table2[[#This Row],[ClassLength]],"")</f>
        <v>0.24193548387096775</v>
      </c>
      <c r="Y875" s="24">
        <f>IFERROR(Table2[[#This Row],[Orange Min]]/Table2[[#This Row],[ClassLength]],"")</f>
        <v>0.22580645161290322</v>
      </c>
      <c r="Z875" s="24">
        <f>IFERROR(Table2[[#This Row],[Red Min]]/Table2[[#This Row],[ClassLength]],"")</f>
        <v>0</v>
      </c>
      <c r="AA875" s="25">
        <v>139</v>
      </c>
      <c r="AB875" s="25">
        <f t="shared" si="255"/>
        <v>11.583333333333334</v>
      </c>
      <c r="AC875" s="26">
        <f t="shared" si="233"/>
        <v>624.25</v>
      </c>
      <c r="AD875" s="26">
        <f t="shared" si="234"/>
        <v>13.916666666666666</v>
      </c>
      <c r="AE875">
        <f t="shared" si="235"/>
        <v>2025</v>
      </c>
      <c r="AG875">
        <v>12</v>
      </c>
      <c r="AH875" s="26">
        <f t="shared" si="236"/>
        <v>10.370967741935484</v>
      </c>
      <c r="AI875" t="str">
        <f t="shared" si="237"/>
        <v>PM</v>
      </c>
      <c r="AJ875" t="str">
        <f t="shared" si="238"/>
        <v>11-2025-2</v>
      </c>
      <c r="AK875">
        <f t="shared" si="239"/>
        <v>11</v>
      </c>
      <c r="AL875" s="26">
        <f>IFERROR(Table2[[#This Row],[Calories]]/Table2[[#This Row],[Splat]],"")</f>
        <v>45.928571428571431</v>
      </c>
      <c r="AM875">
        <f>COUNTIF(N$2:$N$938,N875)</f>
        <v>258</v>
      </c>
      <c r="AN875" t="str">
        <f>VLOOKUP(N875,'Helpful Tables'!A:D,4,FALSE)</f>
        <v>Oregon</v>
      </c>
      <c r="AO875" s="24">
        <f>COUNTIF(AN:AN,Table2[[#This Row],[State]])/COUNTA(AN:AN)</f>
        <v>0.36140724946695096</v>
      </c>
      <c r="AP875">
        <f>VLOOKUP(N875,'Helpful Tables'!A:B,2,FALSE)</f>
        <v>45.534162000000002</v>
      </c>
      <c r="AQ875">
        <f>VLOOKUP(N875,'Helpful Tables'!A:C,3,FALSE)</f>
        <v>-122.69670000000001</v>
      </c>
      <c r="AR875">
        <f>COUNTIF(P$2:$P$938,P875)</f>
        <v>41</v>
      </c>
      <c r="AS875" cm="1">
        <f t="array" ref="AS875">_xlfn.IFS(E875&lt;6,((E875/D875)*60)*0.5,AND(E875&gt;=6,E875&lt;9),((E875/D875)*60)*0.75,AND(E875&gt;=9,E875&lt;=11),((E875/D875)*60)*0.9,AND(E875=12),((E875/D875)*60)*1,AND(E875&gt;=13,E875&lt;=15),((E875/D875)*60)*1.2,AND(E875&gt;=16,E875&lt;=19),((E875/D875)*60)*1.5,E875&gt;=20,((E875/D875)*60)*1.8)</f>
        <v>16.258064516129032</v>
      </c>
      <c r="AT875" cm="1">
        <f t="array" ref="AT875">_xlfn.IFS(F875&lt;550,((F875/D875)*60)*0.5,AND(F875&gt;=550,F875&lt;575),((F875/D875)*60)*0.75,AND(F875&gt;=575,F875&lt;600),((F875/D875)*60)*0.9,AND(F875=600),((F875/D875)*60)*1,AND(F875&gt;=601,F875&lt;=625),((F875/D875)*60)*1.2,AND(F875&gt;=626,F875&lt;=650),((F875/D875)*60)*1.5,F875&gt;=651,((F875/D875)*60)*1.8)</f>
        <v>933.38709677419354</v>
      </c>
      <c r="AU875">
        <f t="shared" si="266"/>
        <v>-2.3000000000000007</v>
      </c>
      <c r="AV875">
        <f t="shared" ref="AV875:AV880" si="279">(AS875*0.4)+(AT875*0.4)+(AU875*0.2)</f>
        <v>379.39806451612907</v>
      </c>
      <c r="AW875">
        <f t="shared" si="267"/>
        <v>45.1</v>
      </c>
      <c r="AX875" t="str">
        <f t="shared" si="240"/>
        <v>Nov-2025</v>
      </c>
      <c r="AY875">
        <f>ROUNDUP(Table2[[#This Row],[Month]]/3,0)</f>
        <v>4</v>
      </c>
    </row>
    <row r="876" spans="1:51" x14ac:dyDescent="0.2">
      <c r="A876">
        <v>875</v>
      </c>
      <c r="B876">
        <f t="shared" si="230"/>
        <v>12</v>
      </c>
      <c r="C876" s="22">
        <v>45969</v>
      </c>
      <c r="D876">
        <f>SUM(Table2[[#This Row],[Gray Min]:[Red Min]])</f>
        <v>58</v>
      </c>
      <c r="E876">
        <v>19</v>
      </c>
      <c r="F876">
        <v>659</v>
      </c>
      <c r="G876">
        <v>128</v>
      </c>
      <c r="H876">
        <v>166</v>
      </c>
      <c r="I876">
        <v>14</v>
      </c>
      <c r="J876">
        <v>14</v>
      </c>
      <c r="K876">
        <v>11</v>
      </c>
      <c r="L876">
        <v>17</v>
      </c>
      <c r="M876">
        <v>2</v>
      </c>
      <c r="N876" t="s">
        <v>208</v>
      </c>
      <c r="O876" t="s">
        <v>76</v>
      </c>
      <c r="P876" t="s">
        <v>213</v>
      </c>
      <c r="Q876">
        <f t="shared" si="275"/>
        <v>2</v>
      </c>
      <c r="R876" t="str">
        <f t="shared" si="276"/>
        <v>11-2025</v>
      </c>
      <c r="S876" t="s">
        <v>104</v>
      </c>
      <c r="T876" t="str">
        <f t="shared" si="277"/>
        <v>Saturday</v>
      </c>
      <c r="U876">
        <f t="shared" si="278"/>
        <v>1</v>
      </c>
      <c r="V876" s="24">
        <f>IFERROR(Table2[[#This Row],[Gray Min]]/Table2[[#This Row],[ClassLength]],"")</f>
        <v>0.2413793103448276</v>
      </c>
      <c r="W876" s="24">
        <f>IFERROR(Table2[[#This Row],[Blue Min]]/Table2[[#This Row],[ClassLength]],"")</f>
        <v>0.2413793103448276</v>
      </c>
      <c r="X876" s="24">
        <f>IFERROR(Table2[[#This Row],[Green Min]]/Table2[[#This Row],[ClassLength]],"")</f>
        <v>0.18965517241379309</v>
      </c>
      <c r="Y876" s="24">
        <f>IFERROR(Table2[[#This Row],[Orange Min]]/Table2[[#This Row],[ClassLength]],"")</f>
        <v>0.29310344827586204</v>
      </c>
      <c r="Z876" s="24">
        <f>IFERROR(Table2[[#This Row],[Red Min]]/Table2[[#This Row],[ClassLength]],"")</f>
        <v>3.4482758620689655E-2</v>
      </c>
      <c r="AA876" s="25">
        <v>139</v>
      </c>
      <c r="AB876" s="25">
        <f t="shared" si="255"/>
        <v>11.583333333333334</v>
      </c>
      <c r="AC876" s="26">
        <f t="shared" si="233"/>
        <v>624.25</v>
      </c>
      <c r="AD876" s="26">
        <f t="shared" si="234"/>
        <v>13.916666666666666</v>
      </c>
      <c r="AE876">
        <f t="shared" si="235"/>
        <v>2025</v>
      </c>
      <c r="AG876">
        <v>12</v>
      </c>
      <c r="AH876" s="26">
        <f t="shared" si="236"/>
        <v>11.362068965517242</v>
      </c>
      <c r="AI876" t="str">
        <f t="shared" si="237"/>
        <v>AM</v>
      </c>
      <c r="AJ876" t="str">
        <f t="shared" si="238"/>
        <v>11-2025-2</v>
      </c>
      <c r="AK876">
        <f t="shared" si="239"/>
        <v>11</v>
      </c>
      <c r="AL876" s="26">
        <f>IFERROR(Table2[[#This Row],[Calories]]/Table2[[#This Row],[Splat]],"")</f>
        <v>34.684210526315788</v>
      </c>
      <c r="AM876">
        <f>COUNTIF(N$2:$N$938,N876)</f>
        <v>78</v>
      </c>
      <c r="AN876" t="str">
        <f>VLOOKUP(N876,'Helpful Tables'!A:D,4,FALSE)</f>
        <v>Oregon</v>
      </c>
      <c r="AO876" s="24">
        <f>COUNTIF(AN:AN,Table2[[#This Row],[State]])/COUNTA(AN:AN)</f>
        <v>0.36140724946695096</v>
      </c>
      <c r="AP876">
        <f>VLOOKUP(N876,'Helpful Tables'!A:B,2,FALSE)</f>
        <v>45.525092999999998</v>
      </c>
      <c r="AQ876">
        <f>VLOOKUP(N876,'Helpful Tables'!A:C,3,FALSE)</f>
        <v>-122.681383</v>
      </c>
      <c r="AR876">
        <f>COUNTIF(P$2:$P$938,P876)</f>
        <v>40</v>
      </c>
      <c r="AS876" cm="1">
        <f t="array" ref="AS876">_xlfn.IFS(E876&lt;6,((E876/D876)*60)*0.5,AND(E876&gt;=6,E876&lt;9),((E876/D876)*60)*0.75,AND(E876&gt;=9,E876&lt;=11),((E876/D876)*60)*0.9,AND(E876=12),((E876/D876)*60)*1,AND(E876&gt;=13,E876&lt;=15),((E876/D876)*60)*1.2,AND(E876&gt;=16,E876&lt;=19),((E876/D876)*60)*1.5,E876&gt;=20,((E876/D876)*60)*1.8)</f>
        <v>29.482758620689655</v>
      </c>
      <c r="AT876" cm="1">
        <f t="array" ref="AT876">_xlfn.IFS(F876&lt;550,((F876/D876)*60)*0.5,AND(F876&gt;=550,F876&lt;575),((F876/D876)*60)*0.75,AND(F876&gt;=575,F876&lt;600),((F876/D876)*60)*0.9,AND(F876=600),((F876/D876)*60)*1,AND(F876&gt;=601,F876&lt;=625),((F876/D876)*60)*1.2,AND(F876&gt;=626,F876&lt;=650),((F876/D876)*60)*1.5,F876&gt;=651,((F876/D876)*60)*1.8)</f>
        <v>1227.1034482758621</v>
      </c>
      <c r="AU876">
        <f t="shared" si="266"/>
        <v>6.0999999999999979</v>
      </c>
      <c r="AV876">
        <f t="shared" si="279"/>
        <v>503.85448275862075</v>
      </c>
      <c r="AW876">
        <f t="shared" si="267"/>
        <v>81.399999999999991</v>
      </c>
      <c r="AX876" t="str">
        <f t="shared" si="240"/>
        <v>Nov-2025</v>
      </c>
      <c r="AY876">
        <f>ROUNDUP(Table2[[#This Row],[Month]]/3,0)</f>
        <v>4</v>
      </c>
    </row>
    <row r="877" spans="1:51" x14ac:dyDescent="0.2">
      <c r="A877">
        <v>876</v>
      </c>
      <c r="B877">
        <f t="shared" si="230"/>
        <v>12</v>
      </c>
      <c r="C877" s="22">
        <v>45972</v>
      </c>
      <c r="D877">
        <f>SUM(Table2[[#This Row],[Gray Min]:[Red Min]])</f>
        <v>60</v>
      </c>
      <c r="E877">
        <v>15</v>
      </c>
      <c r="F877">
        <v>645</v>
      </c>
      <c r="G877">
        <v>123</v>
      </c>
      <c r="H877">
        <v>167</v>
      </c>
      <c r="I877">
        <v>19</v>
      </c>
      <c r="J877">
        <v>14</v>
      </c>
      <c r="K877">
        <v>12</v>
      </c>
      <c r="L877">
        <v>13</v>
      </c>
      <c r="M877">
        <v>2</v>
      </c>
      <c r="N877" t="s">
        <v>125</v>
      </c>
      <c r="O877" t="s">
        <v>113</v>
      </c>
      <c r="P877" t="s">
        <v>238</v>
      </c>
      <c r="Q877">
        <f t="shared" ref="Q877:Q882" si="280">C877-C876</f>
        <v>3</v>
      </c>
      <c r="R877" t="str">
        <f t="shared" ref="R877:R882" si="281">MONTH(C877)&amp;"-"&amp;YEAR(C877)</f>
        <v>11-2025</v>
      </c>
      <c r="S877" t="s">
        <v>104</v>
      </c>
      <c r="T877" t="str">
        <f t="shared" ref="T877:T882" si="282">IF(WEEKDAY(C877)=1,"Sunday",IF(WEEKDAY(C877)=2,"Monday",IF(WEEKDAY(C877)=3,"Tuesday",IF(WEEKDAY(C877)=4,"Wednesday",IF(WEEKDAY(C877)=5,"Thursday",IF(WEEKDAY(C877)=6,"Friday","Saturday"))))))</f>
        <v>Tuesday</v>
      </c>
      <c r="U877">
        <f t="shared" si="278"/>
        <v>1</v>
      </c>
      <c r="V877" s="24">
        <f>IFERROR(Table2[[#This Row],[Gray Min]]/Table2[[#This Row],[ClassLength]],"")</f>
        <v>0.31666666666666665</v>
      </c>
      <c r="W877" s="24">
        <f>IFERROR(Table2[[#This Row],[Blue Min]]/Table2[[#This Row],[ClassLength]],"")</f>
        <v>0.23333333333333334</v>
      </c>
      <c r="X877" s="24">
        <f>IFERROR(Table2[[#This Row],[Green Min]]/Table2[[#This Row],[ClassLength]],"")</f>
        <v>0.2</v>
      </c>
      <c r="Y877" s="24">
        <f>IFERROR(Table2[[#This Row],[Orange Min]]/Table2[[#This Row],[ClassLength]],"")</f>
        <v>0.21666666666666667</v>
      </c>
      <c r="Z877" s="24">
        <f>IFERROR(Table2[[#This Row],[Red Min]]/Table2[[#This Row],[ClassLength]],"")</f>
        <v>3.3333333333333333E-2</v>
      </c>
      <c r="AA877" s="25">
        <v>139</v>
      </c>
      <c r="AB877" s="25">
        <f t="shared" si="255"/>
        <v>11.583333333333334</v>
      </c>
      <c r="AC877" s="26">
        <f t="shared" si="233"/>
        <v>624.25</v>
      </c>
      <c r="AD877" s="26">
        <f t="shared" si="234"/>
        <v>13.916666666666666</v>
      </c>
      <c r="AE877">
        <f t="shared" si="235"/>
        <v>2025</v>
      </c>
      <c r="AG877">
        <v>12</v>
      </c>
      <c r="AH877" s="26">
        <f t="shared" si="236"/>
        <v>10.75</v>
      </c>
      <c r="AI877" t="str">
        <f t="shared" si="237"/>
        <v>AM</v>
      </c>
      <c r="AJ877" t="str">
        <f t="shared" si="238"/>
        <v>11-2025-3</v>
      </c>
      <c r="AK877">
        <f t="shared" si="239"/>
        <v>11</v>
      </c>
      <c r="AL877" s="26">
        <f>IFERROR(Table2[[#This Row],[Calories]]/Table2[[#This Row],[Splat]],"")</f>
        <v>43</v>
      </c>
      <c r="AM877">
        <f>COUNTIF(N$2:$N$938,N877)</f>
        <v>258</v>
      </c>
      <c r="AN877" t="str">
        <f>VLOOKUP(N877,'Helpful Tables'!A:D,4,FALSE)</f>
        <v>Oregon</v>
      </c>
      <c r="AO877" s="24">
        <f>COUNTIF(AN:AN,Table2[[#This Row],[State]])/COUNTA(AN:AN)</f>
        <v>0.36140724946695096</v>
      </c>
      <c r="AP877">
        <f>VLOOKUP(N877,'Helpful Tables'!A:B,2,FALSE)</f>
        <v>45.534162000000002</v>
      </c>
      <c r="AQ877">
        <f>VLOOKUP(N877,'Helpful Tables'!A:C,3,FALSE)</f>
        <v>-122.69670000000001</v>
      </c>
      <c r="AR877">
        <f>COUNTIF(P$2:$P$938,P877)</f>
        <v>25</v>
      </c>
      <c r="AS877" cm="1">
        <f t="array" ref="AS877">_xlfn.IFS(E877&lt;6,((E877/D877)*60)*0.5,AND(E877&gt;=6,E877&lt;9),((E877/D877)*60)*0.75,AND(E877&gt;=9,E877&lt;=11),((E877/D877)*60)*0.9,AND(E877=12),((E877/D877)*60)*1,AND(E877&gt;=13,E877&lt;=15),((E877/D877)*60)*1.2,AND(E877&gt;=16,E877&lt;=19),((E877/D877)*60)*1.5,E877&gt;=20,((E877/D877)*60)*1.8)</f>
        <v>18</v>
      </c>
      <c r="AT877" cm="1">
        <f t="array" ref="AT877">_xlfn.IFS(F877&lt;550,((F877/D877)*60)*0.5,AND(F877&gt;=550,F877&lt;575),((F877/D877)*60)*0.75,AND(F877&gt;=575,F877&lt;600),((F877/D877)*60)*0.9,AND(F877=600),((F877/D877)*60)*1,AND(F877&gt;=601,F877&lt;=625),((F877/D877)*60)*1.2,AND(F877&gt;=626,F877&lt;=650),((F877/D877)*60)*1.5,F877&gt;=651,((F877/D877)*60)*1.8)</f>
        <v>967.5</v>
      </c>
      <c r="AU877">
        <f t="shared" si="266"/>
        <v>-3.9000000000000021</v>
      </c>
      <c r="AV877">
        <f t="shared" si="279"/>
        <v>393.42</v>
      </c>
      <c r="AW877">
        <f t="shared" si="267"/>
        <v>49.4</v>
      </c>
      <c r="AX877" t="str">
        <f t="shared" si="240"/>
        <v>Nov-2025</v>
      </c>
      <c r="AY877">
        <f>ROUNDUP(Table2[[#This Row],[Month]]/3,0)</f>
        <v>4</v>
      </c>
    </row>
    <row r="878" spans="1:51" x14ac:dyDescent="0.2">
      <c r="A878">
        <v>877</v>
      </c>
      <c r="B878">
        <f t="shared" si="230"/>
        <v>12</v>
      </c>
      <c r="C878" s="22">
        <v>45973</v>
      </c>
      <c r="D878">
        <f>SUM(Table2[[#This Row],[Gray Min]:[Red Min]])</f>
        <v>61</v>
      </c>
      <c r="E878">
        <v>14</v>
      </c>
      <c r="F878">
        <v>646</v>
      </c>
      <c r="G878">
        <v>122</v>
      </c>
      <c r="H878">
        <v>157</v>
      </c>
      <c r="I878">
        <v>18</v>
      </c>
      <c r="J878">
        <v>18</v>
      </c>
      <c r="K878">
        <v>11</v>
      </c>
      <c r="L878">
        <v>14</v>
      </c>
      <c r="M878">
        <v>0</v>
      </c>
      <c r="N878" t="s">
        <v>125</v>
      </c>
      <c r="O878" t="s">
        <v>127</v>
      </c>
      <c r="P878" t="s">
        <v>281</v>
      </c>
      <c r="Q878">
        <f t="shared" si="280"/>
        <v>1</v>
      </c>
      <c r="R878" t="str">
        <f t="shared" si="281"/>
        <v>11-2025</v>
      </c>
      <c r="S878" t="s">
        <v>104</v>
      </c>
      <c r="T878" t="str">
        <f t="shared" si="282"/>
        <v>Wednesday</v>
      </c>
      <c r="U878">
        <f t="shared" si="278"/>
        <v>1</v>
      </c>
      <c r="V878" s="24">
        <f>IFERROR(Table2[[#This Row],[Gray Min]]/Table2[[#This Row],[ClassLength]],"")</f>
        <v>0.29508196721311475</v>
      </c>
      <c r="W878" s="24">
        <f>IFERROR(Table2[[#This Row],[Blue Min]]/Table2[[#This Row],[ClassLength]],"")</f>
        <v>0.29508196721311475</v>
      </c>
      <c r="X878" s="24">
        <f>IFERROR(Table2[[#This Row],[Green Min]]/Table2[[#This Row],[ClassLength]],"")</f>
        <v>0.18032786885245902</v>
      </c>
      <c r="Y878" s="24">
        <f>IFERROR(Table2[[#This Row],[Orange Min]]/Table2[[#This Row],[ClassLength]],"")</f>
        <v>0.22950819672131148</v>
      </c>
      <c r="Z878" s="24">
        <f>IFERROR(Table2[[#This Row],[Red Min]]/Table2[[#This Row],[ClassLength]],"")</f>
        <v>0</v>
      </c>
      <c r="AA878" s="25">
        <v>139</v>
      </c>
      <c r="AB878" s="25">
        <f t="shared" si="255"/>
        <v>11.583333333333334</v>
      </c>
      <c r="AC878" s="26">
        <f t="shared" si="233"/>
        <v>624.25</v>
      </c>
      <c r="AD878" s="26">
        <f t="shared" si="234"/>
        <v>13.916666666666666</v>
      </c>
      <c r="AE878">
        <f t="shared" si="235"/>
        <v>2025</v>
      </c>
      <c r="AG878">
        <v>12</v>
      </c>
      <c r="AH878" s="26">
        <f t="shared" si="236"/>
        <v>10.590163934426229</v>
      </c>
      <c r="AI878" t="str">
        <f t="shared" si="237"/>
        <v>PM</v>
      </c>
      <c r="AJ878" t="str">
        <f t="shared" si="238"/>
        <v>11-2025-3</v>
      </c>
      <c r="AK878">
        <f t="shared" si="239"/>
        <v>11</v>
      </c>
      <c r="AL878" s="26">
        <f>IFERROR(Table2[[#This Row],[Calories]]/Table2[[#This Row],[Splat]],"")</f>
        <v>46.142857142857146</v>
      </c>
      <c r="AM878">
        <f>COUNTIF(N$2:$N$938,N878)</f>
        <v>258</v>
      </c>
      <c r="AN878" t="str">
        <f>VLOOKUP(N878,'Helpful Tables'!A:D,4,FALSE)</f>
        <v>Oregon</v>
      </c>
      <c r="AO878" s="24">
        <f>COUNTIF(AN:AN,Table2[[#This Row],[State]])/COUNTA(AN:AN)</f>
        <v>0.36140724946695096</v>
      </c>
      <c r="AP878">
        <f>VLOOKUP(N878,'Helpful Tables'!A:B,2,FALSE)</f>
        <v>45.534162000000002</v>
      </c>
      <c r="AQ878">
        <f>VLOOKUP(N878,'Helpful Tables'!A:C,3,FALSE)</f>
        <v>-122.69670000000001</v>
      </c>
      <c r="AR878">
        <f>COUNTIF(P$2:$P$938,P878)</f>
        <v>41</v>
      </c>
      <c r="AS878" cm="1">
        <f t="array" ref="AS878">_xlfn.IFS(E878&lt;6,((E878/D878)*60)*0.5,AND(E878&gt;=6,E878&lt;9),((E878/D878)*60)*0.75,AND(E878&gt;=9,E878&lt;=11),((E878/D878)*60)*0.9,AND(E878=12),((E878/D878)*60)*1,AND(E878&gt;=13,E878&lt;=15),((E878/D878)*60)*1.2,AND(E878&gt;=16,E878&lt;=19),((E878/D878)*60)*1.5,E878&gt;=20,((E878/D878)*60)*1.8)</f>
        <v>16.524590163934427</v>
      </c>
      <c r="AT878" cm="1">
        <f t="array" ref="AT878">_xlfn.IFS(F878&lt;550,((F878/D878)*60)*0.5,AND(F878&gt;=550,F878&lt;575),((F878/D878)*60)*0.75,AND(F878&gt;=575,F878&lt;600),((F878/D878)*60)*0.9,AND(F878=600),((F878/D878)*60)*1,AND(F878&gt;=601,F878&lt;=625),((F878/D878)*60)*1.2,AND(F878&gt;=626,F878&lt;=650),((F878/D878)*60)*1.5,F878&gt;=651,((F878/D878)*60)*1.8)</f>
        <v>953.11475409836055</v>
      </c>
      <c r="AU878">
        <f t="shared" si="266"/>
        <v>-10</v>
      </c>
      <c r="AV878">
        <f t="shared" si="279"/>
        <v>385.855737704918</v>
      </c>
      <c r="AW878">
        <f t="shared" si="267"/>
        <v>47</v>
      </c>
      <c r="AX878" t="str">
        <f t="shared" si="240"/>
        <v>Nov-2025</v>
      </c>
      <c r="AY878">
        <f>ROUNDUP(Table2[[#This Row],[Month]]/3,0)</f>
        <v>4</v>
      </c>
    </row>
    <row r="879" spans="1:51" x14ac:dyDescent="0.2">
      <c r="A879">
        <v>878</v>
      </c>
      <c r="B879">
        <f t="shared" si="230"/>
        <v>12</v>
      </c>
      <c r="C879" s="22">
        <v>45975</v>
      </c>
      <c r="D879">
        <f>SUM(Table2[[#This Row],[Gray Min]:[Red Min]])</f>
        <v>60</v>
      </c>
      <c r="E879">
        <v>14</v>
      </c>
      <c r="F879">
        <v>573</v>
      </c>
      <c r="G879">
        <v>116</v>
      </c>
      <c r="H879">
        <v>158</v>
      </c>
      <c r="I879">
        <v>30</v>
      </c>
      <c r="J879">
        <v>5</v>
      </c>
      <c r="K879">
        <v>11</v>
      </c>
      <c r="L879">
        <v>14</v>
      </c>
      <c r="M879">
        <v>0</v>
      </c>
      <c r="N879" t="s">
        <v>125</v>
      </c>
      <c r="O879" t="s">
        <v>127</v>
      </c>
      <c r="P879" t="s">
        <v>281</v>
      </c>
      <c r="Q879">
        <f t="shared" si="280"/>
        <v>2</v>
      </c>
      <c r="R879" t="str">
        <f t="shared" si="281"/>
        <v>11-2025</v>
      </c>
      <c r="S879" t="s">
        <v>104</v>
      </c>
      <c r="T879" t="str">
        <f t="shared" si="282"/>
        <v>Friday</v>
      </c>
      <c r="U879">
        <f t="shared" si="278"/>
        <v>1</v>
      </c>
      <c r="V879" s="24">
        <f>IFERROR(Table2[[#This Row],[Gray Min]]/Table2[[#This Row],[ClassLength]],"")</f>
        <v>0.5</v>
      </c>
      <c r="W879" s="24">
        <f>IFERROR(Table2[[#This Row],[Blue Min]]/Table2[[#This Row],[ClassLength]],"")</f>
        <v>8.3333333333333329E-2</v>
      </c>
      <c r="X879" s="24">
        <f>IFERROR(Table2[[#This Row],[Green Min]]/Table2[[#This Row],[ClassLength]],"")</f>
        <v>0.18333333333333332</v>
      </c>
      <c r="Y879" s="24">
        <f>IFERROR(Table2[[#This Row],[Orange Min]]/Table2[[#This Row],[ClassLength]],"")</f>
        <v>0.23333333333333334</v>
      </c>
      <c r="Z879" s="24">
        <f>IFERROR(Table2[[#This Row],[Red Min]]/Table2[[#This Row],[ClassLength]],"")</f>
        <v>0</v>
      </c>
      <c r="AA879" s="25">
        <v>139</v>
      </c>
      <c r="AB879" s="25">
        <f t="shared" si="255"/>
        <v>11.583333333333334</v>
      </c>
      <c r="AC879" s="26">
        <f t="shared" si="233"/>
        <v>624.25</v>
      </c>
      <c r="AD879" s="26">
        <f t="shared" si="234"/>
        <v>13.916666666666666</v>
      </c>
      <c r="AE879">
        <f t="shared" si="235"/>
        <v>2025</v>
      </c>
      <c r="AG879">
        <v>12</v>
      </c>
      <c r="AH879" s="26">
        <f t="shared" si="236"/>
        <v>9.5500000000000007</v>
      </c>
      <c r="AI879" t="str">
        <f t="shared" si="237"/>
        <v>PM</v>
      </c>
      <c r="AJ879" t="str">
        <f t="shared" si="238"/>
        <v>11-2025-3</v>
      </c>
      <c r="AK879">
        <f t="shared" si="239"/>
        <v>11</v>
      </c>
      <c r="AL879" s="26">
        <f>IFERROR(Table2[[#This Row],[Calories]]/Table2[[#This Row],[Splat]],"")</f>
        <v>40.928571428571431</v>
      </c>
      <c r="AM879">
        <f>COUNTIF(N$2:$N$938,N879)</f>
        <v>258</v>
      </c>
      <c r="AN879" t="str">
        <f>VLOOKUP(N879,'Helpful Tables'!A:D,4,FALSE)</f>
        <v>Oregon</v>
      </c>
      <c r="AO879" s="24">
        <f>COUNTIF(AN:AN,Table2[[#This Row],[State]])/COUNTA(AN:AN)</f>
        <v>0.36140724946695096</v>
      </c>
      <c r="AP879">
        <f>VLOOKUP(N879,'Helpful Tables'!A:B,2,FALSE)</f>
        <v>45.534162000000002</v>
      </c>
      <c r="AQ879">
        <f>VLOOKUP(N879,'Helpful Tables'!A:C,3,FALSE)</f>
        <v>-122.69670000000001</v>
      </c>
      <c r="AR879">
        <f>COUNTIF(P$2:$P$938,P879)</f>
        <v>41</v>
      </c>
      <c r="AS879" cm="1">
        <f t="array" ref="AS879">_xlfn.IFS(E879&lt;6,((E879/D879)*60)*0.5,AND(E879&gt;=6,E879&lt;9),((E879/D879)*60)*0.75,AND(E879&gt;=9,E879&lt;=11),((E879/D879)*60)*0.9,AND(E879=12),((E879/D879)*60)*1,AND(E879&gt;=13,E879&lt;=15),((E879/D879)*60)*1.2,AND(E879&gt;=16,E879&lt;=19),((E879/D879)*60)*1.5,E879&gt;=20,((E879/D879)*60)*1.8)</f>
        <v>16.8</v>
      </c>
      <c r="AT879" cm="1">
        <f t="array" ref="AT879">_xlfn.IFS(F879&lt;550,((F879/D879)*60)*0.5,AND(F879&gt;=550,F879&lt;575),((F879/D879)*60)*0.75,AND(F879&gt;=575,F879&lt;600),((F879/D879)*60)*0.9,AND(F879=600),((F879/D879)*60)*1,AND(F879&gt;=601,F879&lt;=625),((F879/D879)*60)*1.2,AND(F879&gt;=626,F879&lt;=650),((F879/D879)*60)*1.5,F879&gt;=651,((F879/D879)*60)*1.8)</f>
        <v>429.75</v>
      </c>
      <c r="AU879">
        <f t="shared" si="266"/>
        <v>-10.100000000000001</v>
      </c>
      <c r="AV879">
        <f t="shared" si="279"/>
        <v>176.6</v>
      </c>
      <c r="AW879">
        <f t="shared" si="267"/>
        <v>9.8000000000000007</v>
      </c>
      <c r="AX879" t="str">
        <f t="shared" si="240"/>
        <v>Nov-2025</v>
      </c>
      <c r="AY879">
        <f>ROUNDUP(Table2[[#This Row],[Month]]/3,0)</f>
        <v>4</v>
      </c>
    </row>
    <row r="880" spans="1:51" x14ac:dyDescent="0.2">
      <c r="A880">
        <v>879</v>
      </c>
      <c r="B880">
        <f t="shared" si="230"/>
        <v>12</v>
      </c>
      <c r="C880" s="22">
        <v>45977</v>
      </c>
      <c r="D880">
        <f>SUM(Table2[[#This Row],[Gray Min]:[Red Min]])</f>
        <v>58</v>
      </c>
      <c r="E880">
        <v>15</v>
      </c>
      <c r="F880">
        <v>641</v>
      </c>
      <c r="G880">
        <v>124</v>
      </c>
      <c r="H880">
        <v>159</v>
      </c>
      <c r="I880">
        <v>16</v>
      </c>
      <c r="J880">
        <v>15</v>
      </c>
      <c r="K880">
        <v>12</v>
      </c>
      <c r="L880">
        <v>15</v>
      </c>
      <c r="M880">
        <v>0</v>
      </c>
      <c r="N880" t="s">
        <v>208</v>
      </c>
      <c r="O880" t="s">
        <v>76</v>
      </c>
      <c r="P880" t="s">
        <v>210</v>
      </c>
      <c r="Q880">
        <f t="shared" si="280"/>
        <v>2</v>
      </c>
      <c r="R880" t="str">
        <f t="shared" si="281"/>
        <v>11-2025</v>
      </c>
      <c r="S880" t="s">
        <v>104</v>
      </c>
      <c r="T880" t="str">
        <f t="shared" si="282"/>
        <v>Sunday</v>
      </c>
      <c r="U880">
        <f t="shared" si="278"/>
        <v>1</v>
      </c>
      <c r="V880" s="24">
        <f>IFERROR(Table2[[#This Row],[Gray Min]]/Table2[[#This Row],[ClassLength]],"")</f>
        <v>0.27586206896551724</v>
      </c>
      <c r="W880" s="24">
        <f>IFERROR(Table2[[#This Row],[Blue Min]]/Table2[[#This Row],[ClassLength]],"")</f>
        <v>0.25862068965517243</v>
      </c>
      <c r="X880" s="24">
        <f>IFERROR(Table2[[#This Row],[Green Min]]/Table2[[#This Row],[ClassLength]],"")</f>
        <v>0.20689655172413793</v>
      </c>
      <c r="Y880" s="24">
        <f>IFERROR(Table2[[#This Row],[Orange Min]]/Table2[[#This Row],[ClassLength]],"")</f>
        <v>0.25862068965517243</v>
      </c>
      <c r="Z880" s="24">
        <f>IFERROR(Table2[[#This Row],[Red Min]]/Table2[[#This Row],[ClassLength]],"")</f>
        <v>0</v>
      </c>
      <c r="AA880" s="25">
        <v>139</v>
      </c>
      <c r="AB880" s="25">
        <f t="shared" si="255"/>
        <v>11.583333333333334</v>
      </c>
      <c r="AC880" s="26">
        <f t="shared" si="233"/>
        <v>624.25</v>
      </c>
      <c r="AD880" s="26">
        <f t="shared" si="234"/>
        <v>13.916666666666666</v>
      </c>
      <c r="AE880">
        <f t="shared" si="235"/>
        <v>2025</v>
      </c>
      <c r="AG880">
        <v>12</v>
      </c>
      <c r="AH880" s="26">
        <f t="shared" si="236"/>
        <v>11.051724137931034</v>
      </c>
      <c r="AI880" t="str">
        <f t="shared" si="237"/>
        <v>AM</v>
      </c>
      <c r="AJ880" t="str">
        <f t="shared" si="238"/>
        <v>11-2025-4</v>
      </c>
      <c r="AK880">
        <f t="shared" si="239"/>
        <v>11</v>
      </c>
      <c r="AL880" s="26">
        <f>IFERROR(Table2[[#This Row],[Calories]]/Table2[[#This Row],[Splat]],"")</f>
        <v>42.733333333333334</v>
      </c>
      <c r="AM880">
        <f>COUNTIF(N$2:$N$938,N880)</f>
        <v>78</v>
      </c>
      <c r="AN880" t="str">
        <f>VLOOKUP(N880,'Helpful Tables'!A:D,4,FALSE)</f>
        <v>Oregon</v>
      </c>
      <c r="AO880" s="24">
        <f>COUNTIF(AN:AN,Table2[[#This Row],[State]])/COUNTA(AN:AN)</f>
        <v>0.36140724946695096</v>
      </c>
      <c r="AP880">
        <f>VLOOKUP(N880,'Helpful Tables'!A:B,2,FALSE)</f>
        <v>45.525092999999998</v>
      </c>
      <c r="AQ880">
        <f>VLOOKUP(N880,'Helpful Tables'!A:C,3,FALSE)</f>
        <v>-122.681383</v>
      </c>
      <c r="AR880">
        <f>COUNTIF(P$2:$P$938,P880)</f>
        <v>16</v>
      </c>
      <c r="AS880" cm="1">
        <f t="array" ref="AS880">_xlfn.IFS(E880&lt;6,((E880/D880)*60)*0.5,AND(E880&gt;=6,E880&lt;9),((E880/D880)*60)*0.75,AND(E880&gt;=9,E880&lt;=11),((E880/D880)*60)*0.9,AND(E880=12),((E880/D880)*60)*1,AND(E880&gt;=13,E880&lt;=15),((E880/D880)*60)*1.2,AND(E880&gt;=16,E880&lt;=19),((E880/D880)*60)*1.5,E880&gt;=20,((E880/D880)*60)*1.8)</f>
        <v>18.620689655172413</v>
      </c>
      <c r="AT880" cm="1">
        <f t="array" ref="AT880">_xlfn.IFS(F880&lt;550,((F880/D880)*60)*0.5,AND(F880&gt;=550,F880&lt;575),((F880/D880)*60)*0.75,AND(F880&gt;=575,F880&lt;600),((F880/D880)*60)*0.9,AND(F880=600),((F880/D880)*60)*1,AND(F880&gt;=601,F880&lt;=625),((F880/D880)*60)*1.2,AND(F880&gt;=626,F880&lt;=650),((F880/D880)*60)*1.5,F880&gt;=651,((F880/D880)*60)*1.8)</f>
        <v>994.65517241379303</v>
      </c>
      <c r="AU880">
        <f t="shared" si="266"/>
        <v>-1.8000000000000043</v>
      </c>
      <c r="AV880">
        <f t="shared" si="279"/>
        <v>404.95034482758615</v>
      </c>
      <c r="AW880">
        <f t="shared" si="267"/>
        <v>56.100000000000009</v>
      </c>
      <c r="AX880" t="str">
        <f t="shared" si="240"/>
        <v>Nov-2025</v>
      </c>
      <c r="AY880">
        <f>ROUNDUP(Table2[[#This Row],[Month]]/3,0)</f>
        <v>4</v>
      </c>
    </row>
    <row r="881" spans="1:51" x14ac:dyDescent="0.2">
      <c r="A881">
        <v>880</v>
      </c>
      <c r="B881">
        <f t="shared" si="230"/>
        <v>12</v>
      </c>
      <c r="C881" s="22">
        <v>45979</v>
      </c>
      <c r="D881">
        <f>SUM(Table2[[#This Row],[Gray Min]:[Red Min]])</f>
        <v>55</v>
      </c>
      <c r="E881">
        <v>10</v>
      </c>
      <c r="F881">
        <v>601</v>
      </c>
      <c r="G881">
        <v>125</v>
      </c>
      <c r="H881">
        <v>164</v>
      </c>
      <c r="I881">
        <v>12</v>
      </c>
      <c r="J881">
        <v>16</v>
      </c>
      <c r="K881">
        <v>17</v>
      </c>
      <c r="L881">
        <v>9</v>
      </c>
      <c r="M881">
        <v>1</v>
      </c>
      <c r="N881" t="s">
        <v>208</v>
      </c>
      <c r="O881" t="s">
        <v>53</v>
      </c>
      <c r="P881" t="s">
        <v>213</v>
      </c>
      <c r="Q881">
        <f t="shared" si="280"/>
        <v>2</v>
      </c>
      <c r="R881" t="str">
        <f t="shared" si="281"/>
        <v>11-2025</v>
      </c>
      <c r="S881" t="s">
        <v>104</v>
      </c>
      <c r="T881" t="str">
        <f t="shared" si="282"/>
        <v>Tuesday</v>
      </c>
      <c r="U881">
        <f t="shared" ref="U881:U886" si="283">IF(E881&gt;=12,1,0)</f>
        <v>0</v>
      </c>
      <c r="V881" s="24">
        <f>IFERROR(Table2[[#This Row],[Gray Min]]/Table2[[#This Row],[ClassLength]],"")</f>
        <v>0.21818181818181817</v>
      </c>
      <c r="W881" s="24">
        <f>IFERROR(Table2[[#This Row],[Blue Min]]/Table2[[#This Row],[ClassLength]],"")</f>
        <v>0.29090909090909089</v>
      </c>
      <c r="X881" s="24">
        <f>IFERROR(Table2[[#This Row],[Green Min]]/Table2[[#This Row],[ClassLength]],"")</f>
        <v>0.30909090909090908</v>
      </c>
      <c r="Y881" s="24">
        <f>IFERROR(Table2[[#This Row],[Orange Min]]/Table2[[#This Row],[ClassLength]],"")</f>
        <v>0.16363636363636364</v>
      </c>
      <c r="Z881" s="24">
        <f>IFERROR(Table2[[#This Row],[Red Min]]/Table2[[#This Row],[ClassLength]],"")</f>
        <v>1.8181818181818181E-2</v>
      </c>
      <c r="AA881" s="25">
        <v>139</v>
      </c>
      <c r="AB881" s="25">
        <f t="shared" si="255"/>
        <v>11.583333333333334</v>
      </c>
      <c r="AC881" s="26">
        <f t="shared" si="233"/>
        <v>624.25</v>
      </c>
      <c r="AD881" s="26">
        <f t="shared" si="234"/>
        <v>13.916666666666666</v>
      </c>
      <c r="AE881">
        <f t="shared" si="235"/>
        <v>2025</v>
      </c>
      <c r="AG881">
        <v>12</v>
      </c>
      <c r="AH881" s="26">
        <f t="shared" si="236"/>
        <v>10.927272727272728</v>
      </c>
      <c r="AI881" t="str">
        <f t="shared" si="237"/>
        <v>PM</v>
      </c>
      <c r="AJ881" t="str">
        <f t="shared" si="238"/>
        <v>11-2025-4</v>
      </c>
      <c r="AK881">
        <f t="shared" si="239"/>
        <v>11</v>
      </c>
      <c r="AL881" s="26">
        <f>IFERROR(Table2[[#This Row],[Calories]]/Table2[[#This Row],[Splat]],"")</f>
        <v>60.1</v>
      </c>
      <c r="AM881">
        <f>COUNTIF(N$2:$N$938,N881)</f>
        <v>78</v>
      </c>
      <c r="AN881" t="str">
        <f>VLOOKUP(N881,'Helpful Tables'!A:D,4,FALSE)</f>
        <v>Oregon</v>
      </c>
      <c r="AO881" s="24">
        <f>COUNTIF(AN:AN,Table2[[#This Row],[State]])/COUNTA(AN:AN)</f>
        <v>0.36140724946695096</v>
      </c>
      <c r="AP881">
        <f>VLOOKUP(N881,'Helpful Tables'!A:B,2,FALSE)</f>
        <v>45.525092999999998</v>
      </c>
      <c r="AQ881">
        <f>VLOOKUP(N881,'Helpful Tables'!A:C,3,FALSE)</f>
        <v>-122.681383</v>
      </c>
      <c r="AR881">
        <f>COUNTIF(P$2:$P$938,P881)</f>
        <v>40</v>
      </c>
      <c r="AS881" cm="1">
        <f t="array" ref="AS881">_xlfn.IFS(E881&lt;6,((E881/D881)*60)*0.5,AND(E881&gt;=6,E881&lt;9),((E881/D881)*60)*0.75,AND(E881&gt;=9,E881&lt;=11),((E881/D881)*60)*0.9,AND(E881=12),((E881/D881)*60)*1,AND(E881&gt;=13,E881&lt;=15),((E881/D881)*60)*1.2,AND(E881&gt;=16,E881&lt;=19),((E881/D881)*60)*1.5,E881&gt;=20,((E881/D881)*60)*1.8)</f>
        <v>9.8181818181818201</v>
      </c>
      <c r="AT881" cm="1">
        <f t="array" ref="AT881">_xlfn.IFS(F881&lt;550,((F881/D881)*60)*0.5,AND(F881&gt;=550,F881&lt;575),((F881/D881)*60)*0.75,AND(F881&gt;=575,F881&lt;600),((F881/D881)*60)*0.9,AND(F881=600),((F881/D881)*60)*1,AND(F881&gt;=601,F881&lt;=625),((F881/D881)*60)*1.2,AND(F881&gt;=626,F881&lt;=650),((F881/D881)*60)*1.5,F881&gt;=651,((F881/D881)*60)*1.8)</f>
        <v>786.76363636363635</v>
      </c>
      <c r="AU881">
        <f t="shared" si="266"/>
        <v>1.5999999999999996</v>
      </c>
      <c r="AV881">
        <f t="shared" ref="AV881:AV886" si="284">(AS881*0.4)+(AT881*0.4)+(AU881*0.2)</f>
        <v>318.95272727272732</v>
      </c>
      <c r="AW881">
        <f t="shared" si="267"/>
        <v>36.6</v>
      </c>
      <c r="AX881" t="str">
        <f t="shared" si="240"/>
        <v>Nov-2025</v>
      </c>
      <c r="AY881">
        <f>ROUNDUP(Table2[[#This Row],[Month]]/3,0)</f>
        <v>4</v>
      </c>
    </row>
    <row r="882" spans="1:51" x14ac:dyDescent="0.2">
      <c r="A882">
        <v>881</v>
      </c>
      <c r="B882">
        <f t="shared" si="230"/>
        <v>12</v>
      </c>
      <c r="C882" s="22">
        <v>45981</v>
      </c>
      <c r="D882">
        <f>SUM(Table2[[#This Row],[Gray Min]:[Red Min]])</f>
        <v>60</v>
      </c>
      <c r="E882">
        <v>18</v>
      </c>
      <c r="F882">
        <v>621</v>
      </c>
      <c r="G882">
        <v>121</v>
      </c>
      <c r="H882">
        <v>167</v>
      </c>
      <c r="I882">
        <v>23</v>
      </c>
      <c r="J882">
        <v>9</v>
      </c>
      <c r="K882">
        <v>10</v>
      </c>
      <c r="L882">
        <v>16</v>
      </c>
      <c r="M882">
        <v>2</v>
      </c>
      <c r="N882" t="s">
        <v>125</v>
      </c>
      <c r="O882" t="s">
        <v>127</v>
      </c>
      <c r="P882" t="s">
        <v>281</v>
      </c>
      <c r="Q882">
        <f t="shared" si="280"/>
        <v>2</v>
      </c>
      <c r="R882" t="str">
        <f t="shared" si="281"/>
        <v>11-2025</v>
      </c>
      <c r="S882" t="s">
        <v>104</v>
      </c>
      <c r="T882" t="str">
        <f t="shared" si="282"/>
        <v>Thursday</v>
      </c>
      <c r="U882">
        <f t="shared" si="283"/>
        <v>1</v>
      </c>
      <c r="V882" s="24">
        <f>IFERROR(Table2[[#This Row],[Gray Min]]/Table2[[#This Row],[ClassLength]],"")</f>
        <v>0.38333333333333336</v>
      </c>
      <c r="W882" s="24">
        <f>IFERROR(Table2[[#This Row],[Blue Min]]/Table2[[#This Row],[ClassLength]],"")</f>
        <v>0.15</v>
      </c>
      <c r="X882" s="24">
        <f>IFERROR(Table2[[#This Row],[Green Min]]/Table2[[#This Row],[ClassLength]],"")</f>
        <v>0.16666666666666666</v>
      </c>
      <c r="Y882" s="24">
        <f>IFERROR(Table2[[#This Row],[Orange Min]]/Table2[[#This Row],[ClassLength]],"")</f>
        <v>0.26666666666666666</v>
      </c>
      <c r="Z882" s="24">
        <f>IFERROR(Table2[[#This Row],[Red Min]]/Table2[[#This Row],[ClassLength]],"")</f>
        <v>3.3333333333333333E-2</v>
      </c>
      <c r="AA882" s="25">
        <v>139</v>
      </c>
      <c r="AB882" s="25">
        <f t="shared" si="255"/>
        <v>11.583333333333334</v>
      </c>
      <c r="AC882" s="26">
        <f t="shared" si="233"/>
        <v>624.25</v>
      </c>
      <c r="AD882" s="26">
        <f t="shared" si="234"/>
        <v>13.916666666666666</v>
      </c>
      <c r="AE882">
        <f t="shared" si="235"/>
        <v>2025</v>
      </c>
      <c r="AG882">
        <v>12</v>
      </c>
      <c r="AH882" s="26">
        <f t="shared" si="236"/>
        <v>10.35</v>
      </c>
      <c r="AI882" t="str">
        <f t="shared" si="237"/>
        <v>PM</v>
      </c>
      <c r="AJ882" t="str">
        <f t="shared" si="238"/>
        <v>11-2025-4</v>
      </c>
      <c r="AK882">
        <f t="shared" si="239"/>
        <v>11</v>
      </c>
      <c r="AL882" s="26">
        <f>IFERROR(Table2[[#This Row],[Calories]]/Table2[[#This Row],[Splat]],"")</f>
        <v>34.5</v>
      </c>
      <c r="AM882">
        <f>COUNTIF(N$2:$N$938,N882)</f>
        <v>258</v>
      </c>
      <c r="AN882" t="str">
        <f>VLOOKUP(N882,'Helpful Tables'!A:D,4,FALSE)</f>
        <v>Oregon</v>
      </c>
      <c r="AO882" s="24">
        <f>COUNTIF(AN:AN,Table2[[#This Row],[State]])/COUNTA(AN:AN)</f>
        <v>0.36140724946695096</v>
      </c>
      <c r="AP882">
        <f>VLOOKUP(N882,'Helpful Tables'!A:B,2,FALSE)</f>
        <v>45.534162000000002</v>
      </c>
      <c r="AQ882">
        <f>VLOOKUP(N882,'Helpful Tables'!A:C,3,FALSE)</f>
        <v>-122.69670000000001</v>
      </c>
      <c r="AR882">
        <f>COUNTIF(P$2:$P$938,P882)</f>
        <v>41</v>
      </c>
      <c r="AS882" cm="1">
        <f t="array" ref="AS882">_xlfn.IFS(E882&lt;6,((E882/D882)*60)*0.5,AND(E882&gt;=6,E882&lt;9),((E882/D882)*60)*0.75,AND(E882&gt;=9,E882&lt;=11),((E882/D882)*60)*0.9,AND(E882=12),((E882/D882)*60)*1,AND(E882&gt;=13,E882&lt;=15),((E882/D882)*60)*1.2,AND(E882&gt;=16,E882&lt;=19),((E882/D882)*60)*1.5,E882&gt;=20,((E882/D882)*60)*1.8)</f>
        <v>27</v>
      </c>
      <c r="AT882" cm="1">
        <f t="array" ref="AT882">_xlfn.IFS(F882&lt;550,((F882/D882)*60)*0.5,AND(F882&gt;=550,F882&lt;575),((F882/D882)*60)*0.75,AND(F882&gt;=575,F882&lt;600),((F882/D882)*60)*0.9,AND(F882=600),((F882/D882)*60)*1,AND(F882&gt;=601,F882&lt;=625),((F882/D882)*60)*1.2,AND(F882&gt;=626,F882&lt;=650),((F882/D882)*60)*1.5,F882&gt;=651,((F882/D882)*60)*1.8)</f>
        <v>745.19999999999993</v>
      </c>
      <c r="AU882">
        <f t="shared" si="266"/>
        <v>-1.6999999999999993</v>
      </c>
      <c r="AV882">
        <f t="shared" si="284"/>
        <v>308.54000000000002</v>
      </c>
      <c r="AW882">
        <f t="shared" si="267"/>
        <v>30.599999999999998</v>
      </c>
      <c r="AX882" t="str">
        <f t="shared" si="240"/>
        <v>Nov-2025</v>
      </c>
      <c r="AY882">
        <f>ROUNDUP(Table2[[#This Row],[Month]]/3,0)</f>
        <v>4</v>
      </c>
    </row>
    <row r="883" spans="1:51" x14ac:dyDescent="0.2">
      <c r="A883">
        <v>882</v>
      </c>
      <c r="B883">
        <f t="shared" si="230"/>
        <v>12</v>
      </c>
      <c r="C883" s="22">
        <v>45983</v>
      </c>
      <c r="D883">
        <f>SUM(Table2[[#This Row],[Gray Min]:[Red Min]])</f>
        <v>62</v>
      </c>
      <c r="E883">
        <v>17</v>
      </c>
      <c r="F883">
        <v>634</v>
      </c>
      <c r="G883">
        <v>120</v>
      </c>
      <c r="H883">
        <v>163</v>
      </c>
      <c r="I883">
        <v>23</v>
      </c>
      <c r="J883">
        <v>9</v>
      </c>
      <c r="K883">
        <v>13</v>
      </c>
      <c r="L883">
        <v>16</v>
      </c>
      <c r="M883">
        <v>1</v>
      </c>
      <c r="N883" t="s">
        <v>208</v>
      </c>
      <c r="O883" t="s">
        <v>76</v>
      </c>
      <c r="P883" t="s">
        <v>213</v>
      </c>
      <c r="Q883">
        <f t="shared" ref="Q883:Q888" si="285">C883-C882</f>
        <v>2</v>
      </c>
      <c r="R883" t="str">
        <f t="shared" ref="R883:R888" si="286">MONTH(C883)&amp;"-"&amp;YEAR(C883)</f>
        <v>11-2025</v>
      </c>
      <c r="S883" t="s">
        <v>104</v>
      </c>
      <c r="T883" t="str">
        <f t="shared" ref="T883:T888" si="287">IF(WEEKDAY(C883)=1,"Sunday",IF(WEEKDAY(C883)=2,"Monday",IF(WEEKDAY(C883)=3,"Tuesday",IF(WEEKDAY(C883)=4,"Wednesday",IF(WEEKDAY(C883)=5,"Thursday",IF(WEEKDAY(C883)=6,"Friday","Saturday"))))))</f>
        <v>Saturday</v>
      </c>
      <c r="U883">
        <f t="shared" si="283"/>
        <v>1</v>
      </c>
      <c r="V883" s="24">
        <f>IFERROR(Table2[[#This Row],[Gray Min]]/Table2[[#This Row],[ClassLength]],"")</f>
        <v>0.37096774193548387</v>
      </c>
      <c r="W883" s="24">
        <f>IFERROR(Table2[[#This Row],[Blue Min]]/Table2[[#This Row],[ClassLength]],"")</f>
        <v>0.14516129032258066</v>
      </c>
      <c r="X883" s="24">
        <f>IFERROR(Table2[[#This Row],[Green Min]]/Table2[[#This Row],[ClassLength]],"")</f>
        <v>0.20967741935483872</v>
      </c>
      <c r="Y883" s="24">
        <f>IFERROR(Table2[[#This Row],[Orange Min]]/Table2[[#This Row],[ClassLength]],"")</f>
        <v>0.25806451612903225</v>
      </c>
      <c r="Z883" s="24">
        <f>IFERROR(Table2[[#This Row],[Red Min]]/Table2[[#This Row],[ClassLength]],"")</f>
        <v>1.6129032258064516E-2</v>
      </c>
      <c r="AA883" s="25">
        <v>139</v>
      </c>
      <c r="AB883" s="25">
        <f t="shared" si="255"/>
        <v>11.583333333333334</v>
      </c>
      <c r="AC883" s="26">
        <f t="shared" si="233"/>
        <v>624.25</v>
      </c>
      <c r="AD883" s="26">
        <f t="shared" si="234"/>
        <v>13.916666666666666</v>
      </c>
      <c r="AE883">
        <f t="shared" si="235"/>
        <v>2025</v>
      </c>
      <c r="AG883">
        <v>12</v>
      </c>
      <c r="AH883" s="26">
        <f t="shared" si="236"/>
        <v>10.225806451612904</v>
      </c>
      <c r="AI883" t="str">
        <f t="shared" si="237"/>
        <v>AM</v>
      </c>
      <c r="AJ883" t="str">
        <f t="shared" si="238"/>
        <v>11-2025-4</v>
      </c>
      <c r="AK883">
        <f t="shared" si="239"/>
        <v>11</v>
      </c>
      <c r="AL883" s="26">
        <f>IFERROR(Table2[[#This Row],[Calories]]/Table2[[#This Row],[Splat]],"")</f>
        <v>37.294117647058826</v>
      </c>
      <c r="AM883">
        <f>COUNTIF(N$2:$N$938,N883)</f>
        <v>78</v>
      </c>
      <c r="AN883" t="str">
        <f>VLOOKUP(N883,'Helpful Tables'!A:D,4,FALSE)</f>
        <v>Oregon</v>
      </c>
      <c r="AO883" s="24">
        <f>COUNTIF(AN:AN,Table2[[#This Row],[State]])/COUNTA(AN:AN)</f>
        <v>0.36140724946695096</v>
      </c>
      <c r="AP883">
        <f>VLOOKUP(N883,'Helpful Tables'!A:B,2,FALSE)</f>
        <v>45.525092999999998</v>
      </c>
      <c r="AQ883">
        <f>VLOOKUP(N883,'Helpful Tables'!A:C,3,FALSE)</f>
        <v>-122.681383</v>
      </c>
      <c r="AR883">
        <f>COUNTIF(P$2:$P$938,P883)</f>
        <v>40</v>
      </c>
      <c r="AS883" cm="1">
        <f t="array" ref="AS883">_xlfn.IFS(E883&lt;6,((E883/D883)*60)*0.5,AND(E883&gt;=6,E883&lt;9),((E883/D883)*60)*0.75,AND(E883&gt;=9,E883&lt;=11),((E883/D883)*60)*0.9,AND(E883=12),((E883/D883)*60)*1,AND(E883&gt;=13,E883&lt;=15),((E883/D883)*60)*1.2,AND(E883&gt;=16,E883&lt;=19),((E883/D883)*60)*1.5,E883&gt;=20,((E883/D883)*60)*1.8)</f>
        <v>24.677419354838705</v>
      </c>
      <c r="AT883" cm="1">
        <f t="array" ref="AT883">_xlfn.IFS(F883&lt;550,((F883/D883)*60)*0.5,AND(F883&gt;=550,F883&lt;575),((F883/D883)*60)*0.75,AND(F883&gt;=575,F883&lt;600),((F883/D883)*60)*0.9,AND(F883=600),((F883/D883)*60)*1,AND(F883&gt;=601,F883&lt;=625),((F883/D883)*60)*1.2,AND(F883&gt;=626,F883&lt;=650),((F883/D883)*60)*1.5,F883&gt;=651,((F883/D883)*60)*1.8)</f>
        <v>920.32258064516145</v>
      </c>
      <c r="AU883">
        <f t="shared" si="266"/>
        <v>0.40000000000000213</v>
      </c>
      <c r="AV883">
        <f t="shared" si="284"/>
        <v>378.0800000000001</v>
      </c>
      <c r="AW883">
        <f t="shared" si="267"/>
        <v>44.6</v>
      </c>
      <c r="AX883" t="str">
        <f t="shared" si="240"/>
        <v>Nov-2025</v>
      </c>
      <c r="AY883">
        <f>ROUNDUP(Table2[[#This Row],[Month]]/3,0)</f>
        <v>4</v>
      </c>
    </row>
    <row r="884" spans="1:51" x14ac:dyDescent="0.2">
      <c r="A884">
        <v>883</v>
      </c>
      <c r="B884">
        <f t="shared" si="230"/>
        <v>12</v>
      </c>
      <c r="C884" s="22">
        <v>45991</v>
      </c>
      <c r="D884">
        <f>SUM(Table2[[#This Row],[Gray Min]:[Red Min]])</f>
        <v>57</v>
      </c>
      <c r="E884">
        <v>6</v>
      </c>
      <c r="F884">
        <v>557</v>
      </c>
      <c r="G884">
        <v>116</v>
      </c>
      <c r="H884">
        <v>160</v>
      </c>
      <c r="I884">
        <v>21</v>
      </c>
      <c r="J884">
        <v>14</v>
      </c>
      <c r="K884">
        <v>16</v>
      </c>
      <c r="L884">
        <v>6</v>
      </c>
      <c r="M884">
        <v>0</v>
      </c>
      <c r="N884" t="s">
        <v>125</v>
      </c>
      <c r="O884" t="s">
        <v>204</v>
      </c>
      <c r="P884" t="s">
        <v>294</v>
      </c>
      <c r="Q884">
        <f t="shared" si="285"/>
        <v>8</v>
      </c>
      <c r="R884" t="str">
        <f t="shared" si="286"/>
        <v>11-2025</v>
      </c>
      <c r="S884" t="s">
        <v>104</v>
      </c>
      <c r="T884" t="str">
        <f t="shared" si="287"/>
        <v>Sunday</v>
      </c>
      <c r="U884">
        <f t="shared" si="283"/>
        <v>0</v>
      </c>
      <c r="V884" s="24">
        <f>IFERROR(Table2[[#This Row],[Gray Min]]/Table2[[#This Row],[ClassLength]],"")</f>
        <v>0.36842105263157893</v>
      </c>
      <c r="W884" s="24">
        <f>IFERROR(Table2[[#This Row],[Blue Min]]/Table2[[#This Row],[ClassLength]],"")</f>
        <v>0.24561403508771928</v>
      </c>
      <c r="X884" s="24">
        <f>IFERROR(Table2[[#This Row],[Green Min]]/Table2[[#This Row],[ClassLength]],"")</f>
        <v>0.2807017543859649</v>
      </c>
      <c r="Y884" s="24">
        <f>IFERROR(Table2[[#This Row],[Orange Min]]/Table2[[#This Row],[ClassLength]],"")</f>
        <v>0.10526315789473684</v>
      </c>
      <c r="Z884" s="24">
        <f>IFERROR(Table2[[#This Row],[Red Min]]/Table2[[#This Row],[ClassLength]],"")</f>
        <v>0</v>
      </c>
      <c r="AA884" s="25">
        <v>139</v>
      </c>
      <c r="AB884" s="25">
        <f t="shared" si="255"/>
        <v>11.583333333333334</v>
      </c>
      <c r="AC884" s="26">
        <f t="shared" si="233"/>
        <v>624.25</v>
      </c>
      <c r="AD884" s="26">
        <f t="shared" si="234"/>
        <v>13.916666666666666</v>
      </c>
      <c r="AE884">
        <f t="shared" si="235"/>
        <v>2025</v>
      </c>
      <c r="AG884">
        <v>12</v>
      </c>
      <c r="AH884" s="26">
        <f t="shared" si="236"/>
        <v>9.7719298245614041</v>
      </c>
      <c r="AI884" t="str">
        <f t="shared" si="237"/>
        <v>AM</v>
      </c>
      <c r="AJ884" t="str">
        <f t="shared" si="238"/>
        <v>11-2025-6</v>
      </c>
      <c r="AK884">
        <f t="shared" si="239"/>
        <v>11</v>
      </c>
      <c r="AL884" s="26">
        <f>IFERROR(Table2[[#This Row],[Calories]]/Table2[[#This Row],[Splat]],"")</f>
        <v>92.833333333333329</v>
      </c>
      <c r="AM884">
        <f>COUNTIF(N$2:$N$938,N884)</f>
        <v>258</v>
      </c>
      <c r="AN884" t="str">
        <f>VLOOKUP(N884,'Helpful Tables'!A:D,4,FALSE)</f>
        <v>Oregon</v>
      </c>
      <c r="AO884" s="24">
        <f>COUNTIF(AN:AN,Table2[[#This Row],[State]])/COUNTA(AN:AN)</f>
        <v>0.36140724946695096</v>
      </c>
      <c r="AP884">
        <f>VLOOKUP(N884,'Helpful Tables'!A:B,2,FALSE)</f>
        <v>45.534162000000002</v>
      </c>
      <c r="AQ884">
        <f>VLOOKUP(N884,'Helpful Tables'!A:C,3,FALSE)</f>
        <v>-122.69670000000001</v>
      </c>
      <c r="AR884">
        <f>COUNTIF(P$2:$P$938,P884)</f>
        <v>2</v>
      </c>
      <c r="AS884" cm="1">
        <f t="array" ref="AS884">_xlfn.IFS(E884&lt;6,((E884/D884)*60)*0.5,AND(E884&gt;=6,E884&lt;9),((E884/D884)*60)*0.75,AND(E884&gt;=9,E884&lt;=11),((E884/D884)*60)*0.9,AND(E884=12),((E884/D884)*60)*1,AND(E884&gt;=13,E884&lt;=15),((E884/D884)*60)*1.2,AND(E884&gt;=16,E884&lt;=19),((E884/D884)*60)*1.5,E884&gt;=20,((E884/D884)*60)*1.8)</f>
        <v>4.7368421052631575</v>
      </c>
      <c r="AT884" cm="1">
        <f t="array" ref="AT884">_xlfn.IFS(F884&lt;550,((F884/D884)*60)*0.5,AND(F884&gt;=550,F884&lt;575),((F884/D884)*60)*0.75,AND(F884&gt;=575,F884&lt;600),((F884/D884)*60)*0.9,AND(F884=600),((F884/D884)*60)*1,AND(F884&gt;=601,F884&lt;=625),((F884/D884)*60)*1.2,AND(F884&gt;=626,F884&lt;=650),((F884/D884)*60)*1.5,F884&gt;=651,((F884/D884)*60)*1.8)</f>
        <v>439.73684210526324</v>
      </c>
      <c r="AU884">
        <f t="shared" si="266"/>
        <v>-13.600000000000001</v>
      </c>
      <c r="AV884">
        <f t="shared" si="284"/>
        <v>175.06947368421058</v>
      </c>
      <c r="AW884">
        <f t="shared" si="267"/>
        <v>9.1</v>
      </c>
      <c r="AX884" t="str">
        <f t="shared" si="240"/>
        <v>Nov-2025</v>
      </c>
      <c r="AY884">
        <f>ROUNDUP(Table2[[#This Row],[Month]]/3,0)</f>
        <v>4</v>
      </c>
    </row>
    <row r="885" spans="1:51" x14ac:dyDescent="0.2">
      <c r="A885">
        <v>884</v>
      </c>
      <c r="B885">
        <f t="shared" si="230"/>
        <v>11</v>
      </c>
      <c r="C885" s="22">
        <v>45993</v>
      </c>
      <c r="D885">
        <f>SUM(Table2[[#This Row],[Gray Min]:[Red Min]])</f>
        <v>48</v>
      </c>
      <c r="E885">
        <v>24</v>
      </c>
      <c r="F885">
        <v>632</v>
      </c>
      <c r="G885">
        <v>140</v>
      </c>
      <c r="H885">
        <v>171</v>
      </c>
      <c r="I885">
        <v>3</v>
      </c>
      <c r="J885">
        <v>10</v>
      </c>
      <c r="K885">
        <v>11</v>
      </c>
      <c r="L885">
        <v>19</v>
      </c>
      <c r="M885">
        <v>5</v>
      </c>
      <c r="N885" t="s">
        <v>125</v>
      </c>
      <c r="O885" t="s">
        <v>127</v>
      </c>
      <c r="P885" t="s">
        <v>295</v>
      </c>
      <c r="Q885">
        <f t="shared" si="285"/>
        <v>2</v>
      </c>
      <c r="R885" t="str">
        <f t="shared" si="286"/>
        <v>12-2025</v>
      </c>
      <c r="S885" t="s">
        <v>296</v>
      </c>
      <c r="T885" t="str">
        <f t="shared" si="287"/>
        <v>Tuesday</v>
      </c>
      <c r="U885">
        <f t="shared" si="283"/>
        <v>1</v>
      </c>
      <c r="V885" s="24">
        <f>IFERROR(Table2[[#This Row],[Gray Min]]/Table2[[#This Row],[ClassLength]],"")</f>
        <v>6.25E-2</v>
      </c>
      <c r="W885" s="24">
        <f>IFERROR(Table2[[#This Row],[Blue Min]]/Table2[[#This Row],[ClassLength]],"")</f>
        <v>0.20833333333333334</v>
      </c>
      <c r="X885" s="24">
        <f>IFERROR(Table2[[#This Row],[Green Min]]/Table2[[#This Row],[ClassLength]],"")</f>
        <v>0.22916666666666666</v>
      </c>
      <c r="Y885" s="24">
        <f>IFERROR(Table2[[#This Row],[Orange Min]]/Table2[[#This Row],[ClassLength]],"")</f>
        <v>0.39583333333333331</v>
      </c>
      <c r="Z885" s="24">
        <f>IFERROR(Table2[[#This Row],[Red Min]]/Table2[[#This Row],[ClassLength]],"")</f>
        <v>0.10416666666666667</v>
      </c>
      <c r="AA885" s="25">
        <v>139</v>
      </c>
      <c r="AB885" s="25">
        <f t="shared" si="255"/>
        <v>12.636363636363637</v>
      </c>
      <c r="AC885" s="26">
        <f t="shared" si="233"/>
        <v>645.36363636363637</v>
      </c>
      <c r="AD885" s="26">
        <f t="shared" si="234"/>
        <v>15.454545454545455</v>
      </c>
      <c r="AE885">
        <f t="shared" si="235"/>
        <v>2025</v>
      </c>
      <c r="AG885">
        <v>12</v>
      </c>
      <c r="AH885" s="26">
        <f t="shared" si="236"/>
        <v>13.166666666666666</v>
      </c>
      <c r="AI885" t="str">
        <f t="shared" si="237"/>
        <v>PM</v>
      </c>
      <c r="AJ885" t="str">
        <f t="shared" si="238"/>
        <v>12-2025-1</v>
      </c>
      <c r="AK885">
        <f t="shared" si="239"/>
        <v>12</v>
      </c>
      <c r="AL885" s="26">
        <f>IFERROR(Table2[[#This Row],[Calories]]/Table2[[#This Row],[Splat]],"")</f>
        <v>26.333333333333332</v>
      </c>
      <c r="AM885">
        <f>COUNTIF(N$2:$N$938,N885)</f>
        <v>258</v>
      </c>
      <c r="AN885" t="str">
        <f>VLOOKUP(N885,'Helpful Tables'!A:D,4,FALSE)</f>
        <v>Oregon</v>
      </c>
      <c r="AO885" s="24">
        <f>COUNTIF(AN:AN,Table2[[#This Row],[State]])/COUNTA(AN:AN)</f>
        <v>0.36140724946695096</v>
      </c>
      <c r="AP885">
        <f>VLOOKUP(N885,'Helpful Tables'!A:B,2,FALSE)</f>
        <v>45.534162000000002</v>
      </c>
      <c r="AQ885">
        <f>VLOOKUP(N885,'Helpful Tables'!A:C,3,FALSE)</f>
        <v>-122.69670000000001</v>
      </c>
      <c r="AR885">
        <f>COUNTIF(P$2:$P$938,P885)</f>
        <v>1</v>
      </c>
      <c r="AS885" cm="1">
        <f t="array" ref="AS885">_xlfn.IFS(E885&lt;6,((E885/D885)*60)*0.5,AND(E885&gt;=6,E885&lt;9),((E885/D885)*60)*0.75,AND(E885&gt;=9,E885&lt;=11),((E885/D885)*60)*0.9,AND(E885=12),((E885/D885)*60)*1,AND(E885&gt;=13,E885&lt;=15),((E885/D885)*60)*1.2,AND(E885&gt;=16,E885&lt;=19),((E885/D885)*60)*1.5,E885&gt;=20,((E885/D885)*60)*1.8)</f>
        <v>54</v>
      </c>
      <c r="AT885" cm="1">
        <f t="array" ref="AT885">_xlfn.IFS(F885&lt;550,((F885/D885)*60)*0.5,AND(F885&gt;=550,F885&lt;575),((F885/D885)*60)*0.75,AND(F885&gt;=575,F885&lt;600),((F885/D885)*60)*0.9,AND(F885=600),((F885/D885)*60)*1,AND(F885&gt;=601,F885&lt;=625),((F885/D885)*60)*1.2,AND(F885&gt;=626,F885&lt;=650),((F885/D885)*60)*1.5,F885&gt;=651,((F885/D885)*60)*1.8)</f>
        <v>1185</v>
      </c>
      <c r="AU885">
        <f t="shared" si="266"/>
        <v>30.799999999999997</v>
      </c>
      <c r="AV885">
        <f t="shared" si="284"/>
        <v>501.76000000000005</v>
      </c>
      <c r="AW885">
        <f t="shared" si="267"/>
        <v>80</v>
      </c>
      <c r="AX885" t="str">
        <f t="shared" si="240"/>
        <v>Dec-2025</v>
      </c>
      <c r="AY885">
        <f>ROUNDUP(Table2[[#This Row],[Month]]/3,0)</f>
        <v>4</v>
      </c>
    </row>
    <row r="886" spans="1:51" x14ac:dyDescent="0.2">
      <c r="A886">
        <v>885</v>
      </c>
      <c r="B886">
        <f t="shared" si="230"/>
        <v>11</v>
      </c>
      <c r="C886" s="22">
        <v>45995</v>
      </c>
      <c r="D886">
        <f>SUM(Table2[[#This Row],[Gray Min]:[Red Min]])</f>
        <v>64</v>
      </c>
      <c r="E886">
        <v>15</v>
      </c>
      <c r="F886">
        <v>675</v>
      </c>
      <c r="G886">
        <v>122</v>
      </c>
      <c r="H886">
        <v>166</v>
      </c>
      <c r="I886">
        <v>22</v>
      </c>
      <c r="J886">
        <v>12</v>
      </c>
      <c r="K886">
        <v>15</v>
      </c>
      <c r="L886">
        <v>12</v>
      </c>
      <c r="M886">
        <v>3</v>
      </c>
      <c r="N886" t="s">
        <v>297</v>
      </c>
      <c r="O886" t="s">
        <v>215</v>
      </c>
      <c r="P886" t="s">
        <v>298</v>
      </c>
      <c r="Q886">
        <f t="shared" si="285"/>
        <v>2</v>
      </c>
      <c r="R886" t="str">
        <f t="shared" si="286"/>
        <v>12-2025</v>
      </c>
      <c r="S886" t="s">
        <v>117</v>
      </c>
      <c r="T886" t="str">
        <f t="shared" si="287"/>
        <v>Thursday</v>
      </c>
      <c r="U886">
        <f t="shared" si="283"/>
        <v>1</v>
      </c>
      <c r="V886" s="24">
        <f>IFERROR(Table2[[#This Row],[Gray Min]]/Table2[[#This Row],[ClassLength]],"")</f>
        <v>0.34375</v>
      </c>
      <c r="W886" s="24">
        <f>IFERROR(Table2[[#This Row],[Blue Min]]/Table2[[#This Row],[ClassLength]],"")</f>
        <v>0.1875</v>
      </c>
      <c r="X886" s="24">
        <f>IFERROR(Table2[[#This Row],[Green Min]]/Table2[[#This Row],[ClassLength]],"")</f>
        <v>0.234375</v>
      </c>
      <c r="Y886" s="24">
        <f>IFERROR(Table2[[#This Row],[Orange Min]]/Table2[[#This Row],[ClassLength]],"")</f>
        <v>0.1875</v>
      </c>
      <c r="Z886" s="24">
        <f>IFERROR(Table2[[#This Row],[Red Min]]/Table2[[#This Row],[ClassLength]],"")</f>
        <v>4.6875E-2</v>
      </c>
      <c r="AA886" s="25">
        <v>139</v>
      </c>
      <c r="AB886" s="25">
        <f t="shared" si="255"/>
        <v>12.636363636363637</v>
      </c>
      <c r="AC886" s="26">
        <f t="shared" si="233"/>
        <v>645.36363636363637</v>
      </c>
      <c r="AD886" s="26">
        <f t="shared" si="234"/>
        <v>15.454545454545455</v>
      </c>
      <c r="AE886">
        <f t="shared" si="235"/>
        <v>2025</v>
      </c>
      <c r="AG886">
        <v>12</v>
      </c>
      <c r="AH886" s="26">
        <f t="shared" si="236"/>
        <v>10.546875</v>
      </c>
      <c r="AI886" t="str">
        <f t="shared" si="237"/>
        <v>PM</v>
      </c>
      <c r="AJ886" t="str">
        <f t="shared" si="238"/>
        <v>12-2025-1</v>
      </c>
      <c r="AK886">
        <f t="shared" si="239"/>
        <v>12</v>
      </c>
      <c r="AL886" s="26">
        <f>IFERROR(Table2[[#This Row],[Calories]]/Table2[[#This Row],[Splat]],"")</f>
        <v>45</v>
      </c>
      <c r="AM886">
        <f>COUNTIF(N$2:$N$938,N886)</f>
        <v>1</v>
      </c>
      <c r="AN886" t="str">
        <f>VLOOKUP(N886,'Helpful Tables'!A:D,4,FALSE)</f>
        <v>Oregon</v>
      </c>
      <c r="AO886" s="24">
        <f>COUNTIF(AN:AN,Table2[[#This Row],[State]])/COUNTA(AN:AN)</f>
        <v>0.36140724946695096</v>
      </c>
      <c r="AP886">
        <f>VLOOKUP(N886,'Helpful Tables'!A:B,2,FALSE)</f>
        <v>45.496704000000001</v>
      </c>
      <c r="AQ886">
        <f>VLOOKUP(N886,'Helpful Tables'!A:C,3,FALSE)</f>
        <v>-122.626322</v>
      </c>
      <c r="AR886">
        <f>COUNTIF(P$2:$P$938,P886)</f>
        <v>1</v>
      </c>
      <c r="AS886" cm="1">
        <f t="array" ref="AS886">_xlfn.IFS(E886&lt;6,((E886/D886)*60)*0.5,AND(E886&gt;=6,E886&lt;9),((E886/D886)*60)*0.75,AND(E886&gt;=9,E886&lt;=11),((E886/D886)*60)*0.9,AND(E886=12),((E886/D886)*60)*1,AND(E886&gt;=13,E886&lt;=15),((E886/D886)*60)*1.2,AND(E886&gt;=16,E886&lt;=19),((E886/D886)*60)*1.5,E886&gt;=20,((E886/D886)*60)*1.8)</f>
        <v>16.875</v>
      </c>
      <c r="AT886" cm="1">
        <f t="array" ref="AT886">_xlfn.IFS(F886&lt;550,((F886/D886)*60)*0.5,AND(F886&gt;=550,F886&lt;575),((F886/D886)*60)*0.75,AND(F886&gt;=575,F886&lt;600),((F886/D886)*60)*0.9,AND(F886=600),((F886/D886)*60)*1,AND(F886&gt;=601,F886&lt;=625),((F886/D886)*60)*1.2,AND(F886&gt;=626,F886&lt;=650),((F886/D886)*60)*1.5,F886&gt;=651,((F886/D886)*60)*1.8)</f>
        <v>1139.0625</v>
      </c>
      <c r="AU886">
        <f t="shared" si="266"/>
        <v>-1.5</v>
      </c>
      <c r="AV886">
        <f t="shared" si="284"/>
        <v>462.07499999999999</v>
      </c>
      <c r="AW886">
        <f t="shared" si="267"/>
        <v>66.400000000000006</v>
      </c>
      <c r="AX886" t="str">
        <f t="shared" si="240"/>
        <v>Dec-2025</v>
      </c>
      <c r="AY886">
        <f>ROUNDUP(Table2[[#This Row],[Month]]/3,0)</f>
        <v>4</v>
      </c>
    </row>
    <row r="887" spans="1:51" x14ac:dyDescent="0.2">
      <c r="A887">
        <v>886</v>
      </c>
      <c r="B887">
        <f t="shared" si="230"/>
        <v>11</v>
      </c>
      <c r="C887" s="22">
        <v>45997</v>
      </c>
      <c r="D887">
        <f>SUM(Table2[[#This Row],[Gray Min]:[Red Min]])</f>
        <v>55</v>
      </c>
      <c r="E887">
        <v>16</v>
      </c>
      <c r="F887">
        <v>626</v>
      </c>
      <c r="G887">
        <v>126</v>
      </c>
      <c r="H887">
        <v>168</v>
      </c>
      <c r="I887">
        <v>14</v>
      </c>
      <c r="J887">
        <v>13</v>
      </c>
      <c r="K887">
        <v>12</v>
      </c>
      <c r="L887">
        <v>14</v>
      </c>
      <c r="M887">
        <v>2</v>
      </c>
      <c r="N887" t="s">
        <v>208</v>
      </c>
      <c r="O887" t="s">
        <v>76</v>
      </c>
      <c r="P887" t="s">
        <v>213</v>
      </c>
      <c r="Q887">
        <f t="shared" si="285"/>
        <v>2</v>
      </c>
      <c r="R887" t="str">
        <f t="shared" si="286"/>
        <v>12-2025</v>
      </c>
      <c r="S887" t="s">
        <v>104</v>
      </c>
      <c r="T887" t="str">
        <f t="shared" si="287"/>
        <v>Saturday</v>
      </c>
      <c r="U887">
        <f t="shared" ref="U887:U892" si="288">IF(E887&gt;=12,1,0)</f>
        <v>1</v>
      </c>
      <c r="V887" s="24">
        <f>IFERROR(Table2[[#This Row],[Gray Min]]/Table2[[#This Row],[ClassLength]],"")</f>
        <v>0.25454545454545452</v>
      </c>
      <c r="W887" s="24">
        <f>IFERROR(Table2[[#This Row],[Blue Min]]/Table2[[#This Row],[ClassLength]],"")</f>
        <v>0.23636363636363636</v>
      </c>
      <c r="X887" s="24">
        <f>IFERROR(Table2[[#This Row],[Green Min]]/Table2[[#This Row],[ClassLength]],"")</f>
        <v>0.21818181818181817</v>
      </c>
      <c r="Y887" s="24">
        <f>IFERROR(Table2[[#This Row],[Orange Min]]/Table2[[#This Row],[ClassLength]],"")</f>
        <v>0.25454545454545452</v>
      </c>
      <c r="Z887" s="24">
        <f>IFERROR(Table2[[#This Row],[Red Min]]/Table2[[#This Row],[ClassLength]],"")</f>
        <v>3.6363636363636362E-2</v>
      </c>
      <c r="AA887" s="25">
        <v>139</v>
      </c>
      <c r="AB887" s="25">
        <f t="shared" si="255"/>
        <v>12.636363636363637</v>
      </c>
      <c r="AC887" s="26">
        <f t="shared" si="233"/>
        <v>645.36363636363637</v>
      </c>
      <c r="AD887" s="26">
        <f t="shared" si="234"/>
        <v>15.454545454545455</v>
      </c>
      <c r="AE887">
        <f t="shared" si="235"/>
        <v>2025</v>
      </c>
      <c r="AG887">
        <v>12</v>
      </c>
      <c r="AH887" s="26">
        <f t="shared" si="236"/>
        <v>11.381818181818181</v>
      </c>
      <c r="AI887" t="str">
        <f t="shared" si="237"/>
        <v>AM</v>
      </c>
      <c r="AJ887" t="str">
        <f t="shared" si="238"/>
        <v>12-2025-1</v>
      </c>
      <c r="AK887">
        <f t="shared" si="239"/>
        <v>12</v>
      </c>
      <c r="AL887" s="26">
        <f>IFERROR(Table2[[#This Row],[Calories]]/Table2[[#This Row],[Splat]],"")</f>
        <v>39.125</v>
      </c>
      <c r="AM887">
        <f>COUNTIF(N$2:$N$938,N887)</f>
        <v>78</v>
      </c>
      <c r="AN887" t="str">
        <f>VLOOKUP(N887,'Helpful Tables'!A:D,4,FALSE)</f>
        <v>Oregon</v>
      </c>
      <c r="AO887" s="24">
        <f>COUNTIF(AN:AN,Table2[[#This Row],[State]])/COUNTA(AN:AN)</f>
        <v>0.36140724946695096</v>
      </c>
      <c r="AP887">
        <f>VLOOKUP(N887,'Helpful Tables'!A:B,2,FALSE)</f>
        <v>45.525092999999998</v>
      </c>
      <c r="AQ887">
        <f>VLOOKUP(N887,'Helpful Tables'!A:C,3,FALSE)</f>
        <v>-122.681383</v>
      </c>
      <c r="AR887">
        <f>COUNTIF(P$2:$P$938,P887)</f>
        <v>40</v>
      </c>
      <c r="AS887" cm="1">
        <f t="array" ref="AS887">_xlfn.IFS(E887&lt;6,((E887/D887)*60)*0.5,AND(E887&gt;=6,E887&lt;9),((E887/D887)*60)*0.75,AND(E887&gt;=9,E887&lt;=11),((E887/D887)*60)*0.9,AND(E887=12),((E887/D887)*60)*1,AND(E887&gt;=13,E887&lt;=15),((E887/D887)*60)*1.2,AND(E887&gt;=16,E887&lt;=19),((E887/D887)*60)*1.5,E887&gt;=20,((E887/D887)*60)*1.8)</f>
        <v>26.18181818181818</v>
      </c>
      <c r="AT887" cm="1">
        <f t="array" ref="AT887">_xlfn.IFS(F887&lt;550,((F887/D887)*60)*0.5,AND(F887&gt;=550,F887&lt;575),((F887/D887)*60)*0.75,AND(F887&gt;=575,F887&lt;600),((F887/D887)*60)*0.9,AND(F887=600),((F887/D887)*60)*1,AND(F887&gt;=601,F887&lt;=625),((F887/D887)*60)*1.2,AND(F887&gt;=626,F887&lt;=650),((F887/D887)*60)*1.5,F887&gt;=651,((F887/D887)*60)*1.8)</f>
        <v>1024.3636363636363</v>
      </c>
      <c r="AU887">
        <f t="shared" si="266"/>
        <v>4.4999999999999964</v>
      </c>
      <c r="AV887">
        <f t="shared" ref="AV887:AV892" si="289">(AS887*0.4)+(AT887*0.4)+(AU887*0.2)</f>
        <v>421.11818181818182</v>
      </c>
      <c r="AW887">
        <f t="shared" si="267"/>
        <v>62.1</v>
      </c>
      <c r="AX887" t="str">
        <f t="shared" si="240"/>
        <v>Dec-2025</v>
      </c>
      <c r="AY887">
        <f>ROUNDUP(Table2[[#This Row],[Month]]/3,0)</f>
        <v>4</v>
      </c>
    </row>
    <row r="888" spans="1:51" x14ac:dyDescent="0.2">
      <c r="A888">
        <v>887</v>
      </c>
      <c r="B888">
        <f t="shared" si="230"/>
        <v>11</v>
      </c>
      <c r="C888" s="22">
        <v>45999</v>
      </c>
      <c r="D888">
        <f>SUM(Table2[[#This Row],[Gray Min]:[Red Min]])</f>
        <v>62</v>
      </c>
      <c r="E888">
        <v>20</v>
      </c>
      <c r="F888">
        <v>703</v>
      </c>
      <c r="G888">
        <v>127</v>
      </c>
      <c r="H888">
        <v>172</v>
      </c>
      <c r="I888">
        <v>13</v>
      </c>
      <c r="J888">
        <v>16</v>
      </c>
      <c r="K888">
        <v>13</v>
      </c>
      <c r="L888">
        <v>18</v>
      </c>
      <c r="M888">
        <v>2</v>
      </c>
      <c r="N888" t="s">
        <v>125</v>
      </c>
      <c r="O888" t="s">
        <v>127</v>
      </c>
      <c r="P888" t="s">
        <v>238</v>
      </c>
      <c r="Q888">
        <f t="shared" si="285"/>
        <v>2</v>
      </c>
      <c r="R888" t="str">
        <f t="shared" si="286"/>
        <v>12-2025</v>
      </c>
      <c r="S888" t="s">
        <v>104</v>
      </c>
      <c r="T888" t="str">
        <f t="shared" si="287"/>
        <v>Monday</v>
      </c>
      <c r="U888">
        <f t="shared" si="288"/>
        <v>1</v>
      </c>
      <c r="V888" s="24">
        <f>IFERROR(Table2[[#This Row],[Gray Min]]/Table2[[#This Row],[ClassLength]],"")</f>
        <v>0.20967741935483872</v>
      </c>
      <c r="W888" s="24">
        <f>IFERROR(Table2[[#This Row],[Blue Min]]/Table2[[#This Row],[ClassLength]],"")</f>
        <v>0.25806451612903225</v>
      </c>
      <c r="X888" s="24">
        <f>IFERROR(Table2[[#This Row],[Green Min]]/Table2[[#This Row],[ClassLength]],"")</f>
        <v>0.20967741935483872</v>
      </c>
      <c r="Y888" s="24">
        <f>IFERROR(Table2[[#This Row],[Orange Min]]/Table2[[#This Row],[ClassLength]],"")</f>
        <v>0.29032258064516131</v>
      </c>
      <c r="Z888" s="24">
        <f>IFERROR(Table2[[#This Row],[Red Min]]/Table2[[#This Row],[ClassLength]],"")</f>
        <v>3.2258064516129031E-2</v>
      </c>
      <c r="AA888" s="25">
        <v>139</v>
      </c>
      <c r="AB888" s="25">
        <f t="shared" si="255"/>
        <v>12.636363636363637</v>
      </c>
      <c r="AC888" s="26">
        <f t="shared" si="233"/>
        <v>645.36363636363637</v>
      </c>
      <c r="AD888" s="26">
        <f t="shared" si="234"/>
        <v>15.454545454545455</v>
      </c>
      <c r="AE888">
        <f t="shared" si="235"/>
        <v>2025</v>
      </c>
      <c r="AG888">
        <v>12</v>
      </c>
      <c r="AH888" s="26">
        <f t="shared" si="236"/>
        <v>11.338709677419354</v>
      </c>
      <c r="AI888" t="str">
        <f t="shared" si="237"/>
        <v>PM</v>
      </c>
      <c r="AJ888" t="str">
        <f t="shared" si="238"/>
        <v>12-2025-2</v>
      </c>
      <c r="AK888">
        <f t="shared" si="239"/>
        <v>12</v>
      </c>
      <c r="AL888" s="26">
        <f>IFERROR(Table2[[#This Row],[Calories]]/Table2[[#This Row],[Splat]],"")</f>
        <v>35.15</v>
      </c>
      <c r="AM888">
        <f>COUNTIF(N$2:$N$938,N888)</f>
        <v>258</v>
      </c>
      <c r="AN888" t="str">
        <f>VLOOKUP(N888,'Helpful Tables'!A:D,4,FALSE)</f>
        <v>Oregon</v>
      </c>
      <c r="AO888" s="24">
        <f>COUNTIF(AN:AN,Table2[[#This Row],[State]])/COUNTA(AN:AN)</f>
        <v>0.36140724946695096</v>
      </c>
      <c r="AP888">
        <f>VLOOKUP(N888,'Helpful Tables'!A:B,2,FALSE)</f>
        <v>45.534162000000002</v>
      </c>
      <c r="AQ888">
        <f>VLOOKUP(N888,'Helpful Tables'!A:C,3,FALSE)</f>
        <v>-122.69670000000001</v>
      </c>
      <c r="AR888">
        <f>COUNTIF(P$2:$P$938,P888)</f>
        <v>25</v>
      </c>
      <c r="AS888" cm="1">
        <f t="array" ref="AS888">_xlfn.IFS(E888&lt;6,((E888/D888)*60)*0.5,AND(E888&gt;=6,E888&lt;9),((E888/D888)*60)*0.75,AND(E888&gt;=9,E888&lt;=11),((E888/D888)*60)*0.9,AND(E888=12),((E888/D888)*60)*1,AND(E888&gt;=13,E888&lt;=15),((E888/D888)*60)*1.2,AND(E888&gt;=16,E888&lt;=19),((E888/D888)*60)*1.5,E888&gt;=20,((E888/D888)*60)*1.8)</f>
        <v>34.838709677419359</v>
      </c>
      <c r="AT888" cm="1">
        <f t="array" ref="AT888">_xlfn.IFS(F888&lt;550,((F888/D888)*60)*0.5,AND(F888&gt;=550,F888&lt;575),((F888/D888)*60)*0.75,AND(F888&gt;=575,F888&lt;600),((F888/D888)*60)*0.9,AND(F888=600),((F888/D888)*60)*1,AND(F888&gt;=601,F888&lt;=625),((F888/D888)*60)*1.2,AND(F888&gt;=626,F888&lt;=650),((F888/D888)*60)*1.5,F888&gt;=651,((F888/D888)*60)*1.8)</f>
        <v>1224.5806451612902</v>
      </c>
      <c r="AU888">
        <f t="shared" si="266"/>
        <v>8.8000000000000007</v>
      </c>
      <c r="AV888">
        <f t="shared" si="289"/>
        <v>505.52774193548385</v>
      </c>
      <c r="AW888">
        <f t="shared" si="267"/>
        <v>82.8</v>
      </c>
      <c r="AX888" t="str">
        <f t="shared" si="240"/>
        <v>Dec-2025</v>
      </c>
      <c r="AY888">
        <f>ROUNDUP(Table2[[#This Row],[Month]]/3,0)</f>
        <v>4</v>
      </c>
    </row>
    <row r="889" spans="1:51" x14ac:dyDescent="0.2">
      <c r="A889">
        <v>888</v>
      </c>
      <c r="B889">
        <f t="shared" si="230"/>
        <v>11</v>
      </c>
      <c r="C889" s="22">
        <v>46001</v>
      </c>
      <c r="D889">
        <f>SUM(Table2[[#This Row],[Gray Min]:[Red Min]])</f>
        <v>60</v>
      </c>
      <c r="E889">
        <v>13</v>
      </c>
      <c r="F889">
        <v>632</v>
      </c>
      <c r="G889">
        <v>123</v>
      </c>
      <c r="H889">
        <v>161</v>
      </c>
      <c r="I889">
        <v>17</v>
      </c>
      <c r="J889">
        <v>16</v>
      </c>
      <c r="K889">
        <v>14</v>
      </c>
      <c r="L889">
        <v>13</v>
      </c>
      <c r="M889">
        <v>0</v>
      </c>
      <c r="N889" t="s">
        <v>125</v>
      </c>
      <c r="O889" t="s">
        <v>127</v>
      </c>
      <c r="P889" t="s">
        <v>283</v>
      </c>
      <c r="Q889">
        <f t="shared" ref="Q889:Q894" si="290">C889-C888</f>
        <v>2</v>
      </c>
      <c r="R889" t="str">
        <f t="shared" ref="R889:R894" si="291">MONTH(C889)&amp;"-"&amp;YEAR(C889)</f>
        <v>12-2025</v>
      </c>
      <c r="S889" t="s">
        <v>104</v>
      </c>
      <c r="T889" t="str">
        <f t="shared" ref="T889:T894" si="292">IF(WEEKDAY(C889)=1,"Sunday",IF(WEEKDAY(C889)=2,"Monday",IF(WEEKDAY(C889)=3,"Tuesday",IF(WEEKDAY(C889)=4,"Wednesday",IF(WEEKDAY(C889)=5,"Thursday",IF(WEEKDAY(C889)=6,"Friday","Saturday"))))))</f>
        <v>Wednesday</v>
      </c>
      <c r="U889">
        <f t="shared" si="288"/>
        <v>1</v>
      </c>
      <c r="V889" s="24">
        <f>IFERROR(Table2[[#This Row],[Gray Min]]/Table2[[#This Row],[ClassLength]],"")</f>
        <v>0.28333333333333333</v>
      </c>
      <c r="W889" s="24">
        <f>IFERROR(Table2[[#This Row],[Blue Min]]/Table2[[#This Row],[ClassLength]],"")</f>
        <v>0.26666666666666666</v>
      </c>
      <c r="X889" s="24">
        <f>IFERROR(Table2[[#This Row],[Green Min]]/Table2[[#This Row],[ClassLength]],"")</f>
        <v>0.23333333333333334</v>
      </c>
      <c r="Y889" s="24">
        <f>IFERROR(Table2[[#This Row],[Orange Min]]/Table2[[#This Row],[ClassLength]],"")</f>
        <v>0.21666666666666667</v>
      </c>
      <c r="Z889" s="24">
        <f>IFERROR(Table2[[#This Row],[Red Min]]/Table2[[#This Row],[ClassLength]],"")</f>
        <v>0</v>
      </c>
      <c r="AA889" s="25">
        <v>139</v>
      </c>
      <c r="AB889" s="25">
        <f t="shared" si="255"/>
        <v>12.636363636363637</v>
      </c>
      <c r="AC889" s="26">
        <f t="shared" si="233"/>
        <v>645.36363636363637</v>
      </c>
      <c r="AD889" s="26">
        <f t="shared" si="234"/>
        <v>15.454545454545455</v>
      </c>
      <c r="AE889">
        <f t="shared" si="235"/>
        <v>2025</v>
      </c>
      <c r="AG889">
        <v>12</v>
      </c>
      <c r="AH889" s="26">
        <f t="shared" si="236"/>
        <v>10.533333333333333</v>
      </c>
      <c r="AI889" t="str">
        <f t="shared" si="237"/>
        <v>PM</v>
      </c>
      <c r="AJ889" t="str">
        <f t="shared" si="238"/>
        <v>12-2025-2</v>
      </c>
      <c r="AK889">
        <f t="shared" si="239"/>
        <v>12</v>
      </c>
      <c r="AL889" s="26">
        <f>IFERROR(Table2[[#This Row],[Calories]]/Table2[[#This Row],[Splat]],"")</f>
        <v>48.615384615384613</v>
      </c>
      <c r="AM889">
        <f>COUNTIF(N$2:$N$938,N889)</f>
        <v>258</v>
      </c>
      <c r="AN889" t="str">
        <f>VLOOKUP(N889,'Helpful Tables'!A:D,4,FALSE)</f>
        <v>Oregon</v>
      </c>
      <c r="AO889" s="24">
        <f>COUNTIF(AN:AN,Table2[[#This Row],[State]])/COUNTA(AN:AN)</f>
        <v>0.36140724946695096</v>
      </c>
      <c r="AP889">
        <f>VLOOKUP(N889,'Helpful Tables'!A:B,2,FALSE)</f>
        <v>45.534162000000002</v>
      </c>
      <c r="AQ889">
        <f>VLOOKUP(N889,'Helpful Tables'!A:C,3,FALSE)</f>
        <v>-122.69670000000001</v>
      </c>
      <c r="AR889">
        <f>COUNTIF(P$2:$P$938,P889)</f>
        <v>3</v>
      </c>
      <c r="AS889" cm="1">
        <f t="array" ref="AS889">_xlfn.IFS(E889&lt;6,((E889/D889)*60)*0.5,AND(E889&gt;=6,E889&lt;9),((E889/D889)*60)*0.75,AND(E889&gt;=9,E889&lt;=11),((E889/D889)*60)*0.9,AND(E889=12),((E889/D889)*60)*1,AND(E889&gt;=13,E889&lt;=15),((E889/D889)*60)*1.2,AND(E889&gt;=16,E889&lt;=19),((E889/D889)*60)*1.5,E889&gt;=20,((E889/D889)*60)*1.8)</f>
        <v>15.6</v>
      </c>
      <c r="AT889" cm="1">
        <f t="array" ref="AT889">_xlfn.IFS(F889&lt;550,((F889/D889)*60)*0.5,AND(F889&gt;=550,F889&lt;575),((F889/D889)*60)*0.75,AND(F889&gt;=575,F889&lt;600),((F889/D889)*60)*0.9,AND(F889=600),((F889/D889)*60)*1,AND(F889&gt;=601,F889&lt;=625),((F889/D889)*60)*1.2,AND(F889&gt;=626,F889&lt;=650),((F889/D889)*60)*1.5,F889&gt;=651,((F889/D889)*60)*1.8)</f>
        <v>948</v>
      </c>
      <c r="AU889">
        <f t="shared" si="266"/>
        <v>-4.2999999999999972</v>
      </c>
      <c r="AV889">
        <f t="shared" si="289"/>
        <v>384.58000000000004</v>
      </c>
      <c r="AW889">
        <f t="shared" si="267"/>
        <v>46.7</v>
      </c>
      <c r="AX889" t="str">
        <f t="shared" si="240"/>
        <v>Dec-2025</v>
      </c>
      <c r="AY889">
        <f>ROUNDUP(Table2[[#This Row],[Month]]/3,0)</f>
        <v>4</v>
      </c>
    </row>
    <row r="890" spans="1:51" x14ac:dyDescent="0.2">
      <c r="A890">
        <v>889</v>
      </c>
      <c r="B890">
        <f t="shared" si="230"/>
        <v>11</v>
      </c>
      <c r="C890" s="22">
        <v>46003</v>
      </c>
      <c r="D890">
        <f>SUM(Table2[[#This Row],[Gray Min]:[Red Min]])</f>
        <v>63</v>
      </c>
      <c r="E890">
        <v>12</v>
      </c>
      <c r="F890">
        <v>641</v>
      </c>
      <c r="G890">
        <v>120</v>
      </c>
      <c r="H890">
        <v>160</v>
      </c>
      <c r="I890">
        <v>26</v>
      </c>
      <c r="J890">
        <v>8</v>
      </c>
      <c r="K890">
        <v>17</v>
      </c>
      <c r="L890">
        <v>12</v>
      </c>
      <c r="M890">
        <v>0</v>
      </c>
      <c r="N890" t="s">
        <v>125</v>
      </c>
      <c r="O890" t="s">
        <v>127</v>
      </c>
      <c r="P890" t="s">
        <v>281</v>
      </c>
      <c r="Q890">
        <f t="shared" si="290"/>
        <v>2</v>
      </c>
      <c r="R890" t="str">
        <f t="shared" si="291"/>
        <v>12-2025</v>
      </c>
      <c r="S890" t="s">
        <v>104</v>
      </c>
      <c r="T890" t="str">
        <f t="shared" si="292"/>
        <v>Friday</v>
      </c>
      <c r="U890">
        <f t="shared" si="288"/>
        <v>1</v>
      </c>
      <c r="V890" s="24">
        <f>IFERROR(Table2[[#This Row],[Gray Min]]/Table2[[#This Row],[ClassLength]],"")</f>
        <v>0.41269841269841268</v>
      </c>
      <c r="W890" s="24">
        <f>IFERROR(Table2[[#This Row],[Blue Min]]/Table2[[#This Row],[ClassLength]],"")</f>
        <v>0.12698412698412698</v>
      </c>
      <c r="X890" s="24">
        <f>IFERROR(Table2[[#This Row],[Green Min]]/Table2[[#This Row],[ClassLength]],"")</f>
        <v>0.26984126984126983</v>
      </c>
      <c r="Y890" s="24">
        <f>IFERROR(Table2[[#This Row],[Orange Min]]/Table2[[#This Row],[ClassLength]],"")</f>
        <v>0.19047619047619047</v>
      </c>
      <c r="Z890" s="24">
        <f>IFERROR(Table2[[#This Row],[Red Min]]/Table2[[#This Row],[ClassLength]],"")</f>
        <v>0</v>
      </c>
      <c r="AA890" s="25">
        <v>139</v>
      </c>
      <c r="AB890" s="25">
        <f t="shared" si="255"/>
        <v>12.636363636363637</v>
      </c>
      <c r="AC890" s="26">
        <f t="shared" si="233"/>
        <v>645.36363636363637</v>
      </c>
      <c r="AD890" s="26">
        <f t="shared" si="234"/>
        <v>15.454545454545455</v>
      </c>
      <c r="AE890">
        <f t="shared" si="235"/>
        <v>2025</v>
      </c>
      <c r="AG890">
        <v>12</v>
      </c>
      <c r="AH890" s="26">
        <f t="shared" si="236"/>
        <v>10.174603174603174</v>
      </c>
      <c r="AI890" t="str">
        <f t="shared" si="237"/>
        <v>PM</v>
      </c>
      <c r="AJ890" t="str">
        <f t="shared" si="238"/>
        <v>12-2025-2</v>
      </c>
      <c r="AK890">
        <f t="shared" si="239"/>
        <v>12</v>
      </c>
      <c r="AL890" s="26">
        <f>IFERROR(Table2[[#This Row],[Calories]]/Table2[[#This Row],[Splat]],"")</f>
        <v>53.416666666666664</v>
      </c>
      <c r="AM890">
        <f>COUNTIF(N$2:$N$938,N890)</f>
        <v>258</v>
      </c>
      <c r="AN890" t="str">
        <f>VLOOKUP(N890,'Helpful Tables'!A:D,4,FALSE)</f>
        <v>Oregon</v>
      </c>
      <c r="AO890" s="24">
        <f>COUNTIF(AN:AN,Table2[[#This Row],[State]])/COUNTA(AN:AN)</f>
        <v>0.36140724946695096</v>
      </c>
      <c r="AP890">
        <f>VLOOKUP(N890,'Helpful Tables'!A:B,2,FALSE)</f>
        <v>45.534162000000002</v>
      </c>
      <c r="AQ890">
        <f>VLOOKUP(N890,'Helpful Tables'!A:C,3,FALSE)</f>
        <v>-122.69670000000001</v>
      </c>
      <c r="AR890">
        <f>COUNTIF(P$2:$P$938,P890)</f>
        <v>41</v>
      </c>
      <c r="AS890" cm="1">
        <f t="array" ref="AS890">_xlfn.IFS(E890&lt;6,((E890/D890)*60)*0.5,AND(E890&gt;=6,E890&lt;9),((E890/D890)*60)*0.75,AND(E890&gt;=9,E890&lt;=11),((E890/D890)*60)*0.9,AND(E890=12),((E890/D890)*60)*1,AND(E890&gt;=13,E890&lt;=15),((E890/D890)*60)*1.2,AND(E890&gt;=16,E890&lt;=19),((E890/D890)*60)*1.5,E890&gt;=20,((E890/D890)*60)*1.8)</f>
        <v>11.428571428571427</v>
      </c>
      <c r="AT890" cm="1">
        <f t="array" ref="AT890">_xlfn.IFS(F890&lt;550,((F890/D890)*60)*0.5,AND(F890&gt;=550,F890&lt;575),((F890/D890)*60)*0.75,AND(F890&gt;=575,F890&lt;600),((F890/D890)*60)*0.9,AND(F890=600),((F890/D890)*60)*1,AND(F890&gt;=601,F890&lt;=625),((F890/D890)*60)*1.2,AND(F890&gt;=626,F890&lt;=650),((F890/D890)*60)*1.5,F890&gt;=651,((F890/D890)*60)*1.8)</f>
        <v>915.71428571428578</v>
      </c>
      <c r="AU890">
        <f t="shared" si="266"/>
        <v>-4</v>
      </c>
      <c r="AV890">
        <f t="shared" si="289"/>
        <v>370.05714285714288</v>
      </c>
      <c r="AW890">
        <f t="shared" si="267"/>
        <v>43.3</v>
      </c>
      <c r="AX890" t="str">
        <f t="shared" si="240"/>
        <v>Dec-2025</v>
      </c>
      <c r="AY890">
        <f>ROUNDUP(Table2[[#This Row],[Month]]/3,0)</f>
        <v>4</v>
      </c>
    </row>
    <row r="891" spans="1:51" x14ac:dyDescent="0.2">
      <c r="A891">
        <v>890</v>
      </c>
      <c r="B891">
        <f t="shared" si="230"/>
        <v>11</v>
      </c>
      <c r="C891" s="22">
        <v>46005</v>
      </c>
      <c r="D891">
        <f>SUM(Table2[[#This Row],[Gray Min]:[Red Min]])</f>
        <v>59</v>
      </c>
      <c r="E891">
        <v>17</v>
      </c>
      <c r="F891">
        <v>620</v>
      </c>
      <c r="G891">
        <v>123</v>
      </c>
      <c r="H891">
        <v>168</v>
      </c>
      <c r="I891">
        <v>20</v>
      </c>
      <c r="J891">
        <v>12</v>
      </c>
      <c r="K891">
        <v>10</v>
      </c>
      <c r="L891">
        <v>16</v>
      </c>
      <c r="M891">
        <v>1</v>
      </c>
      <c r="N891" t="s">
        <v>208</v>
      </c>
      <c r="O891" t="s">
        <v>76</v>
      </c>
      <c r="P891" t="s">
        <v>299</v>
      </c>
      <c r="Q891">
        <f t="shared" si="290"/>
        <v>2</v>
      </c>
      <c r="R891" t="str">
        <f t="shared" si="291"/>
        <v>12-2025</v>
      </c>
      <c r="S891" t="s">
        <v>104</v>
      </c>
      <c r="T891" t="str">
        <f t="shared" si="292"/>
        <v>Sunday</v>
      </c>
      <c r="U891">
        <f t="shared" si="288"/>
        <v>1</v>
      </c>
      <c r="V891" s="24">
        <f>IFERROR(Table2[[#This Row],[Gray Min]]/Table2[[#This Row],[ClassLength]],"")</f>
        <v>0.33898305084745761</v>
      </c>
      <c r="W891" s="24">
        <f>IFERROR(Table2[[#This Row],[Blue Min]]/Table2[[#This Row],[ClassLength]],"")</f>
        <v>0.20338983050847459</v>
      </c>
      <c r="X891" s="24">
        <f>IFERROR(Table2[[#This Row],[Green Min]]/Table2[[#This Row],[ClassLength]],"")</f>
        <v>0.16949152542372881</v>
      </c>
      <c r="Y891" s="24">
        <f>IFERROR(Table2[[#This Row],[Orange Min]]/Table2[[#This Row],[ClassLength]],"")</f>
        <v>0.2711864406779661</v>
      </c>
      <c r="Z891" s="24">
        <f>IFERROR(Table2[[#This Row],[Red Min]]/Table2[[#This Row],[ClassLength]],"")</f>
        <v>1.6949152542372881E-2</v>
      </c>
      <c r="AA891" s="25">
        <v>139</v>
      </c>
      <c r="AB891" s="25">
        <f t="shared" si="255"/>
        <v>12.636363636363637</v>
      </c>
      <c r="AC891" s="26">
        <f t="shared" si="233"/>
        <v>645.36363636363637</v>
      </c>
      <c r="AD891" s="26">
        <f t="shared" si="234"/>
        <v>15.454545454545455</v>
      </c>
      <c r="AE891">
        <f t="shared" si="235"/>
        <v>2025</v>
      </c>
      <c r="AG891">
        <v>12</v>
      </c>
      <c r="AH891" s="26">
        <f t="shared" si="236"/>
        <v>10.508474576271187</v>
      </c>
      <c r="AI891" t="str">
        <f t="shared" si="237"/>
        <v>AM</v>
      </c>
      <c r="AJ891" t="str">
        <f t="shared" si="238"/>
        <v>12-2025-3</v>
      </c>
      <c r="AK891">
        <f t="shared" si="239"/>
        <v>12</v>
      </c>
      <c r="AL891" s="26">
        <f>IFERROR(Table2[[#This Row],[Calories]]/Table2[[#This Row],[Splat]],"")</f>
        <v>36.470588235294116</v>
      </c>
      <c r="AM891">
        <f>COUNTIF(N$2:$N$938,N891)</f>
        <v>78</v>
      </c>
      <c r="AN891" t="str">
        <f>VLOOKUP(N891,'Helpful Tables'!A:D,4,FALSE)</f>
        <v>Oregon</v>
      </c>
      <c r="AO891" s="24">
        <f>COUNTIF(AN:AN,Table2[[#This Row],[State]])/COUNTA(AN:AN)</f>
        <v>0.36140724946695096</v>
      </c>
      <c r="AP891">
        <f>VLOOKUP(N891,'Helpful Tables'!A:B,2,FALSE)</f>
        <v>45.525092999999998</v>
      </c>
      <c r="AQ891">
        <f>VLOOKUP(N891,'Helpful Tables'!A:C,3,FALSE)</f>
        <v>-122.681383</v>
      </c>
      <c r="AR891">
        <f>COUNTIF(P$2:$P$938,P891)</f>
        <v>1</v>
      </c>
      <c r="AS891" cm="1">
        <f t="array" ref="AS891">_xlfn.IFS(E891&lt;6,((E891/D891)*60)*0.5,AND(E891&gt;=6,E891&lt;9),((E891/D891)*60)*0.75,AND(E891&gt;=9,E891&lt;=11),((E891/D891)*60)*0.9,AND(E891=12),((E891/D891)*60)*1,AND(E891&gt;=13,E891&lt;=15),((E891/D891)*60)*1.2,AND(E891&gt;=16,E891&lt;=19),((E891/D891)*60)*1.5,E891&gt;=20,((E891/D891)*60)*1.8)</f>
        <v>25.932203389830509</v>
      </c>
      <c r="AT891" cm="1">
        <f t="array" ref="AT891">_xlfn.IFS(F891&lt;550,((F891/D891)*60)*0.5,AND(F891&gt;=550,F891&lt;575),((F891/D891)*60)*0.75,AND(F891&gt;=575,F891&lt;600),((F891/D891)*60)*0.9,AND(F891=600),((F891/D891)*60)*1,AND(F891&gt;=601,F891&lt;=625),((F891/D891)*60)*1.2,AND(F891&gt;=626,F891&lt;=650),((F891/D891)*60)*1.5,F891&gt;=651,((F891/D891)*60)*1.8)</f>
        <v>756.61016949152543</v>
      </c>
      <c r="AU891">
        <f t="shared" si="266"/>
        <v>-2.9000000000000021</v>
      </c>
      <c r="AV891">
        <f t="shared" si="289"/>
        <v>312.43694915254235</v>
      </c>
      <c r="AW891">
        <f t="shared" si="267"/>
        <v>32.5</v>
      </c>
      <c r="AX891" t="str">
        <f t="shared" si="240"/>
        <v>Dec-2025</v>
      </c>
      <c r="AY891">
        <f>ROUNDUP(Table2[[#This Row],[Month]]/3,0)</f>
        <v>4</v>
      </c>
    </row>
    <row r="892" spans="1:51" x14ac:dyDescent="0.2">
      <c r="A892">
        <v>891</v>
      </c>
      <c r="B892">
        <f t="shared" si="230"/>
        <v>11</v>
      </c>
      <c r="C892" s="22">
        <v>46007</v>
      </c>
      <c r="D892">
        <f>SUM(Table2[[#This Row],[Gray Min]:[Red Min]])</f>
        <v>60</v>
      </c>
      <c r="E892">
        <v>6</v>
      </c>
      <c r="F892">
        <v>543</v>
      </c>
      <c r="G892">
        <v>112</v>
      </c>
      <c r="H892">
        <v>161</v>
      </c>
      <c r="I892">
        <v>31</v>
      </c>
      <c r="J892">
        <v>13</v>
      </c>
      <c r="K892">
        <v>10</v>
      </c>
      <c r="L892">
        <v>6</v>
      </c>
      <c r="M892">
        <v>0</v>
      </c>
      <c r="N892" t="s">
        <v>208</v>
      </c>
      <c r="O892" t="s">
        <v>53</v>
      </c>
      <c r="P892" t="s">
        <v>300</v>
      </c>
      <c r="Q892">
        <f t="shared" si="290"/>
        <v>2</v>
      </c>
      <c r="R892" t="str">
        <f t="shared" si="291"/>
        <v>12-2025</v>
      </c>
      <c r="S892" t="s">
        <v>104</v>
      </c>
      <c r="T892" t="str">
        <f t="shared" si="292"/>
        <v>Tuesday</v>
      </c>
      <c r="U892">
        <f t="shared" si="288"/>
        <v>0</v>
      </c>
      <c r="V892" s="24">
        <f>IFERROR(Table2[[#This Row],[Gray Min]]/Table2[[#This Row],[ClassLength]],"")</f>
        <v>0.51666666666666672</v>
      </c>
      <c r="W892" s="24">
        <f>IFERROR(Table2[[#This Row],[Blue Min]]/Table2[[#This Row],[ClassLength]],"")</f>
        <v>0.21666666666666667</v>
      </c>
      <c r="X892" s="24">
        <f>IFERROR(Table2[[#This Row],[Green Min]]/Table2[[#This Row],[ClassLength]],"")</f>
        <v>0.16666666666666666</v>
      </c>
      <c r="Y892" s="24">
        <f>IFERROR(Table2[[#This Row],[Orange Min]]/Table2[[#This Row],[ClassLength]],"")</f>
        <v>0.1</v>
      </c>
      <c r="Z892" s="24">
        <f>IFERROR(Table2[[#This Row],[Red Min]]/Table2[[#This Row],[ClassLength]],"")</f>
        <v>0</v>
      </c>
      <c r="AA892" s="25">
        <v>139</v>
      </c>
      <c r="AB892" s="25">
        <f t="shared" si="255"/>
        <v>12.636363636363637</v>
      </c>
      <c r="AC892" s="26">
        <f t="shared" si="233"/>
        <v>645.36363636363637</v>
      </c>
      <c r="AD892" s="26">
        <f t="shared" si="234"/>
        <v>15.454545454545455</v>
      </c>
      <c r="AE892">
        <f t="shared" si="235"/>
        <v>2025</v>
      </c>
      <c r="AG892">
        <v>12</v>
      </c>
      <c r="AH892" s="26">
        <f t="shared" si="236"/>
        <v>9.0500000000000007</v>
      </c>
      <c r="AI892" t="str">
        <f t="shared" si="237"/>
        <v>PM</v>
      </c>
      <c r="AJ892" t="str">
        <f t="shared" si="238"/>
        <v>12-2025-3</v>
      </c>
      <c r="AK892">
        <f t="shared" si="239"/>
        <v>12</v>
      </c>
      <c r="AL892" s="26">
        <f>IFERROR(Table2[[#This Row],[Calories]]/Table2[[#This Row],[Splat]],"")</f>
        <v>90.5</v>
      </c>
      <c r="AM892">
        <f>COUNTIF(N$2:$N$938,N892)</f>
        <v>78</v>
      </c>
      <c r="AN892" t="str">
        <f>VLOOKUP(N892,'Helpful Tables'!A:D,4,FALSE)</f>
        <v>Oregon</v>
      </c>
      <c r="AO892" s="24">
        <f>COUNTIF(AN:AN,Table2[[#This Row],[State]])/COUNTA(AN:AN)</f>
        <v>0.36140724946695096</v>
      </c>
      <c r="AP892">
        <f>VLOOKUP(N892,'Helpful Tables'!A:B,2,FALSE)</f>
        <v>45.525092999999998</v>
      </c>
      <c r="AQ892">
        <f>VLOOKUP(N892,'Helpful Tables'!A:C,3,FALSE)</f>
        <v>-122.681383</v>
      </c>
      <c r="AR892">
        <f>COUNTIF(P$2:$P$938,P892)</f>
        <v>1</v>
      </c>
      <c r="AS892" cm="1">
        <f t="array" ref="AS892">_xlfn.IFS(E892&lt;6,((E892/D892)*60)*0.5,AND(E892&gt;=6,E892&lt;9),((E892/D892)*60)*0.75,AND(E892&gt;=9,E892&lt;=11),((E892/D892)*60)*0.9,AND(E892=12),((E892/D892)*60)*1,AND(E892&gt;=13,E892&lt;=15),((E892/D892)*60)*1.2,AND(E892&gt;=16,E892&lt;=19),((E892/D892)*60)*1.5,E892&gt;=20,((E892/D892)*60)*1.8)</f>
        <v>4.5</v>
      </c>
      <c r="AT892" cm="1">
        <f t="array" ref="AT892">_xlfn.IFS(F892&lt;550,((F892/D892)*60)*0.5,AND(F892&gt;=550,F892&lt;575),((F892/D892)*60)*0.75,AND(F892&gt;=575,F892&lt;600),((F892/D892)*60)*0.9,AND(F892=600),((F892/D892)*60)*1,AND(F892&gt;=601,F892&lt;=625),((F892/D892)*60)*1.2,AND(F892&gt;=626,F892&lt;=650),((F892/D892)*60)*1.5,F892&gt;=651,((F892/D892)*60)*1.8)</f>
        <v>271.5</v>
      </c>
      <c r="AU892">
        <f t="shared" si="266"/>
        <v>-31.7</v>
      </c>
      <c r="AV892">
        <f t="shared" si="289"/>
        <v>104.06</v>
      </c>
      <c r="AW892">
        <f t="shared" si="267"/>
        <v>2</v>
      </c>
      <c r="AX892" t="str">
        <f t="shared" si="240"/>
        <v>Dec-2025</v>
      </c>
      <c r="AY892">
        <f>ROUNDUP(Table2[[#This Row],[Month]]/3,0)</f>
        <v>4</v>
      </c>
    </row>
    <row r="893" spans="1:51" x14ac:dyDescent="0.2">
      <c r="A893">
        <v>892</v>
      </c>
      <c r="B893">
        <f t="shared" si="230"/>
        <v>11</v>
      </c>
      <c r="C893" s="22">
        <v>46009</v>
      </c>
      <c r="D893">
        <f>SUM(Table2[[#This Row],[Gray Min]:[Red Min]])</f>
        <v>60</v>
      </c>
      <c r="E893">
        <v>14</v>
      </c>
      <c r="F893">
        <v>646</v>
      </c>
      <c r="G893">
        <v>123</v>
      </c>
      <c r="H893">
        <v>167</v>
      </c>
      <c r="I893">
        <v>17</v>
      </c>
      <c r="J893">
        <v>15</v>
      </c>
      <c r="K893">
        <v>14</v>
      </c>
      <c r="L893">
        <v>12</v>
      </c>
      <c r="M893">
        <v>2</v>
      </c>
      <c r="N893" t="s">
        <v>125</v>
      </c>
      <c r="O893" t="s">
        <v>127</v>
      </c>
      <c r="P893" t="s">
        <v>281</v>
      </c>
      <c r="Q893">
        <f t="shared" si="290"/>
        <v>2</v>
      </c>
      <c r="R893" t="str">
        <f t="shared" si="291"/>
        <v>12-2025</v>
      </c>
      <c r="S893" t="s">
        <v>104</v>
      </c>
      <c r="T893" t="str">
        <f t="shared" si="292"/>
        <v>Thursday</v>
      </c>
      <c r="U893">
        <f t="shared" ref="U893:U898" si="293">IF(E893&gt;=12,1,0)</f>
        <v>1</v>
      </c>
      <c r="V893" s="24">
        <f>IFERROR(Table2[[#This Row],[Gray Min]]/Table2[[#This Row],[ClassLength]],"")</f>
        <v>0.28333333333333333</v>
      </c>
      <c r="W893" s="24">
        <f>IFERROR(Table2[[#This Row],[Blue Min]]/Table2[[#This Row],[ClassLength]],"")</f>
        <v>0.25</v>
      </c>
      <c r="X893" s="24">
        <f>IFERROR(Table2[[#This Row],[Green Min]]/Table2[[#This Row],[ClassLength]],"")</f>
        <v>0.23333333333333334</v>
      </c>
      <c r="Y893" s="24">
        <f>IFERROR(Table2[[#This Row],[Orange Min]]/Table2[[#This Row],[ClassLength]],"")</f>
        <v>0.2</v>
      </c>
      <c r="Z893" s="24">
        <f>IFERROR(Table2[[#This Row],[Red Min]]/Table2[[#This Row],[ClassLength]],"")</f>
        <v>3.3333333333333333E-2</v>
      </c>
      <c r="AA893" s="25">
        <v>139</v>
      </c>
      <c r="AB893" s="25">
        <f t="shared" ref="AB893:AB898" si="294">AA893/B893</f>
        <v>12.636363636363637</v>
      </c>
      <c r="AC893" s="26">
        <f t="shared" si="233"/>
        <v>645.36363636363637</v>
      </c>
      <c r="AD893" s="26">
        <f t="shared" si="234"/>
        <v>15.454545454545455</v>
      </c>
      <c r="AE893">
        <f t="shared" ref="AE893:AE898" si="295">YEAR(C893)</f>
        <v>2025</v>
      </c>
      <c r="AG893">
        <v>12</v>
      </c>
      <c r="AH893" s="26">
        <f t="shared" ref="AH893:AH898" si="296">F893/D893</f>
        <v>10.766666666666667</v>
      </c>
      <c r="AI893" t="str">
        <f t="shared" ref="AI893:AI898" si="297">RIGHT(O893,2)</f>
        <v>PM</v>
      </c>
      <c r="AJ893" t="str">
        <f t="shared" ref="AJ893:AJ898" si="298">R893&amp;"-"&amp;WEEKNUM(C893,1)-WEEKNUM(DATE(YEAR(C893),MONTH(C893),1),1)+1</f>
        <v>12-2025-3</v>
      </c>
      <c r="AK893">
        <f t="shared" ref="AK893:AK898" si="299">MONTH(C893)</f>
        <v>12</v>
      </c>
      <c r="AL893" s="26">
        <f>IFERROR(Table2[[#This Row],[Calories]]/Table2[[#This Row],[Splat]],"")</f>
        <v>46.142857142857146</v>
      </c>
      <c r="AM893">
        <f>COUNTIF(N$2:$N$938,N893)</f>
        <v>258</v>
      </c>
      <c r="AN893" t="str">
        <f>VLOOKUP(N893,'Helpful Tables'!A:D,4,FALSE)</f>
        <v>Oregon</v>
      </c>
      <c r="AO893" s="24">
        <f>COUNTIF(AN:AN,Table2[[#This Row],[State]])/COUNTA(AN:AN)</f>
        <v>0.36140724946695096</v>
      </c>
      <c r="AP893">
        <f>VLOOKUP(N893,'Helpful Tables'!A:B,2,FALSE)</f>
        <v>45.534162000000002</v>
      </c>
      <c r="AQ893">
        <f>VLOOKUP(N893,'Helpful Tables'!A:C,3,FALSE)</f>
        <v>-122.69670000000001</v>
      </c>
      <c r="AR893">
        <f>COUNTIF(P$2:$P$938,P893)</f>
        <v>41</v>
      </c>
      <c r="AS893" cm="1">
        <f t="array" ref="AS893">_xlfn.IFS(E893&lt;6,((E893/D893)*60)*0.5,AND(E893&gt;=6,E893&lt;9),((E893/D893)*60)*0.75,AND(E893&gt;=9,E893&lt;=11),((E893/D893)*60)*0.9,AND(E893=12),((E893/D893)*60)*1,AND(E893&gt;=13,E893&lt;=15),((E893/D893)*60)*1.2,AND(E893&gt;=16,E893&lt;=19),((E893/D893)*60)*1.5,E893&gt;=20,((E893/D893)*60)*1.8)</f>
        <v>16.8</v>
      </c>
      <c r="AT893" cm="1">
        <f t="array" ref="AT893">_xlfn.IFS(F893&lt;550,((F893/D893)*60)*0.5,AND(F893&gt;=550,F893&lt;575),((F893/D893)*60)*0.75,AND(F893&gt;=575,F893&lt;600),((F893/D893)*60)*0.9,AND(F893=600),((F893/D893)*60)*1,AND(F893&gt;=601,F893&lt;=625),((F893/D893)*60)*1.2,AND(F893&gt;=626,F893&lt;=650),((F893/D893)*60)*1.5,F893&gt;=651,((F893/D893)*60)*1.8)</f>
        <v>969</v>
      </c>
      <c r="AU893">
        <f t="shared" ref="AU893:AU898" si="300">(I893*-1.2)+(J893*-1.1)+(K893*1.2)+(L893*1.3)+(M893*1.5)</f>
        <v>-1.4999999999999964</v>
      </c>
      <c r="AV893">
        <f t="shared" ref="AV893:AV898" si="301">(AS893*0.4)+(AT893*0.4)+(AU893*0.2)</f>
        <v>394.02000000000004</v>
      </c>
      <c r="AW893">
        <f t="shared" si="267"/>
        <v>49.7</v>
      </c>
      <c r="AX893" t="str">
        <f t="shared" ref="AX893:AX898" si="302">_xlfn.CONCAT(TEXT(C893,"mmm"),"-",AE893)</f>
        <v>Dec-2025</v>
      </c>
      <c r="AY893">
        <f>ROUNDUP(Table2[[#This Row],[Month]]/3,0)</f>
        <v>4</v>
      </c>
    </row>
    <row r="894" spans="1:51" x14ac:dyDescent="0.2">
      <c r="A894">
        <v>893</v>
      </c>
      <c r="B894">
        <f t="shared" si="230"/>
        <v>11</v>
      </c>
      <c r="C894" s="22">
        <v>46019</v>
      </c>
      <c r="D894">
        <f>SUM(Table2[[#This Row],[Gray Min]:[Red Min]])</f>
        <v>59</v>
      </c>
      <c r="E894">
        <v>16</v>
      </c>
      <c r="F894">
        <v>644</v>
      </c>
      <c r="G894">
        <v>124</v>
      </c>
      <c r="H894">
        <v>169</v>
      </c>
      <c r="I894">
        <v>17</v>
      </c>
      <c r="J894">
        <v>13</v>
      </c>
      <c r="K894">
        <v>13</v>
      </c>
      <c r="L894">
        <v>12</v>
      </c>
      <c r="M894">
        <v>4</v>
      </c>
      <c r="N894" t="s">
        <v>125</v>
      </c>
      <c r="O894" t="s">
        <v>32</v>
      </c>
      <c r="P894" t="s">
        <v>301</v>
      </c>
      <c r="Q894">
        <f t="shared" si="290"/>
        <v>10</v>
      </c>
      <c r="R894" t="str">
        <f t="shared" si="291"/>
        <v>12-2025</v>
      </c>
      <c r="S894" t="s">
        <v>104</v>
      </c>
      <c r="T894" t="str">
        <f t="shared" si="292"/>
        <v>Sunday</v>
      </c>
      <c r="U894">
        <f t="shared" si="293"/>
        <v>1</v>
      </c>
      <c r="V894" s="24">
        <f>IFERROR(Table2[[#This Row],[Gray Min]]/Table2[[#This Row],[ClassLength]],"")</f>
        <v>0.28813559322033899</v>
      </c>
      <c r="W894" s="24">
        <f>IFERROR(Table2[[#This Row],[Blue Min]]/Table2[[#This Row],[ClassLength]],"")</f>
        <v>0.22033898305084745</v>
      </c>
      <c r="X894" s="24">
        <f>IFERROR(Table2[[#This Row],[Green Min]]/Table2[[#This Row],[ClassLength]],"")</f>
        <v>0.22033898305084745</v>
      </c>
      <c r="Y894" s="24">
        <f>IFERROR(Table2[[#This Row],[Orange Min]]/Table2[[#This Row],[ClassLength]],"")</f>
        <v>0.20338983050847459</v>
      </c>
      <c r="Z894" s="24">
        <f>IFERROR(Table2[[#This Row],[Red Min]]/Table2[[#This Row],[ClassLength]],"")</f>
        <v>6.7796610169491525E-2</v>
      </c>
      <c r="AA894" s="25">
        <v>139</v>
      </c>
      <c r="AB894" s="25">
        <f t="shared" si="294"/>
        <v>12.636363636363637</v>
      </c>
      <c r="AC894" s="26">
        <f t="shared" si="233"/>
        <v>645.36363636363637</v>
      </c>
      <c r="AD894" s="26">
        <f t="shared" si="234"/>
        <v>15.454545454545455</v>
      </c>
      <c r="AE894">
        <f t="shared" si="295"/>
        <v>2025</v>
      </c>
      <c r="AG894">
        <v>12</v>
      </c>
      <c r="AH894" s="26">
        <f t="shared" si="296"/>
        <v>10.915254237288135</v>
      </c>
      <c r="AI894" t="str">
        <f t="shared" si="297"/>
        <v>AM</v>
      </c>
      <c r="AJ894" t="str">
        <f t="shared" si="298"/>
        <v>12-2025-5</v>
      </c>
      <c r="AK894">
        <f t="shared" si="299"/>
        <v>12</v>
      </c>
      <c r="AL894" s="26">
        <f>IFERROR(Table2[[#This Row],[Calories]]/Table2[[#This Row],[Splat]],"")</f>
        <v>40.25</v>
      </c>
      <c r="AM894">
        <f>COUNTIF(N$2:$N$938,N894)</f>
        <v>258</v>
      </c>
      <c r="AN894" t="str">
        <f>VLOOKUP(N894,'Helpful Tables'!A:D,4,FALSE)</f>
        <v>Oregon</v>
      </c>
      <c r="AO894" s="24">
        <f>COUNTIF(AN:AN,Table2[[#This Row],[State]])/COUNTA(AN:AN)</f>
        <v>0.36140724946695096</v>
      </c>
      <c r="AP894">
        <f>VLOOKUP(N894,'Helpful Tables'!A:B,2,FALSE)</f>
        <v>45.534162000000002</v>
      </c>
      <c r="AQ894">
        <f>VLOOKUP(N894,'Helpful Tables'!A:C,3,FALSE)</f>
        <v>-122.69670000000001</v>
      </c>
      <c r="AR894">
        <f>COUNTIF(P$2:$P$938,P894)</f>
        <v>1</v>
      </c>
      <c r="AS894" cm="1">
        <f t="array" ref="AS894">_xlfn.IFS(E894&lt;6,((E894/D894)*60)*0.5,AND(E894&gt;=6,E894&lt;9),((E894/D894)*60)*0.75,AND(E894&gt;=9,E894&lt;=11),((E894/D894)*60)*0.9,AND(E894=12),((E894/D894)*60)*1,AND(E894&gt;=13,E894&lt;=15),((E894/D894)*60)*1.2,AND(E894&gt;=16,E894&lt;=19),((E894/D894)*60)*1.5,E894&gt;=20,((E894/D894)*60)*1.8)</f>
        <v>24.406779661016948</v>
      </c>
      <c r="AT894" cm="1">
        <f t="array" ref="AT894">_xlfn.IFS(F894&lt;550,((F894/D894)*60)*0.5,AND(F894&gt;=550,F894&lt;575),((F894/D894)*60)*0.75,AND(F894&gt;=575,F894&lt;600),((F894/D894)*60)*0.9,AND(F894=600),((F894/D894)*60)*1,AND(F894&gt;=601,F894&lt;=625),((F894/D894)*60)*1.2,AND(F894&gt;=626,F894&lt;=650),((F894/D894)*60)*1.5,F894&gt;=651,((F894/D894)*60)*1.8)</f>
        <v>982.37288135593212</v>
      </c>
      <c r="AU894">
        <f t="shared" si="300"/>
        <v>2.5</v>
      </c>
      <c r="AV894">
        <f t="shared" si="301"/>
        <v>403.21186440677963</v>
      </c>
      <c r="AW894">
        <f t="shared" si="267"/>
        <v>54.800000000000004</v>
      </c>
      <c r="AX894" t="str">
        <f t="shared" si="302"/>
        <v>Dec-2025</v>
      </c>
      <c r="AY894">
        <f>ROUNDUP(Table2[[#This Row],[Month]]/3,0)</f>
        <v>4</v>
      </c>
    </row>
    <row r="895" spans="1:51" x14ac:dyDescent="0.2">
      <c r="A895">
        <v>894</v>
      </c>
      <c r="B895">
        <f t="shared" si="230"/>
        <v>11</v>
      </c>
      <c r="C895" s="22">
        <v>46022</v>
      </c>
      <c r="D895">
        <f>SUM(Table2[[#This Row],[Gray Min]:[Red Min]])</f>
        <v>60</v>
      </c>
      <c r="E895">
        <v>17</v>
      </c>
      <c r="F895">
        <v>737</v>
      </c>
      <c r="G895">
        <v>133</v>
      </c>
      <c r="H895">
        <v>165</v>
      </c>
      <c r="I895">
        <v>9</v>
      </c>
      <c r="J895">
        <v>9</v>
      </c>
      <c r="K895">
        <v>25</v>
      </c>
      <c r="L895">
        <v>16</v>
      </c>
      <c r="M895">
        <v>1</v>
      </c>
      <c r="N895" t="s">
        <v>125</v>
      </c>
      <c r="O895" t="s">
        <v>32</v>
      </c>
      <c r="P895" t="s">
        <v>281</v>
      </c>
      <c r="Q895">
        <f t="shared" ref="Q895:Q900" si="303">C895-C894</f>
        <v>3</v>
      </c>
      <c r="R895" t="str">
        <f t="shared" ref="R895:R900" si="304">MONTH(C895)&amp;"-"&amp;YEAR(C895)</f>
        <v>12-2025</v>
      </c>
      <c r="S895" t="s">
        <v>117</v>
      </c>
      <c r="T895" t="str">
        <f t="shared" ref="T895:T900" si="305">IF(WEEKDAY(C895)=1,"Sunday",IF(WEEKDAY(C895)=2,"Monday",IF(WEEKDAY(C895)=3,"Tuesday",IF(WEEKDAY(C895)=4,"Wednesday",IF(WEEKDAY(C895)=5,"Thursday",IF(WEEKDAY(C895)=6,"Friday","Saturday"))))))</f>
        <v>Wednesday</v>
      </c>
      <c r="U895">
        <f t="shared" si="293"/>
        <v>1</v>
      </c>
      <c r="V895" s="24">
        <f>IFERROR(Table2[[#This Row],[Gray Min]]/Table2[[#This Row],[ClassLength]],"")</f>
        <v>0.15</v>
      </c>
      <c r="W895" s="24">
        <f>IFERROR(Table2[[#This Row],[Blue Min]]/Table2[[#This Row],[ClassLength]],"")</f>
        <v>0.15</v>
      </c>
      <c r="X895" s="24">
        <f>IFERROR(Table2[[#This Row],[Green Min]]/Table2[[#This Row],[ClassLength]],"")</f>
        <v>0.41666666666666669</v>
      </c>
      <c r="Y895" s="24">
        <f>IFERROR(Table2[[#This Row],[Orange Min]]/Table2[[#This Row],[ClassLength]],"")</f>
        <v>0.26666666666666666</v>
      </c>
      <c r="Z895" s="24">
        <f>IFERROR(Table2[[#This Row],[Red Min]]/Table2[[#This Row],[ClassLength]],"")</f>
        <v>1.6666666666666666E-2</v>
      </c>
      <c r="AA895" s="25">
        <v>139</v>
      </c>
      <c r="AB895" s="25">
        <f t="shared" si="294"/>
        <v>12.636363636363637</v>
      </c>
      <c r="AC895" s="26">
        <f t="shared" si="233"/>
        <v>645.36363636363637</v>
      </c>
      <c r="AD895" s="26">
        <f t="shared" si="234"/>
        <v>15.454545454545455</v>
      </c>
      <c r="AE895">
        <f t="shared" si="295"/>
        <v>2025</v>
      </c>
      <c r="AG895">
        <v>12</v>
      </c>
      <c r="AH895" s="26">
        <f t="shared" si="296"/>
        <v>12.283333333333333</v>
      </c>
      <c r="AI895" t="str">
        <f t="shared" si="297"/>
        <v>AM</v>
      </c>
      <c r="AJ895" t="str">
        <f t="shared" si="298"/>
        <v>12-2025-5</v>
      </c>
      <c r="AK895">
        <f t="shared" si="299"/>
        <v>12</v>
      </c>
      <c r="AL895" s="26">
        <f>IFERROR(Table2[[#This Row],[Calories]]/Table2[[#This Row],[Splat]],"")</f>
        <v>43.352941176470587</v>
      </c>
      <c r="AM895">
        <f>COUNTIF(N$2:$N$938,N895)</f>
        <v>258</v>
      </c>
      <c r="AN895" t="str">
        <f>VLOOKUP(N895,'Helpful Tables'!A:D,4,FALSE)</f>
        <v>Oregon</v>
      </c>
      <c r="AO895" s="24">
        <f>COUNTIF(AN:AN,Table2[[#This Row],[State]])/COUNTA(AN:AN)</f>
        <v>0.36140724946695096</v>
      </c>
      <c r="AP895">
        <f>VLOOKUP(N895,'Helpful Tables'!A:B,2,FALSE)</f>
        <v>45.534162000000002</v>
      </c>
      <c r="AQ895">
        <f>VLOOKUP(N895,'Helpful Tables'!A:C,3,FALSE)</f>
        <v>-122.69670000000001</v>
      </c>
      <c r="AR895">
        <f>COUNTIF(P$2:$P$938,P895)</f>
        <v>41</v>
      </c>
      <c r="AS895" cm="1">
        <f t="array" ref="AS895">_xlfn.IFS(E895&lt;6,((E895/D895)*60)*0.5,AND(E895&gt;=6,E895&lt;9),((E895/D895)*60)*0.75,AND(E895&gt;=9,E895&lt;=11),((E895/D895)*60)*0.9,AND(E895=12),((E895/D895)*60)*1,AND(E895&gt;=13,E895&lt;=15),((E895/D895)*60)*1.2,AND(E895&gt;=16,E895&lt;=19),((E895/D895)*60)*1.5,E895&gt;=20,((E895/D895)*60)*1.8)</f>
        <v>25.5</v>
      </c>
      <c r="AT895" cm="1">
        <f t="array" ref="AT895">_xlfn.IFS(F895&lt;550,((F895/D895)*60)*0.5,AND(F895&gt;=550,F895&lt;575),((F895/D895)*60)*0.75,AND(F895&gt;=575,F895&lt;600),((F895/D895)*60)*0.9,AND(F895=600),((F895/D895)*60)*1,AND(F895&gt;=601,F895&lt;=625),((F895/D895)*60)*1.2,AND(F895&gt;=626,F895&lt;=650),((F895/D895)*60)*1.5,F895&gt;=651,((F895/D895)*60)*1.8)</f>
        <v>1326.6000000000001</v>
      </c>
      <c r="AU895">
        <f t="shared" si="300"/>
        <v>31.6</v>
      </c>
      <c r="AV895">
        <f t="shared" si="301"/>
        <v>547.1600000000002</v>
      </c>
      <c r="AW895">
        <f t="shared" si="267"/>
        <v>97.6</v>
      </c>
      <c r="AX895" t="str">
        <f t="shared" si="302"/>
        <v>Dec-2025</v>
      </c>
      <c r="AY895">
        <f>ROUNDUP(Table2[[#This Row],[Month]]/3,0)</f>
        <v>4</v>
      </c>
    </row>
    <row r="896" spans="1:51" x14ac:dyDescent="0.2">
      <c r="A896">
        <v>895</v>
      </c>
      <c r="B896">
        <f t="shared" si="230"/>
        <v>15</v>
      </c>
      <c r="C896" s="22">
        <v>46024</v>
      </c>
      <c r="D896">
        <f>SUM(Table2[[#This Row],[Gray Min]:[Red Min]])</f>
        <v>59</v>
      </c>
      <c r="E896">
        <v>14</v>
      </c>
      <c r="F896">
        <v>732</v>
      </c>
      <c r="G896">
        <v>131</v>
      </c>
      <c r="H896">
        <v>171</v>
      </c>
      <c r="I896">
        <v>5</v>
      </c>
      <c r="J896">
        <v>17</v>
      </c>
      <c r="K896">
        <v>23</v>
      </c>
      <c r="L896">
        <v>11</v>
      </c>
      <c r="M896">
        <v>3</v>
      </c>
      <c r="N896" t="s">
        <v>125</v>
      </c>
      <c r="O896" t="s">
        <v>183</v>
      </c>
      <c r="P896" t="s">
        <v>281</v>
      </c>
      <c r="Q896">
        <f t="shared" si="303"/>
        <v>2</v>
      </c>
      <c r="R896" t="str">
        <f t="shared" si="304"/>
        <v>1-2026</v>
      </c>
      <c r="S896" t="s">
        <v>104</v>
      </c>
      <c r="T896" t="str">
        <f t="shared" si="305"/>
        <v>Friday</v>
      </c>
      <c r="U896">
        <f t="shared" si="293"/>
        <v>1</v>
      </c>
      <c r="V896" s="24">
        <f>IFERROR(Table2[[#This Row],[Gray Min]]/Table2[[#This Row],[ClassLength]],"")</f>
        <v>8.4745762711864403E-2</v>
      </c>
      <c r="W896" s="24">
        <f>IFERROR(Table2[[#This Row],[Blue Min]]/Table2[[#This Row],[ClassLength]],"")</f>
        <v>0.28813559322033899</v>
      </c>
      <c r="X896" s="24">
        <f>IFERROR(Table2[[#This Row],[Green Min]]/Table2[[#This Row],[ClassLength]],"")</f>
        <v>0.38983050847457629</v>
      </c>
      <c r="Y896" s="24">
        <f>IFERROR(Table2[[#This Row],[Orange Min]]/Table2[[#This Row],[ClassLength]],"")</f>
        <v>0.1864406779661017</v>
      </c>
      <c r="Z896" s="24">
        <f>IFERROR(Table2[[#This Row],[Red Min]]/Table2[[#This Row],[ClassLength]],"")</f>
        <v>5.0847457627118647E-2</v>
      </c>
      <c r="AA896" s="25">
        <v>139</v>
      </c>
      <c r="AB896" s="25">
        <f t="shared" si="294"/>
        <v>9.2666666666666675</v>
      </c>
      <c r="AC896" s="26">
        <f t="shared" si="233"/>
        <v>641.86666666666667</v>
      </c>
      <c r="AD896" s="26">
        <f t="shared" si="234"/>
        <v>13.733333333333333</v>
      </c>
      <c r="AE896">
        <f t="shared" si="295"/>
        <v>2026</v>
      </c>
      <c r="AG896">
        <v>12</v>
      </c>
      <c r="AH896" s="26">
        <f t="shared" si="296"/>
        <v>12.40677966101695</v>
      </c>
      <c r="AI896" t="str">
        <f t="shared" si="297"/>
        <v>AM</v>
      </c>
      <c r="AJ896" t="str">
        <f t="shared" si="298"/>
        <v>1-2026-1</v>
      </c>
      <c r="AK896">
        <f t="shared" si="299"/>
        <v>1</v>
      </c>
      <c r="AL896" s="26">
        <f>IFERROR(Table2[[#This Row],[Calories]]/Table2[[#This Row],[Splat]],"")</f>
        <v>52.285714285714285</v>
      </c>
      <c r="AM896">
        <f>COUNTIF(N$2:$N$938,N896)</f>
        <v>258</v>
      </c>
      <c r="AN896" t="str">
        <f>VLOOKUP(N896,'Helpful Tables'!A:D,4,FALSE)</f>
        <v>Oregon</v>
      </c>
      <c r="AO896" s="24">
        <f>COUNTIF(AN:AN,Table2[[#This Row],[State]])/COUNTA(AN:AN)</f>
        <v>0.36140724946695096</v>
      </c>
      <c r="AP896">
        <f>VLOOKUP(N896,'Helpful Tables'!A:B,2,FALSE)</f>
        <v>45.534162000000002</v>
      </c>
      <c r="AQ896">
        <f>VLOOKUP(N896,'Helpful Tables'!A:C,3,FALSE)</f>
        <v>-122.69670000000001</v>
      </c>
      <c r="AR896">
        <f>COUNTIF(P$2:$P$938,P896)</f>
        <v>41</v>
      </c>
      <c r="AS896" cm="1">
        <f t="array" ref="AS896">_xlfn.IFS(E896&lt;6,((E896/D896)*60)*0.5,AND(E896&gt;=6,E896&lt;9),((E896/D896)*60)*0.75,AND(E896&gt;=9,E896&lt;=11),((E896/D896)*60)*0.9,AND(E896=12),((E896/D896)*60)*1,AND(E896&gt;=13,E896&lt;=15),((E896/D896)*60)*1.2,AND(E896&gt;=16,E896&lt;=19),((E896/D896)*60)*1.5,E896&gt;=20,((E896/D896)*60)*1.8)</f>
        <v>17.084745762711865</v>
      </c>
      <c r="AT896" cm="1">
        <f t="array" ref="AT896">_xlfn.IFS(F896&lt;550,((F896/D896)*60)*0.5,AND(F896&gt;=550,F896&lt;575),((F896/D896)*60)*0.75,AND(F896&gt;=575,F896&lt;600),((F896/D896)*60)*0.9,AND(F896=600),((F896/D896)*60)*1,AND(F896&gt;=601,F896&lt;=625),((F896/D896)*60)*1.2,AND(F896&gt;=626,F896&lt;=650),((F896/D896)*60)*1.5,F896&gt;=651,((F896/D896)*60)*1.8)</f>
        <v>1339.9322033898306</v>
      </c>
      <c r="AU896">
        <f t="shared" si="300"/>
        <v>21.699999999999996</v>
      </c>
      <c r="AV896">
        <f t="shared" si="301"/>
        <v>547.14677966101704</v>
      </c>
      <c r="AW896">
        <f t="shared" si="267"/>
        <v>97.5</v>
      </c>
      <c r="AX896" t="str">
        <f t="shared" si="302"/>
        <v>Jan-2026</v>
      </c>
      <c r="AY896">
        <f>ROUNDUP(Table2[[#This Row],[Month]]/3,0)</f>
        <v>1</v>
      </c>
    </row>
    <row r="897" spans="1:51" x14ac:dyDescent="0.2">
      <c r="A897">
        <v>896</v>
      </c>
      <c r="B897">
        <f t="shared" si="230"/>
        <v>15</v>
      </c>
      <c r="C897" s="22">
        <v>46026</v>
      </c>
      <c r="D897">
        <f>SUM(Table2[[#This Row],[Gray Min]:[Red Min]])</f>
        <v>58</v>
      </c>
      <c r="E897">
        <v>17</v>
      </c>
      <c r="F897">
        <v>658</v>
      </c>
      <c r="G897">
        <v>127</v>
      </c>
      <c r="H897">
        <v>170</v>
      </c>
      <c r="I897">
        <v>15</v>
      </c>
      <c r="J897">
        <v>15</v>
      </c>
      <c r="K897">
        <v>11</v>
      </c>
      <c r="L897">
        <v>14</v>
      </c>
      <c r="M897">
        <v>3</v>
      </c>
      <c r="N897" t="s">
        <v>208</v>
      </c>
      <c r="O897" t="s">
        <v>76</v>
      </c>
      <c r="P897" t="s">
        <v>303</v>
      </c>
      <c r="Q897">
        <f t="shared" si="303"/>
        <v>2</v>
      </c>
      <c r="R897" t="str">
        <f t="shared" si="304"/>
        <v>1-2026</v>
      </c>
      <c r="S897" t="s">
        <v>104</v>
      </c>
      <c r="T897" t="str">
        <f t="shared" si="305"/>
        <v>Sunday</v>
      </c>
      <c r="U897">
        <f t="shared" si="293"/>
        <v>1</v>
      </c>
      <c r="V897" s="24">
        <f>IFERROR(Table2[[#This Row],[Gray Min]]/Table2[[#This Row],[ClassLength]],"")</f>
        <v>0.25862068965517243</v>
      </c>
      <c r="W897" s="24">
        <f>IFERROR(Table2[[#This Row],[Blue Min]]/Table2[[#This Row],[ClassLength]],"")</f>
        <v>0.25862068965517243</v>
      </c>
      <c r="X897" s="24">
        <f>IFERROR(Table2[[#This Row],[Green Min]]/Table2[[#This Row],[ClassLength]],"")</f>
        <v>0.18965517241379309</v>
      </c>
      <c r="Y897" s="24">
        <f>IFERROR(Table2[[#This Row],[Orange Min]]/Table2[[#This Row],[ClassLength]],"")</f>
        <v>0.2413793103448276</v>
      </c>
      <c r="Z897" s="24">
        <f>IFERROR(Table2[[#This Row],[Red Min]]/Table2[[#This Row],[ClassLength]],"")</f>
        <v>5.1724137931034482E-2</v>
      </c>
      <c r="AA897" s="25">
        <v>139</v>
      </c>
      <c r="AB897" s="25">
        <f t="shared" si="294"/>
        <v>9.2666666666666675</v>
      </c>
      <c r="AC897" s="26">
        <f t="shared" si="233"/>
        <v>641.86666666666667</v>
      </c>
      <c r="AD897" s="26">
        <f t="shared" si="234"/>
        <v>13.733333333333333</v>
      </c>
      <c r="AE897">
        <f t="shared" si="295"/>
        <v>2026</v>
      </c>
      <c r="AG897">
        <v>12</v>
      </c>
      <c r="AH897" s="26">
        <f t="shared" si="296"/>
        <v>11.344827586206897</v>
      </c>
      <c r="AI897" t="str">
        <f t="shared" si="297"/>
        <v>AM</v>
      </c>
      <c r="AJ897" t="str">
        <f t="shared" si="298"/>
        <v>1-2026-2</v>
      </c>
      <c r="AK897">
        <f t="shared" si="299"/>
        <v>1</v>
      </c>
      <c r="AL897" s="26">
        <f>IFERROR(Table2[[#This Row],[Calories]]/Table2[[#This Row],[Splat]],"")</f>
        <v>38.705882352941174</v>
      </c>
      <c r="AM897">
        <f>COUNTIF(N$2:$N$938,N897)</f>
        <v>78</v>
      </c>
      <c r="AN897" t="str">
        <f>VLOOKUP(N897,'Helpful Tables'!A:D,4,FALSE)</f>
        <v>Oregon</v>
      </c>
      <c r="AO897" s="24">
        <f>COUNTIF(AN:AN,Table2[[#This Row],[State]])/COUNTA(AN:AN)</f>
        <v>0.36140724946695096</v>
      </c>
      <c r="AP897">
        <f>VLOOKUP(N897,'Helpful Tables'!A:B,2,FALSE)</f>
        <v>45.525092999999998</v>
      </c>
      <c r="AQ897">
        <f>VLOOKUP(N897,'Helpful Tables'!A:C,3,FALSE)</f>
        <v>-122.681383</v>
      </c>
      <c r="AR897">
        <f>COUNTIF(P$2:$P$938,P897)</f>
        <v>1</v>
      </c>
      <c r="AS897" cm="1">
        <f t="array" ref="AS897">_xlfn.IFS(E897&lt;6,((E897/D897)*60)*0.5,AND(E897&gt;=6,E897&lt;9),((E897/D897)*60)*0.75,AND(E897&gt;=9,E897&lt;=11),((E897/D897)*60)*0.9,AND(E897=12),((E897/D897)*60)*1,AND(E897&gt;=13,E897&lt;=15),((E897/D897)*60)*1.2,AND(E897&gt;=16,E897&lt;=19),((E897/D897)*60)*1.5,E897&gt;=20,((E897/D897)*60)*1.8)</f>
        <v>26.379310344827584</v>
      </c>
      <c r="AT897" cm="1">
        <f t="array" ref="AT897">_xlfn.IFS(F897&lt;550,((F897/D897)*60)*0.5,AND(F897&gt;=550,F897&lt;575),((F897/D897)*60)*0.75,AND(F897&gt;=575,F897&lt;600),((F897/D897)*60)*0.9,AND(F897=600),((F897/D897)*60)*1,AND(F897&gt;=601,F897&lt;=625),((F897/D897)*60)*1.2,AND(F897&gt;=626,F897&lt;=650),((F897/D897)*60)*1.5,F897&gt;=651,((F897/D897)*60)*1.8)</f>
        <v>1225.2413793103449</v>
      </c>
      <c r="AU897">
        <f t="shared" si="300"/>
        <v>1.3999999999999986</v>
      </c>
      <c r="AV897">
        <f t="shared" si="301"/>
        <v>500.92827586206897</v>
      </c>
      <c r="AW897">
        <f t="shared" si="267"/>
        <v>79.3</v>
      </c>
      <c r="AX897" t="str">
        <f t="shared" si="302"/>
        <v>Jan-2026</v>
      </c>
      <c r="AY897">
        <f>ROUNDUP(Table2[[#This Row],[Month]]/3,0)</f>
        <v>1</v>
      </c>
    </row>
    <row r="898" spans="1:51" x14ac:dyDescent="0.2">
      <c r="A898">
        <v>897</v>
      </c>
      <c r="B898">
        <f t="shared" ref="B898:B937" si="306">COUNTIF(R:R,R898)</f>
        <v>15</v>
      </c>
      <c r="C898" s="22">
        <v>46028</v>
      </c>
      <c r="D898">
        <f>SUM(Table2[[#This Row],[Gray Min]:[Red Min]])</f>
        <v>59</v>
      </c>
      <c r="E898">
        <v>16</v>
      </c>
      <c r="F898">
        <v>645</v>
      </c>
      <c r="G898">
        <v>125</v>
      </c>
      <c r="H898">
        <v>164</v>
      </c>
      <c r="I898">
        <v>18</v>
      </c>
      <c r="J898">
        <v>12</v>
      </c>
      <c r="K898">
        <v>13</v>
      </c>
      <c r="L898">
        <v>14</v>
      </c>
      <c r="M898">
        <v>2</v>
      </c>
      <c r="N898" t="s">
        <v>208</v>
      </c>
      <c r="O898" t="s">
        <v>53</v>
      </c>
      <c r="P898" t="s">
        <v>213</v>
      </c>
      <c r="Q898">
        <f t="shared" si="303"/>
        <v>2</v>
      </c>
      <c r="R898" t="str">
        <f t="shared" si="304"/>
        <v>1-2026</v>
      </c>
      <c r="S898" t="s">
        <v>104</v>
      </c>
      <c r="T898" t="str">
        <f t="shared" si="305"/>
        <v>Tuesday</v>
      </c>
      <c r="U898">
        <f t="shared" si="293"/>
        <v>1</v>
      </c>
      <c r="V898" s="24">
        <f>IFERROR(Table2[[#This Row],[Gray Min]]/Table2[[#This Row],[ClassLength]],"")</f>
        <v>0.30508474576271188</v>
      </c>
      <c r="W898" s="24">
        <f>IFERROR(Table2[[#This Row],[Blue Min]]/Table2[[#This Row],[ClassLength]],"")</f>
        <v>0.20338983050847459</v>
      </c>
      <c r="X898" s="24">
        <f>IFERROR(Table2[[#This Row],[Green Min]]/Table2[[#This Row],[ClassLength]],"")</f>
        <v>0.22033898305084745</v>
      </c>
      <c r="Y898" s="24">
        <f>IFERROR(Table2[[#This Row],[Orange Min]]/Table2[[#This Row],[ClassLength]],"")</f>
        <v>0.23728813559322035</v>
      </c>
      <c r="Z898" s="24">
        <f>IFERROR(Table2[[#This Row],[Red Min]]/Table2[[#This Row],[ClassLength]],"")</f>
        <v>3.3898305084745763E-2</v>
      </c>
      <c r="AA898" s="25">
        <v>139</v>
      </c>
      <c r="AB898" s="25">
        <f t="shared" si="294"/>
        <v>9.2666666666666675</v>
      </c>
      <c r="AC898" s="26">
        <f t="shared" ref="AC898:AC937" si="307">AVERAGEIF(R:R,R898,F:F)</f>
        <v>641.86666666666667</v>
      </c>
      <c r="AD898" s="26">
        <f t="shared" ref="AD898:AD937" si="308">AVERAGEIF(R:R,R898,E:E)</f>
        <v>13.733333333333333</v>
      </c>
      <c r="AE898">
        <f t="shared" si="295"/>
        <v>2026</v>
      </c>
      <c r="AG898">
        <v>12</v>
      </c>
      <c r="AH898" s="26">
        <f t="shared" si="296"/>
        <v>10.932203389830509</v>
      </c>
      <c r="AI898" t="str">
        <f t="shared" si="297"/>
        <v>PM</v>
      </c>
      <c r="AJ898" t="str">
        <f t="shared" si="298"/>
        <v>1-2026-2</v>
      </c>
      <c r="AK898">
        <f t="shared" si="299"/>
        <v>1</v>
      </c>
      <c r="AL898" s="26">
        <f>IFERROR(Table2[[#This Row],[Calories]]/Table2[[#This Row],[Splat]],"")</f>
        <v>40.3125</v>
      </c>
      <c r="AM898">
        <f>COUNTIF(N$2:$N$938,N898)</f>
        <v>78</v>
      </c>
      <c r="AN898" t="str">
        <f>VLOOKUP(N898,'Helpful Tables'!A:D,4,FALSE)</f>
        <v>Oregon</v>
      </c>
      <c r="AO898" s="24">
        <f>COUNTIF(AN:AN,Table2[[#This Row],[State]])/COUNTA(AN:AN)</f>
        <v>0.36140724946695096</v>
      </c>
      <c r="AP898">
        <f>VLOOKUP(N898,'Helpful Tables'!A:B,2,FALSE)</f>
        <v>45.525092999999998</v>
      </c>
      <c r="AQ898">
        <f>VLOOKUP(N898,'Helpful Tables'!A:C,3,FALSE)</f>
        <v>-122.681383</v>
      </c>
      <c r="AR898">
        <f>COUNTIF(P$2:$P$938,P898)</f>
        <v>40</v>
      </c>
      <c r="AS898" cm="1">
        <f t="array" ref="AS898">_xlfn.IFS(E898&lt;6,((E898/D898)*60)*0.5,AND(E898&gt;=6,E898&lt;9),((E898/D898)*60)*0.75,AND(E898&gt;=9,E898&lt;=11),((E898/D898)*60)*0.9,AND(E898=12),((E898/D898)*60)*1,AND(E898&gt;=13,E898&lt;=15),((E898/D898)*60)*1.2,AND(E898&gt;=16,E898&lt;=19),((E898/D898)*60)*1.5,E898&gt;=20,((E898/D898)*60)*1.8)</f>
        <v>24.406779661016948</v>
      </c>
      <c r="AT898" cm="1">
        <f t="array" ref="AT898">_xlfn.IFS(F898&lt;550,((F898/D898)*60)*0.5,AND(F898&gt;=550,F898&lt;575),((F898/D898)*60)*0.75,AND(F898&gt;=575,F898&lt;600),((F898/D898)*60)*0.9,AND(F898=600),((F898/D898)*60)*1,AND(F898&gt;=601,F898&lt;=625),((F898/D898)*60)*1.2,AND(F898&gt;=626,F898&lt;=650),((F898/D898)*60)*1.5,F898&gt;=651,((F898/D898)*60)*1.8)</f>
        <v>983.89830508474574</v>
      </c>
      <c r="AU898">
        <f t="shared" si="300"/>
        <v>2.0000000000000036</v>
      </c>
      <c r="AV898">
        <f t="shared" si="301"/>
        <v>403.72203389830503</v>
      </c>
      <c r="AW898">
        <f t="shared" si="267"/>
        <v>55.300000000000004</v>
      </c>
      <c r="AX898" t="str">
        <f t="shared" si="302"/>
        <v>Jan-2026</v>
      </c>
      <c r="AY898">
        <f>ROUNDUP(Table2[[#This Row],[Month]]/3,0)</f>
        <v>1</v>
      </c>
    </row>
    <row r="899" spans="1:51" x14ac:dyDescent="0.2">
      <c r="A899">
        <v>898</v>
      </c>
      <c r="B899">
        <f t="shared" si="306"/>
        <v>15</v>
      </c>
      <c r="C899" s="22">
        <v>46030</v>
      </c>
      <c r="D899">
        <f>SUM(Table2[[#This Row],[Gray Min]:[Red Min]])</f>
        <v>57</v>
      </c>
      <c r="E899">
        <v>14</v>
      </c>
      <c r="F899">
        <v>627</v>
      </c>
      <c r="G899">
        <v>125</v>
      </c>
      <c r="H899">
        <v>167</v>
      </c>
      <c r="I899">
        <v>17</v>
      </c>
      <c r="J899">
        <v>9</v>
      </c>
      <c r="K899">
        <v>17</v>
      </c>
      <c r="L899">
        <v>11</v>
      </c>
      <c r="M899">
        <v>3</v>
      </c>
      <c r="N899" t="s">
        <v>208</v>
      </c>
      <c r="O899" t="s">
        <v>53</v>
      </c>
      <c r="P899" t="s">
        <v>213</v>
      </c>
      <c r="Q899">
        <f t="shared" si="303"/>
        <v>2</v>
      </c>
      <c r="R899" t="str">
        <f t="shared" si="304"/>
        <v>1-2026</v>
      </c>
      <c r="S899" t="s">
        <v>104</v>
      </c>
      <c r="T899" t="str">
        <f t="shared" si="305"/>
        <v>Thursday</v>
      </c>
      <c r="U899">
        <f t="shared" ref="U899:U904" si="309">IF(E899&gt;=12,1,0)</f>
        <v>1</v>
      </c>
      <c r="V899" s="24">
        <f>IFERROR(Table2[[#This Row],[Gray Min]]/Table2[[#This Row],[ClassLength]],"")</f>
        <v>0.2982456140350877</v>
      </c>
      <c r="W899" s="24">
        <f>IFERROR(Table2[[#This Row],[Blue Min]]/Table2[[#This Row],[ClassLength]],"")</f>
        <v>0.15789473684210525</v>
      </c>
      <c r="X899" s="24">
        <f>IFERROR(Table2[[#This Row],[Green Min]]/Table2[[#This Row],[ClassLength]],"")</f>
        <v>0.2982456140350877</v>
      </c>
      <c r="Y899" s="24">
        <f>IFERROR(Table2[[#This Row],[Orange Min]]/Table2[[#This Row],[ClassLength]],"")</f>
        <v>0.19298245614035087</v>
      </c>
      <c r="Z899" s="24">
        <f>IFERROR(Table2[[#This Row],[Red Min]]/Table2[[#This Row],[ClassLength]],"")</f>
        <v>5.2631578947368418E-2</v>
      </c>
      <c r="AA899" s="25">
        <v>139</v>
      </c>
      <c r="AB899" s="25">
        <f t="shared" ref="AB899:AB904" si="310">AA899/B899</f>
        <v>9.2666666666666675</v>
      </c>
      <c r="AC899" s="26">
        <f t="shared" si="307"/>
        <v>641.86666666666667</v>
      </c>
      <c r="AD899" s="26">
        <f t="shared" si="308"/>
        <v>13.733333333333333</v>
      </c>
      <c r="AE899">
        <f t="shared" ref="AE899:AE904" si="311">YEAR(C899)</f>
        <v>2026</v>
      </c>
      <c r="AG899">
        <v>12</v>
      </c>
      <c r="AH899" s="26">
        <f t="shared" ref="AH899:AH904" si="312">F899/D899</f>
        <v>11</v>
      </c>
      <c r="AI899" t="str">
        <f t="shared" ref="AI899:AI904" si="313">RIGHT(O899,2)</f>
        <v>PM</v>
      </c>
      <c r="AJ899" t="str">
        <f t="shared" ref="AJ899:AJ904" si="314">R899&amp;"-"&amp;WEEKNUM(C899,1)-WEEKNUM(DATE(YEAR(C899),MONTH(C899),1),1)+1</f>
        <v>1-2026-2</v>
      </c>
      <c r="AK899">
        <f t="shared" ref="AK899:AK904" si="315">MONTH(C899)</f>
        <v>1</v>
      </c>
      <c r="AL899" s="26">
        <f>IFERROR(Table2[[#This Row],[Calories]]/Table2[[#This Row],[Splat]],"")</f>
        <v>44.785714285714285</v>
      </c>
      <c r="AM899">
        <f>COUNTIF(N$2:$N$938,N899)</f>
        <v>78</v>
      </c>
      <c r="AN899" t="str">
        <f>VLOOKUP(N899,'Helpful Tables'!A:D,4,FALSE)</f>
        <v>Oregon</v>
      </c>
      <c r="AO899" s="24">
        <f>COUNTIF(AN:AN,Table2[[#This Row],[State]])/COUNTA(AN:AN)</f>
        <v>0.36140724946695096</v>
      </c>
      <c r="AP899">
        <f>VLOOKUP(N899,'Helpful Tables'!A:B,2,FALSE)</f>
        <v>45.525092999999998</v>
      </c>
      <c r="AQ899">
        <f>VLOOKUP(N899,'Helpful Tables'!A:C,3,FALSE)</f>
        <v>-122.681383</v>
      </c>
      <c r="AR899">
        <f>COUNTIF(P$2:$P$938,P899)</f>
        <v>40</v>
      </c>
      <c r="AS899" cm="1">
        <f t="array" ref="AS899">_xlfn.IFS(E899&lt;6,((E899/D899)*60)*0.5,AND(E899&gt;=6,E899&lt;9),((E899/D899)*60)*0.75,AND(E899&gt;=9,E899&lt;=11),((E899/D899)*60)*0.9,AND(E899=12),((E899/D899)*60)*1,AND(E899&gt;=13,E899&lt;=15),((E899/D899)*60)*1.2,AND(E899&gt;=16,E899&lt;=19),((E899/D899)*60)*1.5,E899&gt;=20,((E899/D899)*60)*1.8)</f>
        <v>17.684210526315788</v>
      </c>
      <c r="AT899" cm="1">
        <f t="array" ref="AT899">_xlfn.IFS(F899&lt;550,((F899/D899)*60)*0.5,AND(F899&gt;=550,F899&lt;575),((F899/D899)*60)*0.75,AND(F899&gt;=575,F899&lt;600),((F899/D899)*60)*0.9,AND(F899=600),((F899/D899)*60)*1,AND(F899&gt;=601,F899&lt;=625),((F899/D899)*60)*1.2,AND(F899&gt;=626,F899&lt;=650),((F899/D899)*60)*1.5,F899&gt;=651,((F899/D899)*60)*1.8)</f>
        <v>990</v>
      </c>
      <c r="AU899">
        <f t="shared" ref="AU899:AU904" si="316">(I899*-1.2)+(J899*-1.1)+(K899*1.2)+(L899*1.3)+(M899*1.5)</f>
        <v>8.9000000000000021</v>
      </c>
      <c r="AV899">
        <f t="shared" ref="AV899:AV904" si="317">(AS899*0.4)+(AT899*0.4)+(AU899*0.2)</f>
        <v>404.8536842105263</v>
      </c>
      <c r="AW899">
        <f t="shared" si="267"/>
        <v>56.000000000000007</v>
      </c>
      <c r="AX899" t="str">
        <f t="shared" ref="AX899:AX904" si="318">_xlfn.CONCAT(TEXT(C899,"mmm"),"-",AE899)</f>
        <v>Jan-2026</v>
      </c>
      <c r="AY899">
        <f>ROUNDUP(Table2[[#This Row],[Month]]/3,0)</f>
        <v>1</v>
      </c>
    </row>
    <row r="900" spans="1:51" x14ac:dyDescent="0.2">
      <c r="A900">
        <v>899</v>
      </c>
      <c r="B900">
        <f t="shared" si="306"/>
        <v>15</v>
      </c>
      <c r="C900" s="22">
        <v>46032</v>
      </c>
      <c r="D900">
        <f>SUM(Table2[[#This Row],[Gray Min]:[Red Min]])</f>
        <v>54</v>
      </c>
      <c r="E900">
        <v>10</v>
      </c>
      <c r="F900">
        <v>626</v>
      </c>
      <c r="G900">
        <v>128</v>
      </c>
      <c r="H900">
        <v>164</v>
      </c>
      <c r="I900">
        <v>10</v>
      </c>
      <c r="J900">
        <v>14</v>
      </c>
      <c r="K900">
        <v>20</v>
      </c>
      <c r="L900">
        <v>9</v>
      </c>
      <c r="M900">
        <v>1</v>
      </c>
      <c r="N900" t="s">
        <v>208</v>
      </c>
      <c r="O900" t="s">
        <v>76</v>
      </c>
      <c r="P900" t="s">
        <v>213</v>
      </c>
      <c r="Q900">
        <f t="shared" si="303"/>
        <v>2</v>
      </c>
      <c r="R900" t="str">
        <f t="shared" si="304"/>
        <v>1-2026</v>
      </c>
      <c r="S900" t="s">
        <v>117</v>
      </c>
      <c r="T900" t="str">
        <f t="shared" si="305"/>
        <v>Saturday</v>
      </c>
      <c r="U900">
        <f t="shared" si="309"/>
        <v>0</v>
      </c>
      <c r="V900" s="24">
        <f>IFERROR(Table2[[#This Row],[Gray Min]]/Table2[[#This Row],[ClassLength]],"")</f>
        <v>0.18518518518518517</v>
      </c>
      <c r="W900" s="24">
        <f>IFERROR(Table2[[#This Row],[Blue Min]]/Table2[[#This Row],[ClassLength]],"")</f>
        <v>0.25925925925925924</v>
      </c>
      <c r="X900" s="24">
        <f>IFERROR(Table2[[#This Row],[Green Min]]/Table2[[#This Row],[ClassLength]],"")</f>
        <v>0.37037037037037035</v>
      </c>
      <c r="Y900" s="24">
        <f>IFERROR(Table2[[#This Row],[Orange Min]]/Table2[[#This Row],[ClassLength]],"")</f>
        <v>0.16666666666666666</v>
      </c>
      <c r="Z900" s="24">
        <f>IFERROR(Table2[[#This Row],[Red Min]]/Table2[[#This Row],[ClassLength]],"")</f>
        <v>1.8518518518518517E-2</v>
      </c>
      <c r="AA900" s="25">
        <v>139</v>
      </c>
      <c r="AB900" s="25">
        <f t="shared" si="310"/>
        <v>9.2666666666666675</v>
      </c>
      <c r="AC900" s="26">
        <f t="shared" si="307"/>
        <v>641.86666666666667</v>
      </c>
      <c r="AD900" s="26">
        <f t="shared" si="308"/>
        <v>13.733333333333333</v>
      </c>
      <c r="AE900">
        <f t="shared" si="311"/>
        <v>2026</v>
      </c>
      <c r="AG900">
        <v>12</v>
      </c>
      <c r="AH900" s="26">
        <f t="shared" si="312"/>
        <v>11.592592592592593</v>
      </c>
      <c r="AI900" t="str">
        <f t="shared" si="313"/>
        <v>AM</v>
      </c>
      <c r="AJ900" t="str">
        <f t="shared" si="314"/>
        <v>1-2026-2</v>
      </c>
      <c r="AK900">
        <f t="shared" si="315"/>
        <v>1</v>
      </c>
      <c r="AL900" s="26">
        <f>IFERROR(Table2[[#This Row],[Calories]]/Table2[[#This Row],[Splat]],"")</f>
        <v>62.6</v>
      </c>
      <c r="AM900">
        <f>COUNTIF(N$2:$N$938,N900)</f>
        <v>78</v>
      </c>
      <c r="AN900" t="str">
        <f>VLOOKUP(N900,'Helpful Tables'!A:D,4,FALSE)</f>
        <v>Oregon</v>
      </c>
      <c r="AO900" s="24">
        <f>COUNTIF(AN:AN,Table2[[#This Row],[State]])/COUNTA(AN:AN)</f>
        <v>0.36140724946695096</v>
      </c>
      <c r="AP900">
        <f>VLOOKUP(N900,'Helpful Tables'!A:B,2,FALSE)</f>
        <v>45.525092999999998</v>
      </c>
      <c r="AQ900">
        <f>VLOOKUP(N900,'Helpful Tables'!A:C,3,FALSE)</f>
        <v>-122.681383</v>
      </c>
      <c r="AR900">
        <f>COUNTIF(P$2:$P$938,P900)</f>
        <v>40</v>
      </c>
      <c r="AS900" cm="1">
        <f t="array" ref="AS900">_xlfn.IFS(E900&lt;6,((E900/D900)*60)*0.5,AND(E900&gt;=6,E900&lt;9),((E900/D900)*60)*0.75,AND(E900&gt;=9,E900&lt;=11),((E900/D900)*60)*0.9,AND(E900=12),((E900/D900)*60)*1,AND(E900&gt;=13,E900&lt;=15),((E900/D900)*60)*1.2,AND(E900&gt;=16,E900&lt;=19),((E900/D900)*60)*1.5,E900&gt;=20,((E900/D900)*60)*1.8)</f>
        <v>10</v>
      </c>
      <c r="AT900" cm="1">
        <f t="array" ref="AT900">_xlfn.IFS(F900&lt;550,((F900/D900)*60)*0.5,AND(F900&gt;=550,F900&lt;575),((F900/D900)*60)*0.75,AND(F900&gt;=575,F900&lt;600),((F900/D900)*60)*0.9,AND(F900=600),((F900/D900)*60)*1,AND(F900&gt;=601,F900&lt;=625),((F900/D900)*60)*1.2,AND(F900&gt;=626,F900&lt;=650),((F900/D900)*60)*1.5,F900&gt;=651,((F900/D900)*60)*1.8)</f>
        <v>1043.3333333333335</v>
      </c>
      <c r="AU900">
        <f t="shared" si="316"/>
        <v>9.7999999999999989</v>
      </c>
      <c r="AV900">
        <f t="shared" si="317"/>
        <v>423.29333333333341</v>
      </c>
      <c r="AW900">
        <f t="shared" si="267"/>
        <v>63.1</v>
      </c>
      <c r="AX900" t="str">
        <f t="shared" si="318"/>
        <v>Jan-2026</v>
      </c>
      <c r="AY900">
        <f>ROUNDUP(Table2[[#This Row],[Month]]/3,0)</f>
        <v>1</v>
      </c>
    </row>
    <row r="901" spans="1:51" x14ac:dyDescent="0.2">
      <c r="A901">
        <v>900</v>
      </c>
      <c r="B901">
        <f t="shared" si="306"/>
        <v>15</v>
      </c>
      <c r="C901" s="22">
        <v>46034</v>
      </c>
      <c r="D901">
        <f>SUM(Table2[[#This Row],[Gray Min]:[Red Min]])</f>
        <v>62</v>
      </c>
      <c r="E901">
        <v>14</v>
      </c>
      <c r="F901">
        <v>712</v>
      </c>
      <c r="G901">
        <v>128</v>
      </c>
      <c r="H901">
        <v>168</v>
      </c>
      <c r="I901">
        <v>10</v>
      </c>
      <c r="J901">
        <v>18</v>
      </c>
      <c r="K901">
        <v>20</v>
      </c>
      <c r="L901">
        <v>10</v>
      </c>
      <c r="M901">
        <v>4</v>
      </c>
      <c r="N901" t="s">
        <v>125</v>
      </c>
      <c r="O901" t="s">
        <v>127</v>
      </c>
      <c r="P901" t="s">
        <v>238</v>
      </c>
      <c r="Q901">
        <f t="shared" ref="Q901:Q906" si="319">C901-C900</f>
        <v>2</v>
      </c>
      <c r="R901" t="str">
        <f t="shared" ref="R901:R906" si="320">MONTH(C901)&amp;"-"&amp;YEAR(C901)</f>
        <v>1-2026</v>
      </c>
      <c r="S901" t="s">
        <v>104</v>
      </c>
      <c r="T901" t="str">
        <f t="shared" ref="T901:T906" si="321">IF(WEEKDAY(C901)=1,"Sunday",IF(WEEKDAY(C901)=2,"Monday",IF(WEEKDAY(C901)=3,"Tuesday",IF(WEEKDAY(C901)=4,"Wednesday",IF(WEEKDAY(C901)=5,"Thursday",IF(WEEKDAY(C901)=6,"Friday","Saturday"))))))</f>
        <v>Monday</v>
      </c>
      <c r="U901">
        <f t="shared" si="309"/>
        <v>1</v>
      </c>
      <c r="V901" s="24">
        <f>IFERROR(Table2[[#This Row],[Gray Min]]/Table2[[#This Row],[ClassLength]],"")</f>
        <v>0.16129032258064516</v>
      </c>
      <c r="W901" s="24">
        <f>IFERROR(Table2[[#This Row],[Blue Min]]/Table2[[#This Row],[ClassLength]],"")</f>
        <v>0.29032258064516131</v>
      </c>
      <c r="X901" s="24">
        <f>IFERROR(Table2[[#This Row],[Green Min]]/Table2[[#This Row],[ClassLength]],"")</f>
        <v>0.32258064516129031</v>
      </c>
      <c r="Y901" s="24">
        <f>IFERROR(Table2[[#This Row],[Orange Min]]/Table2[[#This Row],[ClassLength]],"")</f>
        <v>0.16129032258064516</v>
      </c>
      <c r="Z901" s="24">
        <f>IFERROR(Table2[[#This Row],[Red Min]]/Table2[[#This Row],[ClassLength]],"")</f>
        <v>6.4516129032258063E-2</v>
      </c>
      <c r="AA901" s="25">
        <v>139</v>
      </c>
      <c r="AB901" s="25">
        <f t="shared" si="310"/>
        <v>9.2666666666666675</v>
      </c>
      <c r="AC901" s="26">
        <f t="shared" si="307"/>
        <v>641.86666666666667</v>
      </c>
      <c r="AD901" s="26">
        <f t="shared" si="308"/>
        <v>13.733333333333333</v>
      </c>
      <c r="AE901">
        <f t="shared" si="311"/>
        <v>2026</v>
      </c>
      <c r="AG901">
        <v>12</v>
      </c>
      <c r="AH901" s="26">
        <f t="shared" si="312"/>
        <v>11.483870967741936</v>
      </c>
      <c r="AI901" t="str">
        <f t="shared" si="313"/>
        <v>PM</v>
      </c>
      <c r="AJ901" t="str">
        <f t="shared" si="314"/>
        <v>1-2026-3</v>
      </c>
      <c r="AK901">
        <f t="shared" si="315"/>
        <v>1</v>
      </c>
      <c r="AL901" s="26">
        <f>IFERROR(Table2[[#This Row],[Calories]]/Table2[[#This Row],[Splat]],"")</f>
        <v>50.857142857142854</v>
      </c>
      <c r="AM901">
        <f>COUNTIF(N$2:$N$938,N901)</f>
        <v>258</v>
      </c>
      <c r="AN901" t="str">
        <f>VLOOKUP(N901,'Helpful Tables'!A:D,4,FALSE)</f>
        <v>Oregon</v>
      </c>
      <c r="AO901" s="24">
        <f>COUNTIF(AN:AN,Table2[[#This Row],[State]])/COUNTA(AN:AN)</f>
        <v>0.36140724946695096</v>
      </c>
      <c r="AP901">
        <f>VLOOKUP(N901,'Helpful Tables'!A:B,2,FALSE)</f>
        <v>45.534162000000002</v>
      </c>
      <c r="AQ901">
        <f>VLOOKUP(N901,'Helpful Tables'!A:C,3,FALSE)</f>
        <v>-122.69670000000001</v>
      </c>
      <c r="AR901">
        <f>COUNTIF(P$2:$P$938,P901)</f>
        <v>25</v>
      </c>
      <c r="AS901" cm="1">
        <f t="array" ref="AS901">_xlfn.IFS(E901&lt;6,((E901/D901)*60)*0.5,AND(E901&gt;=6,E901&lt;9),((E901/D901)*60)*0.75,AND(E901&gt;=9,E901&lt;=11),((E901/D901)*60)*0.9,AND(E901=12),((E901/D901)*60)*1,AND(E901&gt;=13,E901&lt;=15),((E901/D901)*60)*1.2,AND(E901&gt;=16,E901&lt;=19),((E901/D901)*60)*1.5,E901&gt;=20,((E901/D901)*60)*1.8)</f>
        <v>16.258064516129032</v>
      </c>
      <c r="AT901" cm="1">
        <f t="array" ref="AT901">_xlfn.IFS(F901&lt;550,((F901/D901)*60)*0.5,AND(F901&gt;=550,F901&lt;575),((F901/D901)*60)*0.75,AND(F901&gt;=575,F901&lt;600),((F901/D901)*60)*0.9,AND(F901=600),((F901/D901)*60)*1,AND(F901&gt;=601,F901&lt;=625),((F901/D901)*60)*1.2,AND(F901&gt;=626,F901&lt;=650),((F901/D901)*60)*1.5,F901&gt;=651,((F901/D901)*60)*1.8)</f>
        <v>1240.258064516129</v>
      </c>
      <c r="AU901">
        <f t="shared" si="316"/>
        <v>11.2</v>
      </c>
      <c r="AV901">
        <f t="shared" si="317"/>
        <v>504.84645161290325</v>
      </c>
      <c r="AW901">
        <f t="shared" si="267"/>
        <v>82.399999999999991</v>
      </c>
      <c r="AX901" t="str">
        <f t="shared" si="318"/>
        <v>Jan-2026</v>
      </c>
      <c r="AY901">
        <f>ROUNDUP(Table2[[#This Row],[Month]]/3,0)</f>
        <v>1</v>
      </c>
    </row>
    <row r="902" spans="1:51" x14ac:dyDescent="0.2">
      <c r="A902">
        <v>901</v>
      </c>
      <c r="B902">
        <f t="shared" si="306"/>
        <v>15</v>
      </c>
      <c r="C902" s="22">
        <v>46037</v>
      </c>
      <c r="D902">
        <f>SUM(Table2[[#This Row],[Gray Min]:[Red Min]])</f>
        <v>62</v>
      </c>
      <c r="E902">
        <v>14</v>
      </c>
      <c r="F902">
        <v>686</v>
      </c>
      <c r="G902">
        <v>124</v>
      </c>
      <c r="H902">
        <v>163</v>
      </c>
      <c r="I902">
        <v>15</v>
      </c>
      <c r="J902">
        <v>20</v>
      </c>
      <c r="K902">
        <v>13</v>
      </c>
      <c r="L902">
        <v>14</v>
      </c>
      <c r="M902">
        <v>0</v>
      </c>
      <c r="N902" t="s">
        <v>125</v>
      </c>
      <c r="O902" t="s">
        <v>127</v>
      </c>
      <c r="P902" t="s">
        <v>304</v>
      </c>
      <c r="Q902">
        <f t="shared" si="319"/>
        <v>3</v>
      </c>
      <c r="R902" t="str">
        <f t="shared" si="320"/>
        <v>1-2026</v>
      </c>
      <c r="S902" t="s">
        <v>104</v>
      </c>
      <c r="T902" t="str">
        <f t="shared" si="321"/>
        <v>Thursday</v>
      </c>
      <c r="U902">
        <f t="shared" si="309"/>
        <v>1</v>
      </c>
      <c r="V902" s="24">
        <f>IFERROR(Table2[[#This Row],[Gray Min]]/Table2[[#This Row],[ClassLength]],"")</f>
        <v>0.24193548387096775</v>
      </c>
      <c r="W902" s="24">
        <f>IFERROR(Table2[[#This Row],[Blue Min]]/Table2[[#This Row],[ClassLength]],"")</f>
        <v>0.32258064516129031</v>
      </c>
      <c r="X902" s="24">
        <f>IFERROR(Table2[[#This Row],[Green Min]]/Table2[[#This Row],[ClassLength]],"")</f>
        <v>0.20967741935483872</v>
      </c>
      <c r="Y902" s="24">
        <f>IFERROR(Table2[[#This Row],[Orange Min]]/Table2[[#This Row],[ClassLength]],"")</f>
        <v>0.22580645161290322</v>
      </c>
      <c r="Z902" s="24">
        <f>IFERROR(Table2[[#This Row],[Red Min]]/Table2[[#This Row],[ClassLength]],"")</f>
        <v>0</v>
      </c>
      <c r="AA902" s="25">
        <v>139</v>
      </c>
      <c r="AB902" s="25">
        <f t="shared" si="310"/>
        <v>9.2666666666666675</v>
      </c>
      <c r="AC902" s="26">
        <f t="shared" si="307"/>
        <v>641.86666666666667</v>
      </c>
      <c r="AD902" s="26">
        <f t="shared" si="308"/>
        <v>13.733333333333333</v>
      </c>
      <c r="AE902">
        <f t="shared" si="311"/>
        <v>2026</v>
      </c>
      <c r="AG902">
        <v>12</v>
      </c>
      <c r="AH902" s="26">
        <f t="shared" si="312"/>
        <v>11.064516129032258</v>
      </c>
      <c r="AI902" t="str">
        <f t="shared" si="313"/>
        <v>PM</v>
      </c>
      <c r="AJ902" t="str">
        <f t="shared" si="314"/>
        <v>1-2026-3</v>
      </c>
      <c r="AK902">
        <f t="shared" si="315"/>
        <v>1</v>
      </c>
      <c r="AL902" s="26">
        <f>IFERROR(Table2[[#This Row],[Calories]]/Table2[[#This Row],[Splat]],"")</f>
        <v>49</v>
      </c>
      <c r="AM902">
        <f>COUNTIF(N$2:$N$938,N902)</f>
        <v>258</v>
      </c>
      <c r="AN902" t="str">
        <f>VLOOKUP(N902,'Helpful Tables'!A:D,4,FALSE)</f>
        <v>Oregon</v>
      </c>
      <c r="AO902" s="24">
        <f>COUNTIF(AN:AN,Table2[[#This Row],[State]])/COUNTA(AN:AN)</f>
        <v>0.36140724946695096</v>
      </c>
      <c r="AP902">
        <f>VLOOKUP(N902,'Helpful Tables'!A:B,2,FALSE)</f>
        <v>45.534162000000002</v>
      </c>
      <c r="AQ902">
        <f>VLOOKUP(N902,'Helpful Tables'!A:C,3,FALSE)</f>
        <v>-122.69670000000001</v>
      </c>
      <c r="AR902">
        <f>COUNTIF(P$2:$P$938,P902)</f>
        <v>1</v>
      </c>
      <c r="AS902" cm="1">
        <f t="array" ref="AS902">_xlfn.IFS(E902&lt;6,((E902/D902)*60)*0.5,AND(E902&gt;=6,E902&lt;9),((E902/D902)*60)*0.75,AND(E902&gt;=9,E902&lt;=11),((E902/D902)*60)*0.9,AND(E902=12),((E902/D902)*60)*1,AND(E902&gt;=13,E902&lt;=15),((E902/D902)*60)*1.2,AND(E902&gt;=16,E902&lt;=19),((E902/D902)*60)*1.5,E902&gt;=20,((E902/D902)*60)*1.8)</f>
        <v>16.258064516129032</v>
      </c>
      <c r="AT902" cm="1">
        <f t="array" ref="AT902">_xlfn.IFS(F902&lt;550,((F902/D902)*60)*0.5,AND(F902&gt;=550,F902&lt;575),((F902/D902)*60)*0.75,AND(F902&gt;=575,F902&lt;600),((F902/D902)*60)*0.9,AND(F902=600),((F902/D902)*60)*1,AND(F902&gt;=601,F902&lt;=625),((F902/D902)*60)*1.2,AND(F902&gt;=626,F902&lt;=650),((F902/D902)*60)*1.5,F902&gt;=651,((F902/D902)*60)*1.8)</f>
        <v>1194.9677419354839</v>
      </c>
      <c r="AU902">
        <f t="shared" si="316"/>
        <v>-6.1999999999999993</v>
      </c>
      <c r="AV902">
        <f t="shared" si="317"/>
        <v>483.25032258064516</v>
      </c>
      <c r="AW902">
        <f t="shared" si="267"/>
        <v>70.7</v>
      </c>
      <c r="AX902" t="str">
        <f t="shared" si="318"/>
        <v>Jan-2026</v>
      </c>
      <c r="AY902">
        <f>ROUNDUP(Table2[[#This Row],[Month]]/3,0)</f>
        <v>1</v>
      </c>
    </row>
    <row r="903" spans="1:51" x14ac:dyDescent="0.2">
      <c r="A903">
        <v>902</v>
      </c>
      <c r="B903">
        <f t="shared" si="306"/>
        <v>15</v>
      </c>
      <c r="C903" s="22">
        <v>46039</v>
      </c>
      <c r="D903">
        <f>SUM(Table2[[#This Row],[Gray Min]:[Red Min]])</f>
        <v>59</v>
      </c>
      <c r="E903">
        <v>11</v>
      </c>
      <c r="F903">
        <v>549</v>
      </c>
      <c r="G903">
        <v>114</v>
      </c>
      <c r="H903">
        <v>168</v>
      </c>
      <c r="I903">
        <v>26</v>
      </c>
      <c r="J903">
        <v>14</v>
      </c>
      <c r="K903">
        <v>8</v>
      </c>
      <c r="L903">
        <v>9</v>
      </c>
      <c r="M903">
        <v>2</v>
      </c>
      <c r="N903" t="s">
        <v>208</v>
      </c>
      <c r="O903" t="s">
        <v>76</v>
      </c>
      <c r="P903" t="s">
        <v>213</v>
      </c>
      <c r="Q903">
        <f t="shared" si="319"/>
        <v>2</v>
      </c>
      <c r="R903" t="str">
        <f t="shared" si="320"/>
        <v>1-2026</v>
      </c>
      <c r="S903" t="s">
        <v>117</v>
      </c>
      <c r="T903" t="str">
        <f t="shared" si="321"/>
        <v>Saturday</v>
      </c>
      <c r="U903">
        <f t="shared" si="309"/>
        <v>0</v>
      </c>
      <c r="V903" s="24">
        <f>IFERROR(Table2[[#This Row],[Gray Min]]/Table2[[#This Row],[ClassLength]],"")</f>
        <v>0.44067796610169491</v>
      </c>
      <c r="W903" s="24">
        <f>IFERROR(Table2[[#This Row],[Blue Min]]/Table2[[#This Row],[ClassLength]],"")</f>
        <v>0.23728813559322035</v>
      </c>
      <c r="X903" s="24">
        <f>IFERROR(Table2[[#This Row],[Green Min]]/Table2[[#This Row],[ClassLength]],"")</f>
        <v>0.13559322033898305</v>
      </c>
      <c r="Y903" s="24">
        <f>IFERROR(Table2[[#This Row],[Orange Min]]/Table2[[#This Row],[ClassLength]],"")</f>
        <v>0.15254237288135594</v>
      </c>
      <c r="Z903" s="24">
        <f>IFERROR(Table2[[#This Row],[Red Min]]/Table2[[#This Row],[ClassLength]],"")</f>
        <v>3.3898305084745763E-2</v>
      </c>
      <c r="AA903" s="25">
        <v>139</v>
      </c>
      <c r="AB903" s="25">
        <f t="shared" si="310"/>
        <v>9.2666666666666675</v>
      </c>
      <c r="AC903" s="26">
        <f t="shared" si="307"/>
        <v>641.86666666666667</v>
      </c>
      <c r="AD903" s="26">
        <f t="shared" si="308"/>
        <v>13.733333333333333</v>
      </c>
      <c r="AE903">
        <f t="shared" si="311"/>
        <v>2026</v>
      </c>
      <c r="AG903">
        <v>12</v>
      </c>
      <c r="AH903" s="26">
        <f t="shared" si="312"/>
        <v>9.3050847457627111</v>
      </c>
      <c r="AI903" t="str">
        <f t="shared" si="313"/>
        <v>AM</v>
      </c>
      <c r="AJ903" t="str">
        <f t="shared" si="314"/>
        <v>1-2026-3</v>
      </c>
      <c r="AK903">
        <f t="shared" si="315"/>
        <v>1</v>
      </c>
      <c r="AL903" s="26">
        <f>IFERROR(Table2[[#This Row],[Calories]]/Table2[[#This Row],[Splat]],"")</f>
        <v>49.909090909090907</v>
      </c>
      <c r="AM903">
        <f>COUNTIF(N$2:$N$938,N903)</f>
        <v>78</v>
      </c>
      <c r="AN903" t="str">
        <f>VLOOKUP(N903,'Helpful Tables'!A:D,4,FALSE)</f>
        <v>Oregon</v>
      </c>
      <c r="AO903" s="24">
        <f>COUNTIF(AN:AN,Table2[[#This Row],[State]])/COUNTA(AN:AN)</f>
        <v>0.36140724946695096</v>
      </c>
      <c r="AP903">
        <f>VLOOKUP(N903,'Helpful Tables'!A:B,2,FALSE)</f>
        <v>45.525092999999998</v>
      </c>
      <c r="AQ903">
        <f>VLOOKUP(N903,'Helpful Tables'!A:C,3,FALSE)</f>
        <v>-122.681383</v>
      </c>
      <c r="AR903">
        <f>COUNTIF(P$2:$P$938,P903)</f>
        <v>40</v>
      </c>
      <c r="AS903" cm="1">
        <f t="array" ref="AS903">_xlfn.IFS(E903&lt;6,((E903/D903)*60)*0.5,AND(E903&gt;=6,E903&lt;9),((E903/D903)*60)*0.75,AND(E903&gt;=9,E903&lt;=11),((E903/D903)*60)*0.9,AND(E903=12),((E903/D903)*60)*1,AND(E903&gt;=13,E903&lt;=15),((E903/D903)*60)*1.2,AND(E903&gt;=16,E903&lt;=19),((E903/D903)*60)*1.5,E903&gt;=20,((E903/D903)*60)*1.8)</f>
        <v>10.067796610169491</v>
      </c>
      <c r="AT903" cm="1">
        <f t="array" ref="AT903">_xlfn.IFS(F903&lt;550,((F903/D903)*60)*0.5,AND(F903&gt;=550,F903&lt;575),((F903/D903)*60)*0.75,AND(F903&gt;=575,F903&lt;600),((F903/D903)*60)*0.9,AND(F903=600),((F903/D903)*60)*1,AND(F903&gt;=601,F903&lt;=625),((F903/D903)*60)*1.2,AND(F903&gt;=626,F903&lt;=650),((F903/D903)*60)*1.5,F903&gt;=651,((F903/D903)*60)*1.8)</f>
        <v>279.15254237288133</v>
      </c>
      <c r="AU903">
        <f t="shared" si="316"/>
        <v>-22.299999999999997</v>
      </c>
      <c r="AV903">
        <f t="shared" si="317"/>
        <v>111.22813559322034</v>
      </c>
      <c r="AW903">
        <f t="shared" si="267"/>
        <v>4</v>
      </c>
      <c r="AX903" t="str">
        <f t="shared" si="318"/>
        <v>Jan-2026</v>
      </c>
      <c r="AY903">
        <f>ROUNDUP(Table2[[#This Row],[Month]]/3,0)</f>
        <v>1</v>
      </c>
    </row>
    <row r="904" spans="1:51" x14ac:dyDescent="0.2">
      <c r="A904">
        <v>903</v>
      </c>
      <c r="B904">
        <f t="shared" si="306"/>
        <v>15</v>
      </c>
      <c r="C904" s="22">
        <v>46041</v>
      </c>
      <c r="D904">
        <f>SUM(Table2[[#This Row],[Gray Min]:[Red Min]])</f>
        <v>58</v>
      </c>
      <c r="E904">
        <v>16</v>
      </c>
      <c r="F904">
        <v>681</v>
      </c>
      <c r="G904">
        <v>130</v>
      </c>
      <c r="H904">
        <v>164</v>
      </c>
      <c r="I904">
        <v>9</v>
      </c>
      <c r="J904">
        <v>9</v>
      </c>
      <c r="K904">
        <v>24</v>
      </c>
      <c r="L904">
        <v>14</v>
      </c>
      <c r="M904">
        <v>2</v>
      </c>
      <c r="N904" t="s">
        <v>125</v>
      </c>
      <c r="O904" t="s">
        <v>127</v>
      </c>
      <c r="P904" t="s">
        <v>238</v>
      </c>
      <c r="Q904">
        <f t="shared" si="319"/>
        <v>2</v>
      </c>
      <c r="R904" t="str">
        <f t="shared" si="320"/>
        <v>1-2026</v>
      </c>
      <c r="S904" t="s">
        <v>145</v>
      </c>
      <c r="T904" t="str">
        <f t="shared" si="321"/>
        <v>Monday</v>
      </c>
      <c r="U904">
        <f t="shared" si="309"/>
        <v>1</v>
      </c>
      <c r="V904" s="24">
        <f>IFERROR(Table2[[#This Row],[Gray Min]]/Table2[[#This Row],[ClassLength]],"")</f>
        <v>0.15517241379310345</v>
      </c>
      <c r="W904" s="24">
        <f>IFERROR(Table2[[#This Row],[Blue Min]]/Table2[[#This Row],[ClassLength]],"")</f>
        <v>0.15517241379310345</v>
      </c>
      <c r="X904" s="24">
        <f>IFERROR(Table2[[#This Row],[Green Min]]/Table2[[#This Row],[ClassLength]],"")</f>
        <v>0.41379310344827586</v>
      </c>
      <c r="Y904" s="24">
        <f>IFERROR(Table2[[#This Row],[Orange Min]]/Table2[[#This Row],[ClassLength]],"")</f>
        <v>0.2413793103448276</v>
      </c>
      <c r="Z904" s="24">
        <f>IFERROR(Table2[[#This Row],[Red Min]]/Table2[[#This Row],[ClassLength]],"")</f>
        <v>3.4482758620689655E-2</v>
      </c>
      <c r="AA904" s="25">
        <v>139</v>
      </c>
      <c r="AB904" s="25">
        <f t="shared" si="310"/>
        <v>9.2666666666666675</v>
      </c>
      <c r="AC904" s="26">
        <f t="shared" si="307"/>
        <v>641.86666666666667</v>
      </c>
      <c r="AD904" s="26">
        <f t="shared" si="308"/>
        <v>13.733333333333333</v>
      </c>
      <c r="AE904">
        <f t="shared" si="311"/>
        <v>2026</v>
      </c>
      <c r="AG904">
        <v>12</v>
      </c>
      <c r="AH904" s="26">
        <f t="shared" si="312"/>
        <v>11.741379310344827</v>
      </c>
      <c r="AI904" t="str">
        <f t="shared" si="313"/>
        <v>PM</v>
      </c>
      <c r="AJ904" t="str">
        <f t="shared" si="314"/>
        <v>1-2026-4</v>
      </c>
      <c r="AK904">
        <f t="shared" si="315"/>
        <v>1</v>
      </c>
      <c r="AL904" s="26">
        <f>IFERROR(Table2[[#This Row],[Calories]]/Table2[[#This Row],[Splat]],"")</f>
        <v>42.5625</v>
      </c>
      <c r="AM904">
        <f>COUNTIF(N$2:$N$938,N904)</f>
        <v>258</v>
      </c>
      <c r="AN904" t="str">
        <f>VLOOKUP(N904,'Helpful Tables'!A:D,4,FALSE)</f>
        <v>Oregon</v>
      </c>
      <c r="AO904" s="24">
        <f>COUNTIF(AN:AN,Table2[[#This Row],[State]])/COUNTA(AN:AN)</f>
        <v>0.36140724946695096</v>
      </c>
      <c r="AP904">
        <f>VLOOKUP(N904,'Helpful Tables'!A:B,2,FALSE)</f>
        <v>45.534162000000002</v>
      </c>
      <c r="AQ904">
        <f>VLOOKUP(N904,'Helpful Tables'!A:C,3,FALSE)</f>
        <v>-122.69670000000001</v>
      </c>
      <c r="AR904">
        <f>COUNTIF(P$2:$P$938,P904)</f>
        <v>25</v>
      </c>
      <c r="AS904" cm="1">
        <f t="array" ref="AS904">_xlfn.IFS(E904&lt;6,((E904/D904)*60)*0.5,AND(E904&gt;=6,E904&lt;9),((E904/D904)*60)*0.75,AND(E904&gt;=9,E904&lt;=11),((E904/D904)*60)*0.9,AND(E904=12),((E904/D904)*60)*1,AND(E904&gt;=13,E904&lt;=15),((E904/D904)*60)*1.2,AND(E904&gt;=16,E904&lt;=19),((E904/D904)*60)*1.5,E904&gt;=20,((E904/D904)*60)*1.8)</f>
        <v>24.827586206896555</v>
      </c>
      <c r="AT904" cm="1">
        <f t="array" ref="AT904">_xlfn.IFS(F904&lt;550,((F904/D904)*60)*0.5,AND(F904&gt;=550,F904&lt;575),((F904/D904)*60)*0.75,AND(F904&gt;=575,F904&lt;600),((F904/D904)*60)*0.9,AND(F904=600),((F904/D904)*60)*1,AND(F904&gt;=601,F904&lt;=625),((F904/D904)*60)*1.2,AND(F904&gt;=626,F904&lt;=650),((F904/D904)*60)*1.5,F904&gt;=651,((F904/D904)*60)*1.8)</f>
        <v>1268.0689655172414</v>
      </c>
      <c r="AU904">
        <f t="shared" si="316"/>
        <v>29.299999999999997</v>
      </c>
      <c r="AV904">
        <f t="shared" si="317"/>
        <v>523.01862068965522</v>
      </c>
      <c r="AW904">
        <f t="shared" si="267"/>
        <v>91.4</v>
      </c>
      <c r="AX904" t="str">
        <f t="shared" si="318"/>
        <v>Jan-2026</v>
      </c>
      <c r="AY904">
        <f>ROUNDUP(Table2[[#This Row],[Month]]/3,0)</f>
        <v>1</v>
      </c>
    </row>
    <row r="905" spans="1:51" x14ac:dyDescent="0.2">
      <c r="A905">
        <v>904</v>
      </c>
      <c r="B905">
        <f t="shared" si="306"/>
        <v>15</v>
      </c>
      <c r="C905" s="22">
        <v>46042</v>
      </c>
      <c r="D905">
        <f>SUM(Table2[[#This Row],[Gray Min]:[Red Min]])</f>
        <v>50</v>
      </c>
      <c r="E905">
        <v>17</v>
      </c>
      <c r="F905">
        <v>616</v>
      </c>
      <c r="G905">
        <v>134</v>
      </c>
      <c r="H905">
        <v>163</v>
      </c>
      <c r="I905">
        <v>5</v>
      </c>
      <c r="J905">
        <v>7</v>
      </c>
      <c r="K905">
        <v>21</v>
      </c>
      <c r="L905">
        <v>16</v>
      </c>
      <c r="M905">
        <v>1</v>
      </c>
      <c r="N905" t="s">
        <v>125</v>
      </c>
      <c r="O905" t="s">
        <v>127</v>
      </c>
      <c r="P905" t="s">
        <v>238</v>
      </c>
      <c r="Q905">
        <f t="shared" si="319"/>
        <v>1</v>
      </c>
      <c r="R905" t="str">
        <f t="shared" si="320"/>
        <v>1-2026</v>
      </c>
      <c r="S905" t="s">
        <v>296</v>
      </c>
      <c r="T905" t="str">
        <f t="shared" si="321"/>
        <v>Tuesday</v>
      </c>
      <c r="U905">
        <f t="shared" ref="U905:U910" si="322">IF(E905&gt;=12,1,0)</f>
        <v>1</v>
      </c>
      <c r="V905" s="24">
        <f>IFERROR(Table2[[#This Row],[Gray Min]]/Table2[[#This Row],[ClassLength]],"")</f>
        <v>0.1</v>
      </c>
      <c r="W905" s="24">
        <f>IFERROR(Table2[[#This Row],[Blue Min]]/Table2[[#This Row],[ClassLength]],"")</f>
        <v>0.14000000000000001</v>
      </c>
      <c r="X905" s="24">
        <f>IFERROR(Table2[[#This Row],[Green Min]]/Table2[[#This Row],[ClassLength]],"")</f>
        <v>0.42</v>
      </c>
      <c r="Y905" s="24">
        <f>IFERROR(Table2[[#This Row],[Orange Min]]/Table2[[#This Row],[ClassLength]],"")</f>
        <v>0.32</v>
      </c>
      <c r="Z905" s="24">
        <f>IFERROR(Table2[[#This Row],[Red Min]]/Table2[[#This Row],[ClassLength]],"")</f>
        <v>0.02</v>
      </c>
      <c r="AA905" s="25">
        <v>139</v>
      </c>
      <c r="AB905" s="25">
        <f t="shared" ref="AB905:AB910" si="323">AA905/B905</f>
        <v>9.2666666666666675</v>
      </c>
      <c r="AC905" s="26">
        <f t="shared" si="307"/>
        <v>641.86666666666667</v>
      </c>
      <c r="AD905" s="26">
        <f t="shared" si="308"/>
        <v>13.733333333333333</v>
      </c>
      <c r="AE905">
        <f t="shared" ref="AE905:AE910" si="324">YEAR(C905)</f>
        <v>2026</v>
      </c>
      <c r="AG905">
        <v>12</v>
      </c>
      <c r="AH905" s="26">
        <f t="shared" ref="AH905:AH910" si="325">F905/D905</f>
        <v>12.32</v>
      </c>
      <c r="AI905" t="str">
        <f t="shared" ref="AI905:AI910" si="326">RIGHT(O905,2)</f>
        <v>PM</v>
      </c>
      <c r="AJ905" t="str">
        <f t="shared" ref="AJ905:AJ910" si="327">R905&amp;"-"&amp;WEEKNUM(C905,1)-WEEKNUM(DATE(YEAR(C905),MONTH(C905),1),1)+1</f>
        <v>1-2026-4</v>
      </c>
      <c r="AK905">
        <f t="shared" ref="AK905:AK910" si="328">MONTH(C905)</f>
        <v>1</v>
      </c>
      <c r="AL905" s="26">
        <f>IFERROR(Table2[[#This Row],[Calories]]/Table2[[#This Row],[Splat]],"")</f>
        <v>36.235294117647058</v>
      </c>
      <c r="AM905">
        <f>COUNTIF(N$2:$N$938,N905)</f>
        <v>258</v>
      </c>
      <c r="AN905" t="str">
        <f>VLOOKUP(N905,'Helpful Tables'!A:D,4,FALSE)</f>
        <v>Oregon</v>
      </c>
      <c r="AO905" s="24">
        <f>COUNTIF(AN:AN,Table2[[#This Row],[State]])/COUNTA(AN:AN)</f>
        <v>0.36140724946695096</v>
      </c>
      <c r="AP905">
        <f>VLOOKUP(N905,'Helpful Tables'!A:B,2,FALSE)</f>
        <v>45.534162000000002</v>
      </c>
      <c r="AQ905">
        <f>VLOOKUP(N905,'Helpful Tables'!A:C,3,FALSE)</f>
        <v>-122.69670000000001</v>
      </c>
      <c r="AR905">
        <f>COUNTIF(P$2:$P$938,P905)</f>
        <v>25</v>
      </c>
      <c r="AS905" cm="1">
        <f t="array" ref="AS905">_xlfn.IFS(E905&lt;6,((E905/D905)*60)*0.5,AND(E905&gt;=6,E905&lt;9),((E905/D905)*60)*0.75,AND(E905&gt;=9,E905&lt;=11),((E905/D905)*60)*0.9,AND(E905=12),((E905/D905)*60)*1,AND(E905&gt;=13,E905&lt;=15),((E905/D905)*60)*1.2,AND(E905&gt;=16,E905&lt;=19),((E905/D905)*60)*1.5,E905&gt;=20,((E905/D905)*60)*1.8)</f>
        <v>30.6</v>
      </c>
      <c r="AT905" cm="1">
        <f t="array" ref="AT905">_xlfn.IFS(F905&lt;550,((F905/D905)*60)*0.5,AND(F905&gt;=550,F905&lt;575),((F905/D905)*60)*0.75,AND(F905&gt;=575,F905&lt;600),((F905/D905)*60)*0.9,AND(F905=600),((F905/D905)*60)*1,AND(F905&gt;=601,F905&lt;=625),((F905/D905)*60)*1.2,AND(F905&gt;=626,F905&lt;=650),((F905/D905)*60)*1.5,F905&gt;=651,((F905/D905)*60)*1.8)</f>
        <v>887.04000000000008</v>
      </c>
      <c r="AU905">
        <f t="shared" ref="AU905:AU910" si="329">(I905*-1.2)+(J905*-1.1)+(K905*1.2)+(L905*1.3)+(M905*1.5)</f>
        <v>33.799999999999997</v>
      </c>
      <c r="AV905">
        <f t="shared" ref="AV905:AV910" si="330">(AS905*0.4)+(AT905*0.4)+(AU905*0.2)</f>
        <v>373.81600000000003</v>
      </c>
      <c r="AW905">
        <f t="shared" si="267"/>
        <v>43.5</v>
      </c>
      <c r="AX905" t="str">
        <f t="shared" ref="AX905:AX910" si="331">_xlfn.CONCAT(TEXT(C905,"mmm"),"-",AE905)</f>
        <v>Jan-2026</v>
      </c>
      <c r="AY905">
        <f>ROUNDUP(Table2[[#This Row],[Month]]/3,0)</f>
        <v>1</v>
      </c>
    </row>
    <row r="906" spans="1:51" x14ac:dyDescent="0.2">
      <c r="A906">
        <v>905</v>
      </c>
      <c r="B906">
        <f t="shared" si="306"/>
        <v>15</v>
      </c>
      <c r="C906" s="22">
        <v>46044</v>
      </c>
      <c r="D906">
        <f>SUM(Table2[[#This Row],[Gray Min]:[Red Min]])</f>
        <v>59</v>
      </c>
      <c r="E906">
        <v>12</v>
      </c>
      <c r="F906">
        <v>627</v>
      </c>
      <c r="G906">
        <v>122</v>
      </c>
      <c r="H906">
        <v>155</v>
      </c>
      <c r="I906">
        <v>21</v>
      </c>
      <c r="J906">
        <v>10</v>
      </c>
      <c r="K906">
        <v>16</v>
      </c>
      <c r="L906">
        <v>12</v>
      </c>
      <c r="M906">
        <v>0</v>
      </c>
      <c r="N906" t="s">
        <v>125</v>
      </c>
      <c r="O906" t="s">
        <v>127</v>
      </c>
      <c r="P906" t="s">
        <v>214</v>
      </c>
      <c r="Q906">
        <f t="shared" si="319"/>
        <v>2</v>
      </c>
      <c r="R906" t="str">
        <f t="shared" si="320"/>
        <v>1-2026</v>
      </c>
      <c r="S906" t="s">
        <v>104</v>
      </c>
      <c r="T906" t="str">
        <f t="shared" si="321"/>
        <v>Thursday</v>
      </c>
      <c r="U906">
        <f t="shared" si="322"/>
        <v>1</v>
      </c>
      <c r="V906" s="24">
        <f>IFERROR(Table2[[#This Row],[Gray Min]]/Table2[[#This Row],[ClassLength]],"")</f>
        <v>0.3559322033898305</v>
      </c>
      <c r="W906" s="24">
        <f>IFERROR(Table2[[#This Row],[Blue Min]]/Table2[[#This Row],[ClassLength]],"")</f>
        <v>0.16949152542372881</v>
      </c>
      <c r="X906" s="24">
        <f>IFERROR(Table2[[#This Row],[Green Min]]/Table2[[#This Row],[ClassLength]],"")</f>
        <v>0.2711864406779661</v>
      </c>
      <c r="Y906" s="24">
        <f>IFERROR(Table2[[#This Row],[Orange Min]]/Table2[[#This Row],[ClassLength]],"")</f>
        <v>0.20338983050847459</v>
      </c>
      <c r="Z906" s="24">
        <f>IFERROR(Table2[[#This Row],[Red Min]]/Table2[[#This Row],[ClassLength]],"")</f>
        <v>0</v>
      </c>
      <c r="AA906" s="25">
        <v>139</v>
      </c>
      <c r="AB906" s="25">
        <f t="shared" si="323"/>
        <v>9.2666666666666675</v>
      </c>
      <c r="AC906" s="26">
        <f t="shared" si="307"/>
        <v>641.86666666666667</v>
      </c>
      <c r="AD906" s="26">
        <f t="shared" si="308"/>
        <v>13.733333333333333</v>
      </c>
      <c r="AE906">
        <f t="shared" si="324"/>
        <v>2026</v>
      </c>
      <c r="AG906">
        <v>12</v>
      </c>
      <c r="AH906" s="26">
        <f t="shared" si="325"/>
        <v>10.627118644067796</v>
      </c>
      <c r="AI906" t="str">
        <f t="shared" si="326"/>
        <v>PM</v>
      </c>
      <c r="AJ906" t="str">
        <f t="shared" si="327"/>
        <v>1-2026-4</v>
      </c>
      <c r="AK906">
        <f t="shared" si="328"/>
        <v>1</v>
      </c>
      <c r="AL906" s="26">
        <f>IFERROR(Table2[[#This Row],[Calories]]/Table2[[#This Row],[Splat]],"")</f>
        <v>52.25</v>
      </c>
      <c r="AM906">
        <f>COUNTIF(N$2:$N$938,N906)</f>
        <v>258</v>
      </c>
      <c r="AN906" t="str">
        <f>VLOOKUP(N906,'Helpful Tables'!A:D,4,FALSE)</f>
        <v>Oregon</v>
      </c>
      <c r="AO906" s="24">
        <f>COUNTIF(AN:AN,Table2[[#This Row],[State]])/COUNTA(AN:AN)</f>
        <v>0.36140724946695096</v>
      </c>
      <c r="AP906">
        <f>VLOOKUP(N906,'Helpful Tables'!A:B,2,FALSE)</f>
        <v>45.534162000000002</v>
      </c>
      <c r="AQ906">
        <f>VLOOKUP(N906,'Helpful Tables'!A:C,3,FALSE)</f>
        <v>-122.69670000000001</v>
      </c>
      <c r="AR906">
        <f>COUNTIF(P$2:$P$938,P906)</f>
        <v>11</v>
      </c>
      <c r="AS906" cm="1">
        <f t="array" ref="AS906">_xlfn.IFS(E906&lt;6,((E906/D906)*60)*0.5,AND(E906&gt;=6,E906&lt;9),((E906/D906)*60)*0.75,AND(E906&gt;=9,E906&lt;=11),((E906/D906)*60)*0.9,AND(E906=12),((E906/D906)*60)*1,AND(E906&gt;=13,E906&lt;=15),((E906/D906)*60)*1.2,AND(E906&gt;=16,E906&lt;=19),((E906/D906)*60)*1.5,E906&gt;=20,((E906/D906)*60)*1.8)</f>
        <v>12.203389830508476</v>
      </c>
      <c r="AT906" cm="1">
        <f t="array" ref="AT906">_xlfn.IFS(F906&lt;550,((F906/D906)*60)*0.5,AND(F906&gt;=550,F906&lt;575),((F906/D906)*60)*0.75,AND(F906&gt;=575,F906&lt;600),((F906/D906)*60)*0.9,AND(F906=600),((F906/D906)*60)*1,AND(F906&gt;=601,F906&lt;=625),((F906/D906)*60)*1.2,AND(F906&gt;=626,F906&lt;=650),((F906/D906)*60)*1.5,F906&gt;=651,((F906/D906)*60)*1.8)</f>
        <v>956.4406779661017</v>
      </c>
      <c r="AU906">
        <f t="shared" si="329"/>
        <v>-1.4000000000000021</v>
      </c>
      <c r="AV906">
        <f t="shared" si="330"/>
        <v>387.17762711864412</v>
      </c>
      <c r="AW906">
        <f t="shared" si="267"/>
        <v>47.3</v>
      </c>
      <c r="AX906" t="str">
        <f t="shared" si="331"/>
        <v>Jan-2026</v>
      </c>
      <c r="AY906">
        <f>ROUNDUP(Table2[[#This Row],[Month]]/3,0)</f>
        <v>1</v>
      </c>
    </row>
    <row r="907" spans="1:51" x14ac:dyDescent="0.2">
      <c r="A907">
        <v>906</v>
      </c>
      <c r="B907">
        <f t="shared" si="306"/>
        <v>15</v>
      </c>
      <c r="C907" s="22">
        <v>46046</v>
      </c>
      <c r="D907">
        <f>SUM(Table2[[#This Row],[Gray Min]:[Red Min]])</f>
        <v>58</v>
      </c>
      <c r="E907">
        <v>13</v>
      </c>
      <c r="F907">
        <v>634</v>
      </c>
      <c r="G907">
        <v>124</v>
      </c>
      <c r="H907">
        <v>160</v>
      </c>
      <c r="I907">
        <v>17</v>
      </c>
      <c r="J907">
        <v>12</v>
      </c>
      <c r="K907">
        <v>16</v>
      </c>
      <c r="L907">
        <v>13</v>
      </c>
      <c r="M907">
        <v>0</v>
      </c>
      <c r="N907" t="s">
        <v>208</v>
      </c>
      <c r="O907" t="s">
        <v>76</v>
      </c>
      <c r="P907" t="s">
        <v>213</v>
      </c>
      <c r="Q907">
        <f t="shared" ref="Q907:Q912" si="332">C907-C906</f>
        <v>2</v>
      </c>
      <c r="R907" t="str">
        <f t="shared" ref="R907:R912" si="333">MONTH(C907)&amp;"-"&amp;YEAR(C907)</f>
        <v>1-2026</v>
      </c>
      <c r="S907" t="s">
        <v>117</v>
      </c>
      <c r="T907" t="str">
        <f t="shared" ref="T907:T912" si="334">IF(WEEKDAY(C907)=1,"Sunday",IF(WEEKDAY(C907)=2,"Monday",IF(WEEKDAY(C907)=3,"Tuesday",IF(WEEKDAY(C907)=4,"Wednesday",IF(WEEKDAY(C907)=5,"Thursday",IF(WEEKDAY(C907)=6,"Friday","Saturday"))))))</f>
        <v>Saturday</v>
      </c>
      <c r="U907">
        <f t="shared" si="322"/>
        <v>1</v>
      </c>
      <c r="V907" s="24">
        <f>IFERROR(Table2[[#This Row],[Gray Min]]/Table2[[#This Row],[ClassLength]],"")</f>
        <v>0.29310344827586204</v>
      </c>
      <c r="W907" s="24">
        <f>IFERROR(Table2[[#This Row],[Blue Min]]/Table2[[#This Row],[ClassLength]],"")</f>
        <v>0.20689655172413793</v>
      </c>
      <c r="X907" s="24">
        <f>IFERROR(Table2[[#This Row],[Green Min]]/Table2[[#This Row],[ClassLength]],"")</f>
        <v>0.27586206896551724</v>
      </c>
      <c r="Y907" s="24">
        <f>IFERROR(Table2[[#This Row],[Orange Min]]/Table2[[#This Row],[ClassLength]],"")</f>
        <v>0.22413793103448276</v>
      </c>
      <c r="Z907" s="24">
        <f>IFERROR(Table2[[#This Row],[Red Min]]/Table2[[#This Row],[ClassLength]],"")</f>
        <v>0</v>
      </c>
      <c r="AA907" s="25">
        <v>139</v>
      </c>
      <c r="AB907" s="25">
        <f t="shared" si="323"/>
        <v>9.2666666666666675</v>
      </c>
      <c r="AC907" s="26">
        <f t="shared" si="307"/>
        <v>641.86666666666667</v>
      </c>
      <c r="AD907" s="26">
        <f t="shared" si="308"/>
        <v>13.733333333333333</v>
      </c>
      <c r="AE907">
        <f t="shared" si="324"/>
        <v>2026</v>
      </c>
      <c r="AG907">
        <v>12</v>
      </c>
      <c r="AH907" s="26">
        <f t="shared" si="325"/>
        <v>10.931034482758621</v>
      </c>
      <c r="AI907" t="str">
        <f t="shared" si="326"/>
        <v>AM</v>
      </c>
      <c r="AJ907" t="str">
        <f t="shared" si="327"/>
        <v>1-2026-4</v>
      </c>
      <c r="AK907">
        <f t="shared" si="328"/>
        <v>1</v>
      </c>
      <c r="AL907" s="26">
        <f>IFERROR(Table2[[#This Row],[Calories]]/Table2[[#This Row],[Splat]],"")</f>
        <v>48.769230769230766</v>
      </c>
      <c r="AM907">
        <f>COUNTIF(N$2:$N$938,N907)</f>
        <v>78</v>
      </c>
      <c r="AN907" t="str">
        <f>VLOOKUP(N907,'Helpful Tables'!A:D,4,FALSE)</f>
        <v>Oregon</v>
      </c>
      <c r="AO907" s="24">
        <f>COUNTIF(AN:AN,Table2[[#This Row],[State]])/COUNTA(AN:AN)</f>
        <v>0.36140724946695096</v>
      </c>
      <c r="AP907">
        <f>VLOOKUP(N907,'Helpful Tables'!A:B,2,FALSE)</f>
        <v>45.525092999999998</v>
      </c>
      <c r="AQ907">
        <f>VLOOKUP(N907,'Helpful Tables'!A:C,3,FALSE)</f>
        <v>-122.681383</v>
      </c>
      <c r="AR907">
        <f>COUNTIF(P$2:$P$938,P907)</f>
        <v>40</v>
      </c>
      <c r="AS907" cm="1">
        <f t="array" ref="AS907">_xlfn.IFS(E907&lt;6,((E907/D907)*60)*0.5,AND(E907&gt;=6,E907&lt;9),((E907/D907)*60)*0.75,AND(E907&gt;=9,E907&lt;=11),((E907/D907)*60)*0.9,AND(E907=12),((E907/D907)*60)*1,AND(E907&gt;=13,E907&lt;=15),((E907/D907)*60)*1.2,AND(E907&gt;=16,E907&lt;=19),((E907/D907)*60)*1.5,E907&gt;=20,((E907/D907)*60)*1.8)</f>
        <v>16.137931034482758</v>
      </c>
      <c r="AT907" cm="1">
        <f t="array" ref="AT907">_xlfn.IFS(F907&lt;550,((F907/D907)*60)*0.5,AND(F907&gt;=550,F907&lt;575),((F907/D907)*60)*0.75,AND(F907&gt;=575,F907&lt;600),((F907/D907)*60)*0.9,AND(F907=600),((F907/D907)*60)*1,AND(F907&gt;=601,F907&lt;=625),((F907/D907)*60)*1.2,AND(F907&gt;=626,F907&lt;=650),((F907/D907)*60)*1.5,F907&gt;=651,((F907/D907)*60)*1.8)</f>
        <v>983.79310344827582</v>
      </c>
      <c r="AU907">
        <f t="shared" si="329"/>
        <v>2.5</v>
      </c>
      <c r="AV907">
        <f t="shared" si="330"/>
        <v>400.47241379310344</v>
      </c>
      <c r="AW907">
        <f t="shared" si="267"/>
        <v>53.2</v>
      </c>
      <c r="AX907" t="str">
        <f t="shared" si="331"/>
        <v>Jan-2026</v>
      </c>
      <c r="AY907">
        <f>ROUNDUP(Table2[[#This Row],[Month]]/3,0)</f>
        <v>1</v>
      </c>
    </row>
    <row r="908" spans="1:51" x14ac:dyDescent="0.2">
      <c r="A908">
        <v>907</v>
      </c>
      <c r="B908">
        <f t="shared" si="306"/>
        <v>15</v>
      </c>
      <c r="C908" s="22">
        <v>46048</v>
      </c>
      <c r="D908">
        <f>SUM(Table2[[#This Row],[Gray Min]:[Red Min]])</f>
        <v>61</v>
      </c>
      <c r="E908">
        <v>13</v>
      </c>
      <c r="F908">
        <v>629</v>
      </c>
      <c r="G908">
        <v>120</v>
      </c>
      <c r="H908">
        <v>160</v>
      </c>
      <c r="I908">
        <v>23</v>
      </c>
      <c r="J908">
        <v>13</v>
      </c>
      <c r="K908">
        <v>12</v>
      </c>
      <c r="L908">
        <v>13</v>
      </c>
      <c r="M908">
        <v>0</v>
      </c>
      <c r="N908" t="s">
        <v>125</v>
      </c>
      <c r="O908" t="s">
        <v>127</v>
      </c>
      <c r="P908" t="s">
        <v>238</v>
      </c>
      <c r="Q908">
        <f t="shared" si="332"/>
        <v>2</v>
      </c>
      <c r="R908" t="str">
        <f t="shared" si="333"/>
        <v>1-2026</v>
      </c>
      <c r="S908" t="s">
        <v>104</v>
      </c>
      <c r="T908" t="str">
        <f t="shared" si="334"/>
        <v>Monday</v>
      </c>
      <c r="U908">
        <f t="shared" si="322"/>
        <v>1</v>
      </c>
      <c r="V908" s="24">
        <f>IFERROR(Table2[[#This Row],[Gray Min]]/Table2[[#This Row],[ClassLength]],"")</f>
        <v>0.37704918032786883</v>
      </c>
      <c r="W908" s="24">
        <f>IFERROR(Table2[[#This Row],[Blue Min]]/Table2[[#This Row],[ClassLength]],"")</f>
        <v>0.21311475409836064</v>
      </c>
      <c r="X908" s="24">
        <f>IFERROR(Table2[[#This Row],[Green Min]]/Table2[[#This Row],[ClassLength]],"")</f>
        <v>0.19672131147540983</v>
      </c>
      <c r="Y908" s="24">
        <f>IFERROR(Table2[[#This Row],[Orange Min]]/Table2[[#This Row],[ClassLength]],"")</f>
        <v>0.21311475409836064</v>
      </c>
      <c r="Z908" s="24">
        <f>IFERROR(Table2[[#This Row],[Red Min]]/Table2[[#This Row],[ClassLength]],"")</f>
        <v>0</v>
      </c>
      <c r="AA908" s="25">
        <v>139</v>
      </c>
      <c r="AB908" s="25">
        <f t="shared" si="323"/>
        <v>9.2666666666666675</v>
      </c>
      <c r="AC908" s="26">
        <f t="shared" si="307"/>
        <v>641.86666666666667</v>
      </c>
      <c r="AD908" s="26">
        <f t="shared" si="308"/>
        <v>13.733333333333333</v>
      </c>
      <c r="AE908">
        <f t="shared" si="324"/>
        <v>2026</v>
      </c>
      <c r="AG908">
        <v>12</v>
      </c>
      <c r="AH908" s="26">
        <f t="shared" si="325"/>
        <v>10.311475409836065</v>
      </c>
      <c r="AI908" t="str">
        <f t="shared" si="326"/>
        <v>PM</v>
      </c>
      <c r="AJ908" t="str">
        <f t="shared" si="327"/>
        <v>1-2026-5</v>
      </c>
      <c r="AK908">
        <f t="shared" si="328"/>
        <v>1</v>
      </c>
      <c r="AL908" s="26">
        <f>IFERROR(Table2[[#This Row],[Calories]]/Table2[[#This Row],[Splat]],"")</f>
        <v>48.384615384615387</v>
      </c>
      <c r="AM908">
        <f>COUNTIF(N$2:$N$938,N908)</f>
        <v>258</v>
      </c>
      <c r="AN908" t="str">
        <f>VLOOKUP(N908,'Helpful Tables'!A:D,4,FALSE)</f>
        <v>Oregon</v>
      </c>
      <c r="AO908" s="24">
        <f>COUNTIF(AN:AN,Table2[[#This Row],[State]])/COUNTA(AN:AN)</f>
        <v>0.36140724946695096</v>
      </c>
      <c r="AP908">
        <f>VLOOKUP(N908,'Helpful Tables'!A:B,2,FALSE)</f>
        <v>45.534162000000002</v>
      </c>
      <c r="AQ908">
        <f>VLOOKUP(N908,'Helpful Tables'!A:C,3,FALSE)</f>
        <v>-122.69670000000001</v>
      </c>
      <c r="AR908">
        <f>COUNTIF(P$2:$P$938,P908)</f>
        <v>25</v>
      </c>
      <c r="AS908" cm="1">
        <f t="array" ref="AS908">_xlfn.IFS(E908&lt;6,((E908/D908)*60)*0.5,AND(E908&gt;=6,E908&lt;9),((E908/D908)*60)*0.75,AND(E908&gt;=9,E908&lt;=11),((E908/D908)*60)*0.9,AND(E908=12),((E908/D908)*60)*1,AND(E908&gt;=13,E908&lt;=15),((E908/D908)*60)*1.2,AND(E908&gt;=16,E908&lt;=19),((E908/D908)*60)*1.5,E908&gt;=20,((E908/D908)*60)*1.8)</f>
        <v>15.344262295081965</v>
      </c>
      <c r="AT908" cm="1">
        <f t="array" ref="AT908">_xlfn.IFS(F908&lt;550,((F908/D908)*60)*0.5,AND(F908&gt;=550,F908&lt;575),((F908/D908)*60)*0.75,AND(F908&gt;=575,F908&lt;600),((F908/D908)*60)*0.9,AND(F908=600),((F908/D908)*60)*1,AND(F908&gt;=601,F908&lt;=625),((F908/D908)*60)*1.2,AND(F908&gt;=626,F908&lt;=650),((F908/D908)*60)*1.5,F908&gt;=651,((F908/D908)*60)*1.8)</f>
        <v>928.03278688524574</v>
      </c>
      <c r="AU908">
        <f t="shared" si="329"/>
        <v>-10.599999999999998</v>
      </c>
      <c r="AV908">
        <f t="shared" si="330"/>
        <v>375.23081967213113</v>
      </c>
      <c r="AW908">
        <f t="shared" si="267"/>
        <v>44</v>
      </c>
      <c r="AX908" t="str">
        <f t="shared" si="331"/>
        <v>Jan-2026</v>
      </c>
      <c r="AY908">
        <f>ROUNDUP(Table2[[#This Row],[Month]]/3,0)</f>
        <v>1</v>
      </c>
    </row>
    <row r="909" spans="1:51" x14ac:dyDescent="0.2">
      <c r="A909">
        <v>908</v>
      </c>
      <c r="B909">
        <f t="shared" si="306"/>
        <v>15</v>
      </c>
      <c r="C909" s="22">
        <v>46050</v>
      </c>
      <c r="D909">
        <f>SUM(Table2[[#This Row],[Gray Min]:[Red Min]])</f>
        <v>61</v>
      </c>
      <c r="E909">
        <v>13</v>
      </c>
      <c r="F909">
        <v>552</v>
      </c>
      <c r="G909">
        <v>111</v>
      </c>
      <c r="H909">
        <v>160</v>
      </c>
      <c r="I909">
        <v>32</v>
      </c>
      <c r="J909">
        <v>4</v>
      </c>
      <c r="K909">
        <v>12</v>
      </c>
      <c r="L909">
        <v>13</v>
      </c>
      <c r="M909">
        <v>0</v>
      </c>
      <c r="N909" t="s">
        <v>125</v>
      </c>
      <c r="O909" t="s">
        <v>127</v>
      </c>
      <c r="P909" t="s">
        <v>281</v>
      </c>
      <c r="Q909">
        <f t="shared" si="332"/>
        <v>2</v>
      </c>
      <c r="R909" t="str">
        <f t="shared" si="333"/>
        <v>1-2026</v>
      </c>
      <c r="S909" t="s">
        <v>104</v>
      </c>
      <c r="T909" t="str">
        <f t="shared" si="334"/>
        <v>Wednesday</v>
      </c>
      <c r="U909">
        <f t="shared" si="322"/>
        <v>1</v>
      </c>
      <c r="V909" s="24">
        <f>IFERROR(Table2[[#This Row],[Gray Min]]/Table2[[#This Row],[ClassLength]],"")</f>
        <v>0.52459016393442626</v>
      </c>
      <c r="W909" s="24">
        <f>IFERROR(Table2[[#This Row],[Blue Min]]/Table2[[#This Row],[ClassLength]],"")</f>
        <v>6.5573770491803282E-2</v>
      </c>
      <c r="X909" s="24">
        <f>IFERROR(Table2[[#This Row],[Green Min]]/Table2[[#This Row],[ClassLength]],"")</f>
        <v>0.19672131147540983</v>
      </c>
      <c r="Y909" s="24">
        <f>IFERROR(Table2[[#This Row],[Orange Min]]/Table2[[#This Row],[ClassLength]],"")</f>
        <v>0.21311475409836064</v>
      </c>
      <c r="Z909" s="24">
        <f>IFERROR(Table2[[#This Row],[Red Min]]/Table2[[#This Row],[ClassLength]],"")</f>
        <v>0</v>
      </c>
      <c r="AA909" s="25">
        <v>139</v>
      </c>
      <c r="AB909" s="25">
        <f t="shared" si="323"/>
        <v>9.2666666666666675</v>
      </c>
      <c r="AC909" s="26">
        <f t="shared" si="307"/>
        <v>641.86666666666667</v>
      </c>
      <c r="AD909" s="26">
        <f t="shared" si="308"/>
        <v>13.733333333333333</v>
      </c>
      <c r="AE909">
        <f t="shared" si="324"/>
        <v>2026</v>
      </c>
      <c r="AG909">
        <v>12</v>
      </c>
      <c r="AH909" s="26">
        <f t="shared" si="325"/>
        <v>9.0491803278688518</v>
      </c>
      <c r="AI909" t="str">
        <f t="shared" si="326"/>
        <v>PM</v>
      </c>
      <c r="AJ909" t="str">
        <f t="shared" si="327"/>
        <v>1-2026-5</v>
      </c>
      <c r="AK909">
        <f t="shared" si="328"/>
        <v>1</v>
      </c>
      <c r="AL909" s="26">
        <f>IFERROR(Table2[[#This Row],[Calories]]/Table2[[#This Row],[Splat]],"")</f>
        <v>42.46153846153846</v>
      </c>
      <c r="AM909">
        <f>COUNTIF(N$2:$N$938,N909)</f>
        <v>258</v>
      </c>
      <c r="AN909" t="str">
        <f>VLOOKUP(N909,'Helpful Tables'!A:D,4,FALSE)</f>
        <v>Oregon</v>
      </c>
      <c r="AO909" s="24">
        <f>COUNTIF(AN:AN,Table2[[#This Row],[State]])/COUNTA(AN:AN)</f>
        <v>0.36140724946695096</v>
      </c>
      <c r="AP909">
        <f>VLOOKUP(N909,'Helpful Tables'!A:B,2,FALSE)</f>
        <v>45.534162000000002</v>
      </c>
      <c r="AQ909">
        <f>VLOOKUP(N909,'Helpful Tables'!A:C,3,FALSE)</f>
        <v>-122.69670000000001</v>
      </c>
      <c r="AR909">
        <f>COUNTIF(P$2:$P$938,P909)</f>
        <v>41</v>
      </c>
      <c r="AS909" cm="1">
        <f t="array" ref="AS909">_xlfn.IFS(E909&lt;6,((E909/D909)*60)*0.5,AND(E909&gt;=6,E909&lt;9),((E909/D909)*60)*0.75,AND(E909&gt;=9,E909&lt;=11),((E909/D909)*60)*0.9,AND(E909=12),((E909/D909)*60)*1,AND(E909&gt;=13,E909&lt;=15),((E909/D909)*60)*1.2,AND(E909&gt;=16,E909&lt;=19),((E909/D909)*60)*1.5,E909&gt;=20,((E909/D909)*60)*1.8)</f>
        <v>15.344262295081965</v>
      </c>
      <c r="AT909" cm="1">
        <f t="array" ref="AT909">_xlfn.IFS(F909&lt;550,((F909/D909)*60)*0.5,AND(F909&gt;=550,F909&lt;575),((F909/D909)*60)*0.75,AND(F909&gt;=575,F909&lt;600),((F909/D909)*60)*0.9,AND(F909=600),((F909/D909)*60)*1,AND(F909&gt;=601,F909&lt;=625),((F909/D909)*60)*1.2,AND(F909&gt;=626,F909&lt;=650),((F909/D909)*60)*1.5,F909&gt;=651,((F909/D909)*60)*1.8)</f>
        <v>407.21311475409834</v>
      </c>
      <c r="AU909">
        <f t="shared" si="329"/>
        <v>-11.499999999999996</v>
      </c>
      <c r="AV909">
        <f t="shared" si="330"/>
        <v>166.72295081967212</v>
      </c>
      <c r="AW909">
        <f t="shared" si="267"/>
        <v>7.8</v>
      </c>
      <c r="AX909" t="str">
        <f t="shared" si="331"/>
        <v>Jan-2026</v>
      </c>
      <c r="AY909">
        <f>ROUNDUP(Table2[[#This Row],[Month]]/3,0)</f>
        <v>1</v>
      </c>
    </row>
    <row r="910" spans="1:51" x14ac:dyDescent="0.2">
      <c r="A910">
        <v>909</v>
      </c>
      <c r="B910">
        <f t="shared" si="306"/>
        <v>15</v>
      </c>
      <c r="C910" s="22">
        <v>46053</v>
      </c>
      <c r="D910">
        <f>SUM(Table2[[#This Row],[Gray Min]:[Red Min]])</f>
        <v>58</v>
      </c>
      <c r="E910">
        <v>12</v>
      </c>
      <c r="F910">
        <v>654</v>
      </c>
      <c r="G910">
        <v>126</v>
      </c>
      <c r="H910">
        <v>162</v>
      </c>
      <c r="I910">
        <v>9</v>
      </c>
      <c r="J910">
        <v>18</v>
      </c>
      <c r="K910">
        <v>19</v>
      </c>
      <c r="L910">
        <v>12</v>
      </c>
      <c r="M910">
        <v>0</v>
      </c>
      <c r="N910" t="s">
        <v>208</v>
      </c>
      <c r="O910" t="s">
        <v>76</v>
      </c>
      <c r="P910" t="s">
        <v>213</v>
      </c>
      <c r="Q910">
        <f t="shared" si="332"/>
        <v>3</v>
      </c>
      <c r="R910" t="str">
        <f t="shared" si="333"/>
        <v>1-2026</v>
      </c>
      <c r="S910" t="s">
        <v>117</v>
      </c>
      <c r="T910" t="str">
        <f t="shared" si="334"/>
        <v>Saturday</v>
      </c>
      <c r="U910">
        <f t="shared" si="322"/>
        <v>1</v>
      </c>
      <c r="V910" s="24">
        <f>IFERROR(Table2[[#This Row],[Gray Min]]/Table2[[#This Row],[ClassLength]],"")</f>
        <v>0.15517241379310345</v>
      </c>
      <c r="W910" s="24">
        <f>IFERROR(Table2[[#This Row],[Blue Min]]/Table2[[#This Row],[ClassLength]],"")</f>
        <v>0.31034482758620691</v>
      </c>
      <c r="X910" s="24">
        <f>IFERROR(Table2[[#This Row],[Green Min]]/Table2[[#This Row],[ClassLength]],"")</f>
        <v>0.32758620689655171</v>
      </c>
      <c r="Y910" s="24">
        <f>IFERROR(Table2[[#This Row],[Orange Min]]/Table2[[#This Row],[ClassLength]],"")</f>
        <v>0.20689655172413793</v>
      </c>
      <c r="Z910" s="24">
        <f>IFERROR(Table2[[#This Row],[Red Min]]/Table2[[#This Row],[ClassLength]],"")</f>
        <v>0</v>
      </c>
      <c r="AA910" s="25">
        <v>139</v>
      </c>
      <c r="AB910" s="25">
        <f t="shared" si="323"/>
        <v>9.2666666666666675</v>
      </c>
      <c r="AC910" s="26">
        <f t="shared" si="307"/>
        <v>641.86666666666667</v>
      </c>
      <c r="AD910" s="26">
        <f t="shared" si="308"/>
        <v>13.733333333333333</v>
      </c>
      <c r="AE910">
        <f t="shared" si="324"/>
        <v>2026</v>
      </c>
      <c r="AG910">
        <v>12</v>
      </c>
      <c r="AH910" s="26">
        <f t="shared" si="325"/>
        <v>11.275862068965518</v>
      </c>
      <c r="AI910" t="str">
        <f t="shared" si="326"/>
        <v>AM</v>
      </c>
      <c r="AJ910" t="str">
        <f t="shared" si="327"/>
        <v>1-2026-5</v>
      </c>
      <c r="AK910">
        <f t="shared" si="328"/>
        <v>1</v>
      </c>
      <c r="AL910" s="26">
        <f>IFERROR(Table2[[#This Row],[Calories]]/Table2[[#This Row],[Splat]],"")</f>
        <v>54.5</v>
      </c>
      <c r="AM910">
        <f>COUNTIF(N$2:$N$938,N910)</f>
        <v>78</v>
      </c>
      <c r="AN910" t="str">
        <f>VLOOKUP(N910,'Helpful Tables'!A:D,4,FALSE)</f>
        <v>Oregon</v>
      </c>
      <c r="AO910" s="24">
        <f>COUNTIF(AN:AN,Table2[[#This Row],[State]])/COUNTA(AN:AN)</f>
        <v>0.36140724946695096</v>
      </c>
      <c r="AP910">
        <f>VLOOKUP(N910,'Helpful Tables'!A:B,2,FALSE)</f>
        <v>45.525092999999998</v>
      </c>
      <c r="AQ910">
        <f>VLOOKUP(N910,'Helpful Tables'!A:C,3,FALSE)</f>
        <v>-122.681383</v>
      </c>
      <c r="AR910">
        <f>COUNTIF(P$2:$P$938,P910)</f>
        <v>40</v>
      </c>
      <c r="AS910" cm="1">
        <f t="array" ref="AS910">_xlfn.IFS(E910&lt;6,((E910/D910)*60)*0.5,AND(E910&gt;=6,E910&lt;9),((E910/D910)*60)*0.75,AND(E910&gt;=9,E910&lt;=11),((E910/D910)*60)*0.9,AND(E910=12),((E910/D910)*60)*1,AND(E910&gt;=13,E910&lt;=15),((E910/D910)*60)*1.2,AND(E910&gt;=16,E910&lt;=19),((E910/D910)*60)*1.5,E910&gt;=20,((E910/D910)*60)*1.8)</f>
        <v>12.413793103448276</v>
      </c>
      <c r="AT910" cm="1">
        <f t="array" ref="AT910">_xlfn.IFS(F910&lt;550,((F910/D910)*60)*0.5,AND(F910&gt;=550,F910&lt;575),((F910/D910)*60)*0.75,AND(F910&gt;=575,F910&lt;600),((F910/D910)*60)*0.9,AND(F910=600),((F910/D910)*60)*1,AND(F910&gt;=601,F910&lt;=625),((F910/D910)*60)*1.2,AND(F910&gt;=626,F910&lt;=650),((F910/D910)*60)*1.5,F910&gt;=651,((F910/D910)*60)*1.8)</f>
        <v>1217.7931034482758</v>
      </c>
      <c r="AU910">
        <f t="shared" si="329"/>
        <v>7.8000000000000007</v>
      </c>
      <c r="AV910">
        <f t="shared" si="330"/>
        <v>493.64275862068968</v>
      </c>
      <c r="AW910">
        <f t="shared" si="267"/>
        <v>75.099999999999994</v>
      </c>
      <c r="AX910" t="str">
        <f t="shared" si="331"/>
        <v>Jan-2026</v>
      </c>
      <c r="AY910">
        <f>ROUNDUP(Table2[[#This Row],[Month]]/3,0)</f>
        <v>1</v>
      </c>
    </row>
    <row r="911" spans="1:51" x14ac:dyDescent="0.2">
      <c r="A911">
        <v>910</v>
      </c>
      <c r="B911">
        <f t="shared" si="306"/>
        <v>13</v>
      </c>
      <c r="C911" s="22">
        <v>46058</v>
      </c>
      <c r="D911">
        <f>SUM(Table2[[#This Row],[Gray Min]:[Red Min]])</f>
        <v>63</v>
      </c>
      <c r="E911">
        <v>15</v>
      </c>
      <c r="F911">
        <v>731</v>
      </c>
      <c r="G911">
        <v>129</v>
      </c>
      <c r="H911">
        <v>169</v>
      </c>
      <c r="I911">
        <v>10</v>
      </c>
      <c r="J911">
        <v>18</v>
      </c>
      <c r="K911">
        <v>20</v>
      </c>
      <c r="L911">
        <v>12</v>
      </c>
      <c r="M911">
        <v>3</v>
      </c>
      <c r="N911" t="s">
        <v>125</v>
      </c>
      <c r="O911" t="s">
        <v>127</v>
      </c>
      <c r="P911" t="s">
        <v>281</v>
      </c>
      <c r="Q911">
        <f t="shared" si="332"/>
        <v>5</v>
      </c>
      <c r="R911" t="str">
        <f t="shared" si="333"/>
        <v>2-2026</v>
      </c>
      <c r="S911" t="s">
        <v>104</v>
      </c>
      <c r="T911" t="str">
        <f t="shared" si="334"/>
        <v>Thursday</v>
      </c>
      <c r="U911">
        <f t="shared" ref="U911:U916" si="335">IF(E911&gt;=12,1,0)</f>
        <v>1</v>
      </c>
      <c r="V911" s="24">
        <f>IFERROR(Table2[[#This Row],[Gray Min]]/Table2[[#This Row],[ClassLength]],"")</f>
        <v>0.15873015873015872</v>
      </c>
      <c r="W911" s="24">
        <f>IFERROR(Table2[[#This Row],[Blue Min]]/Table2[[#This Row],[ClassLength]],"")</f>
        <v>0.2857142857142857</v>
      </c>
      <c r="X911" s="24">
        <f>IFERROR(Table2[[#This Row],[Green Min]]/Table2[[#This Row],[ClassLength]],"")</f>
        <v>0.31746031746031744</v>
      </c>
      <c r="Y911" s="24">
        <f>IFERROR(Table2[[#This Row],[Orange Min]]/Table2[[#This Row],[ClassLength]],"")</f>
        <v>0.19047619047619047</v>
      </c>
      <c r="Z911" s="24">
        <f>IFERROR(Table2[[#This Row],[Red Min]]/Table2[[#This Row],[ClassLength]],"")</f>
        <v>4.7619047619047616E-2</v>
      </c>
      <c r="AA911" s="25">
        <v>139</v>
      </c>
      <c r="AB911" s="25">
        <f t="shared" ref="AB911:AB916" si="336">AA911/B911</f>
        <v>10.692307692307692</v>
      </c>
      <c r="AC911" s="26">
        <f t="shared" si="307"/>
        <v>642.07692307692309</v>
      </c>
      <c r="AD911" s="26">
        <f t="shared" si="308"/>
        <v>13.692307692307692</v>
      </c>
      <c r="AE911">
        <f t="shared" ref="AE911:AE916" si="337">YEAR(C911)</f>
        <v>2026</v>
      </c>
      <c r="AG911">
        <v>12</v>
      </c>
      <c r="AH911" s="26">
        <f t="shared" ref="AH911:AH916" si="338">F911/D911</f>
        <v>11.603174603174603</v>
      </c>
      <c r="AI911" t="str">
        <f t="shared" ref="AI911:AI916" si="339">RIGHT(O911,2)</f>
        <v>PM</v>
      </c>
      <c r="AJ911" t="str">
        <f t="shared" ref="AJ911:AJ916" si="340">R911&amp;"-"&amp;WEEKNUM(C911,1)-WEEKNUM(DATE(YEAR(C911),MONTH(C911),1),1)+1</f>
        <v>2-2026-1</v>
      </c>
      <c r="AK911">
        <f t="shared" ref="AK911:AK916" si="341">MONTH(C911)</f>
        <v>2</v>
      </c>
      <c r="AL911" s="26">
        <f>IFERROR(Table2[[#This Row],[Calories]]/Table2[[#This Row],[Splat]],"")</f>
        <v>48.733333333333334</v>
      </c>
      <c r="AM911">
        <f>COUNTIF(N$2:$N$938,N911)</f>
        <v>258</v>
      </c>
      <c r="AN911" t="str">
        <f>VLOOKUP(N911,'Helpful Tables'!A:D,4,FALSE)</f>
        <v>Oregon</v>
      </c>
      <c r="AO911" s="24">
        <f>COUNTIF(AN:AN,Table2[[#This Row],[State]])/COUNTA(AN:AN)</f>
        <v>0.36140724946695096</v>
      </c>
      <c r="AP911">
        <f>VLOOKUP(N911,'Helpful Tables'!A:B,2,FALSE)</f>
        <v>45.534162000000002</v>
      </c>
      <c r="AQ911">
        <f>VLOOKUP(N911,'Helpful Tables'!A:C,3,FALSE)</f>
        <v>-122.69670000000001</v>
      </c>
      <c r="AR911">
        <f>COUNTIF(P$2:$P$938,P911)</f>
        <v>41</v>
      </c>
      <c r="AS911" cm="1">
        <f t="array" ref="AS911">_xlfn.IFS(E911&lt;6,((E911/D911)*60)*0.5,AND(E911&gt;=6,E911&lt;9),((E911/D911)*60)*0.75,AND(E911&gt;=9,E911&lt;=11),((E911/D911)*60)*0.9,AND(E911=12),((E911/D911)*60)*1,AND(E911&gt;=13,E911&lt;=15),((E911/D911)*60)*1.2,AND(E911&gt;=16,E911&lt;=19),((E911/D911)*60)*1.5,E911&gt;=20,((E911/D911)*60)*1.8)</f>
        <v>17.142857142857142</v>
      </c>
      <c r="AT911" cm="1">
        <f t="array" ref="AT911">_xlfn.IFS(F911&lt;550,((F911/D911)*60)*0.5,AND(F911&gt;=550,F911&lt;575),((F911/D911)*60)*0.75,AND(F911&gt;=575,F911&lt;600),((F911/D911)*60)*0.9,AND(F911=600),((F911/D911)*60)*1,AND(F911&gt;=601,F911&lt;=625),((F911/D911)*60)*1.2,AND(F911&gt;=626,F911&lt;=650),((F911/D911)*60)*1.5,F911&gt;=651,((F911/D911)*60)*1.8)</f>
        <v>1253.1428571428571</v>
      </c>
      <c r="AU911">
        <f t="shared" ref="AU911:AU916" si="342">(I911*-1.2)+(J911*-1.1)+(K911*1.2)+(L911*1.3)+(M911*1.5)</f>
        <v>12.3</v>
      </c>
      <c r="AV911">
        <f t="shared" ref="AV911:AV916" si="343">(AS911*0.4)+(AT911*0.4)+(AU911*0.2)</f>
        <v>510.57428571428568</v>
      </c>
      <c r="AW911">
        <f t="shared" si="267"/>
        <v>85.8</v>
      </c>
      <c r="AX911" t="str">
        <f t="shared" ref="AX911:AX916" si="344">_xlfn.CONCAT(TEXT(C911,"mmm"),"-",AE911)</f>
        <v>Feb-2026</v>
      </c>
      <c r="AY911">
        <f>ROUNDUP(Table2[[#This Row],[Month]]/3,0)</f>
        <v>1</v>
      </c>
    </row>
    <row r="912" spans="1:51" x14ac:dyDescent="0.2">
      <c r="A912">
        <v>911</v>
      </c>
      <c r="B912">
        <f t="shared" si="306"/>
        <v>13</v>
      </c>
      <c r="C912" s="22">
        <v>46060</v>
      </c>
      <c r="D912">
        <f>SUM(Table2[[#This Row],[Gray Min]:[Red Min]])</f>
        <v>61</v>
      </c>
      <c r="E912">
        <v>13</v>
      </c>
      <c r="F912">
        <v>643</v>
      </c>
      <c r="G912">
        <v>122</v>
      </c>
      <c r="H912">
        <v>167</v>
      </c>
      <c r="I912">
        <v>15</v>
      </c>
      <c r="J912">
        <v>21</v>
      </c>
      <c r="K912">
        <v>12</v>
      </c>
      <c r="L912">
        <v>12</v>
      </c>
      <c r="M912">
        <v>1</v>
      </c>
      <c r="N912" t="s">
        <v>208</v>
      </c>
      <c r="O912" t="s">
        <v>76</v>
      </c>
      <c r="P912" t="s">
        <v>212</v>
      </c>
      <c r="Q912">
        <f t="shared" si="332"/>
        <v>2</v>
      </c>
      <c r="R912" t="str">
        <f t="shared" si="333"/>
        <v>2-2026</v>
      </c>
      <c r="S912" t="s">
        <v>117</v>
      </c>
      <c r="T912" t="str">
        <f t="shared" si="334"/>
        <v>Saturday</v>
      </c>
      <c r="U912">
        <f t="shared" si="335"/>
        <v>1</v>
      </c>
      <c r="V912" s="24">
        <f>IFERROR(Table2[[#This Row],[Gray Min]]/Table2[[#This Row],[ClassLength]],"")</f>
        <v>0.24590163934426229</v>
      </c>
      <c r="W912" s="24">
        <f>IFERROR(Table2[[#This Row],[Blue Min]]/Table2[[#This Row],[ClassLength]],"")</f>
        <v>0.34426229508196721</v>
      </c>
      <c r="X912" s="24">
        <f>IFERROR(Table2[[#This Row],[Green Min]]/Table2[[#This Row],[ClassLength]],"")</f>
        <v>0.19672131147540983</v>
      </c>
      <c r="Y912" s="24">
        <f>IFERROR(Table2[[#This Row],[Orange Min]]/Table2[[#This Row],[ClassLength]],"")</f>
        <v>0.19672131147540983</v>
      </c>
      <c r="Z912" s="24">
        <f>IFERROR(Table2[[#This Row],[Red Min]]/Table2[[#This Row],[ClassLength]],"")</f>
        <v>1.6393442622950821E-2</v>
      </c>
      <c r="AA912" s="25">
        <v>139</v>
      </c>
      <c r="AB912" s="25">
        <f t="shared" si="336"/>
        <v>10.692307692307692</v>
      </c>
      <c r="AC912" s="26">
        <f t="shared" si="307"/>
        <v>642.07692307692309</v>
      </c>
      <c r="AD912" s="26">
        <f t="shared" si="308"/>
        <v>13.692307692307692</v>
      </c>
      <c r="AE912">
        <f t="shared" si="337"/>
        <v>2026</v>
      </c>
      <c r="AG912">
        <v>12</v>
      </c>
      <c r="AH912" s="26">
        <f t="shared" si="338"/>
        <v>10.540983606557377</v>
      </c>
      <c r="AI912" t="str">
        <f t="shared" si="339"/>
        <v>AM</v>
      </c>
      <c r="AJ912" t="str">
        <f t="shared" si="340"/>
        <v>2-2026-1</v>
      </c>
      <c r="AK912">
        <f t="shared" si="341"/>
        <v>2</v>
      </c>
      <c r="AL912" s="26">
        <f>IFERROR(Table2[[#This Row],[Calories]]/Table2[[#This Row],[Splat]],"")</f>
        <v>49.46153846153846</v>
      </c>
      <c r="AM912">
        <f>COUNTIF(N$2:$N$938,N912)</f>
        <v>78</v>
      </c>
      <c r="AN912" t="str">
        <f>VLOOKUP(N912,'Helpful Tables'!A:D,4,FALSE)</f>
        <v>Oregon</v>
      </c>
      <c r="AO912" s="24">
        <f>COUNTIF(AN:AN,Table2[[#This Row],[State]])/COUNTA(AN:AN)</f>
        <v>0.36140724946695096</v>
      </c>
      <c r="AP912">
        <f>VLOOKUP(N912,'Helpful Tables'!A:B,2,FALSE)</f>
        <v>45.525092999999998</v>
      </c>
      <c r="AQ912">
        <f>VLOOKUP(N912,'Helpful Tables'!A:C,3,FALSE)</f>
        <v>-122.681383</v>
      </c>
      <c r="AR912">
        <f>COUNTIF(P$2:$P$938,P912)</f>
        <v>5</v>
      </c>
      <c r="AS912" cm="1">
        <f t="array" ref="AS912">_xlfn.IFS(E912&lt;6,((E912/D912)*60)*0.5,AND(E912&gt;=6,E912&lt;9),((E912/D912)*60)*0.75,AND(E912&gt;=9,E912&lt;=11),((E912/D912)*60)*0.9,AND(E912=12),((E912/D912)*60)*1,AND(E912&gt;=13,E912&lt;=15),((E912/D912)*60)*1.2,AND(E912&gt;=16,E912&lt;=19),((E912/D912)*60)*1.5,E912&gt;=20,((E912/D912)*60)*1.8)</f>
        <v>15.344262295081965</v>
      </c>
      <c r="AT912" cm="1">
        <f t="array" ref="AT912">_xlfn.IFS(F912&lt;550,((F912/D912)*60)*0.5,AND(F912&gt;=550,F912&lt;575),((F912/D912)*60)*0.75,AND(F912&gt;=575,F912&lt;600),((F912/D912)*60)*0.9,AND(F912=600),((F912/D912)*60)*1,AND(F912&gt;=601,F912&lt;=625),((F912/D912)*60)*1.2,AND(F912&gt;=626,F912&lt;=650),((F912/D912)*60)*1.5,F912&gt;=651,((F912/D912)*60)*1.8)</f>
        <v>948.68852459016398</v>
      </c>
      <c r="AU912">
        <f t="shared" si="342"/>
        <v>-9.6000000000000014</v>
      </c>
      <c r="AV912">
        <f t="shared" si="343"/>
        <v>383.69311475409842</v>
      </c>
      <c r="AW912">
        <f t="shared" si="267"/>
        <v>46.400000000000006</v>
      </c>
      <c r="AX912" t="str">
        <f t="shared" si="344"/>
        <v>Feb-2026</v>
      </c>
      <c r="AY912">
        <f>ROUNDUP(Table2[[#This Row],[Month]]/3,0)</f>
        <v>1</v>
      </c>
    </row>
    <row r="913" spans="1:51" x14ac:dyDescent="0.2">
      <c r="A913">
        <v>912</v>
      </c>
      <c r="B913">
        <f t="shared" si="306"/>
        <v>13</v>
      </c>
      <c r="C913" s="22">
        <v>46062</v>
      </c>
      <c r="D913">
        <f>SUM(Table2[[#This Row],[Gray Min]:[Red Min]])</f>
        <v>61</v>
      </c>
      <c r="E913">
        <v>17</v>
      </c>
      <c r="F913">
        <v>694</v>
      </c>
      <c r="G913">
        <v>127</v>
      </c>
      <c r="H913">
        <v>165</v>
      </c>
      <c r="I913">
        <v>16</v>
      </c>
      <c r="J913">
        <v>14</v>
      </c>
      <c r="K913">
        <v>14</v>
      </c>
      <c r="L913">
        <v>16</v>
      </c>
      <c r="M913">
        <v>1</v>
      </c>
      <c r="N913" t="s">
        <v>125</v>
      </c>
      <c r="O913" t="s">
        <v>215</v>
      </c>
      <c r="P913" t="s">
        <v>238</v>
      </c>
      <c r="Q913">
        <f t="shared" ref="Q913:Q918" si="345">C913-C912</f>
        <v>2</v>
      </c>
      <c r="R913" t="str">
        <f t="shared" ref="R913:R918" si="346">MONTH(C913)&amp;"-"&amp;YEAR(C913)</f>
        <v>2-2026</v>
      </c>
      <c r="S913" t="s">
        <v>104</v>
      </c>
      <c r="T913" t="str">
        <f t="shared" ref="T913:T918" si="347">IF(WEEKDAY(C913)=1,"Sunday",IF(WEEKDAY(C913)=2,"Monday",IF(WEEKDAY(C913)=3,"Tuesday",IF(WEEKDAY(C913)=4,"Wednesday",IF(WEEKDAY(C913)=5,"Thursday",IF(WEEKDAY(C913)=6,"Friday","Saturday"))))))</f>
        <v>Monday</v>
      </c>
      <c r="U913">
        <f t="shared" si="335"/>
        <v>1</v>
      </c>
      <c r="V913" s="24">
        <f>IFERROR(Table2[[#This Row],[Gray Min]]/Table2[[#This Row],[ClassLength]],"")</f>
        <v>0.26229508196721313</v>
      </c>
      <c r="W913" s="24">
        <f>IFERROR(Table2[[#This Row],[Blue Min]]/Table2[[#This Row],[ClassLength]],"")</f>
        <v>0.22950819672131148</v>
      </c>
      <c r="X913" s="24">
        <f>IFERROR(Table2[[#This Row],[Green Min]]/Table2[[#This Row],[ClassLength]],"")</f>
        <v>0.22950819672131148</v>
      </c>
      <c r="Y913" s="24">
        <f>IFERROR(Table2[[#This Row],[Orange Min]]/Table2[[#This Row],[ClassLength]],"")</f>
        <v>0.26229508196721313</v>
      </c>
      <c r="Z913" s="24">
        <f>IFERROR(Table2[[#This Row],[Red Min]]/Table2[[#This Row],[ClassLength]],"")</f>
        <v>1.6393442622950821E-2</v>
      </c>
      <c r="AA913" s="25">
        <v>139</v>
      </c>
      <c r="AB913" s="25">
        <f t="shared" si="336"/>
        <v>10.692307692307692</v>
      </c>
      <c r="AC913" s="26">
        <f t="shared" si="307"/>
        <v>642.07692307692309</v>
      </c>
      <c r="AD913" s="26">
        <f t="shared" si="308"/>
        <v>13.692307692307692</v>
      </c>
      <c r="AE913">
        <f t="shared" si="337"/>
        <v>2026</v>
      </c>
      <c r="AG913">
        <v>12</v>
      </c>
      <c r="AH913" s="26">
        <f t="shared" si="338"/>
        <v>11.377049180327869</v>
      </c>
      <c r="AI913" t="str">
        <f t="shared" si="339"/>
        <v>PM</v>
      </c>
      <c r="AJ913" t="str">
        <f t="shared" si="340"/>
        <v>2-2026-2</v>
      </c>
      <c r="AK913">
        <f t="shared" si="341"/>
        <v>2</v>
      </c>
      <c r="AL913" s="26">
        <f>IFERROR(Table2[[#This Row],[Calories]]/Table2[[#This Row],[Splat]],"")</f>
        <v>40.823529411764703</v>
      </c>
      <c r="AM913">
        <f>COUNTIF(N$2:$N$938,N913)</f>
        <v>258</v>
      </c>
      <c r="AN913" t="str">
        <f>VLOOKUP(N913,'Helpful Tables'!A:D,4,FALSE)</f>
        <v>Oregon</v>
      </c>
      <c r="AO913" s="24">
        <f>COUNTIF(AN:AN,Table2[[#This Row],[State]])/COUNTA(AN:AN)</f>
        <v>0.36140724946695096</v>
      </c>
      <c r="AP913">
        <f>VLOOKUP(N913,'Helpful Tables'!A:B,2,FALSE)</f>
        <v>45.534162000000002</v>
      </c>
      <c r="AQ913">
        <f>VLOOKUP(N913,'Helpful Tables'!A:C,3,FALSE)</f>
        <v>-122.69670000000001</v>
      </c>
      <c r="AR913">
        <f>COUNTIF(P$2:$P$938,P913)</f>
        <v>25</v>
      </c>
      <c r="AS913" cm="1">
        <f t="array" ref="AS913">_xlfn.IFS(E913&lt;6,((E913/D913)*60)*0.5,AND(E913&gt;=6,E913&lt;9),((E913/D913)*60)*0.75,AND(E913&gt;=9,E913&lt;=11),((E913/D913)*60)*0.9,AND(E913=12),((E913/D913)*60)*1,AND(E913&gt;=13,E913&lt;=15),((E913/D913)*60)*1.2,AND(E913&gt;=16,E913&lt;=19),((E913/D913)*60)*1.5,E913&gt;=20,((E913/D913)*60)*1.8)</f>
        <v>25.081967213114751</v>
      </c>
      <c r="AT913" cm="1">
        <f t="array" ref="AT913">_xlfn.IFS(F913&lt;550,((F913/D913)*60)*0.5,AND(F913&gt;=550,F913&lt;575),((F913/D913)*60)*0.75,AND(F913&gt;=575,F913&lt;600),((F913/D913)*60)*0.9,AND(F913=600),((F913/D913)*60)*1,AND(F913&gt;=601,F913&lt;=625),((F913/D913)*60)*1.2,AND(F913&gt;=626,F913&lt;=650),((F913/D913)*60)*1.5,F913&gt;=651,((F913/D913)*60)*1.8)</f>
        <v>1228.7213114754099</v>
      </c>
      <c r="AU913">
        <f t="shared" si="342"/>
        <v>4.5</v>
      </c>
      <c r="AV913">
        <f t="shared" si="343"/>
        <v>502.42131147540988</v>
      </c>
      <c r="AW913">
        <f t="shared" si="267"/>
        <v>80.7</v>
      </c>
      <c r="AX913" t="str">
        <f t="shared" si="344"/>
        <v>Feb-2026</v>
      </c>
      <c r="AY913">
        <f>ROUNDUP(Table2[[#This Row],[Month]]/3,0)</f>
        <v>1</v>
      </c>
    </row>
    <row r="914" spans="1:51" x14ac:dyDescent="0.2">
      <c r="A914">
        <v>913</v>
      </c>
      <c r="B914">
        <f t="shared" si="306"/>
        <v>13</v>
      </c>
      <c r="C914" s="22">
        <v>46064</v>
      </c>
      <c r="D914">
        <f>SUM(Table2[[#This Row],[Gray Min]:[Red Min]])</f>
        <v>61</v>
      </c>
      <c r="E914">
        <v>7</v>
      </c>
      <c r="F914">
        <v>635</v>
      </c>
      <c r="G914">
        <v>120</v>
      </c>
      <c r="H914">
        <v>158</v>
      </c>
      <c r="I914">
        <v>17</v>
      </c>
      <c r="J914">
        <v>20</v>
      </c>
      <c r="K914">
        <v>17</v>
      </c>
      <c r="L914">
        <v>7</v>
      </c>
      <c r="M914">
        <v>0</v>
      </c>
      <c r="N914" t="s">
        <v>125</v>
      </c>
      <c r="O914" t="s">
        <v>127</v>
      </c>
      <c r="P914" t="s">
        <v>281</v>
      </c>
      <c r="Q914">
        <f t="shared" si="345"/>
        <v>2</v>
      </c>
      <c r="R914" t="str">
        <f t="shared" si="346"/>
        <v>2-2026</v>
      </c>
      <c r="S914" t="s">
        <v>104</v>
      </c>
      <c r="T914" t="str">
        <f t="shared" si="347"/>
        <v>Wednesday</v>
      </c>
      <c r="U914">
        <f t="shared" si="335"/>
        <v>0</v>
      </c>
      <c r="V914" s="24">
        <f>IFERROR(Table2[[#This Row],[Gray Min]]/Table2[[#This Row],[ClassLength]],"")</f>
        <v>0.27868852459016391</v>
      </c>
      <c r="W914" s="24">
        <f>IFERROR(Table2[[#This Row],[Blue Min]]/Table2[[#This Row],[ClassLength]],"")</f>
        <v>0.32786885245901637</v>
      </c>
      <c r="X914" s="24">
        <f>IFERROR(Table2[[#This Row],[Green Min]]/Table2[[#This Row],[ClassLength]],"")</f>
        <v>0.27868852459016391</v>
      </c>
      <c r="Y914" s="24">
        <f>IFERROR(Table2[[#This Row],[Orange Min]]/Table2[[#This Row],[ClassLength]],"")</f>
        <v>0.11475409836065574</v>
      </c>
      <c r="Z914" s="24">
        <f>IFERROR(Table2[[#This Row],[Red Min]]/Table2[[#This Row],[ClassLength]],"")</f>
        <v>0</v>
      </c>
      <c r="AA914" s="25">
        <v>139</v>
      </c>
      <c r="AB914" s="25">
        <f t="shared" si="336"/>
        <v>10.692307692307692</v>
      </c>
      <c r="AC914" s="26">
        <f t="shared" si="307"/>
        <v>642.07692307692309</v>
      </c>
      <c r="AD914" s="26">
        <f t="shared" si="308"/>
        <v>13.692307692307692</v>
      </c>
      <c r="AE914">
        <f t="shared" si="337"/>
        <v>2026</v>
      </c>
      <c r="AG914">
        <v>12</v>
      </c>
      <c r="AH914" s="26">
        <f t="shared" si="338"/>
        <v>10.409836065573771</v>
      </c>
      <c r="AI914" t="str">
        <f t="shared" si="339"/>
        <v>PM</v>
      </c>
      <c r="AJ914" t="str">
        <f t="shared" si="340"/>
        <v>2-2026-2</v>
      </c>
      <c r="AK914">
        <f t="shared" si="341"/>
        <v>2</v>
      </c>
      <c r="AL914" s="26">
        <f>IFERROR(Table2[[#This Row],[Calories]]/Table2[[#This Row],[Splat]],"")</f>
        <v>90.714285714285708</v>
      </c>
      <c r="AM914">
        <f>COUNTIF(N$2:$N$938,N914)</f>
        <v>258</v>
      </c>
      <c r="AN914" t="str">
        <f>VLOOKUP(N914,'Helpful Tables'!A:D,4,FALSE)</f>
        <v>Oregon</v>
      </c>
      <c r="AO914" s="24">
        <f>COUNTIF(AN:AN,Table2[[#This Row],[State]])/COUNTA(AN:AN)</f>
        <v>0.36140724946695096</v>
      </c>
      <c r="AP914">
        <f>VLOOKUP(N914,'Helpful Tables'!A:B,2,FALSE)</f>
        <v>45.534162000000002</v>
      </c>
      <c r="AQ914">
        <f>VLOOKUP(N914,'Helpful Tables'!A:C,3,FALSE)</f>
        <v>-122.69670000000001</v>
      </c>
      <c r="AR914">
        <f>COUNTIF(P$2:$P$938,P914)</f>
        <v>41</v>
      </c>
      <c r="AS914" cm="1">
        <f t="array" ref="AS914">_xlfn.IFS(E914&lt;6,((E914/D914)*60)*0.5,AND(E914&gt;=6,E914&lt;9),((E914/D914)*60)*0.75,AND(E914&gt;=9,E914&lt;=11),((E914/D914)*60)*0.9,AND(E914=12),((E914/D914)*60)*1,AND(E914&gt;=13,E914&lt;=15),((E914/D914)*60)*1.2,AND(E914&gt;=16,E914&lt;=19),((E914/D914)*60)*1.5,E914&gt;=20,((E914/D914)*60)*1.8)</f>
        <v>5.1639344262295088</v>
      </c>
      <c r="AT914" cm="1">
        <f t="array" ref="AT914">_xlfn.IFS(F914&lt;550,((F914/D914)*60)*0.5,AND(F914&gt;=550,F914&lt;575),((F914/D914)*60)*0.75,AND(F914&gt;=575,F914&lt;600),((F914/D914)*60)*0.9,AND(F914=600),((F914/D914)*60)*1,AND(F914&gt;=601,F914&lt;=625),((F914/D914)*60)*1.2,AND(F914&gt;=626,F914&lt;=650),((F914/D914)*60)*1.5,F914&gt;=651,((F914/D914)*60)*1.8)</f>
        <v>936.88524590163945</v>
      </c>
      <c r="AU914">
        <f t="shared" si="342"/>
        <v>-12.9</v>
      </c>
      <c r="AV914">
        <f t="shared" si="343"/>
        <v>374.23967213114764</v>
      </c>
      <c r="AW914">
        <f t="shared" si="267"/>
        <v>43.6</v>
      </c>
      <c r="AX914" t="str">
        <f t="shared" si="344"/>
        <v>Feb-2026</v>
      </c>
      <c r="AY914">
        <f>ROUNDUP(Table2[[#This Row],[Month]]/3,0)</f>
        <v>1</v>
      </c>
    </row>
    <row r="915" spans="1:51" x14ac:dyDescent="0.2">
      <c r="A915">
        <v>914</v>
      </c>
      <c r="B915">
        <f t="shared" si="306"/>
        <v>13</v>
      </c>
      <c r="C915" s="22">
        <v>46065</v>
      </c>
      <c r="D915">
        <f>SUM(Table2[[#This Row],[Gray Min]:[Red Min]])</f>
        <v>63</v>
      </c>
      <c r="E915">
        <v>12</v>
      </c>
      <c r="F915">
        <v>624</v>
      </c>
      <c r="G915">
        <v>117</v>
      </c>
      <c r="H915">
        <v>157</v>
      </c>
      <c r="I915">
        <v>25</v>
      </c>
      <c r="J915">
        <v>15</v>
      </c>
      <c r="K915">
        <v>11</v>
      </c>
      <c r="L915">
        <v>12</v>
      </c>
      <c r="M915">
        <v>0</v>
      </c>
      <c r="N915" t="s">
        <v>125</v>
      </c>
      <c r="O915" t="s">
        <v>127</v>
      </c>
      <c r="P915" t="s">
        <v>281</v>
      </c>
      <c r="Q915">
        <f t="shared" si="345"/>
        <v>1</v>
      </c>
      <c r="R915" t="str">
        <f t="shared" si="346"/>
        <v>2-2026</v>
      </c>
      <c r="S915" t="s">
        <v>104</v>
      </c>
      <c r="T915" t="str">
        <f t="shared" si="347"/>
        <v>Thursday</v>
      </c>
      <c r="U915">
        <f t="shared" si="335"/>
        <v>1</v>
      </c>
      <c r="V915" s="24">
        <f>IFERROR(Table2[[#This Row],[Gray Min]]/Table2[[#This Row],[ClassLength]],"")</f>
        <v>0.3968253968253968</v>
      </c>
      <c r="W915" s="24">
        <f>IFERROR(Table2[[#This Row],[Blue Min]]/Table2[[#This Row],[ClassLength]],"")</f>
        <v>0.23809523809523808</v>
      </c>
      <c r="X915" s="24">
        <f>IFERROR(Table2[[#This Row],[Green Min]]/Table2[[#This Row],[ClassLength]],"")</f>
        <v>0.17460317460317459</v>
      </c>
      <c r="Y915" s="24">
        <f>IFERROR(Table2[[#This Row],[Orange Min]]/Table2[[#This Row],[ClassLength]],"")</f>
        <v>0.19047619047619047</v>
      </c>
      <c r="Z915" s="24">
        <f>IFERROR(Table2[[#This Row],[Red Min]]/Table2[[#This Row],[ClassLength]],"")</f>
        <v>0</v>
      </c>
      <c r="AA915" s="25">
        <v>139</v>
      </c>
      <c r="AB915" s="25">
        <f t="shared" si="336"/>
        <v>10.692307692307692</v>
      </c>
      <c r="AC915" s="26">
        <f t="shared" si="307"/>
        <v>642.07692307692309</v>
      </c>
      <c r="AD915" s="26">
        <f t="shared" si="308"/>
        <v>13.692307692307692</v>
      </c>
      <c r="AE915">
        <f t="shared" si="337"/>
        <v>2026</v>
      </c>
      <c r="AG915">
        <v>12</v>
      </c>
      <c r="AH915" s="26">
        <f t="shared" si="338"/>
        <v>9.9047619047619051</v>
      </c>
      <c r="AI915" t="str">
        <f t="shared" si="339"/>
        <v>PM</v>
      </c>
      <c r="AJ915" t="str">
        <f t="shared" si="340"/>
        <v>2-2026-2</v>
      </c>
      <c r="AK915">
        <f t="shared" si="341"/>
        <v>2</v>
      </c>
      <c r="AL915" s="26">
        <f>IFERROR(Table2[[#This Row],[Calories]]/Table2[[#This Row],[Splat]],"")</f>
        <v>52</v>
      </c>
      <c r="AM915">
        <f>COUNTIF(N$2:$N$938,N915)</f>
        <v>258</v>
      </c>
      <c r="AN915" t="str">
        <f>VLOOKUP(N915,'Helpful Tables'!A:D,4,FALSE)</f>
        <v>Oregon</v>
      </c>
      <c r="AO915" s="24">
        <f>COUNTIF(AN:AN,Table2[[#This Row],[State]])/COUNTA(AN:AN)</f>
        <v>0.36140724946695096</v>
      </c>
      <c r="AP915">
        <f>VLOOKUP(N915,'Helpful Tables'!A:B,2,FALSE)</f>
        <v>45.534162000000002</v>
      </c>
      <c r="AQ915">
        <f>VLOOKUP(N915,'Helpful Tables'!A:C,3,FALSE)</f>
        <v>-122.69670000000001</v>
      </c>
      <c r="AR915">
        <f>COUNTIF(P$2:$P$938,P915)</f>
        <v>41</v>
      </c>
      <c r="AS915" cm="1">
        <f t="array" ref="AS915">_xlfn.IFS(E915&lt;6,((E915/D915)*60)*0.5,AND(E915&gt;=6,E915&lt;9),((E915/D915)*60)*0.75,AND(E915&gt;=9,E915&lt;=11),((E915/D915)*60)*0.9,AND(E915=12),((E915/D915)*60)*1,AND(E915&gt;=13,E915&lt;=15),((E915/D915)*60)*1.2,AND(E915&gt;=16,E915&lt;=19),((E915/D915)*60)*1.5,E915&gt;=20,((E915/D915)*60)*1.8)</f>
        <v>11.428571428571427</v>
      </c>
      <c r="AT915" cm="1">
        <f t="array" ref="AT915">_xlfn.IFS(F915&lt;550,((F915/D915)*60)*0.5,AND(F915&gt;=550,F915&lt;575),((F915/D915)*60)*0.75,AND(F915&gt;=575,F915&lt;600),((F915/D915)*60)*0.9,AND(F915=600),((F915/D915)*60)*1,AND(F915&gt;=601,F915&lt;=625),((F915/D915)*60)*1.2,AND(F915&gt;=626,F915&lt;=650),((F915/D915)*60)*1.5,F915&gt;=651,((F915/D915)*60)*1.8)</f>
        <v>713.14285714285722</v>
      </c>
      <c r="AU915">
        <f t="shared" si="342"/>
        <v>-17.699999999999996</v>
      </c>
      <c r="AV915">
        <f t="shared" si="343"/>
        <v>286.28857142857146</v>
      </c>
      <c r="AW915">
        <f t="shared" si="267"/>
        <v>24.2</v>
      </c>
      <c r="AX915" t="str">
        <f t="shared" si="344"/>
        <v>Feb-2026</v>
      </c>
      <c r="AY915">
        <f>ROUNDUP(Table2[[#This Row],[Month]]/3,0)</f>
        <v>1</v>
      </c>
    </row>
    <row r="916" spans="1:51" x14ac:dyDescent="0.2">
      <c r="A916">
        <v>915</v>
      </c>
      <c r="B916">
        <f t="shared" si="306"/>
        <v>13</v>
      </c>
      <c r="C916" s="22">
        <v>46067</v>
      </c>
      <c r="D916">
        <f>SUM(Table2[[#This Row],[Gray Min]:[Red Min]])</f>
        <v>59</v>
      </c>
      <c r="E916">
        <v>14</v>
      </c>
      <c r="F916">
        <v>615</v>
      </c>
      <c r="G916">
        <v>121</v>
      </c>
      <c r="H916">
        <v>165</v>
      </c>
      <c r="I916">
        <v>16</v>
      </c>
      <c r="J916">
        <v>18</v>
      </c>
      <c r="K916">
        <v>11</v>
      </c>
      <c r="L916">
        <v>13</v>
      </c>
      <c r="M916">
        <v>1</v>
      </c>
      <c r="N916" t="s">
        <v>208</v>
      </c>
      <c r="O916" t="s">
        <v>76</v>
      </c>
      <c r="P916" t="s">
        <v>240</v>
      </c>
      <c r="Q916">
        <f t="shared" si="345"/>
        <v>2</v>
      </c>
      <c r="R916" t="str">
        <f t="shared" si="346"/>
        <v>2-2026</v>
      </c>
      <c r="S916" t="s">
        <v>117</v>
      </c>
      <c r="T916" t="str">
        <f t="shared" si="347"/>
        <v>Saturday</v>
      </c>
      <c r="U916">
        <f t="shared" si="335"/>
        <v>1</v>
      </c>
      <c r="V916" s="24">
        <f>IFERROR(Table2[[#This Row],[Gray Min]]/Table2[[#This Row],[ClassLength]],"")</f>
        <v>0.2711864406779661</v>
      </c>
      <c r="W916" s="24">
        <f>IFERROR(Table2[[#This Row],[Blue Min]]/Table2[[#This Row],[ClassLength]],"")</f>
        <v>0.30508474576271188</v>
      </c>
      <c r="X916" s="24">
        <f>IFERROR(Table2[[#This Row],[Green Min]]/Table2[[#This Row],[ClassLength]],"")</f>
        <v>0.1864406779661017</v>
      </c>
      <c r="Y916" s="24">
        <f>IFERROR(Table2[[#This Row],[Orange Min]]/Table2[[#This Row],[ClassLength]],"")</f>
        <v>0.22033898305084745</v>
      </c>
      <c r="Z916" s="24">
        <f>IFERROR(Table2[[#This Row],[Red Min]]/Table2[[#This Row],[ClassLength]],"")</f>
        <v>1.6949152542372881E-2</v>
      </c>
      <c r="AA916" s="25">
        <v>139</v>
      </c>
      <c r="AB916" s="25">
        <f t="shared" si="336"/>
        <v>10.692307692307692</v>
      </c>
      <c r="AC916" s="26">
        <f t="shared" si="307"/>
        <v>642.07692307692309</v>
      </c>
      <c r="AD916" s="26">
        <f t="shared" si="308"/>
        <v>13.692307692307692</v>
      </c>
      <c r="AE916">
        <f t="shared" si="337"/>
        <v>2026</v>
      </c>
      <c r="AG916">
        <v>12</v>
      </c>
      <c r="AH916" s="26">
        <f t="shared" si="338"/>
        <v>10.423728813559322</v>
      </c>
      <c r="AI916" t="str">
        <f t="shared" si="339"/>
        <v>AM</v>
      </c>
      <c r="AJ916" t="str">
        <f t="shared" si="340"/>
        <v>2-2026-2</v>
      </c>
      <c r="AK916">
        <f t="shared" si="341"/>
        <v>2</v>
      </c>
      <c r="AL916" s="26">
        <f>IFERROR(Table2[[#This Row],[Calories]]/Table2[[#This Row],[Splat]],"")</f>
        <v>43.928571428571431</v>
      </c>
      <c r="AM916">
        <f>COUNTIF(N$2:$N$938,N916)</f>
        <v>78</v>
      </c>
      <c r="AN916" t="str">
        <f>VLOOKUP(N916,'Helpful Tables'!A:D,4,FALSE)</f>
        <v>Oregon</v>
      </c>
      <c r="AO916" s="24">
        <f>COUNTIF(AN:AN,Table2[[#This Row],[State]])/COUNTA(AN:AN)</f>
        <v>0.36140724946695096</v>
      </c>
      <c r="AP916">
        <f>VLOOKUP(N916,'Helpful Tables'!A:B,2,FALSE)</f>
        <v>45.525092999999998</v>
      </c>
      <c r="AQ916">
        <f>VLOOKUP(N916,'Helpful Tables'!A:C,3,FALSE)</f>
        <v>-122.681383</v>
      </c>
      <c r="AR916">
        <f>COUNTIF(P$2:$P$938,P916)</f>
        <v>3</v>
      </c>
      <c r="AS916" cm="1">
        <f t="array" ref="AS916">_xlfn.IFS(E916&lt;6,((E916/D916)*60)*0.5,AND(E916&gt;=6,E916&lt;9),((E916/D916)*60)*0.75,AND(E916&gt;=9,E916&lt;=11),((E916/D916)*60)*0.9,AND(E916=12),((E916/D916)*60)*1,AND(E916&gt;=13,E916&lt;=15),((E916/D916)*60)*1.2,AND(E916&gt;=16,E916&lt;=19),((E916/D916)*60)*1.5,E916&gt;=20,((E916/D916)*60)*1.8)</f>
        <v>17.084745762711865</v>
      </c>
      <c r="AT916" cm="1">
        <f t="array" ref="AT916">_xlfn.IFS(F916&lt;550,((F916/D916)*60)*0.5,AND(F916&gt;=550,F916&lt;575),((F916/D916)*60)*0.75,AND(F916&gt;=575,F916&lt;600),((F916/D916)*60)*0.9,AND(F916=600),((F916/D916)*60)*1,AND(F916&gt;=601,F916&lt;=625),((F916/D916)*60)*1.2,AND(F916&gt;=626,F916&lt;=650),((F916/D916)*60)*1.5,F916&gt;=651,((F916/D916)*60)*1.8)</f>
        <v>750.50847457627117</v>
      </c>
      <c r="AU916">
        <f t="shared" si="342"/>
        <v>-7.3999999999999986</v>
      </c>
      <c r="AV916">
        <f t="shared" si="343"/>
        <v>305.55728813559318</v>
      </c>
      <c r="AW916">
        <f t="shared" si="267"/>
        <v>29.4</v>
      </c>
      <c r="AX916" t="str">
        <f t="shared" si="344"/>
        <v>Feb-2026</v>
      </c>
      <c r="AY916">
        <f>ROUNDUP(Table2[[#This Row],[Month]]/3,0)</f>
        <v>1</v>
      </c>
    </row>
    <row r="917" spans="1:51" x14ac:dyDescent="0.2">
      <c r="A917">
        <v>916</v>
      </c>
      <c r="B917">
        <f t="shared" si="306"/>
        <v>13</v>
      </c>
      <c r="C917" s="22">
        <v>46069</v>
      </c>
      <c r="D917">
        <f>SUM(Table2[[#This Row],[Gray Min]:[Red Min]])</f>
        <v>60</v>
      </c>
      <c r="E917">
        <v>15</v>
      </c>
      <c r="F917">
        <v>644</v>
      </c>
      <c r="G917">
        <v>122</v>
      </c>
      <c r="H917">
        <v>166</v>
      </c>
      <c r="I917">
        <v>19</v>
      </c>
      <c r="J917">
        <v>16</v>
      </c>
      <c r="K917">
        <v>10</v>
      </c>
      <c r="L917">
        <v>14</v>
      </c>
      <c r="M917">
        <v>1</v>
      </c>
      <c r="N917" t="s">
        <v>125</v>
      </c>
      <c r="O917" t="s">
        <v>215</v>
      </c>
      <c r="P917" t="s">
        <v>238</v>
      </c>
      <c r="Q917">
        <f t="shared" si="345"/>
        <v>2</v>
      </c>
      <c r="R917" t="str">
        <f t="shared" si="346"/>
        <v>2-2026</v>
      </c>
      <c r="S917" t="s">
        <v>104</v>
      </c>
      <c r="T917" t="str">
        <f t="shared" si="347"/>
        <v>Monday</v>
      </c>
      <c r="U917">
        <f t="shared" ref="U917:U922" si="348">IF(E917&gt;=12,1,0)</f>
        <v>1</v>
      </c>
      <c r="V917" s="24">
        <f>IFERROR(Table2[[#This Row],[Gray Min]]/Table2[[#This Row],[ClassLength]],"")</f>
        <v>0.31666666666666665</v>
      </c>
      <c r="W917" s="24">
        <f>IFERROR(Table2[[#This Row],[Blue Min]]/Table2[[#This Row],[ClassLength]],"")</f>
        <v>0.26666666666666666</v>
      </c>
      <c r="X917" s="24">
        <f>IFERROR(Table2[[#This Row],[Green Min]]/Table2[[#This Row],[ClassLength]],"")</f>
        <v>0.16666666666666666</v>
      </c>
      <c r="Y917" s="24">
        <f>IFERROR(Table2[[#This Row],[Orange Min]]/Table2[[#This Row],[ClassLength]],"")</f>
        <v>0.23333333333333334</v>
      </c>
      <c r="Z917" s="24">
        <f>IFERROR(Table2[[#This Row],[Red Min]]/Table2[[#This Row],[ClassLength]],"")</f>
        <v>1.6666666666666666E-2</v>
      </c>
      <c r="AA917" s="25">
        <v>139</v>
      </c>
      <c r="AB917" s="25">
        <f t="shared" ref="AB917:AB922" si="349">AA917/B917</f>
        <v>10.692307692307692</v>
      </c>
      <c r="AC917" s="26">
        <f t="shared" si="307"/>
        <v>642.07692307692309</v>
      </c>
      <c r="AD917" s="26">
        <f t="shared" si="308"/>
        <v>13.692307692307692</v>
      </c>
      <c r="AE917">
        <f t="shared" ref="AE917:AE922" si="350">YEAR(C917)</f>
        <v>2026</v>
      </c>
      <c r="AG917">
        <v>12</v>
      </c>
      <c r="AH917" s="26">
        <f t="shared" ref="AH917:AH922" si="351">F917/D917</f>
        <v>10.733333333333333</v>
      </c>
      <c r="AI917" t="str">
        <f t="shared" ref="AI917:AI922" si="352">RIGHT(O917,2)</f>
        <v>PM</v>
      </c>
      <c r="AJ917" t="str">
        <f t="shared" ref="AJ917:AJ922" si="353">R917&amp;"-"&amp;WEEKNUM(C917,1)-WEEKNUM(DATE(YEAR(C917),MONTH(C917),1),1)+1</f>
        <v>2-2026-3</v>
      </c>
      <c r="AK917">
        <f t="shared" ref="AK917:AK922" si="354">MONTH(C917)</f>
        <v>2</v>
      </c>
      <c r="AL917" s="26">
        <f>IFERROR(Table2[[#This Row],[Calories]]/Table2[[#This Row],[Splat]],"")</f>
        <v>42.93333333333333</v>
      </c>
      <c r="AM917">
        <f>COUNTIF(N$2:$N$938,N917)</f>
        <v>258</v>
      </c>
      <c r="AN917" t="str">
        <f>VLOOKUP(N917,'Helpful Tables'!A:D,4,FALSE)</f>
        <v>Oregon</v>
      </c>
      <c r="AO917" s="24">
        <f>COUNTIF(AN:AN,Table2[[#This Row],[State]])/COUNTA(AN:AN)</f>
        <v>0.36140724946695096</v>
      </c>
      <c r="AP917">
        <f>VLOOKUP(N917,'Helpful Tables'!A:B,2,FALSE)</f>
        <v>45.534162000000002</v>
      </c>
      <c r="AQ917">
        <f>VLOOKUP(N917,'Helpful Tables'!A:C,3,FALSE)</f>
        <v>-122.69670000000001</v>
      </c>
      <c r="AR917">
        <f>COUNTIF(P$2:$P$938,P917)</f>
        <v>25</v>
      </c>
      <c r="AS917" cm="1">
        <f t="array" ref="AS917">_xlfn.IFS(E917&lt;6,((E917/D917)*60)*0.5,AND(E917&gt;=6,E917&lt;9),((E917/D917)*60)*0.75,AND(E917&gt;=9,E917&lt;=11),((E917/D917)*60)*0.9,AND(E917=12),((E917/D917)*60)*1,AND(E917&gt;=13,E917&lt;=15),((E917/D917)*60)*1.2,AND(E917&gt;=16,E917&lt;=19),((E917/D917)*60)*1.5,E917&gt;=20,((E917/D917)*60)*1.8)</f>
        <v>18</v>
      </c>
      <c r="AT917" cm="1">
        <f t="array" ref="AT917">_xlfn.IFS(F917&lt;550,((F917/D917)*60)*0.5,AND(F917&gt;=550,F917&lt;575),((F917/D917)*60)*0.75,AND(F917&gt;=575,F917&lt;600),((F917/D917)*60)*0.9,AND(F917=600),((F917/D917)*60)*1,AND(F917&gt;=601,F917&lt;=625),((F917/D917)*60)*1.2,AND(F917&gt;=626,F917&lt;=650),((F917/D917)*60)*1.5,F917&gt;=651,((F917/D917)*60)*1.8)</f>
        <v>966</v>
      </c>
      <c r="AU917">
        <f t="shared" ref="AU917:AU922" si="355">(I917*-1.2)+(J917*-1.1)+(K917*1.2)+(L917*1.3)+(M917*1.5)</f>
        <v>-8.7000000000000064</v>
      </c>
      <c r="AV917">
        <f t="shared" ref="AV917:AV922" si="356">(AS917*0.4)+(AT917*0.4)+(AU917*0.2)</f>
        <v>391.86</v>
      </c>
      <c r="AW917">
        <f t="shared" si="267"/>
        <v>49</v>
      </c>
      <c r="AX917" t="str">
        <f t="shared" ref="AX917:AX922" si="357">_xlfn.CONCAT(TEXT(C917,"mmm"),"-",AE917)</f>
        <v>Feb-2026</v>
      </c>
      <c r="AY917">
        <f>ROUNDUP(Table2[[#This Row],[Month]]/3,0)</f>
        <v>1</v>
      </c>
    </row>
    <row r="918" spans="1:51" x14ac:dyDescent="0.2">
      <c r="A918">
        <v>917</v>
      </c>
      <c r="B918">
        <f t="shared" si="306"/>
        <v>13</v>
      </c>
      <c r="C918" s="22">
        <v>46071</v>
      </c>
      <c r="D918">
        <f>SUM(Table2[[#This Row],[Gray Min]:[Red Min]])</f>
        <v>59</v>
      </c>
      <c r="E918">
        <v>12</v>
      </c>
      <c r="F918">
        <v>632</v>
      </c>
      <c r="G918">
        <v>122</v>
      </c>
      <c r="H918">
        <v>157</v>
      </c>
      <c r="I918">
        <v>18</v>
      </c>
      <c r="J918">
        <v>15</v>
      </c>
      <c r="K918">
        <v>14</v>
      </c>
      <c r="L918">
        <v>12</v>
      </c>
      <c r="M918">
        <v>0</v>
      </c>
      <c r="N918" t="s">
        <v>125</v>
      </c>
      <c r="O918" t="s">
        <v>127</v>
      </c>
      <c r="P918" t="s">
        <v>281</v>
      </c>
      <c r="Q918">
        <f t="shared" si="345"/>
        <v>2</v>
      </c>
      <c r="R918" t="str">
        <f t="shared" si="346"/>
        <v>2-2026</v>
      </c>
      <c r="S918" t="s">
        <v>104</v>
      </c>
      <c r="T918" t="str">
        <f t="shared" si="347"/>
        <v>Wednesday</v>
      </c>
      <c r="U918">
        <f t="shared" si="348"/>
        <v>1</v>
      </c>
      <c r="V918" s="24">
        <f>IFERROR(Table2[[#This Row],[Gray Min]]/Table2[[#This Row],[ClassLength]],"")</f>
        <v>0.30508474576271188</v>
      </c>
      <c r="W918" s="24">
        <f>IFERROR(Table2[[#This Row],[Blue Min]]/Table2[[#This Row],[ClassLength]],"")</f>
        <v>0.25423728813559321</v>
      </c>
      <c r="X918" s="24">
        <f>IFERROR(Table2[[#This Row],[Green Min]]/Table2[[#This Row],[ClassLength]],"")</f>
        <v>0.23728813559322035</v>
      </c>
      <c r="Y918" s="24">
        <f>IFERROR(Table2[[#This Row],[Orange Min]]/Table2[[#This Row],[ClassLength]],"")</f>
        <v>0.20338983050847459</v>
      </c>
      <c r="Z918" s="24">
        <f>IFERROR(Table2[[#This Row],[Red Min]]/Table2[[#This Row],[ClassLength]],"")</f>
        <v>0</v>
      </c>
      <c r="AA918" s="25">
        <v>139</v>
      </c>
      <c r="AB918" s="25">
        <f t="shared" si="349"/>
        <v>10.692307692307692</v>
      </c>
      <c r="AC918" s="26">
        <f t="shared" si="307"/>
        <v>642.07692307692309</v>
      </c>
      <c r="AD918" s="26">
        <f t="shared" si="308"/>
        <v>13.692307692307692</v>
      </c>
      <c r="AE918">
        <f t="shared" si="350"/>
        <v>2026</v>
      </c>
      <c r="AG918">
        <v>12</v>
      </c>
      <c r="AH918" s="26">
        <f t="shared" si="351"/>
        <v>10.711864406779661</v>
      </c>
      <c r="AI918" t="str">
        <f t="shared" si="352"/>
        <v>PM</v>
      </c>
      <c r="AJ918" t="str">
        <f t="shared" si="353"/>
        <v>2-2026-3</v>
      </c>
      <c r="AK918">
        <f t="shared" si="354"/>
        <v>2</v>
      </c>
      <c r="AL918" s="26">
        <f>IFERROR(Table2[[#This Row],[Calories]]/Table2[[#This Row],[Splat]],"")</f>
        <v>52.666666666666664</v>
      </c>
      <c r="AM918">
        <f>COUNTIF(N$2:$N$938,N918)</f>
        <v>258</v>
      </c>
      <c r="AN918" t="str">
        <f>VLOOKUP(N918,'Helpful Tables'!A:D,4,FALSE)</f>
        <v>Oregon</v>
      </c>
      <c r="AO918" s="24">
        <f>COUNTIF(AN:AN,Table2[[#This Row],[State]])/COUNTA(AN:AN)</f>
        <v>0.36140724946695096</v>
      </c>
      <c r="AP918">
        <f>VLOOKUP(N918,'Helpful Tables'!A:B,2,FALSE)</f>
        <v>45.534162000000002</v>
      </c>
      <c r="AQ918">
        <f>VLOOKUP(N918,'Helpful Tables'!A:C,3,FALSE)</f>
        <v>-122.69670000000001</v>
      </c>
      <c r="AR918">
        <f>COUNTIF(P$2:$P$938,P918)</f>
        <v>41</v>
      </c>
      <c r="AS918" cm="1">
        <f t="array" ref="AS918">_xlfn.IFS(E918&lt;6,((E918/D918)*60)*0.5,AND(E918&gt;=6,E918&lt;9),((E918/D918)*60)*0.75,AND(E918&gt;=9,E918&lt;=11),((E918/D918)*60)*0.9,AND(E918=12),((E918/D918)*60)*1,AND(E918&gt;=13,E918&lt;=15),((E918/D918)*60)*1.2,AND(E918&gt;=16,E918&lt;=19),((E918/D918)*60)*1.5,E918&gt;=20,((E918/D918)*60)*1.8)</f>
        <v>12.203389830508476</v>
      </c>
      <c r="AT918" cm="1">
        <f t="array" ref="AT918">_xlfn.IFS(F918&lt;550,((F918/D918)*60)*0.5,AND(F918&gt;=550,F918&lt;575),((F918/D918)*60)*0.75,AND(F918&gt;=575,F918&lt;600),((F918/D918)*60)*0.9,AND(F918=600),((F918/D918)*60)*1,AND(F918&gt;=601,F918&lt;=625),((F918/D918)*60)*1.2,AND(F918&gt;=626,F918&lt;=650),((F918/D918)*60)*1.5,F918&gt;=651,((F918/D918)*60)*1.8)</f>
        <v>964.06779661016958</v>
      </c>
      <c r="AU918">
        <f t="shared" si="355"/>
        <v>-5.6999999999999922</v>
      </c>
      <c r="AV918">
        <f t="shared" si="356"/>
        <v>389.3684745762713</v>
      </c>
      <c r="AW918">
        <f t="shared" si="267"/>
        <v>48.3</v>
      </c>
      <c r="AX918" t="str">
        <f t="shared" si="357"/>
        <v>Feb-2026</v>
      </c>
      <c r="AY918">
        <f>ROUNDUP(Table2[[#This Row],[Month]]/3,0)</f>
        <v>1</v>
      </c>
    </row>
    <row r="919" spans="1:51" x14ac:dyDescent="0.2">
      <c r="A919">
        <v>918</v>
      </c>
      <c r="B919">
        <f t="shared" si="306"/>
        <v>13</v>
      </c>
      <c r="C919" s="22">
        <v>46072</v>
      </c>
      <c r="D919">
        <f>SUM(Table2[[#This Row],[Gray Min]:[Red Min]])</f>
        <v>63</v>
      </c>
      <c r="E919">
        <v>12</v>
      </c>
      <c r="F919">
        <v>463</v>
      </c>
      <c r="G919">
        <v>100</v>
      </c>
      <c r="H919">
        <v>153</v>
      </c>
      <c r="I919">
        <v>36</v>
      </c>
      <c r="J919">
        <v>5</v>
      </c>
      <c r="K919">
        <v>10</v>
      </c>
      <c r="L919">
        <v>12</v>
      </c>
      <c r="M919">
        <v>0</v>
      </c>
      <c r="N919" t="s">
        <v>125</v>
      </c>
      <c r="O919" t="s">
        <v>127</v>
      </c>
      <c r="P919" t="s">
        <v>281</v>
      </c>
      <c r="Q919">
        <f t="shared" ref="Q919:Q924" si="358">C919-C918</f>
        <v>1</v>
      </c>
      <c r="R919" t="str">
        <f t="shared" ref="R919:R924" si="359">MONTH(C919)&amp;"-"&amp;YEAR(C919)</f>
        <v>2-2026</v>
      </c>
      <c r="S919" t="s">
        <v>104</v>
      </c>
      <c r="T919" t="str">
        <f t="shared" ref="T919:T924" si="360">IF(WEEKDAY(C919)=1,"Sunday",IF(WEEKDAY(C919)=2,"Monday",IF(WEEKDAY(C919)=3,"Tuesday",IF(WEEKDAY(C919)=4,"Wednesday",IF(WEEKDAY(C919)=5,"Thursday",IF(WEEKDAY(C919)=6,"Friday","Saturday"))))))</f>
        <v>Thursday</v>
      </c>
      <c r="U919">
        <f t="shared" si="348"/>
        <v>1</v>
      </c>
      <c r="V919" s="24">
        <f>IFERROR(Table2[[#This Row],[Gray Min]]/Table2[[#This Row],[ClassLength]],"")</f>
        <v>0.5714285714285714</v>
      </c>
      <c r="W919" s="24">
        <f>IFERROR(Table2[[#This Row],[Blue Min]]/Table2[[#This Row],[ClassLength]],"")</f>
        <v>7.9365079365079361E-2</v>
      </c>
      <c r="X919" s="24">
        <f>IFERROR(Table2[[#This Row],[Green Min]]/Table2[[#This Row],[ClassLength]],"")</f>
        <v>0.15873015873015872</v>
      </c>
      <c r="Y919" s="24">
        <f>IFERROR(Table2[[#This Row],[Orange Min]]/Table2[[#This Row],[ClassLength]],"")</f>
        <v>0.19047619047619047</v>
      </c>
      <c r="Z919" s="24">
        <f>IFERROR(Table2[[#This Row],[Red Min]]/Table2[[#This Row],[ClassLength]],"")</f>
        <v>0</v>
      </c>
      <c r="AA919" s="25">
        <v>139</v>
      </c>
      <c r="AB919" s="25">
        <f t="shared" si="349"/>
        <v>10.692307692307692</v>
      </c>
      <c r="AC919" s="26">
        <f t="shared" si="307"/>
        <v>642.07692307692309</v>
      </c>
      <c r="AD919" s="26">
        <f t="shared" si="308"/>
        <v>13.692307692307692</v>
      </c>
      <c r="AE919">
        <f t="shared" si="350"/>
        <v>2026</v>
      </c>
      <c r="AG919">
        <v>12</v>
      </c>
      <c r="AH919" s="26">
        <f t="shared" si="351"/>
        <v>7.3492063492063489</v>
      </c>
      <c r="AI919" t="str">
        <f t="shared" si="352"/>
        <v>PM</v>
      </c>
      <c r="AJ919" t="str">
        <f t="shared" si="353"/>
        <v>2-2026-3</v>
      </c>
      <c r="AK919">
        <f t="shared" si="354"/>
        <v>2</v>
      </c>
      <c r="AL919" s="26">
        <f>IFERROR(Table2[[#This Row],[Calories]]/Table2[[#This Row],[Splat]],"")</f>
        <v>38.583333333333336</v>
      </c>
      <c r="AM919">
        <f>COUNTIF(N$2:$N$938,N919)</f>
        <v>258</v>
      </c>
      <c r="AN919" t="str">
        <f>VLOOKUP(N919,'Helpful Tables'!A:D,4,FALSE)</f>
        <v>Oregon</v>
      </c>
      <c r="AO919" s="24">
        <f>COUNTIF(AN:AN,Table2[[#This Row],[State]])/COUNTA(AN:AN)</f>
        <v>0.36140724946695096</v>
      </c>
      <c r="AP919">
        <f>VLOOKUP(N919,'Helpful Tables'!A:B,2,FALSE)</f>
        <v>45.534162000000002</v>
      </c>
      <c r="AQ919">
        <f>VLOOKUP(N919,'Helpful Tables'!A:C,3,FALSE)</f>
        <v>-122.69670000000001</v>
      </c>
      <c r="AR919">
        <f>COUNTIF(P$2:$P$938,P919)</f>
        <v>41</v>
      </c>
      <c r="AS919" cm="1">
        <f t="array" ref="AS919">_xlfn.IFS(E919&lt;6,((E919/D919)*60)*0.5,AND(E919&gt;=6,E919&lt;9),((E919/D919)*60)*0.75,AND(E919&gt;=9,E919&lt;=11),((E919/D919)*60)*0.9,AND(E919=12),((E919/D919)*60)*1,AND(E919&gt;=13,E919&lt;=15),((E919/D919)*60)*1.2,AND(E919&gt;=16,E919&lt;=19),((E919/D919)*60)*1.5,E919&gt;=20,((E919/D919)*60)*1.8)</f>
        <v>11.428571428571427</v>
      </c>
      <c r="AT919" cm="1">
        <f t="array" ref="AT919">_xlfn.IFS(F919&lt;550,((F919/D919)*60)*0.5,AND(F919&gt;=550,F919&lt;575),((F919/D919)*60)*0.75,AND(F919&gt;=575,F919&lt;600),((F919/D919)*60)*0.9,AND(F919=600),((F919/D919)*60)*1,AND(F919&gt;=601,F919&lt;=625),((F919/D919)*60)*1.2,AND(F919&gt;=626,F919&lt;=650),((F919/D919)*60)*1.5,F919&gt;=651,((F919/D919)*60)*1.8)</f>
        <v>220.47619047619045</v>
      </c>
      <c r="AU919">
        <f t="shared" si="355"/>
        <v>-21.099999999999994</v>
      </c>
      <c r="AV919">
        <f t="shared" si="356"/>
        <v>88.54190476190476</v>
      </c>
      <c r="AW919">
        <f t="shared" si="267"/>
        <v>0.1</v>
      </c>
      <c r="AX919" t="str">
        <f t="shared" si="357"/>
        <v>Feb-2026</v>
      </c>
      <c r="AY919">
        <f>ROUNDUP(Table2[[#This Row],[Month]]/3,0)</f>
        <v>1</v>
      </c>
    </row>
    <row r="920" spans="1:51" x14ac:dyDescent="0.2">
      <c r="A920">
        <v>919</v>
      </c>
      <c r="B920">
        <f t="shared" si="306"/>
        <v>13</v>
      </c>
      <c r="C920" s="22">
        <v>46074</v>
      </c>
      <c r="D920">
        <f>SUM(Table2[[#This Row],[Gray Min]:[Red Min]])</f>
        <v>62</v>
      </c>
      <c r="E920">
        <v>13</v>
      </c>
      <c r="F920">
        <v>655</v>
      </c>
      <c r="G920">
        <v>122</v>
      </c>
      <c r="H920">
        <v>165</v>
      </c>
      <c r="I920">
        <v>16</v>
      </c>
      <c r="J920">
        <v>19</v>
      </c>
      <c r="K920">
        <v>14</v>
      </c>
      <c r="L920">
        <v>12</v>
      </c>
      <c r="M920">
        <v>1</v>
      </c>
      <c r="N920" t="s">
        <v>208</v>
      </c>
      <c r="O920" t="s">
        <v>76</v>
      </c>
      <c r="P920" t="s">
        <v>212</v>
      </c>
      <c r="Q920">
        <f t="shared" si="358"/>
        <v>2</v>
      </c>
      <c r="R920" t="str">
        <f t="shared" si="359"/>
        <v>2-2026</v>
      </c>
      <c r="S920" t="s">
        <v>117</v>
      </c>
      <c r="T920" t="str">
        <f t="shared" si="360"/>
        <v>Saturday</v>
      </c>
      <c r="U920">
        <f t="shared" si="348"/>
        <v>1</v>
      </c>
      <c r="V920" s="24">
        <f>IFERROR(Table2[[#This Row],[Gray Min]]/Table2[[#This Row],[ClassLength]],"")</f>
        <v>0.25806451612903225</v>
      </c>
      <c r="W920" s="24">
        <f>IFERROR(Table2[[#This Row],[Blue Min]]/Table2[[#This Row],[ClassLength]],"")</f>
        <v>0.30645161290322581</v>
      </c>
      <c r="X920" s="24">
        <f>IFERROR(Table2[[#This Row],[Green Min]]/Table2[[#This Row],[ClassLength]],"")</f>
        <v>0.22580645161290322</v>
      </c>
      <c r="Y920" s="24">
        <f>IFERROR(Table2[[#This Row],[Orange Min]]/Table2[[#This Row],[ClassLength]],"")</f>
        <v>0.19354838709677419</v>
      </c>
      <c r="Z920" s="24">
        <f>IFERROR(Table2[[#This Row],[Red Min]]/Table2[[#This Row],[ClassLength]],"")</f>
        <v>1.6129032258064516E-2</v>
      </c>
      <c r="AA920" s="25">
        <v>139</v>
      </c>
      <c r="AB920" s="25">
        <f t="shared" si="349"/>
        <v>10.692307692307692</v>
      </c>
      <c r="AC920" s="26">
        <f t="shared" si="307"/>
        <v>642.07692307692309</v>
      </c>
      <c r="AD920" s="26">
        <f t="shared" si="308"/>
        <v>13.692307692307692</v>
      </c>
      <c r="AE920">
        <f t="shared" si="350"/>
        <v>2026</v>
      </c>
      <c r="AG920">
        <v>12</v>
      </c>
      <c r="AH920" s="26">
        <f t="shared" si="351"/>
        <v>10.564516129032258</v>
      </c>
      <c r="AI920" t="str">
        <f t="shared" si="352"/>
        <v>AM</v>
      </c>
      <c r="AJ920" t="str">
        <f t="shared" si="353"/>
        <v>2-2026-3</v>
      </c>
      <c r="AK920">
        <f t="shared" si="354"/>
        <v>2</v>
      </c>
      <c r="AL920" s="26">
        <f>IFERROR(Table2[[#This Row],[Calories]]/Table2[[#This Row],[Splat]],"")</f>
        <v>50.384615384615387</v>
      </c>
      <c r="AM920">
        <f>COUNTIF(N$2:$N$938,N920)</f>
        <v>78</v>
      </c>
      <c r="AN920" t="str">
        <f>VLOOKUP(N920,'Helpful Tables'!A:D,4,FALSE)</f>
        <v>Oregon</v>
      </c>
      <c r="AO920" s="24">
        <f>COUNTIF(AN:AN,Table2[[#This Row],[State]])/COUNTA(AN:AN)</f>
        <v>0.36140724946695096</v>
      </c>
      <c r="AP920">
        <f>VLOOKUP(N920,'Helpful Tables'!A:B,2,FALSE)</f>
        <v>45.525092999999998</v>
      </c>
      <c r="AQ920">
        <f>VLOOKUP(N920,'Helpful Tables'!A:C,3,FALSE)</f>
        <v>-122.681383</v>
      </c>
      <c r="AR920">
        <f>COUNTIF(P$2:$P$938,P920)</f>
        <v>5</v>
      </c>
      <c r="AS920" cm="1">
        <f t="array" ref="AS920">_xlfn.IFS(E920&lt;6,((E920/D920)*60)*0.5,AND(E920&gt;=6,E920&lt;9),((E920/D920)*60)*0.75,AND(E920&gt;=9,E920&lt;=11),((E920/D920)*60)*0.9,AND(E920=12),((E920/D920)*60)*1,AND(E920&gt;=13,E920&lt;=15),((E920/D920)*60)*1.2,AND(E920&gt;=16,E920&lt;=19),((E920/D920)*60)*1.5,E920&gt;=20,((E920/D920)*60)*1.8)</f>
        <v>15.096774193548388</v>
      </c>
      <c r="AT920" cm="1">
        <f t="array" ref="AT920">_xlfn.IFS(F920&lt;550,((F920/D920)*60)*0.5,AND(F920&gt;=550,F920&lt;575),((F920/D920)*60)*0.75,AND(F920&gt;=575,F920&lt;600),((F920/D920)*60)*0.9,AND(F920=600),((F920/D920)*60)*1,AND(F920&gt;=601,F920&lt;=625),((F920/D920)*60)*1.2,AND(F920&gt;=626,F920&lt;=650),((F920/D920)*60)*1.5,F920&gt;=651,((F920/D920)*60)*1.8)</f>
        <v>1140.9677419354839</v>
      </c>
      <c r="AU920">
        <f t="shared" si="355"/>
        <v>-6.1999999999999993</v>
      </c>
      <c r="AV920">
        <f t="shared" si="356"/>
        <v>461.18580645161296</v>
      </c>
      <c r="AW920">
        <f t="shared" si="267"/>
        <v>66.3</v>
      </c>
      <c r="AX920" t="str">
        <f t="shared" si="357"/>
        <v>Feb-2026</v>
      </c>
      <c r="AY920">
        <f>ROUNDUP(Table2[[#This Row],[Month]]/3,0)</f>
        <v>1</v>
      </c>
    </row>
    <row r="921" spans="1:51" x14ac:dyDescent="0.2">
      <c r="A921">
        <v>920</v>
      </c>
      <c r="B921">
        <f t="shared" si="306"/>
        <v>13</v>
      </c>
      <c r="C921" s="22">
        <v>46076</v>
      </c>
      <c r="D921">
        <f>SUM(Table2[[#This Row],[Gray Min]:[Red Min]])</f>
        <v>59</v>
      </c>
      <c r="E921">
        <v>16</v>
      </c>
      <c r="F921">
        <v>627</v>
      </c>
      <c r="G921">
        <v>122</v>
      </c>
      <c r="H921">
        <v>156</v>
      </c>
      <c r="I921">
        <v>18</v>
      </c>
      <c r="J921">
        <v>14</v>
      </c>
      <c r="K921">
        <v>11</v>
      </c>
      <c r="L921">
        <v>16</v>
      </c>
      <c r="M921">
        <v>0</v>
      </c>
      <c r="N921" t="s">
        <v>125</v>
      </c>
      <c r="O921" t="s">
        <v>127</v>
      </c>
      <c r="P921" t="s">
        <v>238</v>
      </c>
      <c r="Q921">
        <f t="shared" si="358"/>
        <v>2</v>
      </c>
      <c r="R921" t="str">
        <f t="shared" si="359"/>
        <v>2-2026</v>
      </c>
      <c r="S921" t="s">
        <v>104</v>
      </c>
      <c r="T921" t="str">
        <f t="shared" si="360"/>
        <v>Monday</v>
      </c>
      <c r="U921">
        <f t="shared" si="348"/>
        <v>1</v>
      </c>
      <c r="V921" s="24">
        <f>IFERROR(Table2[[#This Row],[Gray Min]]/Table2[[#This Row],[ClassLength]],"")</f>
        <v>0.30508474576271188</v>
      </c>
      <c r="W921" s="24">
        <f>IFERROR(Table2[[#This Row],[Blue Min]]/Table2[[#This Row],[ClassLength]],"")</f>
        <v>0.23728813559322035</v>
      </c>
      <c r="X921" s="24">
        <f>IFERROR(Table2[[#This Row],[Green Min]]/Table2[[#This Row],[ClassLength]],"")</f>
        <v>0.1864406779661017</v>
      </c>
      <c r="Y921" s="24">
        <f>IFERROR(Table2[[#This Row],[Orange Min]]/Table2[[#This Row],[ClassLength]],"")</f>
        <v>0.2711864406779661</v>
      </c>
      <c r="Z921" s="24">
        <f>IFERROR(Table2[[#This Row],[Red Min]]/Table2[[#This Row],[ClassLength]],"")</f>
        <v>0</v>
      </c>
      <c r="AA921" s="25">
        <v>139</v>
      </c>
      <c r="AB921" s="25">
        <f t="shared" si="349"/>
        <v>10.692307692307692</v>
      </c>
      <c r="AC921" s="26">
        <f t="shared" si="307"/>
        <v>642.07692307692309</v>
      </c>
      <c r="AD921" s="26">
        <f t="shared" si="308"/>
        <v>13.692307692307692</v>
      </c>
      <c r="AE921">
        <f t="shared" si="350"/>
        <v>2026</v>
      </c>
      <c r="AG921">
        <v>12</v>
      </c>
      <c r="AH921" s="26">
        <f t="shared" si="351"/>
        <v>10.627118644067796</v>
      </c>
      <c r="AI921" t="str">
        <f t="shared" si="352"/>
        <v>PM</v>
      </c>
      <c r="AJ921" t="str">
        <f t="shared" si="353"/>
        <v>2-2026-4</v>
      </c>
      <c r="AK921">
        <f t="shared" si="354"/>
        <v>2</v>
      </c>
      <c r="AL921" s="26">
        <f>IFERROR(Table2[[#This Row],[Calories]]/Table2[[#This Row],[Splat]],"")</f>
        <v>39.1875</v>
      </c>
      <c r="AM921">
        <f>COUNTIF(N$2:$N$938,N921)</f>
        <v>258</v>
      </c>
      <c r="AN921" t="str">
        <f>VLOOKUP(N921,'Helpful Tables'!A:D,4,FALSE)</f>
        <v>Oregon</v>
      </c>
      <c r="AO921" s="24">
        <f>COUNTIF(AN:AN,Table2[[#This Row],[State]])/COUNTA(AN:AN)</f>
        <v>0.36140724946695096</v>
      </c>
      <c r="AP921">
        <f>VLOOKUP(N921,'Helpful Tables'!A:B,2,FALSE)</f>
        <v>45.534162000000002</v>
      </c>
      <c r="AQ921">
        <f>VLOOKUP(N921,'Helpful Tables'!A:C,3,FALSE)</f>
        <v>-122.69670000000001</v>
      </c>
      <c r="AR921">
        <f>COUNTIF(P$2:$P$938,P921)</f>
        <v>25</v>
      </c>
      <c r="AS921" cm="1">
        <f t="array" ref="AS921">_xlfn.IFS(E921&lt;6,((E921/D921)*60)*0.5,AND(E921&gt;=6,E921&lt;9),((E921/D921)*60)*0.75,AND(E921&gt;=9,E921&lt;=11),((E921/D921)*60)*0.9,AND(E921=12),((E921/D921)*60)*1,AND(E921&gt;=13,E921&lt;=15),((E921/D921)*60)*1.2,AND(E921&gt;=16,E921&lt;=19),((E921/D921)*60)*1.5,E921&gt;=20,((E921/D921)*60)*1.8)</f>
        <v>24.406779661016948</v>
      </c>
      <c r="AT921" cm="1">
        <f t="array" ref="AT921">_xlfn.IFS(F921&lt;550,((F921/D921)*60)*0.5,AND(F921&gt;=550,F921&lt;575),((F921/D921)*60)*0.75,AND(F921&gt;=575,F921&lt;600),((F921/D921)*60)*0.9,AND(F921=600),((F921/D921)*60)*1,AND(F921&gt;=601,F921&lt;=625),((F921/D921)*60)*1.2,AND(F921&gt;=626,F921&lt;=650),((F921/D921)*60)*1.5,F921&gt;=651,((F921/D921)*60)*1.8)</f>
        <v>956.4406779661017</v>
      </c>
      <c r="AU921">
        <f t="shared" si="355"/>
        <v>-3</v>
      </c>
      <c r="AV921">
        <f t="shared" si="356"/>
        <v>391.73898305084742</v>
      </c>
      <c r="AW921">
        <f t="shared" si="267"/>
        <v>48.9</v>
      </c>
      <c r="AX921" t="str">
        <f t="shared" si="357"/>
        <v>Feb-2026</v>
      </c>
      <c r="AY921">
        <f>ROUNDUP(Table2[[#This Row],[Month]]/3,0)</f>
        <v>1</v>
      </c>
    </row>
    <row r="922" spans="1:51" x14ac:dyDescent="0.2">
      <c r="A922">
        <v>921</v>
      </c>
      <c r="B922">
        <f t="shared" si="306"/>
        <v>13</v>
      </c>
      <c r="C922" s="22">
        <v>46078</v>
      </c>
      <c r="D922">
        <f>SUM(Table2[[#This Row],[Gray Min]:[Red Min]])</f>
        <v>63</v>
      </c>
      <c r="E922">
        <v>18</v>
      </c>
      <c r="F922">
        <v>771</v>
      </c>
      <c r="G922">
        <v>133</v>
      </c>
      <c r="H922">
        <v>167</v>
      </c>
      <c r="I922">
        <v>7</v>
      </c>
      <c r="J922">
        <v>14</v>
      </c>
      <c r="K922">
        <v>24</v>
      </c>
      <c r="L922">
        <v>15</v>
      </c>
      <c r="M922">
        <v>3</v>
      </c>
      <c r="N922" t="s">
        <v>125</v>
      </c>
      <c r="O922" t="s">
        <v>127</v>
      </c>
      <c r="P922" t="s">
        <v>238</v>
      </c>
      <c r="Q922">
        <f t="shared" si="358"/>
        <v>2</v>
      </c>
      <c r="R922" t="str">
        <f t="shared" si="359"/>
        <v>2-2026</v>
      </c>
      <c r="S922" t="s">
        <v>104</v>
      </c>
      <c r="T922" t="str">
        <f t="shared" si="360"/>
        <v>Wednesday</v>
      </c>
      <c r="U922">
        <f t="shared" si="348"/>
        <v>1</v>
      </c>
      <c r="V922" s="24">
        <f>IFERROR(Table2[[#This Row],[Gray Min]]/Table2[[#This Row],[ClassLength]],"")</f>
        <v>0.1111111111111111</v>
      </c>
      <c r="W922" s="24">
        <f>IFERROR(Table2[[#This Row],[Blue Min]]/Table2[[#This Row],[ClassLength]],"")</f>
        <v>0.22222222222222221</v>
      </c>
      <c r="X922" s="24">
        <f>IFERROR(Table2[[#This Row],[Green Min]]/Table2[[#This Row],[ClassLength]],"")</f>
        <v>0.38095238095238093</v>
      </c>
      <c r="Y922" s="24">
        <f>IFERROR(Table2[[#This Row],[Orange Min]]/Table2[[#This Row],[ClassLength]],"")</f>
        <v>0.23809523809523808</v>
      </c>
      <c r="Z922" s="24">
        <f>IFERROR(Table2[[#This Row],[Red Min]]/Table2[[#This Row],[ClassLength]],"")</f>
        <v>4.7619047619047616E-2</v>
      </c>
      <c r="AA922" s="25">
        <v>139</v>
      </c>
      <c r="AB922" s="25">
        <f t="shared" si="349"/>
        <v>10.692307692307692</v>
      </c>
      <c r="AC922" s="26">
        <f t="shared" si="307"/>
        <v>642.07692307692309</v>
      </c>
      <c r="AD922" s="26">
        <f t="shared" si="308"/>
        <v>13.692307692307692</v>
      </c>
      <c r="AE922">
        <f t="shared" si="350"/>
        <v>2026</v>
      </c>
      <c r="AG922">
        <v>12</v>
      </c>
      <c r="AH922" s="26">
        <f t="shared" si="351"/>
        <v>12.238095238095237</v>
      </c>
      <c r="AI922" t="str">
        <f t="shared" si="352"/>
        <v>PM</v>
      </c>
      <c r="AJ922" t="str">
        <f t="shared" si="353"/>
        <v>2-2026-4</v>
      </c>
      <c r="AK922">
        <f t="shared" si="354"/>
        <v>2</v>
      </c>
      <c r="AL922" s="26">
        <f>IFERROR(Table2[[#This Row],[Calories]]/Table2[[#This Row],[Splat]],"")</f>
        <v>42.833333333333336</v>
      </c>
      <c r="AM922">
        <f>COUNTIF(N$2:$N$938,N922)</f>
        <v>258</v>
      </c>
      <c r="AN922" t="str">
        <f>VLOOKUP(N922,'Helpful Tables'!A:D,4,FALSE)</f>
        <v>Oregon</v>
      </c>
      <c r="AO922" s="24">
        <f>COUNTIF(AN:AN,Table2[[#This Row],[State]])/COUNTA(AN:AN)</f>
        <v>0.36140724946695096</v>
      </c>
      <c r="AP922">
        <f>VLOOKUP(N922,'Helpful Tables'!A:B,2,FALSE)</f>
        <v>45.534162000000002</v>
      </c>
      <c r="AQ922">
        <f>VLOOKUP(N922,'Helpful Tables'!A:C,3,FALSE)</f>
        <v>-122.69670000000001</v>
      </c>
      <c r="AR922">
        <f>COUNTIF(P$2:$P$938,P922)</f>
        <v>25</v>
      </c>
      <c r="AS922" cm="1">
        <f t="array" ref="AS922">_xlfn.IFS(E922&lt;6,((E922/D922)*60)*0.5,AND(E922&gt;=6,E922&lt;9),((E922/D922)*60)*0.75,AND(E922&gt;=9,E922&lt;=11),((E922/D922)*60)*0.9,AND(E922=12),((E922/D922)*60)*1,AND(E922&gt;=13,E922&lt;=15),((E922/D922)*60)*1.2,AND(E922&gt;=16,E922&lt;=19),((E922/D922)*60)*1.5,E922&gt;=20,((E922/D922)*60)*1.8)</f>
        <v>25.714285714285715</v>
      </c>
      <c r="AT922" cm="1">
        <f t="array" ref="AT922">_xlfn.IFS(F922&lt;550,((F922/D922)*60)*0.5,AND(F922&gt;=550,F922&lt;575),((F922/D922)*60)*0.75,AND(F922&gt;=575,F922&lt;600),((F922/D922)*60)*0.9,AND(F922=600),((F922/D922)*60)*1,AND(F922&gt;=601,F922&lt;=625),((F922/D922)*60)*1.2,AND(F922&gt;=626,F922&lt;=650),((F922/D922)*60)*1.5,F922&gt;=651,((F922/D922)*60)*1.8)</f>
        <v>1321.7142857142856</v>
      </c>
      <c r="AU922">
        <f t="shared" si="355"/>
        <v>28.999999999999993</v>
      </c>
      <c r="AV922">
        <f t="shared" si="356"/>
        <v>544.77142857142849</v>
      </c>
      <c r="AW922">
        <f t="shared" si="267"/>
        <v>97.2</v>
      </c>
      <c r="AX922" t="str">
        <f t="shared" si="357"/>
        <v>Feb-2026</v>
      </c>
      <c r="AY922">
        <f>ROUNDUP(Table2[[#This Row],[Month]]/3,0)</f>
        <v>1</v>
      </c>
    </row>
    <row r="923" spans="1:51" x14ac:dyDescent="0.2">
      <c r="A923">
        <v>922</v>
      </c>
      <c r="B923">
        <f t="shared" si="306"/>
        <v>13</v>
      </c>
      <c r="C923" s="22">
        <v>46080</v>
      </c>
      <c r="D923">
        <f>SUM(Table2[[#This Row],[Gray Min]:[Red Min]])</f>
        <v>61</v>
      </c>
      <c r="E923">
        <v>14</v>
      </c>
      <c r="F923">
        <v>613</v>
      </c>
      <c r="G923">
        <v>118</v>
      </c>
      <c r="H923">
        <v>163</v>
      </c>
      <c r="I923">
        <v>23</v>
      </c>
      <c r="J923">
        <v>15</v>
      </c>
      <c r="K923">
        <v>9</v>
      </c>
      <c r="L923">
        <v>13</v>
      </c>
      <c r="M923">
        <v>1</v>
      </c>
      <c r="N923" t="s">
        <v>125</v>
      </c>
      <c r="O923" t="s">
        <v>127</v>
      </c>
      <c r="P923" t="s">
        <v>281</v>
      </c>
      <c r="Q923">
        <f t="shared" si="358"/>
        <v>2</v>
      </c>
      <c r="R923" t="str">
        <f t="shared" si="359"/>
        <v>2-2026</v>
      </c>
      <c r="S923" t="s">
        <v>104</v>
      </c>
      <c r="T923" t="str">
        <f t="shared" si="360"/>
        <v>Friday</v>
      </c>
      <c r="U923">
        <f t="shared" ref="U923:U928" si="361">IF(E923&gt;=12,1,0)</f>
        <v>1</v>
      </c>
      <c r="V923" s="24">
        <f>IFERROR(Table2[[#This Row],[Gray Min]]/Table2[[#This Row],[ClassLength]],"")</f>
        <v>0.37704918032786883</v>
      </c>
      <c r="W923" s="24">
        <f>IFERROR(Table2[[#This Row],[Blue Min]]/Table2[[#This Row],[ClassLength]],"")</f>
        <v>0.24590163934426229</v>
      </c>
      <c r="X923" s="24">
        <f>IFERROR(Table2[[#This Row],[Green Min]]/Table2[[#This Row],[ClassLength]],"")</f>
        <v>0.14754098360655737</v>
      </c>
      <c r="Y923" s="24">
        <f>IFERROR(Table2[[#This Row],[Orange Min]]/Table2[[#This Row],[ClassLength]],"")</f>
        <v>0.21311475409836064</v>
      </c>
      <c r="Z923" s="24">
        <f>IFERROR(Table2[[#This Row],[Red Min]]/Table2[[#This Row],[ClassLength]],"")</f>
        <v>1.6393442622950821E-2</v>
      </c>
      <c r="AA923" s="25">
        <v>139</v>
      </c>
      <c r="AB923" s="25">
        <f t="shared" ref="AB923:AB928" si="362">AA923/B923</f>
        <v>10.692307692307692</v>
      </c>
      <c r="AC923" s="26">
        <f t="shared" si="307"/>
        <v>642.07692307692309</v>
      </c>
      <c r="AD923" s="26">
        <f t="shared" si="308"/>
        <v>13.692307692307692</v>
      </c>
      <c r="AE923">
        <f t="shared" ref="AE923:AE928" si="363">YEAR(C923)</f>
        <v>2026</v>
      </c>
      <c r="AG923">
        <v>12</v>
      </c>
      <c r="AH923" s="26">
        <f t="shared" ref="AH923:AH928" si="364">F923/D923</f>
        <v>10.049180327868852</v>
      </c>
      <c r="AI923" t="str">
        <f t="shared" ref="AI923:AI928" si="365">RIGHT(O923,2)</f>
        <v>PM</v>
      </c>
      <c r="AJ923" t="str">
        <f t="shared" ref="AJ923:AJ928" si="366">R923&amp;"-"&amp;WEEKNUM(C923,1)-WEEKNUM(DATE(YEAR(C923),MONTH(C923),1),1)+1</f>
        <v>2-2026-4</v>
      </c>
      <c r="AK923">
        <f t="shared" ref="AK923:AK928" si="367">MONTH(C923)</f>
        <v>2</v>
      </c>
      <c r="AL923" s="26">
        <f>IFERROR(Table2[[#This Row],[Calories]]/Table2[[#This Row],[Splat]],"")</f>
        <v>43.785714285714285</v>
      </c>
      <c r="AM923">
        <f>COUNTIF(N$2:$N$938,N923)</f>
        <v>258</v>
      </c>
      <c r="AN923" t="str">
        <f>VLOOKUP(N923,'Helpful Tables'!A:D,4,FALSE)</f>
        <v>Oregon</v>
      </c>
      <c r="AO923" s="24">
        <f>COUNTIF(AN:AN,Table2[[#This Row],[State]])/COUNTA(AN:AN)</f>
        <v>0.36140724946695096</v>
      </c>
      <c r="AP923">
        <f>VLOOKUP(N923,'Helpful Tables'!A:B,2,FALSE)</f>
        <v>45.534162000000002</v>
      </c>
      <c r="AQ923">
        <f>VLOOKUP(N923,'Helpful Tables'!A:C,3,FALSE)</f>
        <v>-122.69670000000001</v>
      </c>
      <c r="AR923">
        <f>COUNTIF(P$2:$P$938,P923)</f>
        <v>41</v>
      </c>
      <c r="AS923" cm="1">
        <f t="array" ref="AS923">_xlfn.IFS(E923&lt;6,((E923/D923)*60)*0.5,AND(E923&gt;=6,E923&lt;9),((E923/D923)*60)*0.75,AND(E923&gt;=9,E923&lt;=11),((E923/D923)*60)*0.9,AND(E923=12),((E923/D923)*60)*1,AND(E923&gt;=13,E923&lt;=15),((E923/D923)*60)*1.2,AND(E923&gt;=16,E923&lt;=19),((E923/D923)*60)*1.5,E923&gt;=20,((E923/D923)*60)*1.8)</f>
        <v>16.524590163934427</v>
      </c>
      <c r="AT923" cm="1">
        <f t="array" ref="AT923">_xlfn.IFS(F923&lt;550,((F923/D923)*60)*0.5,AND(F923&gt;=550,F923&lt;575),((F923/D923)*60)*0.75,AND(F923&gt;=575,F923&lt;600),((F923/D923)*60)*0.9,AND(F923=600),((F923/D923)*60)*1,AND(F923&gt;=601,F923&lt;=625),((F923/D923)*60)*1.2,AND(F923&gt;=626,F923&lt;=650),((F923/D923)*60)*1.5,F923&gt;=651,((F923/D923)*60)*1.8)</f>
        <v>723.54098360655735</v>
      </c>
      <c r="AU923">
        <f t="shared" ref="AU923:AU928" si="368">(I923*-1.2)+(J923*-1.1)+(K923*1.2)+(L923*1.3)+(M923*1.5)</f>
        <v>-14.899999999999995</v>
      </c>
      <c r="AV923">
        <f t="shared" ref="AV923:AV928" si="369">(AS923*0.4)+(AT923*0.4)+(AU923*0.2)</f>
        <v>293.04622950819669</v>
      </c>
      <c r="AW923">
        <f t="shared" si="267"/>
        <v>25.2</v>
      </c>
      <c r="AX923" t="str">
        <f t="shared" ref="AX923:AX928" si="370">_xlfn.CONCAT(TEXT(C923,"mmm"),"-",AE923)</f>
        <v>Feb-2026</v>
      </c>
      <c r="AY923">
        <f>ROUNDUP(Table2[[#This Row],[Month]]/3,0)</f>
        <v>1</v>
      </c>
    </row>
    <row r="924" spans="1:51" x14ac:dyDescent="0.2">
      <c r="A924">
        <v>923</v>
      </c>
      <c r="B924">
        <f t="shared" si="306"/>
        <v>14</v>
      </c>
      <c r="C924" s="22">
        <v>46083</v>
      </c>
      <c r="D924">
        <f>SUM(Table2[[#This Row],[Gray Min]:[Red Min]])</f>
        <v>60</v>
      </c>
      <c r="E924">
        <v>6</v>
      </c>
      <c r="F924">
        <v>600</v>
      </c>
      <c r="G924">
        <v>118</v>
      </c>
      <c r="H924">
        <v>154</v>
      </c>
      <c r="I924">
        <v>15</v>
      </c>
      <c r="J924">
        <v>25</v>
      </c>
      <c r="K924">
        <v>14</v>
      </c>
      <c r="L924">
        <v>6</v>
      </c>
      <c r="M924">
        <v>0</v>
      </c>
      <c r="N924" t="s">
        <v>125</v>
      </c>
      <c r="O924" t="s">
        <v>110</v>
      </c>
      <c r="P924" t="s">
        <v>238</v>
      </c>
      <c r="Q924">
        <f t="shared" si="358"/>
        <v>3</v>
      </c>
      <c r="R924" t="str">
        <f t="shared" si="359"/>
        <v>3-2026</v>
      </c>
      <c r="S924" t="s">
        <v>104</v>
      </c>
      <c r="T924" t="str">
        <f t="shared" si="360"/>
        <v>Monday</v>
      </c>
      <c r="U924">
        <f t="shared" si="361"/>
        <v>0</v>
      </c>
      <c r="V924" s="24">
        <f>IFERROR(Table2[[#This Row],[Gray Min]]/Table2[[#This Row],[ClassLength]],"")</f>
        <v>0.25</v>
      </c>
      <c r="W924" s="24">
        <f>IFERROR(Table2[[#This Row],[Blue Min]]/Table2[[#This Row],[ClassLength]],"")</f>
        <v>0.41666666666666669</v>
      </c>
      <c r="X924" s="24">
        <f>IFERROR(Table2[[#This Row],[Green Min]]/Table2[[#This Row],[ClassLength]],"")</f>
        <v>0.23333333333333334</v>
      </c>
      <c r="Y924" s="24">
        <f>IFERROR(Table2[[#This Row],[Orange Min]]/Table2[[#This Row],[ClassLength]],"")</f>
        <v>0.1</v>
      </c>
      <c r="Z924" s="24">
        <f>IFERROR(Table2[[#This Row],[Red Min]]/Table2[[#This Row],[ClassLength]],"")</f>
        <v>0</v>
      </c>
      <c r="AA924" s="25">
        <v>139</v>
      </c>
      <c r="AB924" s="25">
        <f t="shared" si="362"/>
        <v>9.9285714285714288</v>
      </c>
      <c r="AC924" s="26">
        <f t="shared" si="307"/>
        <v>617.28571428571433</v>
      </c>
      <c r="AD924" s="26">
        <f t="shared" si="308"/>
        <v>11.071428571428571</v>
      </c>
      <c r="AE924">
        <f t="shared" si="363"/>
        <v>2026</v>
      </c>
      <c r="AG924">
        <v>12</v>
      </c>
      <c r="AH924" s="26">
        <f t="shared" si="364"/>
        <v>10</v>
      </c>
      <c r="AI924" t="str">
        <f t="shared" si="365"/>
        <v>AM</v>
      </c>
      <c r="AJ924" t="str">
        <f t="shared" si="366"/>
        <v>3-2026-1</v>
      </c>
      <c r="AK924">
        <f t="shared" si="367"/>
        <v>3</v>
      </c>
      <c r="AL924" s="26">
        <f>IFERROR(Table2[[#This Row],[Calories]]/Table2[[#This Row],[Splat]],"")</f>
        <v>100</v>
      </c>
      <c r="AM924">
        <f>COUNTIF(N$2:$N$938,N924)</f>
        <v>258</v>
      </c>
      <c r="AN924" t="str">
        <f>VLOOKUP(N924,'Helpful Tables'!A:D,4,FALSE)</f>
        <v>Oregon</v>
      </c>
      <c r="AO924" s="24">
        <f>COUNTIF(AN:AN,Table2[[#This Row],[State]])/COUNTA(AN:AN)</f>
        <v>0.36140724946695096</v>
      </c>
      <c r="AP924">
        <f>VLOOKUP(N924,'Helpful Tables'!A:B,2,FALSE)</f>
        <v>45.534162000000002</v>
      </c>
      <c r="AQ924">
        <f>VLOOKUP(N924,'Helpful Tables'!A:C,3,FALSE)</f>
        <v>-122.69670000000001</v>
      </c>
      <c r="AR924">
        <f>COUNTIF(P$2:$P$938,P924)</f>
        <v>25</v>
      </c>
      <c r="AS924" cm="1">
        <f t="array" ref="AS924">_xlfn.IFS(E924&lt;6,((E924/D924)*60)*0.5,AND(E924&gt;=6,E924&lt;9),((E924/D924)*60)*0.75,AND(E924&gt;=9,E924&lt;=11),((E924/D924)*60)*0.9,AND(E924=12),((E924/D924)*60)*1,AND(E924&gt;=13,E924&lt;=15),((E924/D924)*60)*1.2,AND(E924&gt;=16,E924&lt;=19),((E924/D924)*60)*1.5,E924&gt;=20,((E924/D924)*60)*1.8)</f>
        <v>4.5</v>
      </c>
      <c r="AT924" cm="1">
        <f t="array" ref="AT924">_xlfn.IFS(F924&lt;550,((F924/D924)*60)*0.5,AND(F924&gt;=550,F924&lt;575),((F924/D924)*60)*0.75,AND(F924&gt;=575,F924&lt;600),((F924/D924)*60)*0.9,AND(F924=600),((F924/D924)*60)*1,AND(F924&gt;=601,F924&lt;=625),((F924/D924)*60)*1.2,AND(F924&gt;=626,F924&lt;=650),((F924/D924)*60)*1.5,F924&gt;=651,((F924/D924)*60)*1.8)</f>
        <v>600</v>
      </c>
      <c r="AU924">
        <f t="shared" si="368"/>
        <v>-20.9</v>
      </c>
      <c r="AV924">
        <f t="shared" si="369"/>
        <v>237.62</v>
      </c>
      <c r="AW924">
        <f t="shared" si="267"/>
        <v>21.3</v>
      </c>
      <c r="AX924" t="str">
        <f t="shared" si="370"/>
        <v>Mar-2026</v>
      </c>
      <c r="AY924">
        <f>ROUNDUP(Table2[[#This Row],[Month]]/3,0)</f>
        <v>1</v>
      </c>
    </row>
    <row r="925" spans="1:51" x14ac:dyDescent="0.2">
      <c r="A925">
        <v>924</v>
      </c>
      <c r="B925">
        <f t="shared" si="306"/>
        <v>14</v>
      </c>
      <c r="C925" s="22">
        <v>46085</v>
      </c>
      <c r="D925">
        <f>SUM(Table2[[#This Row],[Gray Min]:[Red Min]])</f>
        <v>62</v>
      </c>
      <c r="E925">
        <v>12</v>
      </c>
      <c r="F925">
        <v>633</v>
      </c>
      <c r="G925">
        <v>119</v>
      </c>
      <c r="H925">
        <v>165</v>
      </c>
      <c r="I925">
        <v>21</v>
      </c>
      <c r="J925">
        <v>16</v>
      </c>
      <c r="K925">
        <v>13</v>
      </c>
      <c r="L925">
        <v>11</v>
      </c>
      <c r="M925">
        <v>1</v>
      </c>
      <c r="N925" t="s">
        <v>125</v>
      </c>
      <c r="O925" t="s">
        <v>127</v>
      </c>
      <c r="P925" t="s">
        <v>281</v>
      </c>
      <c r="Q925">
        <f t="shared" ref="Q925:Q930" si="371">C925-C924</f>
        <v>2</v>
      </c>
      <c r="R925" t="str">
        <f t="shared" ref="R925:R930" si="372">MONTH(C925)&amp;"-"&amp;YEAR(C925)</f>
        <v>3-2026</v>
      </c>
      <c r="S925" t="s">
        <v>104</v>
      </c>
      <c r="T925" t="str">
        <f t="shared" ref="T925:T930" si="373">IF(WEEKDAY(C925)=1,"Sunday",IF(WEEKDAY(C925)=2,"Monday",IF(WEEKDAY(C925)=3,"Tuesday",IF(WEEKDAY(C925)=4,"Wednesday",IF(WEEKDAY(C925)=5,"Thursday",IF(WEEKDAY(C925)=6,"Friday","Saturday"))))))</f>
        <v>Wednesday</v>
      </c>
      <c r="U925">
        <f t="shared" si="361"/>
        <v>1</v>
      </c>
      <c r="V925" s="24">
        <f>IFERROR(Table2[[#This Row],[Gray Min]]/Table2[[#This Row],[ClassLength]],"")</f>
        <v>0.33870967741935482</v>
      </c>
      <c r="W925" s="24">
        <f>IFERROR(Table2[[#This Row],[Blue Min]]/Table2[[#This Row],[ClassLength]],"")</f>
        <v>0.25806451612903225</v>
      </c>
      <c r="X925" s="24">
        <f>IFERROR(Table2[[#This Row],[Green Min]]/Table2[[#This Row],[ClassLength]],"")</f>
        <v>0.20967741935483872</v>
      </c>
      <c r="Y925" s="24">
        <f>IFERROR(Table2[[#This Row],[Orange Min]]/Table2[[#This Row],[ClassLength]],"")</f>
        <v>0.17741935483870969</v>
      </c>
      <c r="Z925" s="24">
        <f>IFERROR(Table2[[#This Row],[Red Min]]/Table2[[#This Row],[ClassLength]],"")</f>
        <v>1.6129032258064516E-2</v>
      </c>
      <c r="AA925" s="25">
        <v>139</v>
      </c>
      <c r="AB925" s="25">
        <f t="shared" si="362"/>
        <v>9.9285714285714288</v>
      </c>
      <c r="AC925" s="26">
        <f t="shared" si="307"/>
        <v>617.28571428571433</v>
      </c>
      <c r="AD925" s="26">
        <f t="shared" si="308"/>
        <v>11.071428571428571</v>
      </c>
      <c r="AE925">
        <f t="shared" si="363"/>
        <v>2026</v>
      </c>
      <c r="AG925">
        <v>12</v>
      </c>
      <c r="AH925" s="26">
        <f t="shared" si="364"/>
        <v>10.209677419354838</v>
      </c>
      <c r="AI925" t="str">
        <f t="shared" si="365"/>
        <v>PM</v>
      </c>
      <c r="AJ925" t="str">
        <f t="shared" si="366"/>
        <v>3-2026-1</v>
      </c>
      <c r="AK925">
        <f t="shared" si="367"/>
        <v>3</v>
      </c>
      <c r="AL925" s="26">
        <f>IFERROR(Table2[[#This Row],[Calories]]/Table2[[#This Row],[Splat]],"")</f>
        <v>52.75</v>
      </c>
      <c r="AM925">
        <f>COUNTIF(N$2:$N$938,N925)</f>
        <v>258</v>
      </c>
      <c r="AN925" t="str">
        <f>VLOOKUP(N925,'Helpful Tables'!A:D,4,FALSE)</f>
        <v>Oregon</v>
      </c>
      <c r="AO925" s="24">
        <f>COUNTIF(AN:AN,Table2[[#This Row],[State]])/COUNTA(AN:AN)</f>
        <v>0.36140724946695096</v>
      </c>
      <c r="AP925">
        <f>VLOOKUP(N925,'Helpful Tables'!A:B,2,FALSE)</f>
        <v>45.534162000000002</v>
      </c>
      <c r="AQ925">
        <f>VLOOKUP(N925,'Helpful Tables'!A:C,3,FALSE)</f>
        <v>-122.69670000000001</v>
      </c>
      <c r="AR925">
        <f>COUNTIF(P$2:$P$938,P925)</f>
        <v>41</v>
      </c>
      <c r="AS925" cm="1">
        <f t="array" ref="AS925">_xlfn.IFS(E925&lt;6,((E925/D925)*60)*0.5,AND(E925&gt;=6,E925&lt;9),((E925/D925)*60)*0.75,AND(E925&gt;=9,E925&lt;=11),((E925/D925)*60)*0.9,AND(E925=12),((E925/D925)*60)*1,AND(E925&gt;=13,E925&lt;=15),((E925/D925)*60)*1.2,AND(E925&gt;=16,E925&lt;=19),((E925/D925)*60)*1.5,E925&gt;=20,((E925/D925)*60)*1.8)</f>
        <v>11.612903225806452</v>
      </c>
      <c r="AT925" cm="1">
        <f t="array" ref="AT925">_xlfn.IFS(F925&lt;550,((F925/D925)*60)*0.5,AND(F925&gt;=550,F925&lt;575),((F925/D925)*60)*0.75,AND(F925&gt;=575,F925&lt;600),((F925/D925)*60)*0.9,AND(F925=600),((F925/D925)*60)*1,AND(F925&gt;=601,F925&lt;=625),((F925/D925)*60)*1.2,AND(F925&gt;=626,F925&lt;=650),((F925/D925)*60)*1.5,F925&gt;=651,((F925/D925)*60)*1.8)</f>
        <v>918.87096774193537</v>
      </c>
      <c r="AU925">
        <f t="shared" si="368"/>
        <v>-11.399999999999995</v>
      </c>
      <c r="AV925">
        <f t="shared" si="369"/>
        <v>369.91354838709674</v>
      </c>
      <c r="AW925">
        <f t="shared" si="267"/>
        <v>43.2</v>
      </c>
      <c r="AX925" t="str">
        <f t="shared" si="370"/>
        <v>Mar-2026</v>
      </c>
      <c r="AY925">
        <f>ROUNDUP(Table2[[#This Row],[Month]]/3,0)</f>
        <v>1</v>
      </c>
    </row>
    <row r="926" spans="1:51" x14ac:dyDescent="0.2">
      <c r="A926">
        <v>925</v>
      </c>
      <c r="B926">
        <f t="shared" si="306"/>
        <v>14</v>
      </c>
      <c r="C926" s="22">
        <v>46087</v>
      </c>
      <c r="D926">
        <f>SUM(Table2[[#This Row],[Gray Min]:[Red Min]])</f>
        <v>61</v>
      </c>
      <c r="E926">
        <v>14</v>
      </c>
      <c r="F926">
        <v>650</v>
      </c>
      <c r="G926">
        <v>122</v>
      </c>
      <c r="H926">
        <v>168</v>
      </c>
      <c r="I926">
        <v>17</v>
      </c>
      <c r="J926">
        <v>19</v>
      </c>
      <c r="K926">
        <v>11</v>
      </c>
      <c r="L926">
        <v>13</v>
      </c>
      <c r="M926">
        <v>1</v>
      </c>
      <c r="N926" t="s">
        <v>125</v>
      </c>
      <c r="O926" t="s">
        <v>127</v>
      </c>
      <c r="P926" t="s">
        <v>281</v>
      </c>
      <c r="Q926">
        <f t="shared" si="371"/>
        <v>2</v>
      </c>
      <c r="R926" t="str">
        <f t="shared" si="372"/>
        <v>3-2026</v>
      </c>
      <c r="S926" t="s">
        <v>104</v>
      </c>
      <c r="T926" t="str">
        <f t="shared" si="373"/>
        <v>Friday</v>
      </c>
      <c r="U926">
        <f t="shared" si="361"/>
        <v>1</v>
      </c>
      <c r="V926" s="24">
        <f>IFERROR(Table2[[#This Row],[Gray Min]]/Table2[[#This Row],[ClassLength]],"")</f>
        <v>0.27868852459016391</v>
      </c>
      <c r="W926" s="24">
        <f>IFERROR(Table2[[#This Row],[Blue Min]]/Table2[[#This Row],[ClassLength]],"")</f>
        <v>0.31147540983606559</v>
      </c>
      <c r="X926" s="24">
        <f>IFERROR(Table2[[#This Row],[Green Min]]/Table2[[#This Row],[ClassLength]],"")</f>
        <v>0.18032786885245902</v>
      </c>
      <c r="Y926" s="24">
        <f>IFERROR(Table2[[#This Row],[Orange Min]]/Table2[[#This Row],[ClassLength]],"")</f>
        <v>0.21311475409836064</v>
      </c>
      <c r="Z926" s="24">
        <f>IFERROR(Table2[[#This Row],[Red Min]]/Table2[[#This Row],[ClassLength]],"")</f>
        <v>1.6393442622950821E-2</v>
      </c>
      <c r="AA926" s="25">
        <v>139</v>
      </c>
      <c r="AB926" s="25">
        <f t="shared" si="362"/>
        <v>9.9285714285714288</v>
      </c>
      <c r="AC926" s="26">
        <f t="shared" si="307"/>
        <v>617.28571428571433</v>
      </c>
      <c r="AD926" s="26">
        <f t="shared" si="308"/>
        <v>11.071428571428571</v>
      </c>
      <c r="AE926">
        <f t="shared" si="363"/>
        <v>2026</v>
      </c>
      <c r="AG926">
        <v>12</v>
      </c>
      <c r="AH926" s="26">
        <f t="shared" si="364"/>
        <v>10.655737704918034</v>
      </c>
      <c r="AI926" t="str">
        <f t="shared" si="365"/>
        <v>PM</v>
      </c>
      <c r="AJ926" t="str">
        <f t="shared" si="366"/>
        <v>3-2026-1</v>
      </c>
      <c r="AK926">
        <f t="shared" si="367"/>
        <v>3</v>
      </c>
      <c r="AL926" s="26">
        <f>IFERROR(Table2[[#This Row],[Calories]]/Table2[[#This Row],[Splat]],"")</f>
        <v>46.428571428571431</v>
      </c>
      <c r="AM926">
        <f>COUNTIF(N$2:$N$938,N926)</f>
        <v>258</v>
      </c>
      <c r="AN926" t="str">
        <f>VLOOKUP(N926,'Helpful Tables'!A:D,4,FALSE)</f>
        <v>Oregon</v>
      </c>
      <c r="AO926" s="24">
        <f>COUNTIF(AN:AN,Table2[[#This Row],[State]])/COUNTA(AN:AN)</f>
        <v>0.36140724946695096</v>
      </c>
      <c r="AP926">
        <f>VLOOKUP(N926,'Helpful Tables'!A:B,2,FALSE)</f>
        <v>45.534162000000002</v>
      </c>
      <c r="AQ926">
        <f>VLOOKUP(N926,'Helpful Tables'!A:C,3,FALSE)</f>
        <v>-122.69670000000001</v>
      </c>
      <c r="AR926">
        <f>COUNTIF(P$2:$P$938,P926)</f>
        <v>41</v>
      </c>
      <c r="AS926" cm="1">
        <f t="array" ref="AS926">_xlfn.IFS(E926&lt;6,((E926/D926)*60)*0.5,AND(E926&gt;=6,E926&lt;9),((E926/D926)*60)*0.75,AND(E926&gt;=9,E926&lt;=11),((E926/D926)*60)*0.9,AND(E926=12),((E926/D926)*60)*1,AND(E926&gt;=13,E926&lt;=15),((E926/D926)*60)*1.2,AND(E926&gt;=16,E926&lt;=19),((E926/D926)*60)*1.5,E926&gt;=20,((E926/D926)*60)*1.8)</f>
        <v>16.524590163934427</v>
      </c>
      <c r="AT926" cm="1">
        <f t="array" ref="AT926">_xlfn.IFS(F926&lt;550,((F926/D926)*60)*0.5,AND(F926&gt;=550,F926&lt;575),((F926/D926)*60)*0.75,AND(F926&gt;=575,F926&lt;600),((F926/D926)*60)*0.9,AND(F926=600),((F926/D926)*60)*1,AND(F926&gt;=601,F926&lt;=625),((F926/D926)*60)*1.2,AND(F926&gt;=626,F926&lt;=650),((F926/D926)*60)*1.5,F926&gt;=651,((F926/D926)*60)*1.8)</f>
        <v>959.01639344262298</v>
      </c>
      <c r="AU926">
        <f t="shared" si="368"/>
        <v>-9.6999999999999957</v>
      </c>
      <c r="AV926">
        <f t="shared" si="369"/>
        <v>388.27639344262298</v>
      </c>
      <c r="AW926">
        <f t="shared" ref="AW926:AW989" si="374">PERCENTRANK(AV:AV,AV926)*100</f>
        <v>47.5</v>
      </c>
      <c r="AX926" t="str">
        <f t="shared" si="370"/>
        <v>Mar-2026</v>
      </c>
      <c r="AY926">
        <f>ROUNDUP(Table2[[#This Row],[Month]]/3,0)</f>
        <v>1</v>
      </c>
    </row>
    <row r="927" spans="1:51" x14ac:dyDescent="0.2">
      <c r="A927">
        <v>926</v>
      </c>
      <c r="B927">
        <f t="shared" si="306"/>
        <v>14</v>
      </c>
      <c r="C927" s="22">
        <v>46089</v>
      </c>
      <c r="D927">
        <f>SUM(Table2[[#This Row],[Gray Min]:[Red Min]])</f>
        <v>54</v>
      </c>
      <c r="E927">
        <v>13</v>
      </c>
      <c r="F927">
        <v>588</v>
      </c>
      <c r="G927">
        <v>124</v>
      </c>
      <c r="H927">
        <v>161</v>
      </c>
      <c r="I927">
        <v>15</v>
      </c>
      <c r="J927">
        <v>16</v>
      </c>
      <c r="K927">
        <v>10</v>
      </c>
      <c r="L927">
        <v>13</v>
      </c>
      <c r="M927">
        <v>0</v>
      </c>
      <c r="N927" t="s">
        <v>208</v>
      </c>
      <c r="O927" t="s">
        <v>76</v>
      </c>
      <c r="P927" t="s">
        <v>219</v>
      </c>
      <c r="Q927">
        <f t="shared" si="371"/>
        <v>2</v>
      </c>
      <c r="R927" t="str">
        <f t="shared" si="372"/>
        <v>3-2026</v>
      </c>
      <c r="S927" t="s">
        <v>104</v>
      </c>
      <c r="T927" t="str">
        <f t="shared" si="373"/>
        <v>Sunday</v>
      </c>
      <c r="U927">
        <f t="shared" si="361"/>
        <v>1</v>
      </c>
      <c r="V927" s="24">
        <f>IFERROR(Table2[[#This Row],[Gray Min]]/Table2[[#This Row],[ClassLength]],"")</f>
        <v>0.27777777777777779</v>
      </c>
      <c r="W927" s="24">
        <f>IFERROR(Table2[[#This Row],[Blue Min]]/Table2[[#This Row],[ClassLength]],"")</f>
        <v>0.29629629629629628</v>
      </c>
      <c r="X927" s="24">
        <f>IFERROR(Table2[[#This Row],[Green Min]]/Table2[[#This Row],[ClassLength]],"")</f>
        <v>0.18518518518518517</v>
      </c>
      <c r="Y927" s="24">
        <f>IFERROR(Table2[[#This Row],[Orange Min]]/Table2[[#This Row],[ClassLength]],"")</f>
        <v>0.24074074074074073</v>
      </c>
      <c r="Z927" s="24">
        <f>IFERROR(Table2[[#This Row],[Red Min]]/Table2[[#This Row],[ClassLength]],"")</f>
        <v>0</v>
      </c>
      <c r="AA927" s="25">
        <v>139</v>
      </c>
      <c r="AB927" s="25">
        <f t="shared" si="362"/>
        <v>9.9285714285714288</v>
      </c>
      <c r="AC927" s="26">
        <f t="shared" si="307"/>
        <v>617.28571428571433</v>
      </c>
      <c r="AD927" s="26">
        <f t="shared" si="308"/>
        <v>11.071428571428571</v>
      </c>
      <c r="AE927">
        <f t="shared" si="363"/>
        <v>2026</v>
      </c>
      <c r="AG927">
        <v>12</v>
      </c>
      <c r="AH927" s="26">
        <f t="shared" si="364"/>
        <v>10.888888888888889</v>
      </c>
      <c r="AI927" t="str">
        <f t="shared" si="365"/>
        <v>AM</v>
      </c>
      <c r="AJ927" t="str">
        <f t="shared" si="366"/>
        <v>3-2026-2</v>
      </c>
      <c r="AK927">
        <f t="shared" si="367"/>
        <v>3</v>
      </c>
      <c r="AL927" s="26">
        <f>IFERROR(Table2[[#This Row],[Calories]]/Table2[[#This Row],[Splat]],"")</f>
        <v>45.230769230769234</v>
      </c>
      <c r="AM927">
        <f>COUNTIF(N$2:$N$938,N927)</f>
        <v>78</v>
      </c>
      <c r="AN927" t="str">
        <f>VLOOKUP(N927,'Helpful Tables'!A:D,4,FALSE)</f>
        <v>Oregon</v>
      </c>
      <c r="AO927" s="24">
        <f>COUNTIF(AN:AN,Table2[[#This Row],[State]])/COUNTA(AN:AN)</f>
        <v>0.36140724946695096</v>
      </c>
      <c r="AP927">
        <f>VLOOKUP(N927,'Helpful Tables'!A:B,2,FALSE)</f>
        <v>45.525092999999998</v>
      </c>
      <c r="AQ927">
        <f>VLOOKUP(N927,'Helpful Tables'!A:C,3,FALSE)</f>
        <v>-122.681383</v>
      </c>
      <c r="AR927">
        <f>COUNTIF(P$2:$P$938,P927)</f>
        <v>3</v>
      </c>
      <c r="AS927" cm="1">
        <f t="array" ref="AS927">_xlfn.IFS(E927&lt;6,((E927/D927)*60)*0.5,AND(E927&gt;=6,E927&lt;9),((E927/D927)*60)*0.75,AND(E927&gt;=9,E927&lt;=11),((E927/D927)*60)*0.9,AND(E927=12),((E927/D927)*60)*1,AND(E927&gt;=13,E927&lt;=15),((E927/D927)*60)*1.2,AND(E927&gt;=16,E927&lt;=19),((E927/D927)*60)*1.5,E927&gt;=20,((E927/D927)*60)*1.8)</f>
        <v>17.333333333333332</v>
      </c>
      <c r="AT927" cm="1">
        <f t="array" ref="AT927">_xlfn.IFS(F927&lt;550,((F927/D927)*60)*0.5,AND(F927&gt;=550,F927&lt;575),((F927/D927)*60)*0.75,AND(F927&gt;=575,F927&lt;600),((F927/D927)*60)*0.9,AND(F927=600),((F927/D927)*60)*1,AND(F927&gt;=601,F927&lt;=625),((F927/D927)*60)*1.2,AND(F927&gt;=626,F927&lt;=650),((F927/D927)*60)*1.5,F927&gt;=651,((F927/D927)*60)*1.8)</f>
        <v>588</v>
      </c>
      <c r="AU927">
        <f t="shared" si="368"/>
        <v>-6.6999999999999993</v>
      </c>
      <c r="AV927">
        <f t="shared" si="369"/>
        <v>240.79333333333335</v>
      </c>
      <c r="AW927">
        <f t="shared" si="374"/>
        <v>22.2</v>
      </c>
      <c r="AX927" t="str">
        <f t="shared" si="370"/>
        <v>Mar-2026</v>
      </c>
      <c r="AY927">
        <f>ROUNDUP(Table2[[#This Row],[Month]]/3,0)</f>
        <v>1</v>
      </c>
    </row>
    <row r="928" spans="1:51" x14ac:dyDescent="0.2">
      <c r="A928">
        <v>927</v>
      </c>
      <c r="B928">
        <f t="shared" si="306"/>
        <v>14</v>
      </c>
      <c r="C928" s="22">
        <v>46091</v>
      </c>
      <c r="D928">
        <f>SUM(Table2[[#This Row],[Gray Min]:[Red Min]])</f>
        <v>57</v>
      </c>
      <c r="E928">
        <v>5</v>
      </c>
      <c r="F928">
        <v>587</v>
      </c>
      <c r="G928">
        <v>119</v>
      </c>
      <c r="H928">
        <v>156</v>
      </c>
      <c r="I928">
        <v>19</v>
      </c>
      <c r="J928">
        <v>13</v>
      </c>
      <c r="K928">
        <v>20</v>
      </c>
      <c r="L928">
        <v>5</v>
      </c>
      <c r="M928">
        <v>0</v>
      </c>
      <c r="N928" t="s">
        <v>208</v>
      </c>
      <c r="O928" t="s">
        <v>53</v>
      </c>
      <c r="P928" t="s">
        <v>214</v>
      </c>
      <c r="Q928">
        <f t="shared" si="371"/>
        <v>2</v>
      </c>
      <c r="R928" t="str">
        <f t="shared" si="372"/>
        <v>3-2026</v>
      </c>
      <c r="S928" t="s">
        <v>117</v>
      </c>
      <c r="T928" t="str">
        <f t="shared" si="373"/>
        <v>Tuesday</v>
      </c>
      <c r="U928">
        <f t="shared" si="361"/>
        <v>0</v>
      </c>
      <c r="V928" s="24">
        <f>IFERROR(Table2[[#This Row],[Gray Min]]/Table2[[#This Row],[ClassLength]],"")</f>
        <v>0.33333333333333331</v>
      </c>
      <c r="W928" s="24">
        <f>IFERROR(Table2[[#This Row],[Blue Min]]/Table2[[#This Row],[ClassLength]],"")</f>
        <v>0.22807017543859648</v>
      </c>
      <c r="X928" s="24">
        <f>IFERROR(Table2[[#This Row],[Green Min]]/Table2[[#This Row],[ClassLength]],"")</f>
        <v>0.35087719298245612</v>
      </c>
      <c r="Y928" s="24">
        <f>IFERROR(Table2[[#This Row],[Orange Min]]/Table2[[#This Row],[ClassLength]],"")</f>
        <v>8.771929824561403E-2</v>
      </c>
      <c r="Z928" s="24">
        <f>IFERROR(Table2[[#This Row],[Red Min]]/Table2[[#This Row],[ClassLength]],"")</f>
        <v>0</v>
      </c>
      <c r="AA928" s="25">
        <v>139</v>
      </c>
      <c r="AB928" s="25">
        <f t="shared" si="362"/>
        <v>9.9285714285714288</v>
      </c>
      <c r="AC928" s="26">
        <f t="shared" si="307"/>
        <v>617.28571428571433</v>
      </c>
      <c r="AD928" s="26">
        <f t="shared" si="308"/>
        <v>11.071428571428571</v>
      </c>
      <c r="AE928">
        <f t="shared" si="363"/>
        <v>2026</v>
      </c>
      <c r="AG928">
        <v>12</v>
      </c>
      <c r="AH928" s="26">
        <f t="shared" si="364"/>
        <v>10.298245614035087</v>
      </c>
      <c r="AI928" t="str">
        <f t="shared" si="365"/>
        <v>PM</v>
      </c>
      <c r="AJ928" t="str">
        <f t="shared" si="366"/>
        <v>3-2026-2</v>
      </c>
      <c r="AK928">
        <f t="shared" si="367"/>
        <v>3</v>
      </c>
      <c r="AL928" s="26">
        <f>IFERROR(Table2[[#This Row],[Calories]]/Table2[[#This Row],[Splat]],"")</f>
        <v>117.4</v>
      </c>
      <c r="AM928">
        <f>COUNTIF(N$2:$N$938,N928)</f>
        <v>78</v>
      </c>
      <c r="AN928" t="str">
        <f>VLOOKUP(N928,'Helpful Tables'!A:D,4,FALSE)</f>
        <v>Oregon</v>
      </c>
      <c r="AO928" s="24">
        <f>COUNTIF(AN:AN,Table2[[#This Row],[State]])/COUNTA(AN:AN)</f>
        <v>0.36140724946695096</v>
      </c>
      <c r="AP928">
        <f>VLOOKUP(N928,'Helpful Tables'!A:B,2,FALSE)</f>
        <v>45.525092999999998</v>
      </c>
      <c r="AQ928">
        <f>VLOOKUP(N928,'Helpful Tables'!A:C,3,FALSE)</f>
        <v>-122.681383</v>
      </c>
      <c r="AR928">
        <f>COUNTIF(P$2:$P$938,P928)</f>
        <v>11</v>
      </c>
      <c r="AS928" cm="1">
        <f t="array" ref="AS928">_xlfn.IFS(E928&lt;6,((E928/D928)*60)*0.5,AND(E928&gt;=6,E928&lt;9),((E928/D928)*60)*0.75,AND(E928&gt;=9,E928&lt;=11),((E928/D928)*60)*0.9,AND(E928=12),((E928/D928)*60)*1,AND(E928&gt;=13,E928&lt;=15),((E928/D928)*60)*1.2,AND(E928&gt;=16,E928&lt;=19),((E928/D928)*60)*1.5,E928&gt;=20,((E928/D928)*60)*1.8)</f>
        <v>2.6315789473684208</v>
      </c>
      <c r="AT928" cm="1">
        <f t="array" ref="AT928">_xlfn.IFS(F928&lt;550,((F928/D928)*60)*0.5,AND(F928&gt;=550,F928&lt;575),((F928/D928)*60)*0.75,AND(F928&gt;=575,F928&lt;600),((F928/D928)*60)*0.9,AND(F928=600),((F928/D928)*60)*1,AND(F928&gt;=601,F928&lt;=625),((F928/D928)*60)*1.2,AND(F928&gt;=626,F928&lt;=650),((F928/D928)*60)*1.5,F928&gt;=651,((F928/D928)*60)*1.8)</f>
        <v>556.10526315789468</v>
      </c>
      <c r="AU928">
        <f t="shared" si="368"/>
        <v>-6.6000000000000014</v>
      </c>
      <c r="AV928">
        <f t="shared" si="369"/>
        <v>222.17473684210526</v>
      </c>
      <c r="AW928">
        <f t="shared" si="374"/>
        <v>17.399999999999999</v>
      </c>
      <c r="AX928" t="str">
        <f t="shared" si="370"/>
        <v>Mar-2026</v>
      </c>
      <c r="AY928">
        <f>ROUNDUP(Table2[[#This Row],[Month]]/3,0)</f>
        <v>1</v>
      </c>
    </row>
    <row r="929" spans="1:51" x14ac:dyDescent="0.2">
      <c r="A929">
        <v>928</v>
      </c>
      <c r="B929">
        <f t="shared" si="306"/>
        <v>14</v>
      </c>
      <c r="C929" s="22">
        <v>46093</v>
      </c>
      <c r="D929">
        <f>SUM(Table2[[#This Row],[Gray Min]:[Red Min]])</f>
        <v>61</v>
      </c>
      <c r="E929">
        <v>15</v>
      </c>
      <c r="F929">
        <v>676</v>
      </c>
      <c r="G929">
        <v>124</v>
      </c>
      <c r="H929">
        <v>162</v>
      </c>
      <c r="I929">
        <v>19</v>
      </c>
      <c r="J929">
        <v>12</v>
      </c>
      <c r="K929">
        <v>15</v>
      </c>
      <c r="L929">
        <v>15</v>
      </c>
      <c r="M929">
        <v>0</v>
      </c>
      <c r="N929" t="s">
        <v>125</v>
      </c>
      <c r="O929" t="s">
        <v>127</v>
      </c>
      <c r="P929" t="s">
        <v>281</v>
      </c>
      <c r="Q929">
        <f t="shared" si="371"/>
        <v>2</v>
      </c>
      <c r="R929" t="str">
        <f t="shared" si="372"/>
        <v>3-2026</v>
      </c>
      <c r="S929" t="s">
        <v>104</v>
      </c>
      <c r="T929" t="str">
        <f t="shared" si="373"/>
        <v>Thursday</v>
      </c>
      <c r="U929">
        <f t="shared" ref="U929:U934" si="375">IF(E929&gt;=12,1,0)</f>
        <v>1</v>
      </c>
      <c r="V929" s="24">
        <f>IFERROR(Table2[[#This Row],[Gray Min]]/Table2[[#This Row],[ClassLength]],"")</f>
        <v>0.31147540983606559</v>
      </c>
      <c r="W929" s="24">
        <f>IFERROR(Table2[[#This Row],[Blue Min]]/Table2[[#This Row],[ClassLength]],"")</f>
        <v>0.19672131147540983</v>
      </c>
      <c r="X929" s="24">
        <f>IFERROR(Table2[[#This Row],[Green Min]]/Table2[[#This Row],[ClassLength]],"")</f>
        <v>0.24590163934426229</v>
      </c>
      <c r="Y929" s="24">
        <f>IFERROR(Table2[[#This Row],[Orange Min]]/Table2[[#This Row],[ClassLength]],"")</f>
        <v>0.24590163934426229</v>
      </c>
      <c r="Z929" s="24">
        <f>IFERROR(Table2[[#This Row],[Red Min]]/Table2[[#This Row],[ClassLength]],"")</f>
        <v>0</v>
      </c>
      <c r="AA929" s="25">
        <v>139</v>
      </c>
      <c r="AB929" s="25">
        <f t="shared" ref="AB929:AB934" si="376">AA929/B929</f>
        <v>9.9285714285714288</v>
      </c>
      <c r="AC929" s="26">
        <f t="shared" si="307"/>
        <v>617.28571428571433</v>
      </c>
      <c r="AD929" s="26">
        <f t="shared" si="308"/>
        <v>11.071428571428571</v>
      </c>
      <c r="AE929">
        <f t="shared" ref="AE929:AE934" si="377">YEAR(C929)</f>
        <v>2026</v>
      </c>
      <c r="AG929">
        <v>12</v>
      </c>
      <c r="AH929" s="26">
        <f t="shared" ref="AH929:AH934" si="378">F929/D929</f>
        <v>11.081967213114755</v>
      </c>
      <c r="AI929" t="str">
        <f t="shared" ref="AI929:AI934" si="379">RIGHT(O929,2)</f>
        <v>PM</v>
      </c>
      <c r="AJ929" t="str">
        <f t="shared" ref="AJ929:AJ934" si="380">R929&amp;"-"&amp;WEEKNUM(C929,1)-WEEKNUM(DATE(YEAR(C929),MONTH(C929),1),1)+1</f>
        <v>3-2026-2</v>
      </c>
      <c r="AK929">
        <f t="shared" ref="AK929:AK934" si="381">MONTH(C929)</f>
        <v>3</v>
      </c>
      <c r="AL929" s="26">
        <f>IFERROR(Table2[[#This Row],[Calories]]/Table2[[#This Row],[Splat]],"")</f>
        <v>45.06666666666667</v>
      </c>
      <c r="AM929">
        <f>COUNTIF(N$2:$N$938,N929)</f>
        <v>258</v>
      </c>
      <c r="AN929" t="str">
        <f>VLOOKUP(N929,'Helpful Tables'!A:D,4,FALSE)</f>
        <v>Oregon</v>
      </c>
      <c r="AO929" s="24">
        <f>COUNTIF(AN:AN,Table2[[#This Row],[State]])/COUNTA(AN:AN)</f>
        <v>0.36140724946695096</v>
      </c>
      <c r="AP929">
        <f>VLOOKUP(N929,'Helpful Tables'!A:B,2,FALSE)</f>
        <v>45.534162000000002</v>
      </c>
      <c r="AQ929">
        <f>VLOOKUP(N929,'Helpful Tables'!A:C,3,FALSE)</f>
        <v>-122.69670000000001</v>
      </c>
      <c r="AR929">
        <f>COUNTIF(P$2:$P$938,P929)</f>
        <v>41</v>
      </c>
      <c r="AS929" cm="1">
        <f t="array" ref="AS929">_xlfn.IFS(E929&lt;6,((E929/D929)*60)*0.5,AND(E929&gt;=6,E929&lt;9),((E929/D929)*60)*0.75,AND(E929&gt;=9,E929&lt;=11),((E929/D929)*60)*0.9,AND(E929=12),((E929/D929)*60)*1,AND(E929&gt;=13,E929&lt;=15),((E929/D929)*60)*1.2,AND(E929&gt;=16,E929&lt;=19),((E929/D929)*60)*1.5,E929&gt;=20,((E929/D929)*60)*1.8)</f>
        <v>17.704918032786885</v>
      </c>
      <c r="AT929" cm="1">
        <f t="array" ref="AT929">_xlfn.IFS(F929&lt;550,((F929/D929)*60)*0.5,AND(F929&gt;=550,F929&lt;575),((F929/D929)*60)*0.75,AND(F929&gt;=575,F929&lt;600),((F929/D929)*60)*0.9,AND(F929=600),((F929/D929)*60)*1,AND(F929&gt;=601,F929&lt;=625),((F929/D929)*60)*1.2,AND(F929&gt;=626,F929&lt;=650),((F929/D929)*60)*1.5,F929&gt;=651,((F929/D929)*60)*1.8)</f>
        <v>1196.8524590163936</v>
      </c>
      <c r="AU929">
        <f t="shared" ref="AU929:AU934" si="382">(I929*-1.2)+(J929*-1.1)+(K929*1.2)+(L929*1.3)+(M929*1.5)</f>
        <v>1.5</v>
      </c>
      <c r="AV929">
        <f t="shared" ref="AV929:AV934" si="383">(AS929*0.4)+(AT929*0.4)+(AU929*0.2)</f>
        <v>486.12295081967221</v>
      </c>
      <c r="AW929">
        <f t="shared" si="374"/>
        <v>71.8</v>
      </c>
      <c r="AX929" t="str">
        <f t="shared" ref="AX929:AX934" si="384">_xlfn.CONCAT(TEXT(C929,"mmm"),"-",AE929)</f>
        <v>Mar-2026</v>
      </c>
      <c r="AY929">
        <f>ROUNDUP(Table2[[#This Row],[Month]]/3,0)</f>
        <v>1</v>
      </c>
    </row>
    <row r="930" spans="1:51" x14ac:dyDescent="0.2">
      <c r="A930">
        <v>929</v>
      </c>
      <c r="B930">
        <f t="shared" si="306"/>
        <v>14</v>
      </c>
      <c r="C930" s="22">
        <v>46095</v>
      </c>
      <c r="D930">
        <f>SUM(Table2[[#This Row],[Gray Min]:[Red Min]])</f>
        <v>59</v>
      </c>
      <c r="E930">
        <v>13</v>
      </c>
      <c r="F930">
        <v>658</v>
      </c>
      <c r="G930">
        <v>126</v>
      </c>
      <c r="H930">
        <v>164</v>
      </c>
      <c r="I930">
        <v>10</v>
      </c>
      <c r="J930">
        <v>19</v>
      </c>
      <c r="K930">
        <v>17</v>
      </c>
      <c r="L930">
        <v>11</v>
      </c>
      <c r="M930">
        <v>2</v>
      </c>
      <c r="N930" t="s">
        <v>125</v>
      </c>
      <c r="O930" t="s">
        <v>159</v>
      </c>
      <c r="P930" t="s">
        <v>281</v>
      </c>
      <c r="Q930">
        <f t="shared" si="371"/>
        <v>2</v>
      </c>
      <c r="R930" t="str">
        <f t="shared" si="372"/>
        <v>3-2026</v>
      </c>
      <c r="S930" t="s">
        <v>117</v>
      </c>
      <c r="T930" t="str">
        <f t="shared" si="373"/>
        <v>Saturday</v>
      </c>
      <c r="U930">
        <f t="shared" si="375"/>
        <v>1</v>
      </c>
      <c r="V930" s="24">
        <f>IFERROR(Table2[[#This Row],[Gray Min]]/Table2[[#This Row],[ClassLength]],"")</f>
        <v>0.16949152542372881</v>
      </c>
      <c r="W930" s="24">
        <f>IFERROR(Table2[[#This Row],[Blue Min]]/Table2[[#This Row],[ClassLength]],"")</f>
        <v>0.32203389830508472</v>
      </c>
      <c r="X930" s="24">
        <f>IFERROR(Table2[[#This Row],[Green Min]]/Table2[[#This Row],[ClassLength]],"")</f>
        <v>0.28813559322033899</v>
      </c>
      <c r="Y930" s="24">
        <f>IFERROR(Table2[[#This Row],[Orange Min]]/Table2[[#This Row],[ClassLength]],"")</f>
        <v>0.1864406779661017</v>
      </c>
      <c r="Z930" s="24">
        <f>IFERROR(Table2[[#This Row],[Red Min]]/Table2[[#This Row],[ClassLength]],"")</f>
        <v>3.3898305084745763E-2</v>
      </c>
      <c r="AA930" s="25">
        <v>139</v>
      </c>
      <c r="AB930" s="25">
        <f t="shared" si="376"/>
        <v>9.9285714285714288</v>
      </c>
      <c r="AC930" s="26">
        <f t="shared" si="307"/>
        <v>617.28571428571433</v>
      </c>
      <c r="AD930" s="26">
        <f t="shared" si="308"/>
        <v>11.071428571428571</v>
      </c>
      <c r="AE930">
        <f t="shared" si="377"/>
        <v>2026</v>
      </c>
      <c r="AG930">
        <v>12</v>
      </c>
      <c r="AH930" s="26">
        <f t="shared" si="378"/>
        <v>11.152542372881356</v>
      </c>
      <c r="AI930" t="str">
        <f t="shared" si="379"/>
        <v>AM</v>
      </c>
      <c r="AJ930" t="str">
        <f t="shared" si="380"/>
        <v>3-2026-2</v>
      </c>
      <c r="AK930">
        <f t="shared" si="381"/>
        <v>3</v>
      </c>
      <c r="AL930" s="26">
        <f>IFERROR(Table2[[#This Row],[Calories]]/Table2[[#This Row],[Splat]],"")</f>
        <v>50.615384615384613</v>
      </c>
      <c r="AM930">
        <f>COUNTIF(N$2:$N$938,N930)</f>
        <v>258</v>
      </c>
      <c r="AN930" t="str">
        <f>VLOOKUP(N930,'Helpful Tables'!A:D,4,FALSE)</f>
        <v>Oregon</v>
      </c>
      <c r="AO930" s="24">
        <f>COUNTIF(AN:AN,Table2[[#This Row],[State]])/COUNTA(AN:AN)</f>
        <v>0.36140724946695096</v>
      </c>
      <c r="AP930">
        <f>VLOOKUP(N930,'Helpful Tables'!A:B,2,FALSE)</f>
        <v>45.534162000000002</v>
      </c>
      <c r="AQ930">
        <f>VLOOKUP(N930,'Helpful Tables'!A:C,3,FALSE)</f>
        <v>-122.69670000000001</v>
      </c>
      <c r="AR930">
        <f>COUNTIF(P$2:$P$938,P930)</f>
        <v>41</v>
      </c>
      <c r="AS930" cm="1">
        <f t="array" ref="AS930">_xlfn.IFS(E930&lt;6,((E930/D930)*60)*0.5,AND(E930&gt;=6,E930&lt;9),((E930/D930)*60)*0.75,AND(E930&gt;=9,E930&lt;=11),((E930/D930)*60)*0.9,AND(E930=12),((E930/D930)*60)*1,AND(E930&gt;=13,E930&lt;=15),((E930/D930)*60)*1.2,AND(E930&gt;=16,E930&lt;=19),((E930/D930)*60)*1.5,E930&gt;=20,((E930/D930)*60)*1.8)</f>
        <v>15.864406779661017</v>
      </c>
      <c r="AT930" cm="1">
        <f t="array" ref="AT930">_xlfn.IFS(F930&lt;550,((F930/D930)*60)*0.5,AND(F930&gt;=550,F930&lt;575),((F930/D930)*60)*0.75,AND(F930&gt;=575,F930&lt;600),((F930/D930)*60)*0.9,AND(F930=600),((F930/D930)*60)*1,AND(F930&gt;=601,F930&lt;=625),((F930/D930)*60)*1.2,AND(F930&gt;=626,F930&lt;=650),((F930/D930)*60)*1.5,F930&gt;=651,((F930/D930)*60)*1.8)</f>
        <v>1204.4745762711866</v>
      </c>
      <c r="AU930">
        <f t="shared" si="382"/>
        <v>4.7999999999999936</v>
      </c>
      <c r="AV930">
        <f t="shared" si="383"/>
        <v>489.09559322033903</v>
      </c>
      <c r="AW930">
        <f t="shared" si="374"/>
        <v>73.3</v>
      </c>
      <c r="AX930" t="str">
        <f t="shared" si="384"/>
        <v>Mar-2026</v>
      </c>
      <c r="AY930">
        <f>ROUNDUP(Table2[[#This Row],[Month]]/3,0)</f>
        <v>1</v>
      </c>
    </row>
    <row r="931" spans="1:51" x14ac:dyDescent="0.2">
      <c r="A931">
        <v>930</v>
      </c>
      <c r="B931">
        <f t="shared" si="306"/>
        <v>14</v>
      </c>
      <c r="C931" s="22">
        <v>46098</v>
      </c>
      <c r="D931">
        <f>SUM(Table2[[#This Row],[Gray Min]:[Red Min]])</f>
        <v>58</v>
      </c>
      <c r="E931">
        <v>4</v>
      </c>
      <c r="F931">
        <v>570</v>
      </c>
      <c r="G931">
        <v>117</v>
      </c>
      <c r="H931">
        <v>155</v>
      </c>
      <c r="I931">
        <v>19</v>
      </c>
      <c r="J931">
        <v>20</v>
      </c>
      <c r="K931">
        <v>15</v>
      </c>
      <c r="L931">
        <v>4</v>
      </c>
      <c r="M931">
        <v>0</v>
      </c>
      <c r="N931" t="s">
        <v>125</v>
      </c>
      <c r="O931" t="s">
        <v>215</v>
      </c>
      <c r="P931" t="s">
        <v>238</v>
      </c>
      <c r="Q931">
        <f t="shared" ref="Q931:Q936" si="385">C931-C930</f>
        <v>3</v>
      </c>
      <c r="R931" t="str">
        <f t="shared" ref="R931:R936" si="386">MONTH(C931)&amp;"-"&amp;YEAR(C931)</f>
        <v>3-2026</v>
      </c>
      <c r="S931" t="s">
        <v>104</v>
      </c>
      <c r="T931" t="str">
        <f t="shared" ref="T931:T936" si="387">IF(WEEKDAY(C931)=1,"Sunday",IF(WEEKDAY(C931)=2,"Monday",IF(WEEKDAY(C931)=3,"Tuesday",IF(WEEKDAY(C931)=4,"Wednesday",IF(WEEKDAY(C931)=5,"Thursday",IF(WEEKDAY(C931)=6,"Friday","Saturday"))))))</f>
        <v>Tuesday</v>
      </c>
      <c r="U931">
        <f t="shared" si="375"/>
        <v>0</v>
      </c>
      <c r="V931" s="24">
        <f>IFERROR(Table2[[#This Row],[Gray Min]]/Table2[[#This Row],[ClassLength]],"")</f>
        <v>0.32758620689655171</v>
      </c>
      <c r="W931" s="24">
        <f>IFERROR(Table2[[#This Row],[Blue Min]]/Table2[[#This Row],[ClassLength]],"")</f>
        <v>0.34482758620689657</v>
      </c>
      <c r="X931" s="24">
        <f>IFERROR(Table2[[#This Row],[Green Min]]/Table2[[#This Row],[ClassLength]],"")</f>
        <v>0.25862068965517243</v>
      </c>
      <c r="Y931" s="24">
        <f>IFERROR(Table2[[#This Row],[Orange Min]]/Table2[[#This Row],[ClassLength]],"")</f>
        <v>6.8965517241379309E-2</v>
      </c>
      <c r="Z931" s="24">
        <f>IFERROR(Table2[[#This Row],[Red Min]]/Table2[[#This Row],[ClassLength]],"")</f>
        <v>0</v>
      </c>
      <c r="AA931" s="25">
        <v>139</v>
      </c>
      <c r="AB931" s="25">
        <f t="shared" si="376"/>
        <v>9.9285714285714288</v>
      </c>
      <c r="AC931" s="26">
        <f t="shared" si="307"/>
        <v>617.28571428571433</v>
      </c>
      <c r="AD931" s="26">
        <f t="shared" si="308"/>
        <v>11.071428571428571</v>
      </c>
      <c r="AE931">
        <f t="shared" si="377"/>
        <v>2026</v>
      </c>
      <c r="AG931">
        <v>12</v>
      </c>
      <c r="AH931" s="26">
        <f t="shared" si="378"/>
        <v>9.8275862068965516</v>
      </c>
      <c r="AI931" t="str">
        <f t="shared" si="379"/>
        <v>PM</v>
      </c>
      <c r="AJ931" t="str">
        <f t="shared" si="380"/>
        <v>3-2026-3</v>
      </c>
      <c r="AK931">
        <f t="shared" si="381"/>
        <v>3</v>
      </c>
      <c r="AL931" s="26">
        <f>IFERROR(Table2[[#This Row],[Calories]]/Table2[[#This Row],[Splat]],"")</f>
        <v>142.5</v>
      </c>
      <c r="AM931">
        <f>COUNTIF(N$2:$N$938,N931)</f>
        <v>258</v>
      </c>
      <c r="AN931" t="str">
        <f>VLOOKUP(N931,'Helpful Tables'!A:D,4,FALSE)</f>
        <v>Oregon</v>
      </c>
      <c r="AO931" s="24">
        <f>COUNTIF(AN:AN,Table2[[#This Row],[State]])/COUNTA(AN:AN)</f>
        <v>0.36140724946695096</v>
      </c>
      <c r="AP931">
        <f>VLOOKUP(N931,'Helpful Tables'!A:B,2,FALSE)</f>
        <v>45.534162000000002</v>
      </c>
      <c r="AQ931">
        <f>VLOOKUP(N931,'Helpful Tables'!A:C,3,FALSE)</f>
        <v>-122.69670000000001</v>
      </c>
      <c r="AR931">
        <f>COUNTIF(P$2:$P$938,P931)</f>
        <v>25</v>
      </c>
      <c r="AS931" cm="1">
        <f t="array" ref="AS931">_xlfn.IFS(E931&lt;6,((E931/D931)*60)*0.5,AND(E931&gt;=6,E931&lt;9),((E931/D931)*60)*0.75,AND(E931&gt;=9,E931&lt;=11),((E931/D931)*60)*0.9,AND(E931=12),((E931/D931)*60)*1,AND(E931&gt;=13,E931&lt;=15),((E931/D931)*60)*1.2,AND(E931&gt;=16,E931&lt;=19),((E931/D931)*60)*1.5,E931&gt;=20,((E931/D931)*60)*1.8)</f>
        <v>2.0689655172413794</v>
      </c>
      <c r="AT931" cm="1">
        <f t="array" ref="AT931">_xlfn.IFS(F931&lt;550,((F931/D931)*60)*0.5,AND(F931&gt;=550,F931&lt;575),((F931/D931)*60)*0.75,AND(F931&gt;=575,F931&lt;600),((F931/D931)*60)*0.9,AND(F931=600),((F931/D931)*60)*1,AND(F931&gt;=601,F931&lt;=625),((F931/D931)*60)*1.2,AND(F931&gt;=626,F931&lt;=650),((F931/D931)*60)*1.5,F931&gt;=651,((F931/D931)*60)*1.8)</f>
        <v>442.24137931034488</v>
      </c>
      <c r="AU931">
        <f t="shared" si="382"/>
        <v>-21.599999999999998</v>
      </c>
      <c r="AV931">
        <f t="shared" si="383"/>
        <v>173.40413793103451</v>
      </c>
      <c r="AW931">
        <f t="shared" si="374"/>
        <v>8.7999999999999989</v>
      </c>
      <c r="AX931" t="str">
        <f t="shared" si="384"/>
        <v>Mar-2026</v>
      </c>
      <c r="AY931">
        <f>ROUNDUP(Table2[[#This Row],[Month]]/3,0)</f>
        <v>1</v>
      </c>
    </row>
    <row r="932" spans="1:51" x14ac:dyDescent="0.2">
      <c r="A932">
        <v>931</v>
      </c>
      <c r="B932">
        <f t="shared" si="306"/>
        <v>14</v>
      </c>
      <c r="C932" s="22">
        <v>46100</v>
      </c>
      <c r="D932">
        <f>SUM(Table2[[#This Row],[Gray Min]:[Red Min]])</f>
        <v>59</v>
      </c>
      <c r="E932">
        <v>18</v>
      </c>
      <c r="F932">
        <v>716</v>
      </c>
      <c r="G932">
        <v>130</v>
      </c>
      <c r="H932">
        <v>169</v>
      </c>
      <c r="I932">
        <v>8</v>
      </c>
      <c r="J932">
        <v>15</v>
      </c>
      <c r="K932">
        <v>18</v>
      </c>
      <c r="L932">
        <v>17</v>
      </c>
      <c r="M932">
        <v>1</v>
      </c>
      <c r="N932" t="s">
        <v>125</v>
      </c>
      <c r="O932" t="s">
        <v>127</v>
      </c>
      <c r="P932" t="s">
        <v>281</v>
      </c>
      <c r="Q932">
        <f t="shared" si="385"/>
        <v>2</v>
      </c>
      <c r="R932" t="str">
        <f t="shared" si="386"/>
        <v>3-2026</v>
      </c>
      <c r="S932" t="s">
        <v>104</v>
      </c>
      <c r="T932" t="str">
        <f t="shared" si="387"/>
        <v>Thursday</v>
      </c>
      <c r="U932">
        <f t="shared" si="375"/>
        <v>1</v>
      </c>
      <c r="V932" s="24">
        <f>IFERROR(Table2[[#This Row],[Gray Min]]/Table2[[#This Row],[ClassLength]],"")</f>
        <v>0.13559322033898305</v>
      </c>
      <c r="W932" s="24">
        <f>IFERROR(Table2[[#This Row],[Blue Min]]/Table2[[#This Row],[ClassLength]],"")</f>
        <v>0.25423728813559321</v>
      </c>
      <c r="X932" s="24">
        <f>IFERROR(Table2[[#This Row],[Green Min]]/Table2[[#This Row],[ClassLength]],"")</f>
        <v>0.30508474576271188</v>
      </c>
      <c r="Y932" s="24">
        <f>IFERROR(Table2[[#This Row],[Orange Min]]/Table2[[#This Row],[ClassLength]],"")</f>
        <v>0.28813559322033899</v>
      </c>
      <c r="Z932" s="24">
        <f>IFERROR(Table2[[#This Row],[Red Min]]/Table2[[#This Row],[ClassLength]],"")</f>
        <v>1.6949152542372881E-2</v>
      </c>
      <c r="AA932" s="25">
        <v>139</v>
      </c>
      <c r="AB932" s="25">
        <f t="shared" si="376"/>
        <v>9.9285714285714288</v>
      </c>
      <c r="AC932" s="26">
        <f t="shared" si="307"/>
        <v>617.28571428571433</v>
      </c>
      <c r="AD932" s="26">
        <f t="shared" si="308"/>
        <v>11.071428571428571</v>
      </c>
      <c r="AE932">
        <f t="shared" si="377"/>
        <v>2026</v>
      </c>
      <c r="AG932">
        <v>12</v>
      </c>
      <c r="AH932" s="26">
        <f t="shared" si="378"/>
        <v>12.135593220338983</v>
      </c>
      <c r="AI932" t="str">
        <f t="shared" si="379"/>
        <v>PM</v>
      </c>
      <c r="AJ932" t="str">
        <f t="shared" si="380"/>
        <v>3-2026-3</v>
      </c>
      <c r="AK932">
        <f t="shared" si="381"/>
        <v>3</v>
      </c>
      <c r="AL932" s="26">
        <f>IFERROR(Table2[[#This Row],[Calories]]/Table2[[#This Row],[Splat]],"")</f>
        <v>39.777777777777779</v>
      </c>
      <c r="AM932">
        <f>COUNTIF(N$2:$N$938,N932)</f>
        <v>258</v>
      </c>
      <c r="AN932" t="str">
        <f>VLOOKUP(N932,'Helpful Tables'!A:D,4,FALSE)</f>
        <v>Oregon</v>
      </c>
      <c r="AO932" s="24">
        <f>COUNTIF(AN:AN,Table2[[#This Row],[State]])/COUNTA(AN:AN)</f>
        <v>0.36140724946695096</v>
      </c>
      <c r="AP932">
        <f>VLOOKUP(N932,'Helpful Tables'!A:B,2,FALSE)</f>
        <v>45.534162000000002</v>
      </c>
      <c r="AQ932">
        <f>VLOOKUP(N932,'Helpful Tables'!A:C,3,FALSE)</f>
        <v>-122.69670000000001</v>
      </c>
      <c r="AR932">
        <f>COUNTIF(P$2:$P$938,P932)</f>
        <v>41</v>
      </c>
      <c r="AS932" cm="1">
        <f t="array" ref="AS932">_xlfn.IFS(E932&lt;6,((E932/D932)*60)*0.5,AND(E932&gt;=6,E932&lt;9),((E932/D932)*60)*0.75,AND(E932&gt;=9,E932&lt;=11),((E932/D932)*60)*0.9,AND(E932=12),((E932/D932)*60)*1,AND(E932&gt;=13,E932&lt;=15),((E932/D932)*60)*1.2,AND(E932&gt;=16,E932&lt;=19),((E932/D932)*60)*1.5,E932&gt;=20,((E932/D932)*60)*1.8)</f>
        <v>27.457627118644069</v>
      </c>
      <c r="AT932" cm="1">
        <f t="array" ref="AT932">_xlfn.IFS(F932&lt;550,((F932/D932)*60)*0.5,AND(F932&gt;=550,F932&lt;575),((F932/D932)*60)*0.75,AND(F932&gt;=575,F932&lt;600),((F932/D932)*60)*0.9,AND(F932=600),((F932/D932)*60)*1,AND(F932&gt;=601,F932&lt;=625),((F932/D932)*60)*1.2,AND(F932&gt;=626,F932&lt;=650),((F932/D932)*60)*1.5,F932&gt;=651,((F932/D932)*60)*1.8)</f>
        <v>1310.6440677966102</v>
      </c>
      <c r="AU932">
        <f t="shared" si="382"/>
        <v>19.099999999999998</v>
      </c>
      <c r="AV932">
        <f t="shared" si="383"/>
        <v>539.06067796610182</v>
      </c>
      <c r="AW932">
        <f t="shared" si="374"/>
        <v>96.2</v>
      </c>
      <c r="AX932" t="str">
        <f t="shared" si="384"/>
        <v>Mar-2026</v>
      </c>
      <c r="AY932">
        <f>ROUNDUP(Table2[[#This Row],[Month]]/3,0)</f>
        <v>1</v>
      </c>
    </row>
    <row r="933" spans="1:51" x14ac:dyDescent="0.2">
      <c r="A933">
        <v>932</v>
      </c>
      <c r="B933">
        <f t="shared" si="306"/>
        <v>14</v>
      </c>
      <c r="C933" s="22">
        <v>46102</v>
      </c>
      <c r="D933">
        <f>SUM(Table2[[#This Row],[Gray Min]:[Red Min]])</f>
        <v>60</v>
      </c>
      <c r="E933">
        <v>9</v>
      </c>
      <c r="F933">
        <v>520</v>
      </c>
      <c r="G933">
        <v>110</v>
      </c>
      <c r="H933">
        <v>155</v>
      </c>
      <c r="I933">
        <v>34</v>
      </c>
      <c r="J933">
        <v>11</v>
      </c>
      <c r="K933">
        <v>6</v>
      </c>
      <c r="L933">
        <v>9</v>
      </c>
      <c r="M933">
        <v>0</v>
      </c>
      <c r="N933" t="s">
        <v>208</v>
      </c>
      <c r="O933" t="s">
        <v>76</v>
      </c>
      <c r="P933" t="s">
        <v>212</v>
      </c>
      <c r="Q933">
        <f t="shared" si="385"/>
        <v>2</v>
      </c>
      <c r="R933" t="str">
        <f t="shared" si="386"/>
        <v>3-2026</v>
      </c>
      <c r="S933" t="s">
        <v>104</v>
      </c>
      <c r="T933" t="str">
        <f t="shared" si="387"/>
        <v>Saturday</v>
      </c>
      <c r="U933">
        <f t="shared" si="375"/>
        <v>0</v>
      </c>
      <c r="V933" s="24">
        <f>IFERROR(Table2[[#This Row],[Gray Min]]/Table2[[#This Row],[ClassLength]],"")</f>
        <v>0.56666666666666665</v>
      </c>
      <c r="W933" s="24">
        <f>IFERROR(Table2[[#This Row],[Blue Min]]/Table2[[#This Row],[ClassLength]],"")</f>
        <v>0.18333333333333332</v>
      </c>
      <c r="X933" s="24">
        <f>IFERROR(Table2[[#This Row],[Green Min]]/Table2[[#This Row],[ClassLength]],"")</f>
        <v>0.1</v>
      </c>
      <c r="Y933" s="24">
        <f>IFERROR(Table2[[#This Row],[Orange Min]]/Table2[[#This Row],[ClassLength]],"")</f>
        <v>0.15</v>
      </c>
      <c r="Z933" s="24">
        <f>IFERROR(Table2[[#This Row],[Red Min]]/Table2[[#This Row],[ClassLength]],"")</f>
        <v>0</v>
      </c>
      <c r="AA933" s="25">
        <v>139</v>
      </c>
      <c r="AB933" s="25">
        <f t="shared" si="376"/>
        <v>9.9285714285714288</v>
      </c>
      <c r="AC933" s="26">
        <f t="shared" si="307"/>
        <v>617.28571428571433</v>
      </c>
      <c r="AD933" s="26">
        <f t="shared" si="308"/>
        <v>11.071428571428571</v>
      </c>
      <c r="AE933">
        <f t="shared" si="377"/>
        <v>2026</v>
      </c>
      <c r="AG933">
        <v>12</v>
      </c>
      <c r="AH933" s="26">
        <f t="shared" si="378"/>
        <v>8.6666666666666661</v>
      </c>
      <c r="AI933" t="str">
        <f t="shared" si="379"/>
        <v>AM</v>
      </c>
      <c r="AJ933" t="str">
        <f t="shared" si="380"/>
        <v>3-2026-3</v>
      </c>
      <c r="AK933">
        <f t="shared" si="381"/>
        <v>3</v>
      </c>
      <c r="AL933" s="26">
        <f>IFERROR(Table2[[#This Row],[Calories]]/Table2[[#This Row],[Splat]],"")</f>
        <v>57.777777777777779</v>
      </c>
      <c r="AM933">
        <f>COUNTIF(N$2:$N$938,N933)</f>
        <v>78</v>
      </c>
      <c r="AN933" t="str">
        <f>VLOOKUP(N933,'Helpful Tables'!A:D,4,FALSE)</f>
        <v>Oregon</v>
      </c>
      <c r="AO933" s="24">
        <f>COUNTIF(AN:AN,Table2[[#This Row],[State]])/COUNTA(AN:AN)</f>
        <v>0.36140724946695096</v>
      </c>
      <c r="AP933">
        <f>VLOOKUP(N933,'Helpful Tables'!A:B,2,FALSE)</f>
        <v>45.525092999999998</v>
      </c>
      <c r="AQ933">
        <f>VLOOKUP(N933,'Helpful Tables'!A:C,3,FALSE)</f>
        <v>-122.681383</v>
      </c>
      <c r="AR933">
        <f>COUNTIF(P$2:$P$938,P933)</f>
        <v>5</v>
      </c>
      <c r="AS933" cm="1">
        <f t="array" ref="AS933">_xlfn.IFS(E933&lt;6,((E933/D933)*60)*0.5,AND(E933&gt;=6,E933&lt;9),((E933/D933)*60)*0.75,AND(E933&gt;=9,E933&lt;=11),((E933/D933)*60)*0.9,AND(E933=12),((E933/D933)*60)*1,AND(E933&gt;=13,E933&lt;=15),((E933/D933)*60)*1.2,AND(E933&gt;=16,E933&lt;=19),((E933/D933)*60)*1.5,E933&gt;=20,((E933/D933)*60)*1.8)</f>
        <v>8.1</v>
      </c>
      <c r="AT933" cm="1">
        <f t="array" ref="AT933">_xlfn.IFS(F933&lt;550,((F933/D933)*60)*0.5,AND(F933&gt;=550,F933&lt;575),((F933/D933)*60)*0.75,AND(F933&gt;=575,F933&lt;600),((F933/D933)*60)*0.9,AND(F933=600),((F933/D933)*60)*1,AND(F933&gt;=601,F933&lt;=625),((F933/D933)*60)*1.2,AND(F933&gt;=626,F933&lt;=650),((F933/D933)*60)*1.5,F933&gt;=651,((F933/D933)*60)*1.8)</f>
        <v>260</v>
      </c>
      <c r="AU933">
        <f t="shared" si="382"/>
        <v>-34</v>
      </c>
      <c r="AV933">
        <f t="shared" si="383"/>
        <v>100.44</v>
      </c>
      <c r="AW933">
        <f t="shared" si="374"/>
        <v>1</v>
      </c>
      <c r="AX933" t="str">
        <f t="shared" si="384"/>
        <v>Mar-2026</v>
      </c>
      <c r="AY933">
        <f>ROUNDUP(Table2[[#This Row],[Month]]/3,0)</f>
        <v>1</v>
      </c>
    </row>
    <row r="934" spans="1:51" x14ac:dyDescent="0.2">
      <c r="A934">
        <v>933</v>
      </c>
      <c r="B934">
        <f t="shared" si="306"/>
        <v>14</v>
      </c>
      <c r="C934" s="22">
        <v>46104</v>
      </c>
      <c r="D934">
        <f>SUM(Table2[[#This Row],[Gray Min]:[Red Min]])</f>
        <v>58</v>
      </c>
      <c r="E934">
        <v>13</v>
      </c>
      <c r="F934">
        <v>605</v>
      </c>
      <c r="G934">
        <v>121</v>
      </c>
      <c r="H934">
        <v>175</v>
      </c>
      <c r="I934">
        <v>15</v>
      </c>
      <c r="J934">
        <v>17</v>
      </c>
      <c r="K934">
        <v>13</v>
      </c>
      <c r="L934">
        <v>11</v>
      </c>
      <c r="M934">
        <v>2</v>
      </c>
      <c r="N934" t="s">
        <v>125</v>
      </c>
      <c r="O934" t="s">
        <v>127</v>
      </c>
      <c r="P934" t="s">
        <v>238</v>
      </c>
      <c r="Q934">
        <f t="shared" si="385"/>
        <v>2</v>
      </c>
      <c r="R934" t="str">
        <f t="shared" si="386"/>
        <v>3-2026</v>
      </c>
      <c r="S934" t="s">
        <v>104</v>
      </c>
      <c r="T934" t="str">
        <f t="shared" si="387"/>
        <v>Monday</v>
      </c>
      <c r="U934">
        <f t="shared" si="375"/>
        <v>1</v>
      </c>
      <c r="V934" s="24">
        <f>IFERROR(Table2[[#This Row],[Gray Min]]/Table2[[#This Row],[ClassLength]],"")</f>
        <v>0.25862068965517243</v>
      </c>
      <c r="W934" s="24">
        <f>IFERROR(Table2[[#This Row],[Blue Min]]/Table2[[#This Row],[ClassLength]],"")</f>
        <v>0.29310344827586204</v>
      </c>
      <c r="X934" s="24">
        <f>IFERROR(Table2[[#This Row],[Green Min]]/Table2[[#This Row],[ClassLength]],"")</f>
        <v>0.22413793103448276</v>
      </c>
      <c r="Y934" s="24">
        <f>IFERROR(Table2[[#This Row],[Orange Min]]/Table2[[#This Row],[ClassLength]],"")</f>
        <v>0.18965517241379309</v>
      </c>
      <c r="Z934" s="24">
        <f>IFERROR(Table2[[#This Row],[Red Min]]/Table2[[#This Row],[ClassLength]],"")</f>
        <v>3.4482758620689655E-2</v>
      </c>
      <c r="AA934" s="25">
        <v>139</v>
      </c>
      <c r="AB934" s="25">
        <f t="shared" si="376"/>
        <v>9.9285714285714288</v>
      </c>
      <c r="AC934" s="26">
        <f t="shared" si="307"/>
        <v>617.28571428571433</v>
      </c>
      <c r="AD934" s="26">
        <f t="shared" si="308"/>
        <v>11.071428571428571</v>
      </c>
      <c r="AE934">
        <f t="shared" si="377"/>
        <v>2026</v>
      </c>
      <c r="AG934">
        <v>12</v>
      </c>
      <c r="AH934" s="26">
        <f t="shared" si="378"/>
        <v>10.431034482758621</v>
      </c>
      <c r="AI934" t="str">
        <f t="shared" si="379"/>
        <v>PM</v>
      </c>
      <c r="AJ934" t="str">
        <f t="shared" si="380"/>
        <v>3-2026-4</v>
      </c>
      <c r="AK934">
        <f t="shared" si="381"/>
        <v>3</v>
      </c>
      <c r="AL934" s="26">
        <f>IFERROR(Table2[[#This Row],[Calories]]/Table2[[#This Row],[Splat]],"")</f>
        <v>46.53846153846154</v>
      </c>
      <c r="AM934">
        <f>COUNTIF(N$2:$N$938,N934)</f>
        <v>258</v>
      </c>
      <c r="AN934" t="str">
        <f>VLOOKUP(N934,'Helpful Tables'!A:D,4,FALSE)</f>
        <v>Oregon</v>
      </c>
      <c r="AO934" s="24">
        <f>COUNTIF(AN:AN,Table2[[#This Row],[State]])/COUNTA(AN:AN)</f>
        <v>0.36140724946695096</v>
      </c>
      <c r="AP934">
        <f>VLOOKUP(N934,'Helpful Tables'!A:B,2,FALSE)</f>
        <v>45.534162000000002</v>
      </c>
      <c r="AQ934">
        <f>VLOOKUP(N934,'Helpful Tables'!A:C,3,FALSE)</f>
        <v>-122.69670000000001</v>
      </c>
      <c r="AR934">
        <f>COUNTIF(P$2:$P$938,P934)</f>
        <v>25</v>
      </c>
      <c r="AS934" cm="1">
        <f t="array" ref="AS934">_xlfn.IFS(E934&lt;6,((E934/D934)*60)*0.5,AND(E934&gt;=6,E934&lt;9),((E934/D934)*60)*0.75,AND(E934&gt;=9,E934&lt;=11),((E934/D934)*60)*0.9,AND(E934=12),((E934/D934)*60)*1,AND(E934&gt;=13,E934&lt;=15),((E934/D934)*60)*1.2,AND(E934&gt;=16,E934&lt;=19),((E934/D934)*60)*1.5,E934&gt;=20,((E934/D934)*60)*1.8)</f>
        <v>16.137931034482758</v>
      </c>
      <c r="AT934" cm="1">
        <f t="array" ref="AT934">_xlfn.IFS(F934&lt;550,((F934/D934)*60)*0.5,AND(F934&gt;=550,F934&lt;575),((F934/D934)*60)*0.75,AND(F934&gt;=575,F934&lt;600),((F934/D934)*60)*0.9,AND(F934=600),((F934/D934)*60)*1,AND(F934&gt;=601,F934&lt;=625),((F934/D934)*60)*1.2,AND(F934&gt;=626,F934&lt;=650),((F934/D934)*60)*1.5,F934&gt;=651,((F934/D934)*60)*1.8)</f>
        <v>751.03448275862058</v>
      </c>
      <c r="AU934">
        <f t="shared" si="382"/>
        <v>-3.8000000000000007</v>
      </c>
      <c r="AV934">
        <f t="shared" si="383"/>
        <v>306.10896551724136</v>
      </c>
      <c r="AW934">
        <f t="shared" si="374"/>
        <v>29.7</v>
      </c>
      <c r="AX934" t="str">
        <f t="shared" si="384"/>
        <v>Mar-2026</v>
      </c>
      <c r="AY934">
        <f>ROUNDUP(Table2[[#This Row],[Month]]/3,0)</f>
        <v>1</v>
      </c>
    </row>
    <row r="935" spans="1:51" x14ac:dyDescent="0.2">
      <c r="A935">
        <v>934</v>
      </c>
      <c r="B935">
        <f t="shared" si="306"/>
        <v>14</v>
      </c>
      <c r="C935" s="22">
        <v>46106</v>
      </c>
      <c r="D935">
        <f>SUM(Table2[[#This Row],[Gray Min]:[Red Min]])</f>
        <v>59</v>
      </c>
      <c r="E935">
        <v>15</v>
      </c>
      <c r="F935">
        <v>654</v>
      </c>
      <c r="G935">
        <v>125</v>
      </c>
      <c r="H935">
        <v>163</v>
      </c>
      <c r="I935">
        <v>13</v>
      </c>
      <c r="J935">
        <v>20</v>
      </c>
      <c r="K935">
        <v>11</v>
      </c>
      <c r="L935">
        <v>14</v>
      </c>
      <c r="M935">
        <v>1</v>
      </c>
      <c r="N935" t="s">
        <v>125</v>
      </c>
      <c r="O935" t="s">
        <v>127</v>
      </c>
      <c r="P935" t="s">
        <v>240</v>
      </c>
      <c r="Q935">
        <f t="shared" si="385"/>
        <v>2</v>
      </c>
      <c r="R935" t="str">
        <f t="shared" si="386"/>
        <v>3-2026</v>
      </c>
      <c r="S935" t="s">
        <v>104</v>
      </c>
      <c r="T935" t="str">
        <f t="shared" si="387"/>
        <v>Wednesday</v>
      </c>
      <c r="U935">
        <f>IF(E935&gt;=12,1,0)</f>
        <v>1</v>
      </c>
      <c r="V935" s="24">
        <f>IFERROR(Table2[[#This Row],[Gray Min]]/Table2[[#This Row],[ClassLength]],"")</f>
        <v>0.22033898305084745</v>
      </c>
      <c r="W935" s="24">
        <f>IFERROR(Table2[[#This Row],[Blue Min]]/Table2[[#This Row],[ClassLength]],"")</f>
        <v>0.33898305084745761</v>
      </c>
      <c r="X935" s="24">
        <f>IFERROR(Table2[[#This Row],[Green Min]]/Table2[[#This Row],[ClassLength]],"")</f>
        <v>0.1864406779661017</v>
      </c>
      <c r="Y935" s="24">
        <f>IFERROR(Table2[[#This Row],[Orange Min]]/Table2[[#This Row],[ClassLength]],"")</f>
        <v>0.23728813559322035</v>
      </c>
      <c r="Z935" s="24">
        <f>IFERROR(Table2[[#This Row],[Red Min]]/Table2[[#This Row],[ClassLength]],"")</f>
        <v>1.6949152542372881E-2</v>
      </c>
      <c r="AA935" s="25">
        <v>139</v>
      </c>
      <c r="AB935" s="25">
        <f>AA935/B935</f>
        <v>9.9285714285714288</v>
      </c>
      <c r="AC935" s="26">
        <f t="shared" si="307"/>
        <v>617.28571428571433</v>
      </c>
      <c r="AD935" s="26">
        <f t="shared" si="308"/>
        <v>11.071428571428571</v>
      </c>
      <c r="AE935">
        <f>YEAR(C935)</f>
        <v>2026</v>
      </c>
      <c r="AG935">
        <v>12</v>
      </c>
      <c r="AH935" s="26">
        <f>F935/D935</f>
        <v>11.084745762711865</v>
      </c>
      <c r="AI935" t="str">
        <f>RIGHT(O935,2)</f>
        <v>PM</v>
      </c>
      <c r="AJ935" t="str">
        <f>R935&amp;"-"&amp;WEEKNUM(C935,1)-WEEKNUM(DATE(YEAR(C935),MONTH(C935),1),1)+1</f>
        <v>3-2026-4</v>
      </c>
      <c r="AK935">
        <f>MONTH(C935)</f>
        <v>3</v>
      </c>
      <c r="AL935" s="26">
        <f>IFERROR(Table2[[#This Row],[Calories]]/Table2[[#This Row],[Splat]],"")</f>
        <v>43.6</v>
      </c>
      <c r="AM935">
        <f>COUNTIF(N$2:$N$938,N935)</f>
        <v>258</v>
      </c>
      <c r="AN935" t="str">
        <f>VLOOKUP(N935,'Helpful Tables'!A:D,4,FALSE)</f>
        <v>Oregon</v>
      </c>
      <c r="AO935" s="24">
        <f>COUNTIF(AN:AN,Table2[[#This Row],[State]])/COUNTA(AN:AN)</f>
        <v>0.36140724946695096</v>
      </c>
      <c r="AP935">
        <f>VLOOKUP(N935,'Helpful Tables'!A:B,2,FALSE)</f>
        <v>45.534162000000002</v>
      </c>
      <c r="AQ935">
        <f>VLOOKUP(N935,'Helpful Tables'!A:C,3,FALSE)</f>
        <v>-122.69670000000001</v>
      </c>
      <c r="AR935">
        <f>COUNTIF(P$2:$P$938,P935)</f>
        <v>3</v>
      </c>
      <c r="AS935" cm="1">
        <f t="array" ref="AS935">_xlfn.IFS(E935&lt;6,((E935/D935)*60)*0.5,AND(E935&gt;=6,E935&lt;9),((E935/D935)*60)*0.75,AND(E935&gt;=9,E935&lt;=11),((E935/D935)*60)*0.9,AND(E935=12),((E935/D935)*60)*1,AND(E935&gt;=13,E935&lt;=15),((E935/D935)*60)*1.2,AND(E935&gt;=16,E935&lt;=19),((E935/D935)*60)*1.5,E935&gt;=20,((E935/D935)*60)*1.8)</f>
        <v>18.305084745762709</v>
      </c>
      <c r="AT935" cm="1">
        <f t="array" ref="AT935">_xlfn.IFS(F935&lt;550,((F935/D935)*60)*0.5,AND(F935&gt;=550,F935&lt;575),((F935/D935)*60)*0.75,AND(F935&gt;=575,F935&lt;600),((F935/D935)*60)*0.9,AND(F935=600),((F935/D935)*60)*1,AND(F935&gt;=601,F935&lt;=625),((F935/D935)*60)*1.2,AND(F935&gt;=626,F935&lt;=650),((F935/D935)*60)*1.5,F935&gt;=651,((F935/D935)*60)*1.8)</f>
        <v>1197.1525423728815</v>
      </c>
      <c r="AU935">
        <f>(I935*-1.2)+(J935*-1.1)+(K935*1.2)+(L935*1.3)+(M935*1.5)</f>
        <v>-4.7000000000000028</v>
      </c>
      <c r="AV935">
        <f>(AS935*0.4)+(AT935*0.4)+(AU935*0.2)</f>
        <v>485.24305084745771</v>
      </c>
      <c r="AW935">
        <f t="shared" si="374"/>
        <v>71.399999999999991</v>
      </c>
      <c r="AX935" t="str">
        <f>_xlfn.CONCAT(TEXT(C935,"mmm"),"-",AE935)</f>
        <v>Mar-2026</v>
      </c>
      <c r="AY935">
        <f>ROUNDUP(Table2[[#This Row],[Month]]/3,0)</f>
        <v>1</v>
      </c>
    </row>
    <row r="936" spans="1:51" x14ac:dyDescent="0.2">
      <c r="A936">
        <v>935</v>
      </c>
      <c r="B936">
        <f t="shared" si="306"/>
        <v>14</v>
      </c>
      <c r="C936" s="22">
        <v>46110</v>
      </c>
      <c r="D936">
        <f>SUM(Table2[[#This Row],[Gray Min]:[Red Min]])</f>
        <v>59</v>
      </c>
      <c r="E936">
        <v>13</v>
      </c>
      <c r="F936">
        <v>658</v>
      </c>
      <c r="G936">
        <v>126</v>
      </c>
      <c r="H936">
        <v>162</v>
      </c>
      <c r="I936">
        <v>8</v>
      </c>
      <c r="J936">
        <v>19</v>
      </c>
      <c r="K936">
        <v>19</v>
      </c>
      <c r="L936">
        <v>12</v>
      </c>
      <c r="M936">
        <v>1</v>
      </c>
      <c r="N936" t="s">
        <v>125</v>
      </c>
      <c r="O936" t="s">
        <v>79</v>
      </c>
      <c r="P936" t="s">
        <v>126</v>
      </c>
      <c r="Q936">
        <f t="shared" si="385"/>
        <v>4</v>
      </c>
      <c r="R936" t="str">
        <f t="shared" si="386"/>
        <v>3-2026</v>
      </c>
      <c r="S936" t="s">
        <v>104</v>
      </c>
      <c r="T936" t="str">
        <f t="shared" si="387"/>
        <v>Sunday</v>
      </c>
      <c r="U936">
        <f>IF(E936&gt;=12,1,0)</f>
        <v>1</v>
      </c>
      <c r="V936" s="24">
        <f>IFERROR(Table2[[#This Row],[Gray Min]]/Table2[[#This Row],[ClassLength]],"")</f>
        <v>0.13559322033898305</v>
      </c>
      <c r="W936" s="24">
        <f>IFERROR(Table2[[#This Row],[Blue Min]]/Table2[[#This Row],[ClassLength]],"")</f>
        <v>0.32203389830508472</v>
      </c>
      <c r="X936" s="24">
        <f>IFERROR(Table2[[#This Row],[Green Min]]/Table2[[#This Row],[ClassLength]],"")</f>
        <v>0.32203389830508472</v>
      </c>
      <c r="Y936" s="24">
        <f>IFERROR(Table2[[#This Row],[Orange Min]]/Table2[[#This Row],[ClassLength]],"")</f>
        <v>0.20338983050847459</v>
      </c>
      <c r="Z936" s="24">
        <f>IFERROR(Table2[[#This Row],[Red Min]]/Table2[[#This Row],[ClassLength]],"")</f>
        <v>1.6949152542372881E-2</v>
      </c>
      <c r="AA936" s="25">
        <v>139</v>
      </c>
      <c r="AB936" s="25">
        <f>AA936/B936</f>
        <v>9.9285714285714288</v>
      </c>
      <c r="AC936" s="26">
        <f t="shared" si="307"/>
        <v>617.28571428571433</v>
      </c>
      <c r="AD936" s="26">
        <f t="shared" si="308"/>
        <v>11.071428571428571</v>
      </c>
      <c r="AE936">
        <f>YEAR(C936)</f>
        <v>2026</v>
      </c>
      <c r="AG936">
        <v>12</v>
      </c>
      <c r="AH936" s="26">
        <f>F936/D936</f>
        <v>11.152542372881356</v>
      </c>
      <c r="AI936" t="str">
        <f>RIGHT(O936,2)</f>
        <v>AM</v>
      </c>
      <c r="AJ936" t="str">
        <f>R936&amp;"-"&amp;WEEKNUM(C936,1)-WEEKNUM(DATE(YEAR(C936),MONTH(C936),1),1)+1</f>
        <v>3-2026-5</v>
      </c>
      <c r="AK936">
        <f>MONTH(C936)</f>
        <v>3</v>
      </c>
      <c r="AL936" s="26">
        <f>IFERROR(Table2[[#This Row],[Calories]]/Table2[[#This Row],[Splat]],"")</f>
        <v>50.615384615384613</v>
      </c>
      <c r="AM936">
        <f>COUNTIF(N$2:$N$938,N936)</f>
        <v>258</v>
      </c>
      <c r="AN936" t="str">
        <f>VLOOKUP(N936,'Helpful Tables'!A:D,4,FALSE)</f>
        <v>Oregon</v>
      </c>
      <c r="AO936" s="24">
        <f>COUNTIF(AN:AN,Table2[[#This Row],[State]])/COUNTA(AN:AN)</f>
        <v>0.36140724946695096</v>
      </c>
      <c r="AP936">
        <f>VLOOKUP(N936,'Helpful Tables'!A:B,2,FALSE)</f>
        <v>45.534162000000002</v>
      </c>
      <c r="AQ936">
        <f>VLOOKUP(N936,'Helpful Tables'!A:C,3,FALSE)</f>
        <v>-122.69670000000001</v>
      </c>
      <c r="AR936">
        <f>COUNTIF(P$2:$P$938,P936)</f>
        <v>11</v>
      </c>
      <c r="AS936" cm="1">
        <f t="array" ref="AS936">_xlfn.IFS(E936&lt;6,((E936/D936)*60)*0.5,AND(E936&gt;=6,E936&lt;9),((E936/D936)*60)*0.75,AND(E936&gt;=9,E936&lt;=11),((E936/D936)*60)*0.9,AND(E936=12),((E936/D936)*60)*1,AND(E936&gt;=13,E936&lt;=15),((E936/D936)*60)*1.2,AND(E936&gt;=16,E936&lt;=19),((E936/D936)*60)*1.5,E936&gt;=20,((E936/D936)*60)*1.8)</f>
        <v>15.864406779661017</v>
      </c>
      <c r="AT936" cm="1">
        <f t="array" ref="AT936">_xlfn.IFS(F936&lt;550,((F936/D936)*60)*0.5,AND(F936&gt;=550,F936&lt;575),((F936/D936)*60)*0.75,AND(F936&gt;=575,F936&lt;600),((F936/D936)*60)*0.9,AND(F936=600),((F936/D936)*60)*1,AND(F936&gt;=601,F936&lt;=625),((F936/D936)*60)*1.2,AND(F936&gt;=626,F936&lt;=650),((F936/D936)*60)*1.5,F936&gt;=651,((F936/D936)*60)*1.8)</f>
        <v>1204.4745762711866</v>
      </c>
      <c r="AU936">
        <f>(I936*-1.2)+(J936*-1.1)+(K936*1.2)+(L936*1.3)+(M936*1.5)</f>
        <v>9.4000000000000021</v>
      </c>
      <c r="AV936">
        <f>(AS936*0.4)+(AT936*0.4)+(AU936*0.2)</f>
        <v>490.01559322033904</v>
      </c>
      <c r="AW936">
        <f t="shared" si="374"/>
        <v>74.099999999999994</v>
      </c>
      <c r="AX936" t="str">
        <f>_xlfn.CONCAT(TEXT(C936,"mmm"),"-",AE936)</f>
        <v>Mar-2026</v>
      </c>
      <c r="AY936">
        <f>ROUNDUP(Table2[[#This Row],[Month]]/3,0)</f>
        <v>1</v>
      </c>
    </row>
    <row r="937" spans="1:51" x14ac:dyDescent="0.2">
      <c r="A937">
        <v>936</v>
      </c>
      <c r="B937">
        <f t="shared" si="306"/>
        <v>14</v>
      </c>
      <c r="C937" s="22">
        <v>46112</v>
      </c>
      <c r="D937">
        <f>SUM(Table2[[#This Row],[Gray Min]:[Red Min]])</f>
        <v>58</v>
      </c>
      <c r="E937">
        <v>5</v>
      </c>
      <c r="F937">
        <v>527</v>
      </c>
      <c r="G937">
        <v>112</v>
      </c>
      <c r="H937">
        <v>156</v>
      </c>
      <c r="I937">
        <v>27</v>
      </c>
      <c r="J937">
        <v>11</v>
      </c>
      <c r="K937">
        <v>15</v>
      </c>
      <c r="L937">
        <v>5</v>
      </c>
      <c r="M937">
        <v>0</v>
      </c>
      <c r="N937" t="s">
        <v>125</v>
      </c>
      <c r="O937" t="s">
        <v>215</v>
      </c>
      <c r="P937" t="s">
        <v>238</v>
      </c>
      <c r="Q937">
        <f>C937-C936</f>
        <v>2</v>
      </c>
      <c r="R937" t="str">
        <f>MONTH(C937)&amp;"-"&amp;YEAR(C937)</f>
        <v>3-2026</v>
      </c>
      <c r="S937" t="s">
        <v>117</v>
      </c>
      <c r="T937" t="str">
        <f>IF(WEEKDAY(C937)=1,"Sunday",IF(WEEKDAY(C937)=2,"Monday",IF(WEEKDAY(C937)=3,"Tuesday",IF(WEEKDAY(C937)=4,"Wednesday",IF(WEEKDAY(C937)=5,"Thursday",IF(WEEKDAY(C937)=6,"Friday","Saturday"))))))</f>
        <v>Tuesday</v>
      </c>
      <c r="U937">
        <f>IF(E937&gt;=12,1,0)</f>
        <v>0</v>
      </c>
      <c r="V937" s="24">
        <f>IFERROR(Table2[[#This Row],[Gray Min]]/Table2[[#This Row],[ClassLength]],"")</f>
        <v>0.46551724137931033</v>
      </c>
      <c r="W937" s="24">
        <f>IFERROR(Table2[[#This Row],[Blue Min]]/Table2[[#This Row],[ClassLength]],"")</f>
        <v>0.18965517241379309</v>
      </c>
      <c r="X937" s="24">
        <f>IFERROR(Table2[[#This Row],[Green Min]]/Table2[[#This Row],[ClassLength]],"")</f>
        <v>0.25862068965517243</v>
      </c>
      <c r="Y937" s="24">
        <f>IFERROR(Table2[[#This Row],[Orange Min]]/Table2[[#This Row],[ClassLength]],"")</f>
        <v>8.6206896551724144E-2</v>
      </c>
      <c r="Z937" s="24">
        <f>IFERROR(Table2[[#This Row],[Red Min]]/Table2[[#This Row],[ClassLength]],"")</f>
        <v>0</v>
      </c>
      <c r="AA937" s="25">
        <v>139</v>
      </c>
      <c r="AB937" s="25">
        <f>AA937/B937</f>
        <v>9.9285714285714288</v>
      </c>
      <c r="AC937" s="26">
        <f t="shared" si="307"/>
        <v>617.28571428571433</v>
      </c>
      <c r="AD937" s="26">
        <f t="shared" si="308"/>
        <v>11.071428571428571</v>
      </c>
      <c r="AE937">
        <f>YEAR(C937)</f>
        <v>2026</v>
      </c>
      <c r="AG937">
        <v>12</v>
      </c>
      <c r="AH937" s="26">
        <f>F937/D937</f>
        <v>9.0862068965517242</v>
      </c>
      <c r="AI937" t="str">
        <f>RIGHT(O937,2)</f>
        <v>PM</v>
      </c>
      <c r="AJ937" t="str">
        <f>R937&amp;"-"&amp;WEEKNUM(C937,1)-WEEKNUM(DATE(YEAR(C937),MONTH(C937),1),1)+1</f>
        <v>3-2026-5</v>
      </c>
      <c r="AK937">
        <f>MONTH(C937)</f>
        <v>3</v>
      </c>
      <c r="AL937" s="26">
        <f>IFERROR(Table2[[#This Row],[Calories]]/Table2[[#This Row],[Splat]],"")</f>
        <v>105.4</v>
      </c>
      <c r="AM937">
        <f>COUNTIF(N$2:$N$938,N937)</f>
        <v>258</v>
      </c>
      <c r="AN937" t="str">
        <f>VLOOKUP(N937,'Helpful Tables'!A:D,4,FALSE)</f>
        <v>Oregon</v>
      </c>
      <c r="AO937" s="24">
        <f>COUNTIF(AN:AN,Table2[[#This Row],[State]])/COUNTA(AN:AN)</f>
        <v>0.36140724946695096</v>
      </c>
      <c r="AP937">
        <f>VLOOKUP(N937,'Helpful Tables'!A:B,2,FALSE)</f>
        <v>45.534162000000002</v>
      </c>
      <c r="AQ937">
        <f>VLOOKUP(N937,'Helpful Tables'!A:C,3,FALSE)</f>
        <v>-122.69670000000001</v>
      </c>
      <c r="AR937">
        <f>COUNTIF(P$2:$P$938,P937)</f>
        <v>25</v>
      </c>
      <c r="AS937" cm="1">
        <f t="array" ref="AS937">_xlfn.IFS(E937&lt;6,((E937/D937)*60)*0.5,AND(E937&gt;=6,E937&lt;9),((E937/D937)*60)*0.75,AND(E937&gt;=9,E937&lt;=11),((E937/D937)*60)*0.9,AND(E937=12),((E937/D937)*60)*1,AND(E937&gt;=13,E937&lt;=15),((E937/D937)*60)*1.2,AND(E937&gt;=16,E937&lt;=19),((E937/D937)*60)*1.5,E937&gt;=20,((E937/D937)*60)*1.8)</f>
        <v>2.5862068965517242</v>
      </c>
      <c r="AT937" cm="1">
        <f t="array" ref="AT937">_xlfn.IFS(F937&lt;550,((F937/D937)*60)*0.5,AND(F937&gt;=550,F937&lt;575),((F937/D937)*60)*0.75,AND(F937&gt;=575,F937&lt;600),((F937/D937)*60)*0.9,AND(F937=600),((F937/D937)*60)*1,AND(F937&gt;=601,F937&lt;=625),((F937/D937)*60)*1.2,AND(F937&gt;=626,F937&lt;=650),((F937/D937)*60)*1.5,F937&gt;=651,((F937/D937)*60)*1.8)</f>
        <v>272.58620689655174</v>
      </c>
      <c r="AU937">
        <f>(I937*-1.2)+(J937*-1.1)+(K937*1.2)+(L937*1.3)+(M937*1.5)</f>
        <v>-20</v>
      </c>
      <c r="AV937">
        <f>(AS937*0.4)+(AT937*0.4)+(AU937*0.2)</f>
        <v>106.06896551724138</v>
      </c>
      <c r="AW937">
        <f t="shared" si="374"/>
        <v>2.5</v>
      </c>
      <c r="AX937" t="str">
        <f>_xlfn.CONCAT(TEXT(C937,"mmm"),"-",AE937)</f>
        <v>Mar-2026</v>
      </c>
      <c r="AY937">
        <f>ROUNDUP(Table2[[#This Row],[Month]]/3,0)</f>
        <v>1</v>
      </c>
    </row>
    <row r="938" spans="1:51" x14ac:dyDescent="0.2">
      <c r="A938">
        <v>937</v>
      </c>
      <c r="B938">
        <f>COUNTIF(R:R,R938)</f>
        <v>1</v>
      </c>
      <c r="C938" s="22">
        <v>46114</v>
      </c>
      <c r="D938" s="38">
        <f>SUM(Table2[[#This Row],[Gray Min]:[Red Min]])</f>
        <v>61</v>
      </c>
      <c r="E938">
        <v>13</v>
      </c>
      <c r="F938">
        <v>637</v>
      </c>
      <c r="G938">
        <v>120</v>
      </c>
      <c r="H938">
        <v>169</v>
      </c>
      <c r="I938">
        <v>21</v>
      </c>
      <c r="J938">
        <v>14</v>
      </c>
      <c r="K938">
        <v>13</v>
      </c>
      <c r="L938">
        <v>10</v>
      </c>
      <c r="M938">
        <v>3</v>
      </c>
      <c r="N938" t="s">
        <v>125</v>
      </c>
      <c r="O938" t="s">
        <v>127</v>
      </c>
      <c r="P938" t="s">
        <v>281</v>
      </c>
      <c r="Q938">
        <f>C938-C937</f>
        <v>2</v>
      </c>
      <c r="R938" t="str">
        <f>MONTH(C938)&amp;"-"&amp;YEAR(C938)</f>
        <v>4-2026</v>
      </c>
      <c r="S938" t="s">
        <v>104</v>
      </c>
      <c r="T938" t="str">
        <f>IF(WEEKDAY(C938)=1,"Sunday",IF(WEEKDAY(C938)=2,"Monday",IF(WEEKDAY(C938)=3,"Tuesday",IF(WEEKDAY(C938)=4,"Wednesday",IF(WEEKDAY(C938)=5,"Thursday",IF(WEEKDAY(C938)=6,"Friday","Saturday"))))))</f>
        <v>Thursday</v>
      </c>
      <c r="U938">
        <f>IF(E938&gt;=12,1,0)</f>
        <v>1</v>
      </c>
      <c r="V938" s="24">
        <f>IFERROR(Table2[[#This Row],[Gray Min]]/Table2[[#This Row],[ClassLength]],"")</f>
        <v>0.34426229508196721</v>
      </c>
      <c r="W938" s="24">
        <f>IFERROR(Table2[[#This Row],[Blue Min]]/Table2[[#This Row],[ClassLength]],"")</f>
        <v>0.22950819672131148</v>
      </c>
      <c r="X938" s="24">
        <f>IFERROR(Table2[[#This Row],[Green Min]]/Table2[[#This Row],[ClassLength]],"")</f>
        <v>0.21311475409836064</v>
      </c>
      <c r="Y938" s="24">
        <f>IFERROR(Table2[[#This Row],[Orange Min]]/Table2[[#This Row],[ClassLength]],"")</f>
        <v>0.16393442622950818</v>
      </c>
      <c r="Z938" s="24">
        <f>IFERROR(Table2[[#This Row],[Red Min]]/Table2[[#This Row],[ClassLength]],"")</f>
        <v>4.9180327868852458E-2</v>
      </c>
      <c r="AA938" s="25">
        <v>139</v>
      </c>
      <c r="AB938" s="25">
        <f>AA938/B938</f>
        <v>139</v>
      </c>
      <c r="AC938" s="26">
        <f>AVERAGEIF(R:R,R938,F:F)</f>
        <v>637</v>
      </c>
      <c r="AD938" s="26">
        <f>AVERAGEIF(R:R,R938,E:E)</f>
        <v>13</v>
      </c>
      <c r="AE938" s="38">
        <f>YEAR(C938)</f>
        <v>2026</v>
      </c>
      <c r="AG938">
        <v>12</v>
      </c>
      <c r="AH938" s="26">
        <f>F938/D938</f>
        <v>10.442622950819672</v>
      </c>
      <c r="AI938" s="38" t="str">
        <f>RIGHT(O938,2)</f>
        <v>PM</v>
      </c>
      <c r="AJ938" s="38" t="str">
        <f>R938&amp;"-"&amp;WEEKNUM(C938,1)-WEEKNUM(DATE(YEAR(C938),MONTH(C938),1),1)+1</f>
        <v>4-2026-1</v>
      </c>
      <c r="AK938" s="38">
        <f>MONTH(C938)</f>
        <v>4</v>
      </c>
      <c r="AL938" s="26">
        <f>IFERROR(Table2[[#This Row],[Calories]]/Table2[[#This Row],[Splat]],"")</f>
        <v>49</v>
      </c>
      <c r="AM938" s="38">
        <f>COUNTIF(N$2:$N$938,N938)</f>
        <v>258</v>
      </c>
      <c r="AN938" s="38" t="str">
        <f>VLOOKUP(N938,'Helpful Tables'!A:D,4,FALSE)</f>
        <v>Oregon</v>
      </c>
      <c r="AO938" s="24">
        <f>COUNTIF(AN:AN,Table2[[#This Row],[State]])/COUNTA(AN:AN)</f>
        <v>0.36140724946695096</v>
      </c>
      <c r="AP938">
        <f>VLOOKUP(N938,'Helpful Tables'!A:B,2,FALSE)</f>
        <v>45.534162000000002</v>
      </c>
      <c r="AQ938">
        <f>VLOOKUP(N938,'Helpful Tables'!A:C,3,FALSE)</f>
        <v>-122.69670000000001</v>
      </c>
      <c r="AR938" s="38">
        <f>COUNTIF(P$2:$P$938,P938)</f>
        <v>41</v>
      </c>
      <c r="AS938" cm="1">
        <f t="array" ref="AS938">_xlfn.IFS(E938&lt;6,((E938/D938)*60)*0.5,AND(E938&gt;=6,E938&lt;9),((E938/D938)*60)*0.75,AND(E938&gt;=9,E938&lt;=11),((E938/D938)*60)*0.9,AND(E938=12),((E938/D938)*60)*1,AND(E938&gt;=13,E938&lt;=15),((E938/D938)*60)*1.2,AND(E938&gt;=16,E938&lt;=19),((E938/D938)*60)*1.5,E938&gt;=20,((E938/D938)*60)*1.8)</f>
        <v>15.344262295081965</v>
      </c>
      <c r="AT938" cm="1">
        <f t="array" ref="AT938">_xlfn.IFS(F938&lt;550,((F938/D938)*60)*0.5,AND(F938&gt;=550,F938&lt;575),((F938/D938)*60)*0.75,AND(F938&gt;=575,F938&lt;600),((F938/D938)*60)*0.9,AND(F938=600),((F938/D938)*60)*1,AND(F938&gt;=601,F938&lt;=625),((F938/D938)*60)*1.2,AND(F938&gt;=626,F938&lt;=650),((F938/D938)*60)*1.5,F938&gt;=651,((F938/D938)*60)*1.8)</f>
        <v>939.8360655737705</v>
      </c>
      <c r="AU938">
        <f>(I938*-1.2)+(J938*-1.1)+(K938*1.2)+(L938*1.3)+(M938*1.5)</f>
        <v>-7.5</v>
      </c>
      <c r="AV938">
        <f>(AS938*0.4)+(AT938*0.4)+(AU938*0.2)</f>
        <v>380.57213114754103</v>
      </c>
      <c r="AW938">
        <f>PERCENTRANK(AV:AV,AV938)*100</f>
        <v>45.5</v>
      </c>
      <c r="AX938" s="38" t="str">
        <f>_xlfn.CONCAT(TEXT(C938,"mmm"),"-",AE938)</f>
        <v>Apr-2026</v>
      </c>
      <c r="AY938" s="38">
        <f>ROUNDUP(Table2[[#This Row],[Month]]/3,0)</f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77980-008A-A941-A958-650096A58AC7}">
  <dimension ref="A1:P133"/>
  <sheetViews>
    <sheetView workbookViewId="0">
      <selection activeCell="G15" sqref="G15"/>
    </sheetView>
  </sheetViews>
  <sheetFormatPr baseColWidth="10" defaultRowHeight="15" x14ac:dyDescent="0.2"/>
  <cols>
    <col min="1" max="1" width="28" bestFit="1" customWidth="1"/>
    <col min="2" max="3" width="11.1640625" bestFit="1" customWidth="1"/>
    <col min="4" max="4" width="13.5" bestFit="1" customWidth="1"/>
    <col min="7" max="7" width="21.1640625" bestFit="1" customWidth="1"/>
    <col min="8" max="8" width="10.6640625" bestFit="1" customWidth="1"/>
  </cols>
  <sheetData>
    <row r="1" spans="1:16" ht="16" thickBot="1" x14ac:dyDescent="0.25">
      <c r="A1" s="4" t="s">
        <v>1</v>
      </c>
      <c r="B1" t="s">
        <v>19</v>
      </c>
      <c r="C1" t="s">
        <v>20</v>
      </c>
      <c r="D1" t="s">
        <v>15</v>
      </c>
      <c r="E1" t="s">
        <v>272</v>
      </c>
      <c r="G1" t="s">
        <v>290</v>
      </c>
      <c r="I1" t="s">
        <v>270</v>
      </c>
      <c r="K1" t="s">
        <v>312</v>
      </c>
      <c r="N1" t="s">
        <v>280</v>
      </c>
      <c r="O1" t="s">
        <v>2</v>
      </c>
      <c r="P1" t="s">
        <v>272</v>
      </c>
    </row>
    <row r="2" spans="1:16" ht="16" thickTop="1" x14ac:dyDescent="0.2">
      <c r="A2" s="5" t="s">
        <v>24</v>
      </c>
      <c r="B2" s="8">
        <v>38.881884999999997</v>
      </c>
      <c r="C2" s="8">
        <v>-77.229702000000003</v>
      </c>
      <c r="D2" t="s">
        <v>27</v>
      </c>
      <c r="E2">
        <f>COUNTIF(Table2[Location],'Helpful Tables'!A2)</f>
        <v>35</v>
      </c>
      <c r="G2">
        <v>2019</v>
      </c>
      <c r="H2" t="s">
        <v>291</v>
      </c>
      <c r="I2" s="11" t="s">
        <v>269</v>
      </c>
      <c r="J2" s="14">
        <f>J8/J5</f>
        <v>0.7639751552795031</v>
      </c>
      <c r="K2" s="14" t="s">
        <v>269</v>
      </c>
      <c r="L2" s="14">
        <f>L8/L5</f>
        <v>0.7441860465116279</v>
      </c>
      <c r="N2">
        <f>ROW(A1)</f>
        <v>1</v>
      </c>
      <c r="O2" s="23" t="str" cm="1">
        <f t="array" ref="O2">IFERROR(INDEX(Table2[Trainer],MATCH(0,COUNTIF($O$1:O1,Table2[Trainer]),0)),"")</f>
        <v>Audrey</v>
      </c>
      <c r="P2">
        <f>COUNTIF(Table2[Trainer],'Helpful Tables'!O2)</f>
        <v>13</v>
      </c>
    </row>
    <row r="3" spans="1:16" x14ac:dyDescent="0.2">
      <c r="A3" s="6" t="s">
        <v>30</v>
      </c>
      <c r="B3" s="8">
        <v>38.894024999999999</v>
      </c>
      <c r="C3" s="8">
        <v>-77.078213000000005</v>
      </c>
      <c r="D3" t="s">
        <v>27</v>
      </c>
      <c r="E3">
        <f>COUNTIF(Table2[Location],'Helpful Tables'!A3)</f>
        <v>9</v>
      </c>
      <c r="G3">
        <v>2020</v>
      </c>
      <c r="H3">
        <v>2025</v>
      </c>
      <c r="I3" s="11" t="s">
        <v>12</v>
      </c>
      <c r="J3" s="14">
        <f>J6/J5</f>
        <v>0.86956521739130432</v>
      </c>
      <c r="K3" s="11" t="s">
        <v>12</v>
      </c>
      <c r="L3" s="14">
        <f>L6/L5</f>
        <v>0.81395348837209303</v>
      </c>
      <c r="N3">
        <f>ROW(A2)</f>
        <v>2</v>
      </c>
      <c r="O3" s="23" t="str" cm="1">
        <f t="array" ref="O3">IFERROR(INDEX(Table2[Trainer],MATCH(0,COUNTIF($O$1:O2,Table2[Trainer]),0)),"")</f>
        <v>Kandace</v>
      </c>
      <c r="P3">
        <f>COUNTIF(Table2[Trainer],'Helpful Tables'!O3)</f>
        <v>10</v>
      </c>
    </row>
    <row r="4" spans="1:16" x14ac:dyDescent="0.2">
      <c r="A4" s="7" t="s">
        <v>33</v>
      </c>
      <c r="B4" s="8">
        <v>38.916486999999996</v>
      </c>
      <c r="C4" s="8">
        <v>-77.031514000000001</v>
      </c>
      <c r="D4" t="s">
        <v>36</v>
      </c>
      <c r="E4">
        <f>COUNTIF(Table2[Location],'Helpful Tables'!A4)</f>
        <v>48</v>
      </c>
      <c r="G4">
        <v>2021</v>
      </c>
      <c r="I4" s="12" t="s">
        <v>13</v>
      </c>
      <c r="J4" s="13">
        <f>J7/J5</f>
        <v>0.78881987577639756</v>
      </c>
      <c r="K4" s="12" t="s">
        <v>13</v>
      </c>
      <c r="L4" s="13">
        <f>L7/L5</f>
        <v>0.81395348837209303</v>
      </c>
      <c r="N4">
        <f t="shared" ref="N4:N28" si="0">ROW(A3)</f>
        <v>3</v>
      </c>
      <c r="O4" s="23" t="str" cm="1">
        <f t="array" ref="O4">IFERROR(INDEX(Table2[Trainer],MATCH(0,COUNTIF($O$1:O3,Table2[Trainer]),0)),"")</f>
        <v>Kacie</v>
      </c>
      <c r="P4">
        <f>COUNTIF(Table2[Trainer],'Helpful Tables'!O4)</f>
        <v>2</v>
      </c>
    </row>
    <row r="5" spans="1:16" x14ac:dyDescent="0.2">
      <c r="A5" s="7" t="s">
        <v>40</v>
      </c>
      <c r="B5" s="8">
        <v>38.903509999999997</v>
      </c>
      <c r="C5" s="8">
        <v>-77.051809000000006</v>
      </c>
      <c r="D5" t="s">
        <v>36</v>
      </c>
      <c r="E5">
        <f>COUNTIF(Table2[Location],'Helpful Tables'!A5)</f>
        <v>38</v>
      </c>
      <c r="G5">
        <v>2022</v>
      </c>
      <c r="I5" t="s">
        <v>271</v>
      </c>
      <c r="J5">
        <f>COUNTIF(Data!AE:AE,H3)</f>
        <v>161</v>
      </c>
      <c r="K5" t="s">
        <v>271</v>
      </c>
      <c r="L5">
        <f>COUNTIF(Data!AE:AE,"2026")</f>
        <v>43</v>
      </c>
      <c r="N5">
        <f t="shared" si="0"/>
        <v>4</v>
      </c>
      <c r="O5" s="23" t="str" cm="1">
        <f t="array" ref="O5">IFERROR(INDEX(Table2[Trainer],MATCH(0,COUNTIF($O$1:O4,Table2[Trainer]),0)),"")</f>
        <v>Courtney1</v>
      </c>
      <c r="P5">
        <f>COUNTIF(Table2[Trainer],'Helpful Tables'!O5)</f>
        <v>1</v>
      </c>
    </row>
    <row r="6" spans="1:16" x14ac:dyDescent="0.2">
      <c r="A6" s="7" t="s">
        <v>51</v>
      </c>
      <c r="B6" s="8">
        <v>38.904280999999997</v>
      </c>
      <c r="C6" s="8">
        <v>-77.031495000000007</v>
      </c>
      <c r="D6" t="s">
        <v>36</v>
      </c>
      <c r="E6">
        <f>COUNTIF(Table2[Location],'Helpful Tables'!A6)</f>
        <v>3</v>
      </c>
      <c r="G6">
        <v>2023</v>
      </c>
      <c r="I6" s="27">
        <v>12</v>
      </c>
      <c r="J6">
        <f>COUNTIFS(Data!AE:AE,H3,Data!E:E,"&gt;=12")</f>
        <v>140</v>
      </c>
      <c r="K6" s="27">
        <v>12</v>
      </c>
      <c r="L6">
        <f>COUNTIFS(Data!AE:AE,"2026",Data!E:E,"&gt;=12")</f>
        <v>35</v>
      </c>
      <c r="N6">
        <f t="shared" si="0"/>
        <v>5</v>
      </c>
      <c r="O6" s="23" t="str" cm="1">
        <f t="array" ref="O6">IFERROR(INDEX(Table2[Trainer],MATCH(0,COUNTIF($O$1:O5,Table2[Trainer]),0)),"")</f>
        <v>Tiffany</v>
      </c>
      <c r="P6">
        <f>COUNTIF(Table2[Trainer],'Helpful Tables'!O6)</f>
        <v>30</v>
      </c>
    </row>
    <row r="7" spans="1:16" x14ac:dyDescent="0.2">
      <c r="A7" s="6" t="s">
        <v>55</v>
      </c>
      <c r="B7" s="8">
        <v>38.901815999999997</v>
      </c>
      <c r="C7" s="8">
        <v>-77.017055999999997</v>
      </c>
      <c r="D7" t="s">
        <v>36</v>
      </c>
      <c r="E7">
        <f>COUNTIF(Table2[Location],'Helpful Tables'!A7)</f>
        <v>3</v>
      </c>
      <c r="G7">
        <v>2024</v>
      </c>
      <c r="I7" s="27">
        <v>600</v>
      </c>
      <c r="J7">
        <f>COUNTIFS(Data!AE:AE,H3,Data!F:F,"&gt;=600")</f>
        <v>127</v>
      </c>
      <c r="K7" s="27">
        <v>600</v>
      </c>
      <c r="L7">
        <f>COUNTIFS(Data!AE:AE,"2026",Data!F:F,"&gt;=600")</f>
        <v>35</v>
      </c>
      <c r="N7">
        <f t="shared" si="0"/>
        <v>6</v>
      </c>
      <c r="O7" s="23" t="str" cm="1">
        <f t="array" ref="O7">IFERROR(INDEX(Table2[Trainer],MATCH(0,COUNTIF($O$1:O6,Table2[Trainer]),0)),"")</f>
        <v>Demi</v>
      </c>
      <c r="P7">
        <f>COUNTIF(Table2[Trainer],'Helpful Tables'!O7)</f>
        <v>12</v>
      </c>
    </row>
    <row r="8" spans="1:16" x14ac:dyDescent="0.2">
      <c r="A8" s="7" t="s">
        <v>60</v>
      </c>
      <c r="B8" s="8">
        <v>38.879828000000003</v>
      </c>
      <c r="C8" s="8">
        <v>-77.005566000000002</v>
      </c>
      <c r="D8" t="s">
        <v>36</v>
      </c>
      <c r="E8">
        <f>COUNTIF(Table2[Location],'Helpful Tables'!A8)</f>
        <v>10</v>
      </c>
      <c r="G8">
        <v>2025</v>
      </c>
      <c r="I8" t="s">
        <v>269</v>
      </c>
      <c r="J8">
        <f>COUNTIFS(Data!AE:AE,H3,Data!F:F,"&gt;=600",Data!E:E,"&gt;=12")</f>
        <v>123</v>
      </c>
      <c r="K8" t="s">
        <v>269</v>
      </c>
      <c r="L8">
        <f>COUNTIFS(Data!AE:AE,"2026",Data!F:F,"&gt;=600",Data!E:E,"&gt;=12")</f>
        <v>32</v>
      </c>
      <c r="N8">
        <f t="shared" si="0"/>
        <v>7</v>
      </c>
      <c r="O8" s="23" t="str" cm="1">
        <f t="array" ref="O8">IFERROR(INDEX(Table2[Trainer],MATCH(0,COUNTIF($O$1:O7,Table2[Trainer]),0)),"")</f>
        <v>Damani</v>
      </c>
      <c r="P8">
        <f>COUNTIF(Table2[Trainer],'Helpful Tables'!O8)</f>
        <v>20</v>
      </c>
    </row>
    <row r="9" spans="1:16" x14ac:dyDescent="0.2">
      <c r="A9" s="6" t="s">
        <v>77</v>
      </c>
      <c r="B9" s="8">
        <v>40.724210999999997</v>
      </c>
      <c r="C9" s="8">
        <v>-74.036191000000002</v>
      </c>
      <c r="D9" t="s">
        <v>80</v>
      </c>
      <c r="E9">
        <f>COUNTIF(Table2[Location],'Helpful Tables'!A9)</f>
        <v>2</v>
      </c>
      <c r="N9">
        <f t="shared" si="0"/>
        <v>8</v>
      </c>
      <c r="O9" s="23" t="str" cm="1">
        <f t="array" ref="O9">IFERROR(INDEX(Table2[Trainer],MATCH(0,COUNTIF($O$1:O8,Table2[Trainer]),0)),"")</f>
        <v>Chuck</v>
      </c>
      <c r="P9">
        <f>COUNTIF(Table2[Trainer],'Helpful Tables'!O9)</f>
        <v>1</v>
      </c>
    </row>
    <row r="10" spans="1:16" x14ac:dyDescent="0.2">
      <c r="A10" s="6" t="s">
        <v>85</v>
      </c>
      <c r="B10" s="8">
        <v>38.915415000000003</v>
      </c>
      <c r="C10" s="8">
        <v>-77.067172999999997</v>
      </c>
      <c r="D10" t="s">
        <v>36</v>
      </c>
      <c r="E10">
        <f>COUNTIF(Table2[Location],'Helpful Tables'!A10)</f>
        <v>4</v>
      </c>
      <c r="N10">
        <f t="shared" si="0"/>
        <v>9</v>
      </c>
      <c r="O10" s="23" t="str" cm="1">
        <f t="array" ref="O10">IFERROR(INDEX(Table2[Trainer],MATCH(0,COUNTIF($O$1:O9,Table2[Trainer]),0)),"")</f>
        <v>Phil</v>
      </c>
      <c r="P10">
        <f>COUNTIF(Table2[Trainer],'Helpful Tables'!O10)</f>
        <v>1</v>
      </c>
    </row>
    <row r="11" spans="1:16" x14ac:dyDescent="0.2">
      <c r="A11" s="7" t="s">
        <v>91</v>
      </c>
      <c r="B11" s="8">
        <v>38.934710000000003</v>
      </c>
      <c r="C11" s="8">
        <v>-77.058222999999998</v>
      </c>
      <c r="D11" t="s">
        <v>36</v>
      </c>
      <c r="E11">
        <f>COUNTIF(Table2[Location],'Helpful Tables'!A11)</f>
        <v>218</v>
      </c>
      <c r="N11">
        <f t="shared" si="0"/>
        <v>10</v>
      </c>
      <c r="O11" s="23" t="str" cm="1">
        <f t="array" ref="O11">IFERROR(INDEX(Table2[Trainer],MATCH(0,COUNTIF($O$1:O10,Table2[Trainer]),0)),"")</f>
        <v>Ash</v>
      </c>
      <c r="P11">
        <f>COUNTIF(Table2[Trainer],'Helpful Tables'!O11)</f>
        <v>1</v>
      </c>
    </row>
    <row r="12" spans="1:16" x14ac:dyDescent="0.2">
      <c r="A12" s="6" t="s">
        <v>101</v>
      </c>
      <c r="B12" s="8">
        <v>38.949649000000001</v>
      </c>
      <c r="C12" s="8">
        <v>-77.080878999999996</v>
      </c>
      <c r="D12" t="s">
        <v>36</v>
      </c>
      <c r="E12">
        <f>COUNTIF(Table2[Location],'Helpful Tables'!A12)</f>
        <v>191</v>
      </c>
      <c r="N12">
        <f t="shared" si="0"/>
        <v>11</v>
      </c>
      <c r="O12" s="23" t="str" cm="1">
        <f t="array" ref="O12">IFERROR(INDEX(Table2[Trainer],MATCH(0,COUNTIF($O$1:O11,Table2[Trainer]),0)),"")</f>
        <v>Erich</v>
      </c>
      <c r="P12">
        <f>COUNTIF(Table2[Trainer],'Helpful Tables'!O12)</f>
        <v>1</v>
      </c>
    </row>
    <row r="13" spans="1:16" x14ac:dyDescent="0.2">
      <c r="A13" s="7" t="s">
        <v>111</v>
      </c>
      <c r="B13" s="8">
        <v>42.383611000000002</v>
      </c>
      <c r="C13" s="8">
        <v>-71.181432999999998</v>
      </c>
      <c r="D13" t="s">
        <v>115</v>
      </c>
      <c r="E13">
        <f>COUNTIF(Table2[Location],'Helpful Tables'!A13)</f>
        <v>3</v>
      </c>
      <c r="H13" t="s">
        <v>284</v>
      </c>
      <c r="N13">
        <f t="shared" si="0"/>
        <v>12</v>
      </c>
      <c r="O13" s="23" t="str" cm="1">
        <f t="array" ref="O13">IFERROR(INDEX(Table2[Trainer],MATCH(0,COUNTIF($O$1:O12,Table2[Trainer]),0)),"")</f>
        <v>Rachel1</v>
      </c>
      <c r="P13">
        <f>COUNTIF(Table2[Trainer],'Helpful Tables'!O13)</f>
        <v>1</v>
      </c>
    </row>
    <row r="14" spans="1:16" x14ac:dyDescent="0.2">
      <c r="A14" s="6" t="s">
        <v>121</v>
      </c>
      <c r="B14" s="8">
        <v>41.370860999999998</v>
      </c>
      <c r="C14" s="8">
        <v>-72.915813999999997</v>
      </c>
      <c r="D14" t="s">
        <v>123</v>
      </c>
      <c r="E14">
        <f>COUNTIF(Table2[Location],'Helpful Tables'!A14)</f>
        <v>2</v>
      </c>
      <c r="I14" t="s">
        <v>10</v>
      </c>
      <c r="J14" t="s">
        <v>11</v>
      </c>
      <c r="K14" t="s">
        <v>286</v>
      </c>
      <c r="L14" s="28" t="s">
        <v>287</v>
      </c>
      <c r="M14" t="s">
        <v>285</v>
      </c>
      <c r="N14">
        <f t="shared" si="0"/>
        <v>13</v>
      </c>
      <c r="O14" s="23" t="str" cm="1">
        <f t="array" ref="O14">IFERROR(INDEX(Table2[Trainer],MATCH(0,COUNTIF($O$1:O13,Table2[Trainer]),0)),"")</f>
        <v>Abbey</v>
      </c>
      <c r="P14">
        <f>COUNTIF(Table2[Trainer],'Helpful Tables'!O14)</f>
        <v>1</v>
      </c>
    </row>
    <row r="15" spans="1:16" x14ac:dyDescent="0.2">
      <c r="A15" s="6" t="s">
        <v>125</v>
      </c>
      <c r="B15" s="8">
        <v>45.534162000000002</v>
      </c>
      <c r="C15" s="8">
        <v>-122.69670000000001</v>
      </c>
      <c r="D15" t="s">
        <v>129</v>
      </c>
      <c r="E15">
        <f>COUNTIF(Table2[Location],'Helpful Tables'!A15)</f>
        <v>258</v>
      </c>
      <c r="H15" s="29">
        <v>45911</v>
      </c>
      <c r="I15" s="30">
        <f>AVERAGEIFS(Table2[Max HR],Table2[Splat],13,Table2[Year],2025,Table2[Date],"&lt;"&amp;$H$15)</f>
        <v>164.76923076923077</v>
      </c>
      <c r="J15" s="30">
        <f>AVERAGEIFS(Table2[Avg HR],Table2[Splat],13,Table2[Year],2025,Table2[Date],"&lt;"&amp;$H$15)</f>
        <v>123.15384615384616</v>
      </c>
      <c r="K15" s="30">
        <f>AVERAGEIFS(Table2[Gray Min],Table2[Splat],13,Table2[Year],2025,Table2[Date],"&lt;"&amp;$H$15)</f>
        <v>15.846153846153847</v>
      </c>
      <c r="L15" s="30">
        <f>AVERAGEIFS(Table2[Blue Min],Table2[Splat],13,Table2[Year],2025,Table2[Date],"&lt;"&amp;$H$15)</f>
        <v>16.384615384615383</v>
      </c>
      <c r="M15" s="30">
        <f>AVERAGEIFS(Table2[Green Min],Table2[Splat],13,Table2[Year],2025,Table2[Date],"&lt;"&amp;$H$15)</f>
        <v>13.615384615384615</v>
      </c>
      <c r="N15">
        <f t="shared" si="0"/>
        <v>14</v>
      </c>
      <c r="O15" s="23" t="str" cm="1">
        <f t="array" ref="O15">IFERROR(INDEX(Table2[Trainer],MATCH(0,COUNTIF($O$1:O14,Table2[Trainer]),0)),"")</f>
        <v>Joe</v>
      </c>
      <c r="P15">
        <f>COUNTIF(Table2[Trainer],'Helpful Tables'!O15)</f>
        <v>9</v>
      </c>
    </row>
    <row r="16" spans="1:16" x14ac:dyDescent="0.2">
      <c r="A16" s="6" t="s">
        <v>138</v>
      </c>
      <c r="B16" s="8">
        <v>42.350487000000001</v>
      </c>
      <c r="C16" s="8">
        <v>-71.152720000000002</v>
      </c>
      <c r="D16" t="s">
        <v>115</v>
      </c>
      <c r="E16">
        <f>COUNTIF(Table2[Location],'Helpful Tables'!A16)</f>
        <v>11</v>
      </c>
      <c r="H16" s="31"/>
      <c r="I16" s="30"/>
      <c r="J16" s="30"/>
      <c r="K16" s="30"/>
      <c r="L16" s="30"/>
      <c r="M16" s="30"/>
      <c r="N16">
        <f t="shared" si="0"/>
        <v>15</v>
      </c>
      <c r="O16" s="23" t="str" cm="1">
        <f t="array" ref="O16">IFERROR(INDEX(Table2[Trainer],MATCH(0,COUNTIF($O$1:O15,Table2[Trainer]),0)),"")</f>
        <v>Ron</v>
      </c>
      <c r="P16">
        <f>COUNTIF(Table2[Trainer],'Helpful Tables'!O16)</f>
        <v>2</v>
      </c>
    </row>
    <row r="17" spans="1:16" x14ac:dyDescent="0.2">
      <c r="A17" s="6" t="s">
        <v>149</v>
      </c>
      <c r="B17" s="8">
        <v>38.643540000000002</v>
      </c>
      <c r="C17" s="8">
        <v>-90.261263999999997</v>
      </c>
      <c r="D17" t="s">
        <v>151</v>
      </c>
      <c r="E17">
        <f>COUNTIF(Table2[Location],'Helpful Tables'!A17)</f>
        <v>1</v>
      </c>
      <c r="I17" s="36"/>
      <c r="N17">
        <f t="shared" si="0"/>
        <v>16</v>
      </c>
      <c r="O17" s="23" t="str" cm="1">
        <f t="array" ref="O17">IFERROR(INDEX(Table2[Trainer],MATCH(0,COUNTIF($O$1:O16,Table2[Trainer]),0)),"")</f>
        <v>Myke</v>
      </c>
      <c r="P17">
        <f>COUNTIF(Table2[Trainer],'Helpful Tables'!O17)</f>
        <v>1</v>
      </c>
    </row>
    <row r="18" spans="1:16" x14ac:dyDescent="0.2">
      <c r="A18" s="7" t="s">
        <v>152</v>
      </c>
      <c r="B18" s="8">
        <v>36.152177000000002</v>
      </c>
      <c r="C18" s="8">
        <v>-86.793220000000005</v>
      </c>
      <c r="D18" t="s">
        <v>154</v>
      </c>
      <c r="E18">
        <f>COUNTIF(Table2[Location],'Helpful Tables'!A18)</f>
        <v>1</v>
      </c>
      <c r="N18">
        <f t="shared" si="0"/>
        <v>17</v>
      </c>
      <c r="O18" s="23" t="str" cm="1">
        <f t="array" ref="O18">IFERROR(INDEX(Table2[Trainer],MATCH(0,COUNTIF($O$1:O17,Table2[Trainer]),0)),"")</f>
        <v>Marcus</v>
      </c>
      <c r="P18">
        <f>COUNTIF(Table2[Trainer],'Helpful Tables'!O18)</f>
        <v>8</v>
      </c>
    </row>
    <row r="19" spans="1:16" x14ac:dyDescent="0.2">
      <c r="A19" s="7" t="s">
        <v>156</v>
      </c>
      <c r="B19" s="8">
        <v>32.752273000000002</v>
      </c>
      <c r="C19" s="8">
        <v>-97.354583000000005</v>
      </c>
      <c r="D19" t="s">
        <v>158</v>
      </c>
      <c r="E19">
        <f>COUNTIF(Table2[Location],'Helpful Tables'!A19)</f>
        <v>1</v>
      </c>
      <c r="N19">
        <f t="shared" si="0"/>
        <v>18</v>
      </c>
      <c r="O19" s="23" t="str" cm="1">
        <f t="array" ref="O19">IFERROR(INDEX(Table2[Trainer],MATCH(0,COUNTIF($O$1:O18,Table2[Trainer]),0)),"")</f>
        <v>Robin</v>
      </c>
      <c r="P19">
        <f>COUNTIF(Table2[Trainer],'Helpful Tables'!O19)</f>
        <v>1</v>
      </c>
    </row>
    <row r="20" spans="1:16" x14ac:dyDescent="0.2">
      <c r="A20" s="7" t="s">
        <v>160</v>
      </c>
      <c r="B20" s="8">
        <v>38.880467000000003</v>
      </c>
      <c r="C20" s="8">
        <v>-77.111583999999993</v>
      </c>
      <c r="D20" t="s">
        <v>27</v>
      </c>
      <c r="E20">
        <f>COUNTIF(Table2[Location],'Helpful Tables'!A20)</f>
        <v>9</v>
      </c>
      <c r="G20">
        <v>2026</v>
      </c>
      <c r="H20" t="s">
        <v>13</v>
      </c>
      <c r="I20" t="s">
        <v>12</v>
      </c>
      <c r="J20" t="s">
        <v>307</v>
      </c>
      <c r="N20">
        <f t="shared" si="0"/>
        <v>19</v>
      </c>
      <c r="O20" s="23" t="str" cm="1">
        <f t="array" ref="O20">IFERROR(INDEX(Table2[Trainer],MATCH(0,COUNTIF($O$1:O19,Table2[Trainer]),0)),"")</f>
        <v>Kenna</v>
      </c>
      <c r="P20">
        <f>COUNTIF(Table2[Trainer],'Helpful Tables'!O20)</f>
        <v>1</v>
      </c>
    </row>
    <row r="21" spans="1:16" x14ac:dyDescent="0.2">
      <c r="A21" s="7" t="s">
        <v>162</v>
      </c>
      <c r="B21" s="8">
        <v>38.989806999999999</v>
      </c>
      <c r="C21" s="8">
        <v>-77.096371000000005</v>
      </c>
      <c r="D21" t="s">
        <v>164</v>
      </c>
      <c r="E21">
        <f>COUNTIF(Table2[Location],'Helpful Tables'!A21)</f>
        <v>5</v>
      </c>
      <c r="G21" t="s">
        <v>305</v>
      </c>
      <c r="H21" s="32">
        <f ca="1">SUMIFS(Table2[Calories],Table2[Date],"&gt;="&amp;DATE(2026,1,1),Table2[Date],"&lt;="&amp;TODAY())</f>
        <v>27254</v>
      </c>
      <c r="I21" s="32">
        <f ca="1">SUMIFS(Table2[Splat],Table2[Date],"&gt;="&amp;DATE(2026,1,1),Table2[Date],"&lt;="&amp;TODAY())</f>
        <v>552</v>
      </c>
      <c r="J21" s="32">
        <f ca="1">COUNTIFS(Table2[Date],"&gt;="&amp;DATE(2026,1,1),
          Table2[Date],"&lt;="&amp;TODAY())</f>
        <v>43</v>
      </c>
      <c r="N21">
        <f t="shared" si="0"/>
        <v>20</v>
      </c>
      <c r="O21" s="23" t="str" cm="1">
        <f t="array" ref="O21">IFERROR(INDEX(Table2[Trainer],MATCH(0,COUNTIF($O$1:O20,Table2[Trainer]),0)),"")</f>
        <v>Georgia</v>
      </c>
      <c r="P21">
        <f>COUNTIF(Table2[Trainer],'Helpful Tables'!O21)</f>
        <v>2</v>
      </c>
    </row>
    <row r="22" spans="1:16" x14ac:dyDescent="0.2">
      <c r="A22" s="6" t="s">
        <v>194</v>
      </c>
      <c r="B22" s="8">
        <v>42.366121999999997</v>
      </c>
      <c r="C22" s="8">
        <v>-71.082223999999997</v>
      </c>
      <c r="D22" t="s">
        <v>115</v>
      </c>
      <c r="E22">
        <f>COUNTIF(Table2[Location],'Helpful Tables'!A22)</f>
        <v>2</v>
      </c>
      <c r="G22">
        <v>2025</v>
      </c>
      <c r="H22" t="s">
        <v>13</v>
      </c>
      <c r="I22" t="s">
        <v>12</v>
      </c>
      <c r="J22" t="s">
        <v>307</v>
      </c>
      <c r="N22">
        <f t="shared" si="0"/>
        <v>21</v>
      </c>
      <c r="O22" s="23" t="str" cm="1">
        <f t="array" ref="O22">IFERROR(INDEX(Table2[Trainer],MATCH(0,COUNTIF($O$1:O21,Table2[Trainer]),0)),"")</f>
        <v>Kara</v>
      </c>
      <c r="P22">
        <f>COUNTIF(Table2[Trainer],'Helpful Tables'!O22)</f>
        <v>5</v>
      </c>
    </row>
    <row r="23" spans="1:16" x14ac:dyDescent="0.2">
      <c r="A23" s="7" t="s">
        <v>197</v>
      </c>
      <c r="B23" s="8">
        <v>45.516534</v>
      </c>
      <c r="C23" s="8">
        <v>-122.656554</v>
      </c>
      <c r="D23" t="s">
        <v>129</v>
      </c>
      <c r="E23">
        <f>COUNTIF(Table2[Location],'Helpful Tables'!A23)</f>
        <v>1</v>
      </c>
      <c r="G23" t="s">
        <v>305</v>
      </c>
      <c r="H23" s="32">
        <f ca="1">SUMIFS(Table2[Calories],
        Table2[Date],"&gt;="&amp;DATE(2025,1,1),
        Table2[Date],"&lt;="&amp;EDATE(TODAY(),-12))</f>
        <v>28301</v>
      </c>
      <c r="I23" s="32">
        <f ca="1">SUMIFS(Table2[Splat],
        Table2[Date],"&gt;="&amp;DATE(2025,1,1),
        Table2[Date],"&lt;="&amp;EDATE(TODAY(),-12))</f>
        <v>633</v>
      </c>
      <c r="J23" s="32">
        <f ca="1">COUNTIFS(Table2[Date],"&gt;="&amp;DATE(2025,1,1),
          Table2[Date],"&lt;="&amp;EDATE(TODAY(),-12))</f>
        <v>45</v>
      </c>
      <c r="N23">
        <f t="shared" si="0"/>
        <v>22</v>
      </c>
      <c r="O23" s="23" t="str" cm="1">
        <f t="array" ref="O23">IFERROR(INDEX(Table2[Trainer],MATCH(0,COUNTIF($O$1:O22,Table2[Trainer]),0)),"")</f>
        <v>Darrell</v>
      </c>
      <c r="P23">
        <f>COUNTIF(Table2[Trainer],'Helpful Tables'!O23)</f>
        <v>4</v>
      </c>
    </row>
    <row r="24" spans="1:16" x14ac:dyDescent="0.2">
      <c r="A24" s="6" t="s">
        <v>200</v>
      </c>
      <c r="B24" s="8">
        <v>45.496763000000001</v>
      </c>
      <c r="C24" s="8">
        <v>-122.669736</v>
      </c>
      <c r="D24" t="s">
        <v>129</v>
      </c>
      <c r="E24">
        <f>COUNTIF(Table2[Location],'Helpful Tables'!A24)</f>
        <v>1</v>
      </c>
      <c r="G24" t="s">
        <v>306</v>
      </c>
      <c r="H24" s="32" cm="1">
        <f t="array" aca="1" ref="H24" ca="1">SUMIFS(Table2[Calories],Table2[Year],2025,
        Table2[Date],"&lt;="&amp;
        SMALL(IF(Table2[Year]=2025,Table2[Date]),J21))</f>
        <v>26979</v>
      </c>
      <c r="I24" s="32" cm="1">
        <f t="array" aca="1" ref="I24" ca="1">SUMIFS(Table2[Splat],Table2[Year],2025,
        Table2[Date],"&lt;="&amp;
        SMALL(IF(Table2[Year]=2025,Table2[Date]),J21))</f>
        <v>605</v>
      </c>
      <c r="J24" s="32"/>
      <c r="L24" s="33"/>
      <c r="N24">
        <f t="shared" si="0"/>
        <v>23</v>
      </c>
      <c r="O24" s="23" t="str" cm="1">
        <f t="array" ref="O24">IFERROR(INDEX(Table2[Trainer],MATCH(0,COUNTIF($O$1:O23,Table2[Trainer]),0)),"")</f>
        <v>Luke</v>
      </c>
      <c r="P24">
        <f>COUNTIF(Table2[Trainer],'Helpful Tables'!O24)</f>
        <v>3</v>
      </c>
    </row>
    <row r="25" spans="1:16" x14ac:dyDescent="0.2">
      <c r="A25" s="7" t="s">
        <v>208</v>
      </c>
      <c r="B25" s="8">
        <v>45.525092999999998</v>
      </c>
      <c r="C25" s="8">
        <v>-122.681383</v>
      </c>
      <c r="D25" t="s">
        <v>129</v>
      </c>
      <c r="E25">
        <f>COUNTIF(Table2[Location],'Helpful Tables'!A25)</f>
        <v>78</v>
      </c>
      <c r="G25" t="s">
        <v>308</v>
      </c>
      <c r="H25" s="32" cm="1">
        <f t="array" aca="1" ref="H25" ca="1">SUMPRODUCT((COUNTIFS(Table2[Year],Table2[Year],Table2[Date],"&lt;="&amp;Table2[Date])&lt;=J$21)*Table2[Calories])
/SUMPRODUCT((COUNTIFS(Table2[Year],Table2[Year],Table2[Date],"&lt;="&amp;Table2[Date])=1)*1)</f>
        <v>26521</v>
      </c>
      <c r="I25" s="32" cm="1">
        <f t="array" aca="1" ref="I25" ca="1">SUMPRODUCT((COUNTIFS(Table2[Year],Table2[Year],Table2[Date],"&lt;="&amp;Table2[Date])&lt;=J$21)*Table2[Splat])
/SUMPRODUCT((COUNTIFS(Table2[Year],Table2[Year],Table2[Date],"&lt;="&amp;Table2[Date])=1)*1)</f>
        <v>569.375</v>
      </c>
      <c r="J25" s="32"/>
      <c r="N25">
        <f t="shared" si="0"/>
        <v>24</v>
      </c>
      <c r="O25" s="23" t="str" cm="1">
        <f t="array" ref="O25">IFERROR(INDEX(Table2[Trainer],MATCH(0,COUNTIF($O$1:O24,Table2[Trainer]),0)),"")</f>
        <v>Madison</v>
      </c>
      <c r="P25">
        <f>COUNTIF(Table2[Trainer],'Helpful Tables'!O25)</f>
        <v>1</v>
      </c>
    </row>
    <row r="26" spans="1:16" x14ac:dyDescent="0.2">
      <c r="A26" s="6" t="s">
        <v>228</v>
      </c>
      <c r="B26" s="8">
        <v>45.679749999999999</v>
      </c>
      <c r="C26" s="8">
        <v>-122.667</v>
      </c>
      <c r="D26" t="s">
        <v>229</v>
      </c>
      <c r="E26">
        <f>COUNTIF(Table2[Location],'Helpful Tables'!A26)</f>
        <v>1</v>
      </c>
      <c r="N26">
        <f t="shared" si="0"/>
        <v>25</v>
      </c>
      <c r="O26" s="23" t="str" cm="1">
        <f t="array" ref="O26">IFERROR(INDEX(Table2[Trainer],MATCH(0,COUNTIF($O$1:O25,Table2[Trainer]),0)),"")</f>
        <v>Shayna</v>
      </c>
      <c r="P26">
        <f>COUNTIF(Table2[Trainer],'Helpful Tables'!O26)</f>
        <v>2</v>
      </c>
    </row>
    <row r="27" spans="1:16" x14ac:dyDescent="0.2">
      <c r="A27" s="7" t="s">
        <v>232</v>
      </c>
      <c r="B27" s="8">
        <v>45.617420000000003</v>
      </c>
      <c r="C27" s="8">
        <v>-122.47685799999999</v>
      </c>
      <c r="D27" t="s">
        <v>229</v>
      </c>
      <c r="E27">
        <f>COUNTIF(Table2[Location],'Helpful Tables'!A27)</f>
        <v>1</v>
      </c>
      <c r="H27" t="s">
        <v>13</v>
      </c>
      <c r="I27" t="s">
        <v>12</v>
      </c>
      <c r="J27" t="s">
        <v>307</v>
      </c>
      <c r="N27">
        <f t="shared" si="0"/>
        <v>26</v>
      </c>
      <c r="O27" s="23" t="str" cm="1">
        <f t="array" ref="O27">IFERROR(INDEX(Table2[Trainer],MATCH(0,COUNTIF($O$1:O26,Table2[Trainer]),0)),"")</f>
        <v>Dwayne</v>
      </c>
      <c r="P27">
        <f>COUNTIF(Table2[Trainer],'Helpful Tables'!O27)</f>
        <v>2</v>
      </c>
    </row>
    <row r="28" spans="1:16" x14ac:dyDescent="0.2">
      <c r="A28" s="35" t="s">
        <v>297</v>
      </c>
      <c r="B28" s="8">
        <v>45.496704000000001</v>
      </c>
      <c r="C28" s="8">
        <v>-122.626322</v>
      </c>
      <c r="D28" t="s">
        <v>129</v>
      </c>
      <c r="E28">
        <f>COUNTIF(Table2[Location],'Helpful Tables'!A28)</f>
        <v>1</v>
      </c>
      <c r="G28" t="s">
        <v>309</v>
      </c>
      <c r="H28" s="24">
        <f ca="1">H21/H23</f>
        <v>0.96300484081834559</v>
      </c>
      <c r="I28" s="24">
        <f ca="1">I21/I23</f>
        <v>0.87203791469194314</v>
      </c>
      <c r="J28" s="24">
        <f ca="1">J21/J23</f>
        <v>0.9555555555555556</v>
      </c>
      <c r="N28">
        <f t="shared" si="0"/>
        <v>27</v>
      </c>
      <c r="O28" s="23" t="str" cm="1">
        <f t="array" ref="O28">IFERROR(INDEX(Table2[Trainer],MATCH(0,COUNTIF($O$1:O27,Table2[Trainer]),0)),"")</f>
        <v>Herlentz</v>
      </c>
      <c r="P28">
        <f>COUNTIF(Table2[Trainer],'Helpful Tables'!O28)</f>
        <v>2</v>
      </c>
    </row>
    <row r="29" spans="1:16" x14ac:dyDescent="0.2">
      <c r="G29" t="s">
        <v>310</v>
      </c>
      <c r="H29" s="24">
        <f ca="1">H21/H24</f>
        <v>1.0101931131620889</v>
      </c>
      <c r="I29" s="24">
        <f ca="1">I21/I24</f>
        <v>0.91239669421487601</v>
      </c>
      <c r="N29">
        <f t="shared" ref="N29:N67" si="1">ROW(A29)</f>
        <v>29</v>
      </c>
      <c r="O29" s="23" t="str" cm="1">
        <f t="array" ref="O29">IFERROR(INDEX(Table2[Trainer],MATCH(0,COUNTIF($O$1:O28,Table2[Trainer]),0)),"")</f>
        <v>Micha</v>
      </c>
      <c r="P29">
        <f>COUNTIF(Table2[Trainer],'Helpful Tables'!O29)</f>
        <v>1</v>
      </c>
    </row>
    <row r="30" spans="1:16" x14ac:dyDescent="0.2">
      <c r="A30" t="s">
        <v>17</v>
      </c>
      <c r="B30" t="s">
        <v>272</v>
      </c>
      <c r="G30" t="s">
        <v>311</v>
      </c>
      <c r="H30" s="24">
        <f ca="1">H21/H25</f>
        <v>1.0276384751706196</v>
      </c>
      <c r="I30" s="24">
        <f ca="1">I21/I25</f>
        <v>0.96948408342480785</v>
      </c>
      <c r="N30">
        <f t="shared" si="1"/>
        <v>30</v>
      </c>
      <c r="O30" s="23" t="str" cm="1">
        <f t="array" ref="O30">IFERROR(INDEX(Table2[Trainer],MATCH(0,COUNTIF($O$1:O29,Table2[Trainer]),0)),"")</f>
        <v>Rachel2</v>
      </c>
      <c r="P30">
        <f>COUNTIF(Table2[Trainer],'Helpful Tables'!O30)</f>
        <v>3</v>
      </c>
    </row>
    <row r="31" spans="1:16" x14ac:dyDescent="0.2">
      <c r="A31" t="s">
        <v>273</v>
      </c>
      <c r="B31">
        <f>COUNTIF(Table2[Weekday],'Helpful Tables'!A31)</f>
        <v>118</v>
      </c>
      <c r="C31" s="24">
        <f>B31/$B$38</f>
        <v>0.12593383137673425</v>
      </c>
      <c r="N31">
        <f t="shared" si="1"/>
        <v>31</v>
      </c>
      <c r="O31" s="23" t="str" cm="1">
        <f t="array" ref="O31">IFERROR(INDEX(Table2[Trainer],MATCH(0,COUNTIF($O$1:O30,Table2[Trainer]),0)),"")</f>
        <v>Jenn</v>
      </c>
      <c r="P31">
        <f>COUNTIF(Table2[Trainer],'Helpful Tables'!O31)</f>
        <v>1</v>
      </c>
    </row>
    <row r="32" spans="1:16" x14ac:dyDescent="0.2">
      <c r="A32" t="s">
        <v>274</v>
      </c>
      <c r="B32">
        <f>COUNTIF(Table2[Weekday],'Helpful Tables'!A32)</f>
        <v>139</v>
      </c>
      <c r="C32" s="24">
        <f t="shared" ref="C32:C37" si="2">B32/$B$38</f>
        <v>0.14834578441835647</v>
      </c>
      <c r="N32">
        <f t="shared" si="1"/>
        <v>32</v>
      </c>
      <c r="O32" s="23" t="str" cm="1">
        <f t="array" ref="O32">IFERROR(INDEX(Table2[Trainer],MATCH(0,COUNTIF($O$1:O31,Table2[Trainer]),0)),"")</f>
        <v>Gabi</v>
      </c>
      <c r="P32">
        <f>COUNTIF(Table2[Trainer],'Helpful Tables'!O32)</f>
        <v>1</v>
      </c>
    </row>
    <row r="33" spans="1:16" x14ac:dyDescent="0.2">
      <c r="A33" t="s">
        <v>275</v>
      </c>
      <c r="B33">
        <f>COUNTIF(Table2[Weekday],'Helpful Tables'!A33)</f>
        <v>142</v>
      </c>
      <c r="C33" s="24">
        <f t="shared" si="2"/>
        <v>0.15154749199573106</v>
      </c>
      <c r="N33">
        <f t="shared" si="1"/>
        <v>33</v>
      </c>
      <c r="O33" s="23" t="str" cm="1">
        <f t="array" ref="O33">IFERROR(INDEX(Table2[Trainer],MATCH(0,COUNTIF($O$1:O32,Table2[Trainer]),0)),"")</f>
        <v>Eva</v>
      </c>
      <c r="P33">
        <f>COUNTIF(Table2[Trainer],'Helpful Tables'!O33)</f>
        <v>1</v>
      </c>
    </row>
    <row r="34" spans="1:16" x14ac:dyDescent="0.2">
      <c r="A34" t="s">
        <v>276</v>
      </c>
      <c r="B34">
        <f>COUNTIF(Table2[Weekday],'Helpful Tables'!A34)</f>
        <v>156</v>
      </c>
      <c r="C34" s="24">
        <f t="shared" si="2"/>
        <v>0.16648879402347919</v>
      </c>
      <c r="N34">
        <f t="shared" si="1"/>
        <v>34</v>
      </c>
      <c r="O34" s="23" t="str" cm="1">
        <f t="array" ref="O34">IFERROR(INDEX(Table2[Trainer],MATCH(0,COUNTIF($O$1:O33,Table2[Trainer]),0)),"")</f>
        <v>Anthony</v>
      </c>
      <c r="P34">
        <f>COUNTIF(Table2[Trainer],'Helpful Tables'!O34)</f>
        <v>15</v>
      </c>
    </row>
    <row r="35" spans="1:16" x14ac:dyDescent="0.2">
      <c r="A35" t="s">
        <v>277</v>
      </c>
      <c r="B35">
        <f>COUNTIF(Table2[Weekday],'Helpful Tables'!A35)</f>
        <v>133</v>
      </c>
      <c r="C35" s="24">
        <f t="shared" si="2"/>
        <v>0.14194236926360726</v>
      </c>
      <c r="N35">
        <f t="shared" si="1"/>
        <v>35</v>
      </c>
      <c r="O35" s="23" t="str" cm="1">
        <f t="array" ref="O35">IFERROR(INDEX(Table2[Trainer],MATCH(0,COUNTIF($O$1:O34,Table2[Trainer]),0)),"")</f>
        <v>Angie</v>
      </c>
      <c r="P35">
        <f>COUNTIF(Table2[Trainer],'Helpful Tables'!O35)</f>
        <v>71</v>
      </c>
    </row>
    <row r="36" spans="1:16" x14ac:dyDescent="0.2">
      <c r="A36" t="s">
        <v>278</v>
      </c>
      <c r="B36">
        <f>COUNTIF(Table2[Weekday],'Helpful Tables'!A36)</f>
        <v>128</v>
      </c>
      <c r="C36" s="24">
        <f t="shared" si="2"/>
        <v>0.13660618996798293</v>
      </c>
      <c r="N36">
        <f t="shared" si="1"/>
        <v>36</v>
      </c>
      <c r="O36" s="23" t="str" cm="1">
        <f t="array" ref="O36">IFERROR(INDEX(Table2[Trainer],MATCH(0,COUNTIF($O$1:O35,Table2[Trainer]),0)),"")</f>
        <v>Lauren</v>
      </c>
      <c r="P36">
        <f>COUNTIF(Table2[Trainer],'Helpful Tables'!O36)</f>
        <v>14</v>
      </c>
    </row>
    <row r="37" spans="1:16" x14ac:dyDescent="0.2">
      <c r="A37" t="s">
        <v>279</v>
      </c>
      <c r="B37">
        <f>COUNTIF(Table2[Weekday],'Helpful Tables'!A37)</f>
        <v>121</v>
      </c>
      <c r="C37" s="24">
        <f t="shared" si="2"/>
        <v>0.12913553895410887</v>
      </c>
      <c r="N37">
        <f t="shared" si="1"/>
        <v>37</v>
      </c>
      <c r="O37" s="23" t="str" cm="1">
        <f t="array" ref="O37">IFERROR(INDEX(Table2[Trainer],MATCH(0,COUNTIF($O$1:O36,Table2[Trainer]),0)),"")</f>
        <v>Miles</v>
      </c>
      <c r="P37">
        <f>COUNTIF(Table2[Trainer],'Helpful Tables'!O37)</f>
        <v>28</v>
      </c>
    </row>
    <row r="38" spans="1:16" x14ac:dyDescent="0.2">
      <c r="A38" t="s">
        <v>288</v>
      </c>
      <c r="B38">
        <f>SUM(B31:B37)</f>
        <v>937</v>
      </c>
      <c r="N38">
        <f t="shared" si="1"/>
        <v>38</v>
      </c>
      <c r="O38" s="23" t="str" cm="1">
        <f t="array" ref="O38">IFERROR(INDEX(Table2[Trainer],MATCH(0,COUNTIF($O$1:O37,Table2[Trainer]),0)),"")</f>
        <v>Alex</v>
      </c>
      <c r="P38">
        <f>COUNTIF(Table2[Trainer],'Helpful Tables'!O38)</f>
        <v>35</v>
      </c>
    </row>
    <row r="39" spans="1:16" x14ac:dyDescent="0.2">
      <c r="N39">
        <f t="shared" si="1"/>
        <v>39</v>
      </c>
      <c r="O39" s="23" t="str" cm="1">
        <f t="array" ref="O39">IFERROR(INDEX(Table2[Trainer],MATCH(0,COUNTIF($O$1:O38,Table2[Trainer]),0)),"")</f>
        <v>Jackie</v>
      </c>
      <c r="P39">
        <f>COUNTIF(Table2[Trainer],'Helpful Tables'!O39)</f>
        <v>20</v>
      </c>
    </row>
    <row r="40" spans="1:16" x14ac:dyDescent="0.2">
      <c r="N40">
        <f t="shared" si="1"/>
        <v>40</v>
      </c>
      <c r="O40" s="23" t="str" cm="1">
        <f t="array" ref="O40">IFERROR(INDEX(Table2[Trainer],MATCH(0,COUNTIF($O$1:O39,Table2[Trainer]),0)),"")</f>
        <v>Katie</v>
      </c>
      <c r="P40">
        <f>COUNTIF(Table2[Trainer],'Helpful Tables'!O40)</f>
        <v>1</v>
      </c>
    </row>
    <row r="41" spans="1:16" x14ac:dyDescent="0.2">
      <c r="I41" s="33"/>
      <c r="N41">
        <f t="shared" si="1"/>
        <v>41</v>
      </c>
      <c r="O41" s="23" t="str" cm="1">
        <f t="array" ref="O41">IFERROR(INDEX(Table2[Trainer],MATCH(0,COUNTIF($O$1:O40,Table2[Trainer]),0)),"")</f>
        <v>Brennan</v>
      </c>
      <c r="P41">
        <f>COUNTIF(Table2[Trainer],'Helpful Tables'!O41)</f>
        <v>3</v>
      </c>
    </row>
    <row r="42" spans="1:16" x14ac:dyDescent="0.2">
      <c r="A42" t="s">
        <v>289</v>
      </c>
      <c r="B42">
        <v>2023</v>
      </c>
      <c r="C42">
        <v>2024</v>
      </c>
      <c r="D42">
        <v>2025</v>
      </c>
      <c r="E42">
        <v>2026</v>
      </c>
      <c r="F42" t="s">
        <v>302</v>
      </c>
      <c r="N42">
        <f t="shared" si="1"/>
        <v>42</v>
      </c>
      <c r="O42" s="23" t="str" cm="1">
        <f t="array" ref="O42">IFERROR(INDEX(Table2[Trainer],MATCH(0,COUNTIF($O$1:O41,Table2[Trainer]),0)),"")</f>
        <v>Joanna</v>
      </c>
      <c r="P42">
        <f>COUNTIF(Table2[Trainer],'Helpful Tables'!O42)</f>
        <v>66</v>
      </c>
    </row>
    <row r="43" spans="1:16" x14ac:dyDescent="0.2">
      <c r="A43" t="s">
        <v>13</v>
      </c>
      <c r="B43" s="32">
        <f>SUMIF(Table2[Year],B$42,Table2[Calories])</f>
        <v>100787</v>
      </c>
      <c r="C43" s="32">
        <f>SUMIF(Table2[Year],C$42,Table2[Calories])</f>
        <v>101645</v>
      </c>
      <c r="D43" s="32">
        <f>SUMIF(Table2[Year],D$42,Table2[Calories])</f>
        <v>101314</v>
      </c>
      <c r="E43" s="32">
        <f>SUMIF(Table2[Year],E$42,Table2[Calories])</f>
        <v>27254</v>
      </c>
      <c r="F43" s="24">
        <f>E43/D43</f>
        <v>0.26900527074244429</v>
      </c>
      <c r="N43">
        <f t="shared" si="1"/>
        <v>43</v>
      </c>
      <c r="O43" s="23" t="str" cm="1">
        <f t="array" ref="O43">IFERROR(INDEX(Table2[Trainer],MATCH(0,COUNTIF($O$1:O42,Table2[Trainer]),0)),"")</f>
        <v>Lily</v>
      </c>
      <c r="P43">
        <f>COUNTIF(Table2[Trainer],'Helpful Tables'!O43)</f>
        <v>1</v>
      </c>
    </row>
    <row r="44" spans="1:16" x14ac:dyDescent="0.2">
      <c r="A44" t="s">
        <v>12</v>
      </c>
      <c r="B44" s="32">
        <f>SUMIF(Table2[Year],B$42,Table2[Splat])</f>
        <v>2264</v>
      </c>
      <c r="C44" s="32">
        <f>SUMIF(Table2[Year],C$42,Table2[Splat])</f>
        <v>2278</v>
      </c>
      <c r="D44" s="32">
        <f>SUMIF(Table2[Year],D$42,Table2[Splat])</f>
        <v>2332</v>
      </c>
      <c r="E44" s="32">
        <f>SUMIF(Table2[Year],E$42,Table2[Splat])</f>
        <v>552</v>
      </c>
      <c r="F44" s="24">
        <f>E44/D44</f>
        <v>0.23670668953687821</v>
      </c>
      <c r="N44">
        <f t="shared" si="1"/>
        <v>44</v>
      </c>
      <c r="O44" s="23" t="str" cm="1">
        <f t="array" ref="O44">IFERROR(INDEX(Table2[Trainer],MATCH(0,COUNTIF($O$1:O43,Table2[Trainer]),0)),"")</f>
        <v>Carissa</v>
      </c>
      <c r="P44">
        <f>COUNTIF(Table2[Trainer],'Helpful Tables'!O44)</f>
        <v>1</v>
      </c>
    </row>
    <row r="45" spans="1:16" x14ac:dyDescent="0.2">
      <c r="A45" t="s">
        <v>271</v>
      </c>
      <c r="B45">
        <f>COUNTIF(Table2[Year],B42)</f>
        <v>161</v>
      </c>
      <c r="C45">
        <f>COUNTIF(Table2[Year],C42)</f>
        <v>161</v>
      </c>
      <c r="D45">
        <f>COUNTIF(Table2[Year],D42)</f>
        <v>161</v>
      </c>
      <c r="E45">
        <f>COUNTIF(Table2[Year],E42)</f>
        <v>43</v>
      </c>
      <c r="F45" s="24">
        <f>E45/D45</f>
        <v>0.26708074534161491</v>
      </c>
      <c r="N45">
        <f t="shared" si="1"/>
        <v>45</v>
      </c>
      <c r="O45" s="23" t="str" cm="1">
        <f t="array" ref="O45">IFERROR(INDEX(Table2[Trainer],MATCH(0,COUNTIF($O$1:O44,Table2[Trainer]),0)),"")</f>
        <v>Genna</v>
      </c>
      <c r="P45">
        <f>COUNTIF(Table2[Trainer],'Helpful Tables'!O45)</f>
        <v>16</v>
      </c>
    </row>
    <row r="46" spans="1:16" x14ac:dyDescent="0.2">
      <c r="N46">
        <f t="shared" si="1"/>
        <v>46</v>
      </c>
      <c r="O46" s="23" t="str" cm="1">
        <f t="array" ref="O46">IFERROR(INDEX(Table2[Trainer],MATCH(0,COUNTIF($O$1:O45,Table2[Trainer]),0)),"")</f>
        <v>Britnie</v>
      </c>
      <c r="P46">
        <f>COUNTIF(Table2[Trainer],'Helpful Tables'!O46)</f>
        <v>1</v>
      </c>
    </row>
    <row r="47" spans="1:16" x14ac:dyDescent="0.2">
      <c r="A47" t="s">
        <v>292</v>
      </c>
      <c r="B47">
        <v>2022</v>
      </c>
      <c r="C47">
        <v>2023</v>
      </c>
      <c r="D47">
        <v>2024</v>
      </c>
      <c r="E47">
        <v>2025</v>
      </c>
      <c r="F47">
        <v>2026</v>
      </c>
      <c r="N47">
        <f t="shared" si="1"/>
        <v>47</v>
      </c>
      <c r="O47" s="23" t="str" cm="1">
        <f t="array" ref="O47">IFERROR(INDEX(Table2[Trainer],MATCH(0,COUNTIF($O$1:O46,Table2[Trainer]),0)),"")</f>
        <v>Tina</v>
      </c>
      <c r="P47">
        <f>COUNTIF(Table2[Trainer],'Helpful Tables'!O47)</f>
        <v>4</v>
      </c>
    </row>
    <row r="48" spans="1:16" x14ac:dyDescent="0.2">
      <c r="A48">
        <v>1</v>
      </c>
      <c r="B48">
        <f>COUNTIFS(Table2[Year],'Helpful Tables'!B$47,Table2[DaysSince],'Helpful Tables'!$A48)</f>
        <v>44</v>
      </c>
      <c r="C48">
        <f>COUNTIFS(Table2[Year],'Helpful Tables'!C$47,Table2[DaysSince],'Helpful Tables'!$A48)</f>
        <v>45</v>
      </c>
      <c r="D48">
        <f>COUNTIFS(Table2[Year],'Helpful Tables'!D$47,Table2[DaysSince],'Helpful Tables'!$A48)</f>
        <v>34</v>
      </c>
      <c r="E48">
        <f>COUNTIFS(Table2[Year],'Helpful Tables'!E$47,Table2[DaysSince],'Helpful Tables'!$A48)</f>
        <v>35</v>
      </c>
      <c r="F48">
        <f>COUNTIFS(Table2[Year],'Helpful Tables'!F$47,Table2[DaysSince],'Helpful Tables'!$A48)</f>
        <v>3</v>
      </c>
      <c r="N48">
        <f t="shared" si="1"/>
        <v>48</v>
      </c>
      <c r="O48" s="23" t="str" cm="1">
        <f t="array" ref="O48">IFERROR(INDEX(Table2[Trainer],MATCH(0,COUNTIF($O$1:O47,Table2[Trainer]),0)),"")</f>
        <v>Cathy</v>
      </c>
      <c r="P48">
        <f>COUNTIF(Table2[Trainer],'Helpful Tables'!O48)</f>
        <v>1</v>
      </c>
    </row>
    <row r="49" spans="1:16" x14ac:dyDescent="0.2">
      <c r="A49">
        <v>2</v>
      </c>
      <c r="B49">
        <f>COUNTIFS(Table2[Year],'Helpful Tables'!B$47,Table2[DaysSince],'Helpful Tables'!$A49)</f>
        <v>88</v>
      </c>
      <c r="C49">
        <f>COUNTIFS(Table2[Year],'Helpful Tables'!C$47,Table2[DaysSince],'Helpful Tables'!$A49)</f>
        <v>79</v>
      </c>
      <c r="D49">
        <f>COUNTIFS(Table2[Year],'Helpful Tables'!D$47,Table2[DaysSince],'Helpful Tables'!$A49)</f>
        <v>86</v>
      </c>
      <c r="E49">
        <f>COUNTIFS(Table2[Year],'Helpful Tables'!E$47,Table2[DaysSince],'Helpful Tables'!$A49)</f>
        <v>86</v>
      </c>
      <c r="F49">
        <f>COUNTIFS(Table2[Year],'Helpful Tables'!F$47,Table2[DaysSince],'Helpful Tables'!$A49)</f>
        <v>34</v>
      </c>
      <c r="N49">
        <f t="shared" si="1"/>
        <v>49</v>
      </c>
      <c r="O49" s="23" t="str" cm="1">
        <f t="array" ref="O49">IFERROR(INDEX(Table2[Trainer],MATCH(0,COUNTIF($O$1:O48,Table2[Trainer]),0)),"")</f>
        <v>Drew</v>
      </c>
      <c r="P49">
        <f>COUNTIF(Table2[Trainer],'Helpful Tables'!O49)</f>
        <v>2</v>
      </c>
    </row>
    <row r="50" spans="1:16" x14ac:dyDescent="0.2">
      <c r="A50">
        <v>3</v>
      </c>
      <c r="B50">
        <f>COUNTIFS(Table2[Year],'Helpful Tables'!B$47,Table2[DaysSince],'Helpful Tables'!$A50)</f>
        <v>19</v>
      </c>
      <c r="C50">
        <f>COUNTIFS(Table2[Year],'Helpful Tables'!C$47,Table2[DaysSince],'Helpful Tables'!$A50)</f>
        <v>23</v>
      </c>
      <c r="D50">
        <f>COUNTIFS(Table2[Year],'Helpful Tables'!D$47,Table2[DaysSince],'Helpful Tables'!$A50)</f>
        <v>24</v>
      </c>
      <c r="E50">
        <f>COUNTIFS(Table2[Year],'Helpful Tables'!E$47,Table2[DaysSince],'Helpful Tables'!$A50)</f>
        <v>26</v>
      </c>
      <c r="F50">
        <f>COUNTIFS(Table2[Year],'Helpful Tables'!F$47,Table2[DaysSince],'Helpful Tables'!$A50)</f>
        <v>4</v>
      </c>
      <c r="N50">
        <f t="shared" si="1"/>
        <v>50</v>
      </c>
      <c r="O50" s="23" t="str" cm="1">
        <f t="array" ref="O50">IFERROR(INDEX(Table2[Trainer],MATCH(0,COUNTIF($O$1:O49,Table2[Trainer]),0)),"")</f>
        <v>Rylee</v>
      </c>
      <c r="P50">
        <f>COUNTIF(Table2[Trainer],'Helpful Tables'!O50)</f>
        <v>11</v>
      </c>
    </row>
    <row r="51" spans="1:16" x14ac:dyDescent="0.2">
      <c r="A51">
        <v>4</v>
      </c>
      <c r="B51">
        <f>COUNTIFS(Table2[Year],'Helpful Tables'!B$47,Table2[DaysSince],'Helpful Tables'!$A51)</f>
        <v>8</v>
      </c>
      <c r="C51">
        <f>COUNTIFS(Table2[Year],'Helpful Tables'!C$47,Table2[DaysSince],'Helpful Tables'!$A51)</f>
        <v>8</v>
      </c>
      <c r="D51">
        <f>COUNTIFS(Table2[Year],'Helpful Tables'!D$47,Table2[DaysSince],'Helpful Tables'!$A51)</f>
        <v>9</v>
      </c>
      <c r="E51">
        <f>COUNTIFS(Table2[Year],'Helpful Tables'!E$47,Table2[DaysSince],'Helpful Tables'!$A51)</f>
        <v>6</v>
      </c>
      <c r="F51">
        <f>COUNTIFS(Table2[Year],'Helpful Tables'!F$47,Table2[DaysSince],'Helpful Tables'!$A51)</f>
        <v>1</v>
      </c>
      <c r="N51">
        <f t="shared" si="1"/>
        <v>51</v>
      </c>
      <c r="O51" s="23" t="str" cm="1">
        <f t="array" ref="O51">IFERROR(INDEX(Table2[Trainer],MATCH(0,COUNTIF($O$1:O50,Table2[Trainer]),0)),"")</f>
        <v>Kyle</v>
      </c>
      <c r="P51">
        <f>COUNTIF(Table2[Trainer],'Helpful Tables'!O51)</f>
        <v>1</v>
      </c>
    </row>
    <row r="52" spans="1:16" x14ac:dyDescent="0.2">
      <c r="A52" s="34" t="s">
        <v>293</v>
      </c>
      <c r="B52">
        <f>COUNTIFS(Table2[Year],'Helpful Tables'!B$47,Table2[DaysSince],'Helpful Tables'!$A52)</f>
        <v>3</v>
      </c>
      <c r="C52">
        <f>COUNTIFS(Table2[Year],'Helpful Tables'!C$47,Table2[DaysSince],'Helpful Tables'!$A52)</f>
        <v>6</v>
      </c>
      <c r="D52">
        <f>COUNTIFS(Table2[Year],'Helpful Tables'!D$47,Table2[DaysSince],'Helpful Tables'!$A52)</f>
        <v>8</v>
      </c>
      <c r="E52">
        <f>COUNTIFS(Table2[Year],'Helpful Tables'!E$47,Table2[DaysSince],'Helpful Tables'!$A52)</f>
        <v>8</v>
      </c>
      <c r="F52">
        <f>COUNTIFS(Table2[Year],'Helpful Tables'!F$47,Table2[DaysSince],'Helpful Tables'!$A52)</f>
        <v>1</v>
      </c>
      <c r="N52">
        <f t="shared" si="1"/>
        <v>52</v>
      </c>
      <c r="O52" s="23" t="str" cm="1">
        <f t="array" ref="O52">IFERROR(INDEX(Table2[Trainer],MATCH(0,COUNTIF($O$1:O51,Table2[Trainer]),0)),"")</f>
        <v>Ennis</v>
      </c>
      <c r="P52">
        <f>COUNTIF(Table2[Trainer],'Helpful Tables'!O52)</f>
        <v>25</v>
      </c>
    </row>
    <row r="53" spans="1:16" x14ac:dyDescent="0.2">
      <c r="B53">
        <f>SUM(B48:B52)</f>
        <v>162</v>
      </c>
      <c r="C53">
        <f>SUM(C48:C52)</f>
        <v>161</v>
      </c>
      <c r="D53">
        <f>SUM(D48:D52)</f>
        <v>161</v>
      </c>
      <c r="E53">
        <f>SUM(E48:E52)</f>
        <v>161</v>
      </c>
      <c r="F53">
        <f>SUM(F48:F52)</f>
        <v>43</v>
      </c>
      <c r="N53">
        <f t="shared" si="1"/>
        <v>53</v>
      </c>
      <c r="O53" s="23" t="str" cm="1">
        <f t="array" ref="O53">IFERROR(INDEX(Table2[Trainer],MATCH(0,COUNTIF($O$1:O52,Table2[Trainer]),0)),"")</f>
        <v>Julie</v>
      </c>
      <c r="P53">
        <f>COUNTIF(Table2[Trainer],'Helpful Tables'!O53)</f>
        <v>9</v>
      </c>
    </row>
    <row r="54" spans="1:16" x14ac:dyDescent="0.2">
      <c r="N54">
        <f t="shared" si="1"/>
        <v>54</v>
      </c>
      <c r="O54" s="23" t="str" cm="1">
        <f t="array" ref="O54">IFERROR(INDEX(Table2[Trainer],MATCH(0,COUNTIF($O$1:O53,Table2[Trainer]),0)),"")</f>
        <v>Tylae</v>
      </c>
      <c r="P54">
        <f>COUNTIF(Table2[Trainer],'Helpful Tables'!O54)</f>
        <v>2</v>
      </c>
    </row>
    <row r="55" spans="1:16" x14ac:dyDescent="0.2">
      <c r="N55">
        <f t="shared" si="1"/>
        <v>55</v>
      </c>
      <c r="O55" s="23" t="str" cm="1">
        <f t="array" ref="O55">IFERROR(INDEX(Table2[Trainer],MATCH(0,COUNTIF($O$1:O54,Table2[Trainer]),0)),"")</f>
        <v>Lydia</v>
      </c>
      <c r="P55">
        <f>COUNTIF(Table2[Trainer],'Helpful Tables'!O55)</f>
        <v>2</v>
      </c>
    </row>
    <row r="56" spans="1:16" x14ac:dyDescent="0.2">
      <c r="A56">
        <v>1</v>
      </c>
      <c r="B56" s="24">
        <f>B48/B$53</f>
        <v>0.27160493827160492</v>
      </c>
      <c r="C56" s="24">
        <f t="shared" ref="C56:D56" si="3">C48/C$53</f>
        <v>0.27950310559006208</v>
      </c>
      <c r="D56" s="24">
        <f t="shared" si="3"/>
        <v>0.21118012422360249</v>
      </c>
      <c r="E56" s="24">
        <f t="shared" ref="E56:F60" si="4">E48/E$53</f>
        <v>0.21739130434782608</v>
      </c>
      <c r="F56" s="24">
        <f t="shared" si="4"/>
        <v>6.9767441860465115E-2</v>
      </c>
      <c r="N56">
        <f t="shared" si="1"/>
        <v>56</v>
      </c>
      <c r="O56" s="23" t="str" cm="1">
        <f t="array" ref="O56">IFERROR(INDEX(Table2[Trainer],MATCH(0,COUNTIF($O$1:O55,Table2[Trainer]),0)),"")</f>
        <v>Courtney2</v>
      </c>
      <c r="P56">
        <f>COUNTIF(Table2[Trainer],'Helpful Tables'!O56)</f>
        <v>4</v>
      </c>
    </row>
    <row r="57" spans="1:16" x14ac:dyDescent="0.2">
      <c r="A57">
        <v>2</v>
      </c>
      <c r="B57" s="24">
        <f t="shared" ref="B57:D60" si="5">B49/B$53</f>
        <v>0.54320987654320985</v>
      </c>
      <c r="C57" s="24">
        <f t="shared" si="5"/>
        <v>0.49068322981366458</v>
      </c>
      <c r="D57" s="24">
        <f t="shared" si="5"/>
        <v>0.53416149068322982</v>
      </c>
      <c r="E57" s="24">
        <f t="shared" si="4"/>
        <v>0.53416149068322982</v>
      </c>
      <c r="F57" s="24">
        <f t="shared" si="4"/>
        <v>0.79069767441860461</v>
      </c>
      <c r="N57">
        <f t="shared" si="1"/>
        <v>57</v>
      </c>
      <c r="O57" s="23" t="str" cm="1">
        <f t="array" ref="O57">IFERROR(INDEX(Table2[Trainer],MATCH(0,COUNTIF($O$1:O56,Table2[Trainer]),0)),"")</f>
        <v>Eric</v>
      </c>
      <c r="P57">
        <f>COUNTIF(Table2[Trainer],'Helpful Tables'!O57)</f>
        <v>2</v>
      </c>
    </row>
    <row r="58" spans="1:16" x14ac:dyDescent="0.2">
      <c r="A58">
        <v>3</v>
      </c>
      <c r="B58" s="24">
        <f t="shared" si="5"/>
        <v>0.11728395061728394</v>
      </c>
      <c r="C58" s="24">
        <f t="shared" si="5"/>
        <v>0.14285714285714285</v>
      </c>
      <c r="D58" s="24">
        <f t="shared" si="5"/>
        <v>0.14906832298136646</v>
      </c>
      <c r="E58" s="24">
        <f t="shared" si="4"/>
        <v>0.16149068322981366</v>
      </c>
      <c r="F58" s="24">
        <f t="shared" si="4"/>
        <v>9.3023255813953487E-2</v>
      </c>
      <c r="N58">
        <f t="shared" si="1"/>
        <v>58</v>
      </c>
      <c r="O58" s="23" t="str" cm="1">
        <f t="array" ref="O58">IFERROR(INDEX(Table2[Trainer],MATCH(0,COUNTIF($O$1:O57,Table2[Trainer]),0)),"")</f>
        <v>Aaron</v>
      </c>
      <c r="P58">
        <f>COUNTIF(Table2[Trainer],'Helpful Tables'!O58)</f>
        <v>2</v>
      </c>
    </row>
    <row r="59" spans="1:16" x14ac:dyDescent="0.2">
      <c r="A59">
        <v>4</v>
      </c>
      <c r="B59" s="24">
        <f t="shared" si="5"/>
        <v>4.9382716049382713E-2</v>
      </c>
      <c r="C59" s="24">
        <f t="shared" si="5"/>
        <v>4.9689440993788817E-2</v>
      </c>
      <c r="D59" s="24">
        <f t="shared" si="5"/>
        <v>5.5900621118012424E-2</v>
      </c>
      <c r="E59" s="24">
        <f t="shared" si="4"/>
        <v>3.7267080745341616E-2</v>
      </c>
      <c r="F59" s="24">
        <f t="shared" si="4"/>
        <v>2.3255813953488372E-2</v>
      </c>
      <c r="N59">
        <f t="shared" si="1"/>
        <v>59</v>
      </c>
      <c r="O59" s="23" t="str" cm="1">
        <f t="array" ref="O59">IFERROR(INDEX(Table2[Trainer],MATCH(0,COUNTIF($O$1:O58,Table2[Trainer]),0)),"")</f>
        <v>Jamel</v>
      </c>
      <c r="P59">
        <f>COUNTIF(Table2[Trainer],'Helpful Tables'!O59)</f>
        <v>3</v>
      </c>
    </row>
    <row r="60" spans="1:16" x14ac:dyDescent="0.2">
      <c r="A60" s="34" t="s">
        <v>293</v>
      </c>
      <c r="B60" s="24">
        <f t="shared" si="5"/>
        <v>1.8518518518518517E-2</v>
      </c>
      <c r="C60" s="24">
        <f t="shared" si="5"/>
        <v>3.7267080745341616E-2</v>
      </c>
      <c r="D60" s="24">
        <f t="shared" si="5"/>
        <v>4.9689440993788817E-2</v>
      </c>
      <c r="E60" s="24">
        <f t="shared" si="4"/>
        <v>4.9689440993788817E-2</v>
      </c>
      <c r="F60" s="24">
        <f t="shared" si="4"/>
        <v>2.3255813953488372E-2</v>
      </c>
      <c r="N60">
        <f t="shared" si="1"/>
        <v>60</v>
      </c>
      <c r="O60" s="23" t="str" cm="1">
        <f t="array" ref="O60">IFERROR(INDEX(Table2[Trainer],MATCH(0,COUNTIF($O$1:O59,Table2[Trainer]),0)),"")</f>
        <v>Anna</v>
      </c>
      <c r="P60">
        <f>COUNTIF(Table2[Trainer],'Helpful Tables'!O60)</f>
        <v>17</v>
      </c>
    </row>
    <row r="61" spans="1:16" x14ac:dyDescent="0.2">
      <c r="N61">
        <f t="shared" si="1"/>
        <v>61</v>
      </c>
      <c r="O61" s="23" t="str" cm="1">
        <f t="array" ref="O61">IFERROR(INDEX(Table2[Trainer],MATCH(0,COUNTIF($O$1:O60,Table2[Trainer]),0)),"")</f>
        <v>Julie2</v>
      </c>
      <c r="P61">
        <f>COUNTIF(Table2[Trainer],'Helpful Tables'!O61)</f>
        <v>14</v>
      </c>
    </row>
    <row r="62" spans="1:16" x14ac:dyDescent="0.2">
      <c r="N62">
        <f t="shared" si="1"/>
        <v>62</v>
      </c>
      <c r="O62" s="23" t="str" cm="1">
        <f t="array" ref="O62">IFERROR(INDEX(Table2[Trainer],MATCH(0,COUNTIF($O$1:O61,Table2[Trainer]),0)),"")</f>
        <v>Alexandra</v>
      </c>
      <c r="P62">
        <f>COUNTIF(Table2[Trainer],'Helpful Tables'!O62)</f>
        <v>1</v>
      </c>
    </row>
    <row r="63" spans="1:16" x14ac:dyDescent="0.2">
      <c r="N63">
        <f t="shared" si="1"/>
        <v>63</v>
      </c>
      <c r="O63" s="23" t="str" cm="1">
        <f t="array" ref="O63">IFERROR(INDEX(Table2[Trainer],MATCH(0,COUNTIF($O$1:O62,Table2[Trainer]),0)),"")</f>
        <v>Jess</v>
      </c>
      <c r="P63">
        <f>COUNTIF(Table2[Trainer],'Helpful Tables'!O63)</f>
        <v>1</v>
      </c>
    </row>
    <row r="64" spans="1:16" x14ac:dyDescent="0.2">
      <c r="N64">
        <f t="shared" si="1"/>
        <v>64</v>
      </c>
      <c r="O64" s="23" t="str" cm="1">
        <f t="array" ref="O64">IFERROR(INDEX(Table2[Trainer],MATCH(0,COUNTIF($O$1:O63,Table2[Trainer]),0)),"")</f>
        <v>Travis</v>
      </c>
      <c r="P64">
        <f>COUNTIF(Table2[Trainer],'Helpful Tables'!O64)</f>
        <v>13</v>
      </c>
    </row>
    <row r="65" spans="14:16" x14ac:dyDescent="0.2">
      <c r="N65">
        <f t="shared" si="1"/>
        <v>65</v>
      </c>
      <c r="O65" s="23" t="str" cm="1">
        <f t="array" ref="O65">IFERROR(INDEX(Table2[Trainer],MATCH(0,COUNTIF($O$1:O64,Table2[Trainer]),0)),"")</f>
        <v>Maria</v>
      </c>
      <c r="P65">
        <f>COUNTIF(Table2[Trainer],'Helpful Tables'!O65)</f>
        <v>1</v>
      </c>
    </row>
    <row r="66" spans="14:16" x14ac:dyDescent="0.2">
      <c r="N66">
        <f t="shared" si="1"/>
        <v>66</v>
      </c>
      <c r="O66" s="23" t="str" cm="1">
        <f t="array" ref="O66">IFERROR(INDEX(Table2[Trainer],MATCH(0,COUNTIF($O$1:O65,Table2[Trainer]),0)),"")</f>
        <v>Jess2</v>
      </c>
      <c r="P66">
        <f>COUNTIF(Table2[Trainer],'Helpful Tables'!O66)</f>
        <v>7</v>
      </c>
    </row>
    <row r="67" spans="14:16" x14ac:dyDescent="0.2">
      <c r="N67">
        <f t="shared" si="1"/>
        <v>67</v>
      </c>
      <c r="O67" s="23" t="str" cm="1">
        <f t="array" ref="O67">IFERROR(INDEX(Table2[Trainer],MATCH(0,COUNTIF($O$1:O66,Table2[Trainer]),0)),"")</f>
        <v>Lily2</v>
      </c>
      <c r="P67">
        <f>COUNTIF(Table2[Trainer],'Helpful Tables'!O67)</f>
        <v>1</v>
      </c>
    </row>
    <row r="68" spans="14:16" x14ac:dyDescent="0.2">
      <c r="N68">
        <f t="shared" ref="N68:N127" si="6">ROW(A68)</f>
        <v>68</v>
      </c>
      <c r="O68" s="23" t="str" cm="1">
        <f t="array" ref="O68">IFERROR(INDEX(Table2[Trainer],MATCH(0,COUNTIF($O$1:O67,Table2[Trainer]),0)),"")</f>
        <v>Tony</v>
      </c>
      <c r="P68">
        <f>COUNTIF(Table2[Trainer],'Helpful Tables'!O68)</f>
        <v>1</v>
      </c>
    </row>
    <row r="69" spans="14:16" x14ac:dyDescent="0.2">
      <c r="N69">
        <f t="shared" si="6"/>
        <v>69</v>
      </c>
      <c r="O69" s="23" t="str" cm="1">
        <f t="array" ref="O69">IFERROR(INDEX(Table2[Trainer],MATCH(0,COUNTIF($O$1:O68,Table2[Trainer]),0)),"")</f>
        <v>Bryn</v>
      </c>
      <c r="P69">
        <f>COUNTIF(Table2[Trainer],'Helpful Tables'!O69)</f>
        <v>1</v>
      </c>
    </row>
    <row r="70" spans="14:16" x14ac:dyDescent="0.2">
      <c r="N70">
        <f t="shared" si="6"/>
        <v>70</v>
      </c>
      <c r="O70" s="23" t="str" cm="1">
        <f t="array" ref="O70">IFERROR(INDEX(Table2[Trainer],MATCH(0,COUNTIF($O$1:O69,Table2[Trainer]),0)),"")</f>
        <v>Nick</v>
      </c>
      <c r="P70">
        <f>COUNTIF(Table2[Trainer],'Helpful Tables'!O70)</f>
        <v>12</v>
      </c>
    </row>
    <row r="71" spans="14:16" x14ac:dyDescent="0.2">
      <c r="N71">
        <f t="shared" si="6"/>
        <v>71</v>
      </c>
      <c r="O71" s="23" t="str" cm="1">
        <f t="array" ref="O71">IFERROR(INDEX(Table2[Trainer],MATCH(0,COUNTIF($O$1:O70,Table2[Trainer]),0)),"")</f>
        <v>Kyle2</v>
      </c>
      <c r="P71">
        <f>COUNTIF(Table2[Trainer],'Helpful Tables'!O71)</f>
        <v>1</v>
      </c>
    </row>
    <row r="72" spans="14:16" x14ac:dyDescent="0.2">
      <c r="N72">
        <f t="shared" si="6"/>
        <v>72</v>
      </c>
      <c r="O72" s="23" t="str" cm="1">
        <f t="array" ref="O72">IFERROR(INDEX(Table2[Trainer],MATCH(0,COUNTIF($O$1:O71,Table2[Trainer]),0)),"")</f>
        <v>Justin</v>
      </c>
      <c r="P72">
        <f>COUNTIF(Table2[Trainer],'Helpful Tables'!O72)</f>
        <v>1</v>
      </c>
    </row>
    <row r="73" spans="14:16" x14ac:dyDescent="0.2">
      <c r="N73">
        <f t="shared" si="6"/>
        <v>73</v>
      </c>
      <c r="O73" s="23" t="str" cm="1">
        <f t="array" ref="O73">IFERROR(INDEX(Table2[Trainer],MATCH(0,COUNTIF($O$1:O72,Table2[Trainer]),0)),"")</f>
        <v>Flora</v>
      </c>
      <c r="P73">
        <f>COUNTIF(Table2[Trainer],'Helpful Tables'!O73)</f>
        <v>1</v>
      </c>
    </row>
    <row r="74" spans="14:16" x14ac:dyDescent="0.2">
      <c r="N74">
        <f t="shared" si="6"/>
        <v>74</v>
      </c>
      <c r="O74" s="23" t="str" cm="1">
        <f t="array" ref="O74">IFERROR(INDEX(Table2[Trainer],MATCH(0,COUNTIF($O$1:O73,Table2[Trainer]),0)),"")</f>
        <v>Holly</v>
      </c>
      <c r="P74">
        <f>COUNTIF(Table2[Trainer],'Helpful Tables'!O74)</f>
        <v>1</v>
      </c>
    </row>
    <row r="75" spans="14:16" x14ac:dyDescent="0.2">
      <c r="N75">
        <f t="shared" si="6"/>
        <v>75</v>
      </c>
      <c r="O75" s="23" t="str" cm="1">
        <f t="array" ref="O75">IFERROR(INDEX(Table2[Trainer],MATCH(0,COUNTIF($O$1:O74,Table2[Trainer]),0)),"")</f>
        <v>Andrew</v>
      </c>
      <c r="P75">
        <f>COUNTIF(Table2[Trainer],'Helpful Tables'!O75)</f>
        <v>1</v>
      </c>
    </row>
    <row r="76" spans="14:16" x14ac:dyDescent="0.2">
      <c r="N76">
        <f t="shared" si="6"/>
        <v>76</v>
      </c>
      <c r="O76" s="23" t="str" cm="1">
        <f t="array" ref="O76">IFERROR(INDEX(Table2[Trainer],MATCH(0,COUNTIF($O$1:O75,Table2[Trainer]),0)),"")</f>
        <v>Christine</v>
      </c>
      <c r="P76">
        <f>COUNTIF(Table2[Trainer],'Helpful Tables'!O76)</f>
        <v>1</v>
      </c>
    </row>
    <row r="77" spans="14:16" x14ac:dyDescent="0.2">
      <c r="N77">
        <f t="shared" si="6"/>
        <v>77</v>
      </c>
      <c r="O77" s="23" t="str" cm="1">
        <f t="array" ref="O77">IFERROR(INDEX(Table2[Trainer],MATCH(0,COUNTIF($O$1:O76,Table2[Trainer]),0)),"")</f>
        <v>Roxanne</v>
      </c>
      <c r="P77">
        <f>COUNTIF(Table2[Trainer],'Helpful Tables'!O77)</f>
        <v>1</v>
      </c>
    </row>
    <row r="78" spans="14:16" x14ac:dyDescent="0.2">
      <c r="N78">
        <f t="shared" si="6"/>
        <v>78</v>
      </c>
      <c r="O78" s="23" t="str" cm="1">
        <f t="array" ref="O78">IFERROR(INDEX(Table2[Trainer],MATCH(0,COUNTIF($O$1:O77,Table2[Trainer]),0)),"")</f>
        <v>Benji</v>
      </c>
      <c r="P78">
        <f>COUNTIF(Table2[Trainer],'Helpful Tables'!O78)</f>
        <v>2</v>
      </c>
    </row>
    <row r="79" spans="14:16" x14ac:dyDescent="0.2">
      <c r="N79">
        <f t="shared" si="6"/>
        <v>79</v>
      </c>
      <c r="O79" s="23" t="str" cm="1">
        <f t="array" ref="O79">IFERROR(INDEX(Table2[Trainer],MATCH(0,COUNTIF($O$1:O78,Table2[Trainer]),0)),"")</f>
        <v>Kaya</v>
      </c>
      <c r="P79">
        <f>COUNTIF(Table2[Trainer],'Helpful Tables'!O79)</f>
        <v>3</v>
      </c>
    </row>
    <row r="80" spans="14:16" x14ac:dyDescent="0.2">
      <c r="N80">
        <f t="shared" si="6"/>
        <v>80</v>
      </c>
      <c r="O80" s="23" t="str" cm="1">
        <f t="array" ref="O80">IFERROR(INDEX(Table2[Trainer],MATCH(0,COUNTIF($O$1:O79,Table2[Trainer]),0)),"")</f>
        <v>Nickole</v>
      </c>
      <c r="P80">
        <f>COUNTIF(Table2[Trainer],'Helpful Tables'!O80)</f>
        <v>2</v>
      </c>
    </row>
    <row r="81" spans="14:16" x14ac:dyDescent="0.2">
      <c r="N81">
        <f t="shared" si="6"/>
        <v>81</v>
      </c>
      <c r="O81" s="23" t="str" cm="1">
        <f t="array" ref="O81">IFERROR(INDEX(Table2[Trainer],MATCH(0,COUNTIF($O$1:O80,Table2[Trainer]),0)),"")</f>
        <v>Kelly</v>
      </c>
      <c r="P81">
        <f>COUNTIF(Table2[Trainer],'Helpful Tables'!O81)</f>
        <v>7</v>
      </c>
    </row>
    <row r="82" spans="14:16" x14ac:dyDescent="0.2">
      <c r="N82">
        <f t="shared" si="6"/>
        <v>82</v>
      </c>
      <c r="O82" s="23" t="str" cm="1">
        <f t="array" ref="O82">IFERROR(INDEX(Table2[Trainer],MATCH(0,COUNTIF($O$1:O81,Table2[Trainer]),0)),"")</f>
        <v>Elizabeth</v>
      </c>
      <c r="P82">
        <f>COUNTIF(Table2[Trainer],'Helpful Tables'!O82)</f>
        <v>10</v>
      </c>
    </row>
    <row r="83" spans="14:16" x14ac:dyDescent="0.2">
      <c r="N83">
        <f t="shared" si="6"/>
        <v>83</v>
      </c>
      <c r="O83" s="23" t="str" cm="1">
        <f t="array" ref="O83">IFERROR(INDEX(Table2[Trainer],MATCH(0,COUNTIF($O$1:O82,Table2[Trainer]),0)),"")</f>
        <v>Aitana</v>
      </c>
      <c r="P83">
        <f>COUNTIF(Table2[Trainer],'Helpful Tables'!O83)</f>
        <v>8</v>
      </c>
    </row>
    <row r="84" spans="14:16" x14ac:dyDescent="0.2">
      <c r="N84">
        <f t="shared" si="6"/>
        <v>84</v>
      </c>
      <c r="O84" s="23" t="str" cm="1">
        <f t="array" ref="O84">IFERROR(INDEX(Table2[Trainer],MATCH(0,COUNTIF($O$1:O83,Table2[Trainer]),0)),"")</f>
        <v>Marco</v>
      </c>
      <c r="P84">
        <f>COUNTIF(Table2[Trainer],'Helpful Tables'!O84)</f>
        <v>1</v>
      </c>
    </row>
    <row r="85" spans="14:16" x14ac:dyDescent="0.2">
      <c r="N85">
        <f t="shared" si="6"/>
        <v>85</v>
      </c>
      <c r="O85" s="23" t="str" cm="1">
        <f t="array" ref="O85">IFERROR(INDEX(Table2[Trainer],MATCH(0,COUNTIF($O$1:O84,Table2[Trainer]),0)),"")</f>
        <v>Greg</v>
      </c>
      <c r="P85">
        <f>COUNTIF(Table2[Trainer],'Helpful Tables'!O85)</f>
        <v>2</v>
      </c>
    </row>
    <row r="86" spans="14:16" x14ac:dyDescent="0.2">
      <c r="N86">
        <f t="shared" si="6"/>
        <v>86</v>
      </c>
      <c r="O86" s="23" t="str" cm="1">
        <f t="array" ref="O86">IFERROR(INDEX(Table2[Trainer],MATCH(0,COUNTIF($O$1:O85,Table2[Trainer]),0)),"")</f>
        <v>Sydney</v>
      </c>
      <c r="P86">
        <f>COUNTIF(Table2[Trainer],'Helpful Tables'!O86)</f>
        <v>2</v>
      </c>
    </row>
    <row r="87" spans="14:16" x14ac:dyDescent="0.2">
      <c r="N87">
        <f t="shared" si="6"/>
        <v>87</v>
      </c>
      <c r="O87" s="23" t="str" cm="1">
        <f t="array" ref="O87">IFERROR(INDEX(Table2[Trainer],MATCH(0,COUNTIF($O$1:O86,Table2[Trainer]),0)),"")</f>
        <v>Abby</v>
      </c>
      <c r="P87">
        <f>COUNTIF(Table2[Trainer],'Helpful Tables'!O87)</f>
        <v>1</v>
      </c>
    </row>
    <row r="88" spans="14:16" x14ac:dyDescent="0.2">
      <c r="N88">
        <f t="shared" si="6"/>
        <v>88</v>
      </c>
      <c r="O88" s="23" t="str" cm="1">
        <f t="array" ref="O88">IFERROR(INDEX(Table2[Trainer],MATCH(0,COUNTIF($O$1:O87,Table2[Trainer]),0)),"")</f>
        <v>Alyssa</v>
      </c>
      <c r="P88">
        <f>COUNTIF(Table2[Trainer],'Helpful Tables'!O88)</f>
        <v>1</v>
      </c>
    </row>
    <row r="89" spans="14:16" x14ac:dyDescent="0.2">
      <c r="N89">
        <f t="shared" si="6"/>
        <v>89</v>
      </c>
      <c r="O89" s="23" t="str" cm="1">
        <f t="array" ref="O89">IFERROR(INDEX(Table2[Trainer],MATCH(0,COUNTIF($O$1:O88,Table2[Trainer]),0)),"")</f>
        <v>Lorenzo</v>
      </c>
      <c r="P89">
        <f>COUNTIF(Table2[Trainer],'Helpful Tables'!O89)</f>
        <v>1</v>
      </c>
    </row>
    <row r="90" spans="14:16" x14ac:dyDescent="0.2">
      <c r="N90">
        <f t="shared" si="6"/>
        <v>90</v>
      </c>
      <c r="O90" s="23" t="str" cm="1">
        <f t="array" ref="O90">IFERROR(INDEX(Table2[Trainer],MATCH(0,COUNTIF($O$1:O89,Table2[Trainer]),0)),"")</f>
        <v>Oscar</v>
      </c>
      <c r="P90">
        <f>COUNTIF(Table2[Trainer],'Helpful Tables'!O90)</f>
        <v>4</v>
      </c>
    </row>
    <row r="91" spans="14:16" x14ac:dyDescent="0.2">
      <c r="N91">
        <f t="shared" si="6"/>
        <v>91</v>
      </c>
      <c r="O91" s="23" t="str" cm="1">
        <f t="array" ref="O91">IFERROR(INDEX(Table2[Trainer],MATCH(0,COUNTIF($O$1:O90,Table2[Trainer]),0)),"")</f>
        <v>Jonathan</v>
      </c>
      <c r="P91">
        <f>COUNTIF(Table2[Trainer],'Helpful Tables'!O91)</f>
        <v>4</v>
      </c>
    </row>
    <row r="92" spans="14:16" x14ac:dyDescent="0.2">
      <c r="N92">
        <f t="shared" si="6"/>
        <v>92</v>
      </c>
      <c r="O92" s="23" t="str" cm="1">
        <f t="array" ref="O92">IFERROR(INDEX(Table2[Trainer],MATCH(0,COUNTIF($O$1:O91,Table2[Trainer]),0)),"")</f>
        <v>Cippy</v>
      </c>
      <c r="P92">
        <f>COUNTIF(Table2[Trainer],'Helpful Tables'!O92)</f>
        <v>1</v>
      </c>
    </row>
    <row r="93" spans="14:16" x14ac:dyDescent="0.2">
      <c r="N93">
        <f t="shared" si="6"/>
        <v>93</v>
      </c>
      <c r="O93" s="23" t="str" cm="1">
        <f t="array" ref="O93">IFERROR(INDEX(Table2[Trainer],MATCH(0,COUNTIF($O$1:O92,Table2[Trainer]),0)),"")</f>
        <v>Elle</v>
      </c>
      <c r="P93">
        <f>COUNTIF(Table2[Trainer],'Helpful Tables'!O93)</f>
        <v>10</v>
      </c>
    </row>
    <row r="94" spans="14:16" x14ac:dyDescent="0.2">
      <c r="N94">
        <f t="shared" si="6"/>
        <v>94</v>
      </c>
      <c r="O94" s="23" t="str" cm="1">
        <f t="array" ref="O94">IFERROR(INDEX(Table2[Trainer],MATCH(0,COUNTIF($O$1:O93,Table2[Trainer]),0)),"")</f>
        <v>Lauren2</v>
      </c>
      <c r="P94">
        <f>COUNTIF(Table2[Trainer],'Helpful Tables'!O94)</f>
        <v>20</v>
      </c>
    </row>
    <row r="95" spans="14:16" x14ac:dyDescent="0.2">
      <c r="N95">
        <f t="shared" si="6"/>
        <v>95</v>
      </c>
      <c r="O95" s="23" t="str" cm="1">
        <f t="array" ref="O95">IFERROR(INDEX(Table2[Trainer],MATCH(0,COUNTIF($O$1:O94,Table2[Trainer]),0)),"")</f>
        <v>Katya</v>
      </c>
      <c r="P95">
        <f>COUNTIF(Table2[Trainer],'Helpful Tables'!O95)</f>
        <v>16</v>
      </c>
    </row>
    <row r="96" spans="14:16" x14ac:dyDescent="0.2">
      <c r="N96">
        <f t="shared" si="6"/>
        <v>96</v>
      </c>
      <c r="O96" s="23" t="str" cm="1">
        <f t="array" ref="O96">IFERROR(INDEX(Table2[Trainer],MATCH(0,COUNTIF($O$1:O95,Table2[Trainer]),0)),"")</f>
        <v>RyRy</v>
      </c>
      <c r="P96">
        <f>COUNTIF(Table2[Trainer],'Helpful Tables'!O96)</f>
        <v>3</v>
      </c>
    </row>
    <row r="97" spans="14:16" x14ac:dyDescent="0.2">
      <c r="N97">
        <f t="shared" si="6"/>
        <v>97</v>
      </c>
      <c r="O97" s="23" t="str" cm="1">
        <f t="array" ref="O97">IFERROR(INDEX(Table2[Trainer],MATCH(0,COUNTIF($O$1:O96,Table2[Trainer]),0)),"")</f>
        <v>Elissa</v>
      </c>
      <c r="P97">
        <f>COUNTIF(Table2[Trainer],'Helpful Tables'!O97)</f>
        <v>5</v>
      </c>
    </row>
    <row r="98" spans="14:16" x14ac:dyDescent="0.2">
      <c r="N98">
        <f t="shared" si="6"/>
        <v>98</v>
      </c>
      <c r="O98" s="23" t="str" cm="1">
        <f t="array" ref="O98">IFERROR(INDEX(Table2[Trainer],MATCH(0,COUNTIF($O$1:O97,Table2[Trainer]),0)),"")</f>
        <v>Niko</v>
      </c>
      <c r="P98">
        <f>COUNTIF(Table2[Trainer],'Helpful Tables'!O98)</f>
        <v>40</v>
      </c>
    </row>
    <row r="99" spans="14:16" x14ac:dyDescent="0.2">
      <c r="N99">
        <f t="shared" si="6"/>
        <v>99</v>
      </c>
      <c r="O99" s="23" t="str" cm="1">
        <f t="array" ref="O99">IFERROR(INDEX(Table2[Trainer],MATCH(0,COUNTIF($O$1:O98,Table2[Trainer]),0)),"")</f>
        <v>Adam</v>
      </c>
      <c r="P99">
        <f>COUNTIF(Table2[Trainer],'Helpful Tables'!O99)</f>
        <v>11</v>
      </c>
    </row>
    <row r="100" spans="14:16" x14ac:dyDescent="0.2">
      <c r="N100">
        <f t="shared" si="6"/>
        <v>100</v>
      </c>
      <c r="O100" s="23" t="str" cm="1">
        <f t="array" ref="O100">IFERROR(INDEX(Table2[Trainer],MATCH(0,COUNTIF($O$1:O99,Table2[Trainer]),0)),"")</f>
        <v>Clement</v>
      </c>
      <c r="P100">
        <f>COUNTIF(Table2[Trainer],'Helpful Tables'!O100)</f>
        <v>25</v>
      </c>
    </row>
    <row r="101" spans="14:16" x14ac:dyDescent="0.2">
      <c r="N101">
        <f t="shared" si="6"/>
        <v>101</v>
      </c>
      <c r="O101" s="23" t="str" cm="1">
        <f t="array" ref="O101">IFERROR(INDEX(Table2[Trainer],MATCH(0,COUNTIF($O$1:O100,Table2[Trainer]),0)),"")</f>
        <v>Katie2</v>
      </c>
      <c r="P101">
        <f>COUNTIF(Table2[Trainer],'Helpful Tables'!O101)</f>
        <v>7</v>
      </c>
    </row>
    <row r="102" spans="14:16" x14ac:dyDescent="0.2">
      <c r="N102">
        <f t="shared" si="6"/>
        <v>102</v>
      </c>
      <c r="O102" s="23" t="str" cm="1">
        <f t="array" ref="O102">IFERROR(INDEX(Table2[Trainer],MATCH(0,COUNTIF($O$1:O101,Table2[Trainer]),0)),"")</f>
        <v>Alisa</v>
      </c>
      <c r="P102">
        <f>COUNTIF(Table2[Trainer],'Helpful Tables'!O102)</f>
        <v>9</v>
      </c>
    </row>
    <row r="103" spans="14:16" x14ac:dyDescent="0.2">
      <c r="N103">
        <f t="shared" si="6"/>
        <v>103</v>
      </c>
      <c r="O103" s="23" t="str" cm="1">
        <f t="array" ref="O103">IFERROR(INDEX(Table2[Trainer],MATCH(0,COUNTIF($O$1:O102,Table2[Trainer]),0)),"")</f>
        <v>Chloe</v>
      </c>
      <c r="P103">
        <f>COUNTIF(Table2[Trainer],'Helpful Tables'!O103)</f>
        <v>3</v>
      </c>
    </row>
    <row r="104" spans="14:16" x14ac:dyDescent="0.2">
      <c r="N104">
        <f t="shared" si="6"/>
        <v>104</v>
      </c>
      <c r="O104" s="23" t="str" cm="1">
        <f t="array" ref="O104">IFERROR(INDEX(Table2[Trainer],MATCH(0,COUNTIF($O$1:O103,Table2[Trainer]),0)),"")</f>
        <v>Jeff</v>
      </c>
      <c r="P104">
        <f>COUNTIF(Table2[Trainer],'Helpful Tables'!O104)</f>
        <v>43</v>
      </c>
    </row>
    <row r="105" spans="14:16" x14ac:dyDescent="0.2">
      <c r="N105">
        <f t="shared" si="6"/>
        <v>105</v>
      </c>
      <c r="O105" s="23" t="str" cm="1">
        <f t="array" ref="O105">IFERROR(INDEX(Table2[Trainer],MATCH(0,COUNTIF($O$1:O104,Table2[Trainer]),0)),"")</f>
        <v>Taryn</v>
      </c>
      <c r="P105">
        <f>COUNTIF(Table2[Trainer],'Helpful Tables'!O105)</f>
        <v>1</v>
      </c>
    </row>
    <row r="106" spans="14:16" x14ac:dyDescent="0.2">
      <c r="N106">
        <f t="shared" si="6"/>
        <v>106</v>
      </c>
      <c r="O106" s="23" t="str" cm="1">
        <f t="array" ref="O106">IFERROR(INDEX(Table2[Trainer],MATCH(0,COUNTIF($O$1:O105,Table2[Trainer]),0)),"")</f>
        <v>Toni</v>
      </c>
      <c r="P106">
        <f>COUNTIF(Table2[Trainer],'Helpful Tables'!O106)</f>
        <v>32</v>
      </c>
    </row>
    <row r="107" spans="14:16" x14ac:dyDescent="0.2">
      <c r="N107">
        <f t="shared" si="6"/>
        <v>107</v>
      </c>
      <c r="O107" s="23" t="str" cm="1">
        <f t="array" ref="O107">IFERROR(INDEX(Table2[Trainer],MATCH(0,COUNTIF($O$1:O106,Table2[Trainer]),0)),"")</f>
        <v>Duviel</v>
      </c>
      <c r="P107">
        <f>COUNTIF(Table2[Trainer],'Helpful Tables'!O107)</f>
        <v>3</v>
      </c>
    </row>
    <row r="108" spans="14:16" x14ac:dyDescent="0.2">
      <c r="N108">
        <f t="shared" si="6"/>
        <v>108</v>
      </c>
      <c r="O108" s="23" t="str" cm="1">
        <f t="array" ref="O108">IFERROR(INDEX(Table2[Trainer],MATCH(0,COUNTIF($O$1:O107,Table2[Trainer]),0)),"")</f>
        <v>Brandon</v>
      </c>
      <c r="P108">
        <f>COUNTIF(Table2[Trainer],'Helpful Tables'!O108)</f>
        <v>1</v>
      </c>
    </row>
    <row r="109" spans="14:16" x14ac:dyDescent="0.2">
      <c r="N109">
        <f t="shared" si="6"/>
        <v>109</v>
      </c>
      <c r="O109" s="23" t="str" cm="1">
        <f t="array" ref="O109">IFERROR(INDEX(Table2[Trainer],MATCH(0,COUNTIF($O$1:O108,Table2[Trainer]),0)),"")</f>
        <v>Cara</v>
      </c>
      <c r="P109">
        <f>COUNTIF(Table2[Trainer],'Helpful Tables'!O109)</f>
        <v>1</v>
      </c>
    </row>
    <row r="110" spans="14:16" x14ac:dyDescent="0.2">
      <c r="N110">
        <f t="shared" si="6"/>
        <v>110</v>
      </c>
      <c r="O110" s="23" t="str" cm="1">
        <f t="array" ref="O110">IFERROR(INDEX(Table2[Trainer],MATCH(0,COUNTIF($O$1:O109,Table2[Trainer]),0)),"")</f>
        <v>Camille</v>
      </c>
      <c r="P110">
        <f>COUNTIF(Table2[Trainer],'Helpful Tables'!O110)</f>
        <v>1</v>
      </c>
    </row>
    <row r="111" spans="14:16" x14ac:dyDescent="0.2">
      <c r="N111">
        <f t="shared" si="6"/>
        <v>111</v>
      </c>
      <c r="O111" s="23" t="str" cm="1">
        <f t="array" ref="O111">IFERROR(INDEX(Table2[Trainer],MATCH(0,COUNTIF($O$1:O110,Table2[Trainer]),0)),"")</f>
        <v>Christina</v>
      </c>
      <c r="P111">
        <f>COUNTIF(Table2[Trainer],'Helpful Tables'!O111)</f>
        <v>2</v>
      </c>
    </row>
    <row r="112" spans="14:16" x14ac:dyDescent="0.2">
      <c r="N112">
        <f t="shared" si="6"/>
        <v>112</v>
      </c>
      <c r="O112" s="23" t="str" cm="1">
        <f t="array" ref="O112">IFERROR(INDEX(Table2[Trainer],MATCH(0,COUNTIF($O$1:O111,Table2[Trainer]),0)),"")</f>
        <v>Fionn</v>
      </c>
      <c r="P112">
        <f>COUNTIF(Table2[Trainer],'Helpful Tables'!O112)</f>
        <v>1</v>
      </c>
    </row>
    <row r="113" spans="14:16" x14ac:dyDescent="0.2">
      <c r="N113">
        <f t="shared" si="6"/>
        <v>113</v>
      </c>
      <c r="O113" s="23" t="str" cm="1">
        <f t="array" ref="O113">IFERROR(INDEX(Table2[Trainer],MATCH(0,COUNTIF($O$1:O112,Table2[Trainer]),0)),"")</f>
        <v>Ashlyn</v>
      </c>
      <c r="P113">
        <f>COUNTIF(Table2[Trainer],'Helpful Tables'!O113)</f>
        <v>1</v>
      </c>
    </row>
    <row r="114" spans="14:16" x14ac:dyDescent="0.2">
      <c r="N114">
        <f t="shared" si="6"/>
        <v>114</v>
      </c>
      <c r="O114" s="23" t="str" cm="1">
        <f t="array" ref="O114">IFERROR(INDEX(Table2[Trainer],MATCH(0,COUNTIF($O$1:O113,Table2[Trainer]),0)),"")</f>
        <v>Christian</v>
      </c>
      <c r="P114">
        <f>COUNTIF(Table2[Trainer],'Helpful Tables'!O114)</f>
        <v>1</v>
      </c>
    </row>
    <row r="115" spans="14:16" x14ac:dyDescent="0.2">
      <c r="N115">
        <f t="shared" si="6"/>
        <v>115</v>
      </c>
      <c r="O115" s="23" t="str" cm="1">
        <f t="array" ref="O115">IFERROR(INDEX(Table2[Trainer],MATCH(0,COUNTIF($O$1:O114,Table2[Trainer]),0)),"")</f>
        <v>Haley</v>
      </c>
      <c r="P115">
        <f>COUNTIF(Table2[Trainer],'Helpful Tables'!O115)</f>
        <v>1</v>
      </c>
    </row>
    <row r="116" spans="14:16" x14ac:dyDescent="0.2">
      <c r="N116">
        <f t="shared" si="6"/>
        <v>116</v>
      </c>
      <c r="O116" s="23" t="str" cm="1">
        <f t="array" ref="O116">IFERROR(INDEX(Table2[Trainer],MATCH(0,COUNTIF($O$1:O115,Table2[Trainer]),0)),"")</f>
        <v>Kelly2</v>
      </c>
      <c r="P116">
        <f>COUNTIF(Table2[Trainer],'Helpful Tables'!O116)</f>
        <v>4</v>
      </c>
    </row>
    <row r="117" spans="14:16" x14ac:dyDescent="0.2">
      <c r="N117">
        <f t="shared" si="6"/>
        <v>117</v>
      </c>
      <c r="O117" s="23" t="str" cm="1">
        <f t="array" ref="O117">IFERROR(INDEX(Table2[Trainer],MATCH(0,COUNTIF($O$1:O116,Table2[Trainer]),0)),"")</f>
        <v>Lauren3</v>
      </c>
      <c r="P117">
        <f>COUNTIF(Table2[Trainer],'Helpful Tables'!O117)</f>
        <v>1</v>
      </c>
    </row>
    <row r="118" spans="14:16" x14ac:dyDescent="0.2">
      <c r="N118">
        <f t="shared" si="6"/>
        <v>118</v>
      </c>
      <c r="O118" s="23" t="str" cm="1">
        <f t="array" ref="O118">IFERROR(INDEX(Table2[Trainer],MATCH(0,COUNTIF($O$1:O117,Table2[Trainer]),0)),"")</f>
        <v>Danielle</v>
      </c>
      <c r="P118">
        <f>COUNTIF(Table2[Trainer],'Helpful Tables'!O118)</f>
        <v>1</v>
      </c>
    </row>
    <row r="119" spans="14:16" x14ac:dyDescent="0.2">
      <c r="N119">
        <f t="shared" si="6"/>
        <v>119</v>
      </c>
      <c r="O119" s="23" t="str" cm="1">
        <f t="array" ref="O119">IFERROR(INDEX(Table2[Trainer],MATCH(0,COUNTIF($O$1:O118,Table2[Trainer]),0)),"")</f>
        <v>Arielle</v>
      </c>
      <c r="P119">
        <f>COUNTIF(Table2[Trainer],'Helpful Tables'!O119)</f>
        <v>25</v>
      </c>
    </row>
    <row r="120" spans="14:16" x14ac:dyDescent="0.2">
      <c r="N120">
        <f t="shared" si="6"/>
        <v>120</v>
      </c>
      <c r="O120" s="23" t="str" cm="1">
        <f t="array" ref="O120">IFERROR(INDEX(Table2[Trainer],MATCH(0,COUNTIF($O$1:O119,Table2[Trainer]),0)),"")</f>
        <v>Joe2</v>
      </c>
      <c r="P120">
        <f>COUNTIF(Table2[Trainer],'Helpful Tables'!O120)</f>
        <v>1</v>
      </c>
    </row>
    <row r="121" spans="14:16" x14ac:dyDescent="0.2">
      <c r="N121">
        <f t="shared" si="6"/>
        <v>121</v>
      </c>
      <c r="O121" s="23" t="str" cm="1">
        <f t="array" ref="O121">IFERROR(INDEX(Table2[Trainer],MATCH(0,COUNTIF($O$1:O120,Table2[Trainer]),0)),"")</f>
        <v>Lafayette</v>
      </c>
      <c r="P121">
        <f>COUNTIF(Table2[Trainer],'Helpful Tables'!O121)</f>
        <v>3</v>
      </c>
    </row>
    <row r="122" spans="14:16" x14ac:dyDescent="0.2">
      <c r="N122">
        <f t="shared" si="6"/>
        <v>122</v>
      </c>
      <c r="O122" s="23" t="str" cm="1">
        <f t="array" ref="O122">IFERROR(INDEX(Table2[Trainer],MATCH(0,COUNTIF($O$1:O121,Table2[Trainer]),0)),"")</f>
        <v>Kate</v>
      </c>
      <c r="P122">
        <f>COUNTIF(Table2[Trainer],'Helpful Tables'!O122)</f>
        <v>1</v>
      </c>
    </row>
    <row r="123" spans="14:16" x14ac:dyDescent="0.2">
      <c r="N123">
        <f t="shared" si="6"/>
        <v>123</v>
      </c>
      <c r="O123" s="23" t="str" cm="1">
        <f t="array" ref="O123">IFERROR(INDEX(Table2[Trainer],MATCH(0,COUNTIF($O$1:O122,Table2[Trainer]),0)),"")</f>
        <v>Jahzelle</v>
      </c>
      <c r="P123">
        <f>COUNTIF(Table2[Trainer],'Helpful Tables'!O123)</f>
        <v>1</v>
      </c>
    </row>
    <row r="124" spans="14:16" x14ac:dyDescent="0.2">
      <c r="N124">
        <f t="shared" si="6"/>
        <v>124</v>
      </c>
      <c r="O124" s="23" t="str" cm="1">
        <f t="array" ref="O124">IFERROR(INDEX(Table2[Trainer],MATCH(0,COUNTIF($O$1:O123,Table2[Trainer]),0)),"")</f>
        <v>Abby2</v>
      </c>
      <c r="P124">
        <f>COUNTIF(Table2[Trainer],'Helpful Tables'!O124)</f>
        <v>41</v>
      </c>
    </row>
    <row r="125" spans="14:16" x14ac:dyDescent="0.2">
      <c r="N125">
        <f t="shared" si="6"/>
        <v>125</v>
      </c>
      <c r="O125" s="23" t="str" cm="1">
        <f t="array" ref="O125">IFERROR(INDEX(Table2[Trainer],MATCH(0,COUNTIF($O$1:O124,Table2[Trainer]),0)),"")</f>
        <v>Hannah</v>
      </c>
      <c r="P125">
        <f>COUNTIF(Table2[Trainer],'Helpful Tables'!O125)</f>
        <v>1</v>
      </c>
    </row>
    <row r="126" spans="14:16" x14ac:dyDescent="0.2">
      <c r="N126">
        <f t="shared" si="6"/>
        <v>126</v>
      </c>
      <c r="O126" s="23" t="str" cm="1">
        <f t="array" ref="O126">IFERROR(INDEX(Table2[Trainer],MATCH(0,COUNTIF($O$1:O125,Table2[Trainer]),0)),"")</f>
        <v>Jen</v>
      </c>
      <c r="P126">
        <f>COUNTIF(Table2[Trainer],'Helpful Tables'!O126)</f>
        <v>3</v>
      </c>
    </row>
    <row r="127" spans="14:16" x14ac:dyDescent="0.2">
      <c r="N127">
        <f t="shared" si="6"/>
        <v>127</v>
      </c>
      <c r="O127" s="23" t="str" cm="1">
        <f t="array" ref="O127">IFERROR(INDEX(Table2[Trainer],MATCH(0,COUNTIF($O$1:O126,Table2[Trainer]),0)),"")</f>
        <v>Anthony2</v>
      </c>
      <c r="P127">
        <f>COUNTIF(Table2[Trainer],'Helpful Tables'!O127)</f>
        <v>2</v>
      </c>
    </row>
    <row r="128" spans="14:16" x14ac:dyDescent="0.2">
      <c r="N128">
        <f t="shared" ref="N128" si="7">ROW(A128)</f>
        <v>128</v>
      </c>
      <c r="O128" s="23" t="str" cm="1">
        <f t="array" ref="O128">IFERROR(INDEX(Table2[Trainer],MATCH(0,COUNTIF($O$1:O127,Table2[Trainer]),0)),"")</f>
        <v>Sierra</v>
      </c>
      <c r="P128">
        <f>COUNTIF(Table2[Trainer],'Helpful Tables'!O128)</f>
        <v>1</v>
      </c>
    </row>
    <row r="129" spans="14:16" x14ac:dyDescent="0.2">
      <c r="N129">
        <f t="shared" ref="N129:N132" si="8">ROW(A129)</f>
        <v>129</v>
      </c>
      <c r="O129" s="23" t="str" cm="1">
        <f t="array" ref="O129">IFERROR(INDEX(Table2[Trainer],MATCH(0,COUNTIF($O$1:O128,Table2[Trainer]),0)),"")</f>
        <v>Kendra</v>
      </c>
      <c r="P129">
        <f>COUNTIF(Table2[Trainer],'Helpful Tables'!O129)</f>
        <v>1</v>
      </c>
    </row>
    <row r="130" spans="14:16" x14ac:dyDescent="0.2">
      <c r="N130">
        <f t="shared" si="8"/>
        <v>130</v>
      </c>
      <c r="O130" s="23" t="str" cm="1">
        <f t="array" ref="O130">IFERROR(INDEX(Table2[Trainer],MATCH(0,COUNTIF($O$1:O129,Table2[Trainer]),0)),"")</f>
        <v>Justin2</v>
      </c>
      <c r="P130">
        <f>COUNTIF(Table2[Trainer],'Helpful Tables'!O130)</f>
        <v>1</v>
      </c>
    </row>
    <row r="131" spans="14:16" x14ac:dyDescent="0.2">
      <c r="N131">
        <f t="shared" si="8"/>
        <v>131</v>
      </c>
      <c r="O131" s="23" t="str" cm="1">
        <f t="array" ref="O131">IFERROR(INDEX(Table2[Trainer],MATCH(0,COUNTIF($O$1:O130,Table2[Trainer]),0)),"")</f>
        <v>Dalton</v>
      </c>
      <c r="P131">
        <f>COUNTIF(Table2[Trainer],'Helpful Tables'!O131)</f>
        <v>1</v>
      </c>
    </row>
    <row r="132" spans="14:16" x14ac:dyDescent="0.2">
      <c r="N132">
        <f t="shared" si="8"/>
        <v>132</v>
      </c>
      <c r="O132" s="23" t="str" cm="1">
        <f t="array" ref="O132">IFERROR(INDEX(Table2[Trainer],MATCH(0,COUNTIF($O$1:O131,Table2[Trainer]),0)),"")</f>
        <v>Tiffany2</v>
      </c>
      <c r="P132">
        <f>COUNTIF(Table2[Trainer],'Helpful Tables'!O132)</f>
        <v>1</v>
      </c>
    </row>
    <row r="133" spans="14:16" x14ac:dyDescent="0.2">
      <c r="N133">
        <v>133</v>
      </c>
      <c r="O133" s="23" t="str" cm="1">
        <f t="array" ref="O133">IFERROR(INDEX(Table2[Trainer],MATCH(0,COUNTIF($O$1:O132,Table2[Trainer]),0)),"")</f>
        <v>Taylor</v>
      </c>
      <c r="P133">
        <f>COUNTIF(Table2[Trainer],'Helpful Tables'!O133)</f>
        <v>1</v>
      </c>
    </row>
  </sheetData>
  <dataValidations disablePrompts="1" count="1">
    <dataValidation type="list" allowBlank="1" showInputMessage="1" showErrorMessage="1" sqref="H3" xr:uid="{861EBD51-9430-FC4F-837E-2E7F0CEE3657}">
      <formula1>$G$2:$G$8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2C315-C4C9-664A-8EFE-498E38E0393D}">
  <dimension ref="A1:F74"/>
  <sheetViews>
    <sheetView workbookViewId="0">
      <selection activeCell="N27" sqref="N27"/>
    </sheetView>
  </sheetViews>
  <sheetFormatPr baseColWidth="10" defaultRowHeight="15" x14ac:dyDescent="0.2"/>
  <cols>
    <col min="4" max="4" width="11.5" customWidth="1"/>
    <col min="5" max="5" width="12.1640625" customWidth="1"/>
  </cols>
  <sheetData>
    <row r="1" spans="1:6" x14ac:dyDescent="0.2">
      <c r="A1" t="s">
        <v>246</v>
      </c>
      <c r="B1" t="s">
        <v>385</v>
      </c>
      <c r="C1" t="s">
        <v>386</v>
      </c>
      <c r="D1" t="s">
        <v>387</v>
      </c>
      <c r="E1" t="s">
        <v>388</v>
      </c>
      <c r="F1" t="s">
        <v>389</v>
      </c>
    </row>
    <row r="2" spans="1:6" x14ac:dyDescent="0.2">
      <c r="A2" t="s">
        <v>313</v>
      </c>
      <c r="B2" s="26">
        <f>AVERAGEIF(Data!R:R,'Monthly Minutes'!$A2,Data!I:I)</f>
        <v>15.666666666666666</v>
      </c>
      <c r="C2" s="26">
        <f>AVERAGEIF(Data!R:R,'Monthly Minutes'!$A2,Data!J:J)</f>
        <v>18</v>
      </c>
      <c r="D2" s="26">
        <f>AVERAGEIF(Data!R:R,'Monthly Minutes'!$A2,Data!K:K)</f>
        <v>21.666666666666668</v>
      </c>
      <c r="E2" s="26">
        <f>AVERAGEIF(Data!R:R,'Monthly Minutes'!$A2,Data!L:L)</f>
        <v>1.3333333333333333</v>
      </c>
      <c r="F2" s="26">
        <f>AVERAGEIF(Data!R:R,'Monthly Minutes'!$A2,Data!M:M)</f>
        <v>0</v>
      </c>
    </row>
    <row r="3" spans="1:6" x14ac:dyDescent="0.2">
      <c r="A3" t="s">
        <v>314</v>
      </c>
      <c r="B3" s="26">
        <f>AVERAGEIF(Data!R:R,'Monthly Minutes'!$A3,Data!I:I)</f>
        <v>27.205555555666667</v>
      </c>
      <c r="C3" s="26">
        <f>AVERAGEIF(Data!R:R,'Monthly Minutes'!$A3,Data!J:J)</f>
        <v>9.0722222223333322</v>
      </c>
      <c r="D3" s="26">
        <f>AVERAGEIF(Data!R:R,'Monthly Minutes'!$A3,Data!K:K)</f>
        <v>12.4</v>
      </c>
      <c r="E3" s="26">
        <f>AVERAGEIF(Data!R:R,'Monthly Minutes'!$A3,Data!L:L)</f>
        <v>7.7388888889999992</v>
      </c>
      <c r="F3" s="26">
        <f>AVERAGEIF(Data!R:R,'Monthly Minutes'!$A3,Data!M:M)</f>
        <v>0.59444444433333332</v>
      </c>
    </row>
    <row r="4" spans="1:6" x14ac:dyDescent="0.2">
      <c r="A4" t="s">
        <v>315</v>
      </c>
      <c r="B4" s="26">
        <f>AVERAGEIF(Data!R:R,'Monthly Minutes'!$A4,Data!I:I)</f>
        <v>15.1958333335</v>
      </c>
      <c r="C4" s="26">
        <f>AVERAGEIF(Data!R:R,'Monthly Minutes'!$A4,Data!J:J)</f>
        <v>14.745833333</v>
      </c>
      <c r="D4" s="26">
        <f>AVERAGEIF(Data!R:R,'Monthly Minutes'!$A4,Data!K:K)</f>
        <v>16.183333333250001</v>
      </c>
      <c r="E4" s="26">
        <f>AVERAGEIF(Data!R:R,'Monthly Minutes'!$A4,Data!L:L)</f>
        <v>9.1708333332500001</v>
      </c>
      <c r="F4" s="26">
        <f>AVERAGEIF(Data!R:R,'Monthly Minutes'!$A4,Data!M:M)</f>
        <v>1.2916666664999998</v>
      </c>
    </row>
    <row r="5" spans="1:6" x14ac:dyDescent="0.2">
      <c r="A5" t="s">
        <v>316</v>
      </c>
      <c r="B5" s="26">
        <f>AVERAGEIF(Data!R:R,'Monthly Minutes'!$A5,Data!I:I)</f>
        <v>11.856666666600001</v>
      </c>
      <c r="C5" s="26">
        <f>AVERAGEIF(Data!R:R,'Monthly Minutes'!$A5,Data!J:J)</f>
        <v>17.556666666600002</v>
      </c>
      <c r="D5" s="26">
        <f>AVERAGEIF(Data!R:R,'Monthly Minutes'!$A5,Data!K:K)</f>
        <v>17.653333333300001</v>
      </c>
      <c r="E5" s="26">
        <f>AVERAGEIF(Data!R:R,'Monthly Minutes'!$A5,Data!L:L)</f>
        <v>10.113333333400002</v>
      </c>
      <c r="F5" s="26">
        <f>AVERAGEIF(Data!R:R,'Monthly Minutes'!$A5,Data!M:M)</f>
        <v>0.17833333339999999</v>
      </c>
    </row>
    <row r="6" spans="1:6" x14ac:dyDescent="0.2">
      <c r="A6" t="s">
        <v>317</v>
      </c>
      <c r="B6" s="26">
        <f>AVERAGEIF(Data!R:R,'Monthly Minutes'!$A6,Data!I:I)</f>
        <v>11.069696969727271</v>
      </c>
      <c r="C6" s="26">
        <f>AVERAGEIF(Data!R:R,'Monthly Minutes'!$A6,Data!J:J)</f>
        <v>15.690909091000002</v>
      </c>
      <c r="D6" s="26">
        <f>AVERAGEIF(Data!R:R,'Monthly Minutes'!$A6,Data!K:K)</f>
        <v>16.089393939454546</v>
      </c>
      <c r="E6" s="26">
        <f>AVERAGEIF(Data!R:R,'Monthly Minutes'!$A6,Data!L:L)</f>
        <v>11.612121212090909</v>
      </c>
      <c r="F6" s="26">
        <f>AVERAGEIF(Data!R:R,'Monthly Minutes'!$A6,Data!M:M)</f>
        <v>3.8318181818181816</v>
      </c>
    </row>
    <row r="7" spans="1:6" x14ac:dyDescent="0.2">
      <c r="A7" t="s">
        <v>318</v>
      </c>
      <c r="B7" s="26">
        <f>AVERAGEIF(Data!R:R,'Monthly Minutes'!$A7,Data!I:I)</f>
        <v>14.172727272727274</v>
      </c>
      <c r="C7" s="26">
        <f>AVERAGEIF(Data!R:R,'Monthly Minutes'!$A7,Data!J:J)</f>
        <v>11.633333333272729</v>
      </c>
      <c r="D7" s="26">
        <f>AVERAGEIF(Data!R:R,'Monthly Minutes'!$A7,Data!K:K)</f>
        <v>16.986363636363635</v>
      </c>
      <c r="E7" s="26">
        <f>AVERAGEIF(Data!R:R,'Monthly Minutes'!$A7,Data!L:L)</f>
        <v>11.059090909090909</v>
      </c>
      <c r="F7" s="26">
        <f>AVERAGEIF(Data!R:R,'Monthly Minutes'!$A7,Data!M:M)</f>
        <v>4.0545454546363642</v>
      </c>
    </row>
    <row r="8" spans="1:6" x14ac:dyDescent="0.2">
      <c r="A8" t="s">
        <v>319</v>
      </c>
      <c r="B8" s="26">
        <f>AVERAGEIF(Data!R:R,'Monthly Minutes'!$A8,Data!I:I)</f>
        <v>16.990196078470586</v>
      </c>
      <c r="C8" s="26">
        <f>AVERAGEIF(Data!R:R,'Monthly Minutes'!$A8,Data!J:J)</f>
        <v>12.701960784294116</v>
      </c>
      <c r="D8" s="26">
        <f>AVERAGEIF(Data!R:R,'Monthly Minutes'!$A8,Data!K:K)</f>
        <v>14.050980392058825</v>
      </c>
      <c r="E8" s="26">
        <f>AVERAGEIF(Data!R:R,'Monthly Minutes'!$A8,Data!L:L)</f>
        <v>10.62058823517647</v>
      </c>
      <c r="F8" s="26">
        <f>AVERAGEIF(Data!R:R,'Monthly Minutes'!$A8,Data!M:M)</f>
        <v>2.9294117647058822</v>
      </c>
    </row>
    <row r="9" spans="1:6" x14ac:dyDescent="0.2">
      <c r="A9" t="s">
        <v>320</v>
      </c>
      <c r="B9" s="26">
        <f>AVERAGEIF(Data!R:R,'Monthly Minutes'!$A9,Data!I:I)</f>
        <v>17.269607843235296</v>
      </c>
      <c r="C9" s="26">
        <f>AVERAGEIF(Data!R:R,'Monthly Minutes'!$A9,Data!J:J)</f>
        <v>10.725490196176471</v>
      </c>
      <c r="D9" s="26">
        <f>AVERAGEIF(Data!R:R,'Monthly Minutes'!$A9,Data!K:K)</f>
        <v>14.466666666764706</v>
      </c>
      <c r="E9" s="26">
        <f>AVERAGEIF(Data!R:R,'Monthly Minutes'!$A9,Data!L:L)</f>
        <v>10.942156862705883</v>
      </c>
      <c r="F9" s="26">
        <f>AVERAGEIF(Data!R:R,'Monthly Minutes'!$A9,Data!M:M)</f>
        <v>2.907843137294118</v>
      </c>
    </row>
    <row r="10" spans="1:6" x14ac:dyDescent="0.2">
      <c r="A10" t="s">
        <v>321</v>
      </c>
      <c r="B10" s="26">
        <f>AVERAGEIF(Data!R:R,'Monthly Minutes'!$A10,Data!I:I)</f>
        <v>14.382222222266668</v>
      </c>
      <c r="C10" s="26">
        <f>AVERAGEIF(Data!R:R,'Monthly Minutes'!$A10,Data!J:J)</f>
        <v>11.8877777778</v>
      </c>
      <c r="D10" s="26">
        <f>AVERAGEIF(Data!R:R,'Monthly Minutes'!$A10,Data!K:K)</f>
        <v>14.547777777799999</v>
      </c>
      <c r="E10" s="26">
        <f>AVERAGEIF(Data!R:R,'Monthly Minutes'!$A10,Data!L:L)</f>
        <v>11.211111111200001</v>
      </c>
      <c r="F10" s="26">
        <f>AVERAGEIF(Data!R:R,'Monthly Minutes'!$A10,Data!M:M)</f>
        <v>3.7855555554666664</v>
      </c>
    </row>
    <row r="11" spans="1:6" x14ac:dyDescent="0.2">
      <c r="A11" t="s">
        <v>322</v>
      </c>
      <c r="B11" s="26">
        <f>AVERAGEIF(Data!R:R,'Monthly Minutes'!$A11,Data!I:I)</f>
        <v>13.767857142785713</v>
      </c>
      <c r="C11" s="26">
        <f>AVERAGEIF(Data!R:R,'Monthly Minutes'!$A11,Data!J:J)</f>
        <v>12.204761904642856</v>
      </c>
      <c r="D11" s="26">
        <f>AVERAGEIF(Data!R:R,'Monthly Minutes'!$A11,Data!K:K)</f>
        <v>16.659523809500001</v>
      </c>
      <c r="E11" s="26">
        <f>AVERAGEIF(Data!R:R,'Monthly Minutes'!$A11,Data!L:L)</f>
        <v>13.352380952499999</v>
      </c>
      <c r="F11" s="26">
        <f>AVERAGEIF(Data!R:R,'Monthly Minutes'!$A11,Data!M:M)</f>
        <v>1.6976190475714286</v>
      </c>
    </row>
    <row r="12" spans="1:6" x14ac:dyDescent="0.2">
      <c r="A12" t="s">
        <v>323</v>
      </c>
      <c r="B12" s="26">
        <f>AVERAGEIF(Data!R:R,'Monthly Minutes'!$A12,Data!I:I)</f>
        <v>15.824999999928574</v>
      </c>
      <c r="C12" s="26">
        <f>AVERAGEIF(Data!R:R,'Monthly Minutes'!$A12,Data!J:J)</f>
        <v>11.761904762</v>
      </c>
      <c r="D12" s="26">
        <f>AVERAGEIF(Data!R:R,'Monthly Minutes'!$A12,Data!K:K)</f>
        <v>15.298809523857141</v>
      </c>
      <c r="E12" s="26">
        <f>AVERAGEIF(Data!R:R,'Monthly Minutes'!$A12,Data!L:L)</f>
        <v>10.219047618999999</v>
      </c>
      <c r="F12" s="26">
        <f>AVERAGEIF(Data!R:R,'Monthly Minutes'!$A12,Data!M:M)</f>
        <v>4.307142857214286</v>
      </c>
    </row>
    <row r="13" spans="1:6" x14ac:dyDescent="0.2">
      <c r="A13" t="s">
        <v>324</v>
      </c>
      <c r="B13" s="26">
        <f>AVERAGEIF(Data!R:R,'Monthly Minutes'!$A13,Data!I:I)</f>
        <v>15.0135416666875</v>
      </c>
      <c r="C13" s="26">
        <f>AVERAGEIF(Data!R:R,'Monthly Minutes'!$A13,Data!J:J)</f>
        <v>12.853124999937497</v>
      </c>
      <c r="D13" s="26">
        <f>AVERAGEIF(Data!R:R,'Monthly Minutes'!$A13,Data!K:K)</f>
        <v>14.897916666562498</v>
      </c>
      <c r="E13" s="26">
        <f>AVERAGEIF(Data!R:R,'Monthly Minutes'!$A13,Data!L:L)</f>
        <v>10.447916666562501</v>
      </c>
      <c r="F13" s="26">
        <f>AVERAGEIF(Data!R:R,'Monthly Minutes'!$A13,Data!M:M)</f>
        <v>3.1187499999999999</v>
      </c>
    </row>
    <row r="14" spans="1:6" x14ac:dyDescent="0.2">
      <c r="A14" t="s">
        <v>325</v>
      </c>
      <c r="B14" s="26">
        <f>AVERAGEIF(Data!R:R,'Monthly Minutes'!$A14,Data!I:I)</f>
        <v>18.331249999999997</v>
      </c>
      <c r="C14" s="26">
        <f>AVERAGEIF(Data!R:R,'Monthly Minutes'!$A14,Data!J:J)</f>
        <v>12.177083333375</v>
      </c>
      <c r="D14" s="26">
        <f>AVERAGEIF(Data!R:R,'Monthly Minutes'!$A14,Data!K:K)</f>
        <v>14.156250000000002</v>
      </c>
      <c r="E14" s="26">
        <f>AVERAGEIF(Data!R:R,'Monthly Minutes'!$A14,Data!L:L)</f>
        <v>11.495833333250001</v>
      </c>
      <c r="F14" s="26">
        <f>AVERAGEIF(Data!R:R,'Monthly Minutes'!$A14,Data!M:M)</f>
        <v>1.3916666666249999</v>
      </c>
    </row>
    <row r="15" spans="1:6" x14ac:dyDescent="0.2">
      <c r="A15" t="s">
        <v>326</v>
      </c>
      <c r="B15" s="26">
        <f>AVERAGEIF(Data!R:R,'Monthly Minutes'!$A15,Data!I:I)</f>
        <v>7</v>
      </c>
      <c r="C15" s="26">
        <f>AVERAGEIF(Data!R:R,'Monthly Minutes'!$A15,Data!J:J)</f>
        <v>12.4</v>
      </c>
      <c r="D15" s="26">
        <f>AVERAGEIF(Data!R:R,'Monthly Minutes'!$A15,Data!K:K)</f>
        <v>22.8</v>
      </c>
      <c r="E15" s="26">
        <f>AVERAGEIF(Data!R:R,'Monthly Minutes'!$A15,Data!L:L)</f>
        <v>11.6</v>
      </c>
      <c r="F15" s="26">
        <f>AVERAGEIF(Data!R:R,'Monthly Minutes'!$A15,Data!M:M)</f>
        <v>2.8</v>
      </c>
    </row>
    <row r="16" spans="1:6" x14ac:dyDescent="0.2">
      <c r="A16" t="s">
        <v>327</v>
      </c>
      <c r="B16" s="26">
        <f>AVERAGEIF(Data!R:R,'Monthly Minutes'!$A16,Data!I:I)</f>
        <v>17.0625</v>
      </c>
      <c r="C16" s="26">
        <f>AVERAGEIF(Data!R:R,'Monthly Minutes'!$A16,Data!J:J)</f>
        <v>13.25</v>
      </c>
      <c r="D16" s="26">
        <f>AVERAGEIF(Data!R:R,'Monthly Minutes'!$A16,Data!K:K)</f>
        <v>15.1875</v>
      </c>
      <c r="E16" s="26">
        <f>AVERAGEIF(Data!R:R,'Monthly Minutes'!$A16,Data!L:L)</f>
        <v>11.1875</v>
      </c>
      <c r="F16" s="26">
        <f>AVERAGEIF(Data!R:R,'Monthly Minutes'!$A16,Data!M:M)</f>
        <v>2.125</v>
      </c>
    </row>
    <row r="17" spans="1:6" x14ac:dyDescent="0.2">
      <c r="A17" t="s">
        <v>328</v>
      </c>
      <c r="B17" s="26">
        <f>AVERAGEIF(Data!R:R,'Monthly Minutes'!$A17,Data!I:I)</f>
        <v>18.529411764705884</v>
      </c>
      <c r="C17" s="26">
        <f>AVERAGEIF(Data!R:R,'Monthly Minutes'!$A17,Data!J:J)</f>
        <v>13.058823529411764</v>
      </c>
      <c r="D17" s="26">
        <f>AVERAGEIF(Data!R:R,'Monthly Minutes'!$A17,Data!K:K)</f>
        <v>12.588235294117647</v>
      </c>
      <c r="E17" s="26">
        <f>AVERAGEIF(Data!R:R,'Monthly Minutes'!$A17,Data!L:L)</f>
        <v>11.235294117647058</v>
      </c>
      <c r="F17" s="26">
        <f>AVERAGEIF(Data!R:R,'Monthly Minutes'!$A17,Data!M:M)</f>
        <v>2.9411764705882355</v>
      </c>
    </row>
    <row r="18" spans="1:6" x14ac:dyDescent="0.2">
      <c r="A18" t="s">
        <v>329</v>
      </c>
      <c r="B18" s="26">
        <f>AVERAGEIF(Data!R:R,'Monthly Minutes'!$A18,Data!I:I)</f>
        <v>9.6111111111111107</v>
      </c>
      <c r="C18" s="26">
        <f>AVERAGEIF(Data!R:R,'Monthly Minutes'!$A18,Data!J:J)</f>
        <v>14.777777777777779</v>
      </c>
      <c r="D18" s="26">
        <f>AVERAGEIF(Data!R:R,'Monthly Minutes'!$A18,Data!K:K)</f>
        <v>19.444444444444443</v>
      </c>
      <c r="E18" s="26">
        <f>AVERAGEIF(Data!R:R,'Monthly Minutes'!$A18,Data!L:L)</f>
        <v>12.055555555555555</v>
      </c>
      <c r="F18" s="26">
        <f>AVERAGEIF(Data!R:R,'Monthly Minutes'!$A18,Data!M:M)</f>
        <v>2.1111111111111112</v>
      </c>
    </row>
    <row r="19" spans="1:6" x14ac:dyDescent="0.2">
      <c r="A19" t="s">
        <v>330</v>
      </c>
      <c r="B19" s="26">
        <f>AVERAGEIF(Data!R:R,'Monthly Minutes'!$A19,Data!I:I)</f>
        <v>9.6923076923076916</v>
      </c>
      <c r="C19" s="26">
        <f>AVERAGEIF(Data!R:R,'Monthly Minutes'!$A19,Data!J:J)</f>
        <v>15.76923076923077</v>
      </c>
      <c r="D19" s="26">
        <f>AVERAGEIF(Data!R:R,'Monthly Minutes'!$A19,Data!K:K)</f>
        <v>17.692307692307693</v>
      </c>
      <c r="E19" s="26">
        <f>AVERAGEIF(Data!R:R,'Monthly Minutes'!$A19,Data!L:L)</f>
        <v>12.76923076923077</v>
      </c>
      <c r="F19" s="26">
        <f>AVERAGEIF(Data!R:R,'Monthly Minutes'!$A19,Data!M:M)</f>
        <v>1.5384615384615385</v>
      </c>
    </row>
    <row r="20" spans="1:6" x14ac:dyDescent="0.2">
      <c r="A20" t="s">
        <v>331</v>
      </c>
      <c r="B20" s="26">
        <f>AVERAGEIF(Data!R:R,'Monthly Minutes'!$A20,Data!I:I)</f>
        <v>11.066666666666666</v>
      </c>
      <c r="C20" s="26">
        <f>AVERAGEIF(Data!R:R,'Monthly Minutes'!$A20,Data!J:J)</f>
        <v>15</v>
      </c>
      <c r="D20" s="26">
        <f>AVERAGEIF(Data!R:R,'Monthly Minutes'!$A20,Data!K:K)</f>
        <v>14.933333333333334</v>
      </c>
      <c r="E20" s="26">
        <f>AVERAGEIF(Data!R:R,'Monthly Minutes'!$A20,Data!L:L)</f>
        <v>13.133333333333333</v>
      </c>
      <c r="F20" s="26">
        <f>AVERAGEIF(Data!R:R,'Monthly Minutes'!$A20,Data!M:M)</f>
        <v>3</v>
      </c>
    </row>
    <row r="21" spans="1:6" x14ac:dyDescent="0.2">
      <c r="A21" t="s">
        <v>332</v>
      </c>
      <c r="B21" s="26">
        <f>AVERAGEIF(Data!R:R,'Monthly Minutes'!$A21,Data!I:I)</f>
        <v>9.5</v>
      </c>
      <c r="C21" s="26">
        <f>AVERAGEIF(Data!R:R,'Monthly Minutes'!$A21,Data!J:J)</f>
        <v>16.714285714285715</v>
      </c>
      <c r="D21" s="26">
        <f>AVERAGEIF(Data!R:R,'Monthly Minutes'!$A21,Data!K:K)</f>
        <v>16.785714285714285</v>
      </c>
      <c r="E21" s="26">
        <f>AVERAGEIF(Data!R:R,'Monthly Minutes'!$A21,Data!L:L)</f>
        <v>12.357142857142858</v>
      </c>
      <c r="F21" s="26">
        <f>AVERAGEIF(Data!R:R,'Monthly Minutes'!$A21,Data!M:M)</f>
        <v>2</v>
      </c>
    </row>
    <row r="22" spans="1:6" x14ac:dyDescent="0.2">
      <c r="A22" t="s">
        <v>333</v>
      </c>
      <c r="B22" s="26">
        <f>AVERAGEIF(Data!R:R,'Monthly Minutes'!$A22,Data!I:I)</f>
        <v>7.8</v>
      </c>
      <c r="C22" s="26">
        <f>AVERAGEIF(Data!R:R,'Monthly Minutes'!$A22,Data!J:J)</f>
        <v>16.2</v>
      </c>
      <c r="D22" s="26">
        <f>AVERAGEIF(Data!R:R,'Monthly Minutes'!$A22,Data!K:K)</f>
        <v>18.399999999999999</v>
      </c>
      <c r="E22" s="26">
        <f>AVERAGEIF(Data!R:R,'Monthly Minutes'!$A22,Data!L:L)</f>
        <v>12.6</v>
      </c>
      <c r="F22" s="26">
        <f>AVERAGEIF(Data!R:R,'Monthly Minutes'!$A22,Data!M:M)</f>
        <v>1.8</v>
      </c>
    </row>
    <row r="23" spans="1:6" x14ac:dyDescent="0.2">
      <c r="A23" t="s">
        <v>334</v>
      </c>
      <c r="B23" s="26">
        <f>AVERAGEIF(Data!R:R,'Monthly Minutes'!$A23,Data!I:I)</f>
        <v>8</v>
      </c>
      <c r="C23" s="26">
        <f>AVERAGEIF(Data!R:R,'Monthly Minutes'!$A23,Data!J:J)</f>
        <v>13.5</v>
      </c>
      <c r="D23" s="26">
        <f>AVERAGEIF(Data!R:R,'Monthly Minutes'!$A23,Data!K:K)</f>
        <v>18.5</v>
      </c>
      <c r="E23" s="26">
        <f>AVERAGEIF(Data!R:R,'Monthly Minutes'!$A23,Data!L:L)</f>
        <v>12.5</v>
      </c>
      <c r="F23" s="26">
        <f>AVERAGEIF(Data!R:R,'Monthly Minutes'!$A23,Data!M:M)</f>
        <v>3.5</v>
      </c>
    </row>
    <row r="24" spans="1:6" x14ac:dyDescent="0.2">
      <c r="A24" t="s">
        <v>335</v>
      </c>
      <c r="B24" s="26">
        <f>AVERAGEIF(Data!R:R,'Monthly Minutes'!$A24,Data!I:I)</f>
        <v>10.928571428571429</v>
      </c>
      <c r="C24" s="26">
        <f>AVERAGEIF(Data!R:R,'Monthly Minutes'!$A24,Data!J:J)</f>
        <v>15.428571428571429</v>
      </c>
      <c r="D24" s="26">
        <f>AVERAGEIF(Data!R:R,'Monthly Minutes'!$A24,Data!K:K)</f>
        <v>18.571428571428573</v>
      </c>
      <c r="E24" s="26">
        <f>AVERAGEIF(Data!R:R,'Monthly Minutes'!$A24,Data!L:L)</f>
        <v>11</v>
      </c>
      <c r="F24" s="26">
        <f>AVERAGEIF(Data!R:R,'Monthly Minutes'!$A24,Data!M:M)</f>
        <v>2.5714285714285716</v>
      </c>
    </row>
    <row r="25" spans="1:6" x14ac:dyDescent="0.2">
      <c r="A25" t="s">
        <v>336</v>
      </c>
      <c r="B25" s="26">
        <f>AVERAGEIF(Data!R:R,'Monthly Minutes'!$A25,Data!I:I)</f>
        <v>13.071428571428571</v>
      </c>
      <c r="C25" s="26">
        <f>AVERAGEIF(Data!R:R,'Monthly Minutes'!$A25,Data!J:J)</f>
        <v>14.214285714285714</v>
      </c>
      <c r="D25" s="26">
        <f>AVERAGEIF(Data!R:R,'Monthly Minutes'!$A25,Data!K:K)</f>
        <v>15.928571428571429</v>
      </c>
      <c r="E25" s="26">
        <f>AVERAGEIF(Data!R:R,'Monthly Minutes'!$A25,Data!L:L)</f>
        <v>13.214285714285714</v>
      </c>
      <c r="F25" s="26">
        <f>AVERAGEIF(Data!R:R,'Monthly Minutes'!$A25,Data!M:M)</f>
        <v>1.5</v>
      </c>
    </row>
    <row r="26" spans="1:6" x14ac:dyDescent="0.2">
      <c r="A26" t="s">
        <v>337</v>
      </c>
      <c r="B26" s="26">
        <f>AVERAGEIF(Data!R:R,'Monthly Minutes'!$A26,Data!I:I)</f>
        <v>13.666666666666666</v>
      </c>
      <c r="C26" s="26">
        <f>AVERAGEIF(Data!R:R,'Monthly Minutes'!$A26,Data!J:J)</f>
        <v>16.466666666666665</v>
      </c>
      <c r="D26" s="26">
        <f>AVERAGEIF(Data!R:R,'Monthly Minutes'!$A26,Data!K:K)</f>
        <v>16.2</v>
      </c>
      <c r="E26" s="26">
        <f>AVERAGEIF(Data!R:R,'Monthly Minutes'!$A26,Data!L:L)</f>
        <v>10.6</v>
      </c>
      <c r="F26" s="26">
        <f>AVERAGEIF(Data!R:R,'Monthly Minutes'!$A26,Data!M:M)</f>
        <v>1.2666666666666666</v>
      </c>
    </row>
    <row r="27" spans="1:6" x14ac:dyDescent="0.2">
      <c r="A27" t="s">
        <v>338</v>
      </c>
      <c r="B27" s="26">
        <f>AVERAGEIF(Data!R:R,'Monthly Minutes'!$A27,Data!I:I)</f>
        <v>15.928571428571429</v>
      </c>
      <c r="C27" s="26">
        <f>AVERAGEIF(Data!R:R,'Monthly Minutes'!$A27,Data!J:J)</f>
        <v>13.571428571428571</v>
      </c>
      <c r="D27" s="26">
        <f>AVERAGEIF(Data!R:R,'Monthly Minutes'!$A27,Data!K:K)</f>
        <v>15.214285714285714</v>
      </c>
      <c r="E27" s="26">
        <f>AVERAGEIF(Data!R:R,'Monthly Minutes'!$A27,Data!L:L)</f>
        <v>12.071428571428571</v>
      </c>
      <c r="F27" s="26">
        <f>AVERAGEIF(Data!R:R,'Monthly Minutes'!$A27,Data!M:M)</f>
        <v>1.7857142857142858</v>
      </c>
    </row>
    <row r="28" spans="1:6" x14ac:dyDescent="0.2">
      <c r="A28" t="s">
        <v>339</v>
      </c>
      <c r="B28" s="26">
        <f>AVERAGEIF(Data!R:R,'Monthly Minutes'!$A28,Data!I:I)</f>
        <v>14.142857142857142</v>
      </c>
      <c r="C28" s="26">
        <f>AVERAGEIF(Data!R:R,'Monthly Minutes'!$A28,Data!J:J)</f>
        <v>15.285714285714286</v>
      </c>
      <c r="D28" s="26">
        <f>AVERAGEIF(Data!R:R,'Monthly Minutes'!$A28,Data!K:K)</f>
        <v>14.428571428571429</v>
      </c>
      <c r="E28" s="26">
        <f>AVERAGEIF(Data!R:R,'Monthly Minutes'!$A28,Data!L:L)</f>
        <v>11.857142857142858</v>
      </c>
      <c r="F28" s="26">
        <f>AVERAGEIF(Data!R:R,'Monthly Minutes'!$A28,Data!M:M)</f>
        <v>2.1428571428571428</v>
      </c>
    </row>
    <row r="29" spans="1:6" x14ac:dyDescent="0.2">
      <c r="A29" t="s">
        <v>340</v>
      </c>
      <c r="B29" s="26">
        <f>AVERAGEIF(Data!R:R,'Monthly Minutes'!$A29,Data!I:I)</f>
        <v>14.055555555555555</v>
      </c>
      <c r="C29" s="26">
        <f>AVERAGEIF(Data!R:R,'Monthly Minutes'!$A29,Data!J:J)</f>
        <v>15.333333333333334</v>
      </c>
      <c r="D29" s="26">
        <f>AVERAGEIF(Data!R:R,'Monthly Minutes'!$A29,Data!K:K)</f>
        <v>14.722222222222221</v>
      </c>
      <c r="E29" s="26">
        <f>AVERAGEIF(Data!R:R,'Monthly Minutes'!$A29,Data!L:L)</f>
        <v>11.833333333333334</v>
      </c>
      <c r="F29" s="26">
        <f>AVERAGEIF(Data!R:R,'Monthly Minutes'!$A29,Data!M:M)</f>
        <v>1.6111111111111112</v>
      </c>
    </row>
    <row r="30" spans="1:6" x14ac:dyDescent="0.2">
      <c r="A30" t="s">
        <v>341</v>
      </c>
      <c r="B30" s="26">
        <f>AVERAGEIF(Data!R:R,'Monthly Minutes'!$A30,Data!I:I)</f>
        <v>13.823529411764707</v>
      </c>
      <c r="C30" s="26">
        <f>AVERAGEIF(Data!R:R,'Monthly Minutes'!$A30,Data!J:J)</f>
        <v>16.294117647058822</v>
      </c>
      <c r="D30" s="26">
        <f>AVERAGEIF(Data!R:R,'Monthly Minutes'!$A30,Data!K:K)</f>
        <v>13.176470588235293</v>
      </c>
      <c r="E30" s="26">
        <f>AVERAGEIF(Data!R:R,'Monthly Minutes'!$A30,Data!L:L)</f>
        <v>12.235294117647058</v>
      </c>
      <c r="F30" s="26">
        <f>AVERAGEIF(Data!R:R,'Monthly Minutes'!$A30,Data!M:M)</f>
        <v>2.7058823529411766</v>
      </c>
    </row>
    <row r="31" spans="1:6" x14ac:dyDescent="0.2">
      <c r="A31" t="s">
        <v>342</v>
      </c>
      <c r="B31" s="26">
        <f>AVERAGEIF(Data!R:R,'Monthly Minutes'!$A31,Data!I:I)</f>
        <v>11.357142857142858</v>
      </c>
      <c r="C31" s="26">
        <f>AVERAGEIF(Data!R:R,'Monthly Minutes'!$A31,Data!J:J)</f>
        <v>14.928571428571429</v>
      </c>
      <c r="D31" s="26">
        <f>AVERAGEIF(Data!R:R,'Monthly Minutes'!$A31,Data!K:K)</f>
        <v>16.071428571428573</v>
      </c>
      <c r="E31" s="26">
        <f>AVERAGEIF(Data!R:R,'Monthly Minutes'!$A31,Data!L:L)</f>
        <v>12</v>
      </c>
      <c r="F31" s="26">
        <f>AVERAGEIF(Data!R:R,'Monthly Minutes'!$A31,Data!M:M)</f>
        <v>3.0714285714285716</v>
      </c>
    </row>
    <row r="32" spans="1:6" x14ac:dyDescent="0.2">
      <c r="A32" t="s">
        <v>343</v>
      </c>
      <c r="B32" s="26">
        <f>AVERAGEIF(Data!R:R,'Monthly Minutes'!$A32,Data!I:I)</f>
        <v>12.2</v>
      </c>
      <c r="C32" s="26">
        <f>AVERAGEIF(Data!R:R,'Monthly Minutes'!$A32,Data!J:J)</f>
        <v>14.933333333333334</v>
      </c>
      <c r="D32" s="26">
        <f>AVERAGEIF(Data!R:R,'Monthly Minutes'!$A32,Data!K:K)</f>
        <v>16.666666666666668</v>
      </c>
      <c r="E32" s="26">
        <f>AVERAGEIF(Data!R:R,'Monthly Minutes'!$A32,Data!L:L)</f>
        <v>10.8</v>
      </c>
      <c r="F32" s="26">
        <f>AVERAGEIF(Data!R:R,'Monthly Minutes'!$A32,Data!M:M)</f>
        <v>3.6</v>
      </c>
    </row>
    <row r="33" spans="1:6" x14ac:dyDescent="0.2">
      <c r="A33" t="s">
        <v>344</v>
      </c>
      <c r="B33" s="26">
        <f>AVERAGEIF(Data!R:R,'Monthly Minutes'!$A33,Data!I:I)</f>
        <v>9.6875</v>
      </c>
      <c r="C33" s="26">
        <f>AVERAGEIF(Data!R:R,'Monthly Minutes'!$A33,Data!J:J)</f>
        <v>13.8125</v>
      </c>
      <c r="D33" s="26">
        <f>AVERAGEIF(Data!R:R,'Monthly Minutes'!$A33,Data!K:K)</f>
        <v>17</v>
      </c>
      <c r="E33" s="26">
        <f>AVERAGEIF(Data!R:R,'Monthly Minutes'!$A33,Data!L:L)</f>
        <v>13.0625</v>
      </c>
      <c r="F33" s="26">
        <f>AVERAGEIF(Data!R:R,'Monthly Minutes'!$A33,Data!M:M)</f>
        <v>3.9375</v>
      </c>
    </row>
    <row r="34" spans="1:6" x14ac:dyDescent="0.2">
      <c r="A34" t="s">
        <v>345</v>
      </c>
      <c r="B34" s="26">
        <f>AVERAGEIF(Data!R:R,'Monthly Minutes'!$A34,Data!I:I)</f>
        <v>10.111111111111111</v>
      </c>
      <c r="C34" s="26">
        <f>AVERAGEIF(Data!R:R,'Monthly Minutes'!$A34,Data!J:J)</f>
        <v>14.333333333333334</v>
      </c>
      <c r="D34" s="26">
        <f>AVERAGEIF(Data!R:R,'Monthly Minutes'!$A34,Data!K:K)</f>
        <v>15.666666666666666</v>
      </c>
      <c r="E34" s="26">
        <f>AVERAGEIF(Data!R:R,'Monthly Minutes'!$A34,Data!L:L)</f>
        <v>13.666666666666666</v>
      </c>
      <c r="F34" s="26">
        <f>AVERAGEIF(Data!R:R,'Monthly Minutes'!$A34,Data!M:M)</f>
        <v>3.3333333333333335</v>
      </c>
    </row>
    <row r="35" spans="1:6" x14ac:dyDescent="0.2">
      <c r="A35" t="s">
        <v>346</v>
      </c>
      <c r="B35" s="26">
        <f>AVERAGEIF(Data!R:R,'Monthly Minutes'!$A35,Data!I:I)</f>
        <v>11.8125</v>
      </c>
      <c r="C35" s="26">
        <f>AVERAGEIF(Data!R:R,'Monthly Minutes'!$A35,Data!J:J)</f>
        <v>13.5625</v>
      </c>
      <c r="D35" s="26">
        <f>AVERAGEIF(Data!R:R,'Monthly Minutes'!$A35,Data!K:K)</f>
        <v>17.1875</v>
      </c>
      <c r="E35" s="26">
        <f>AVERAGEIF(Data!R:R,'Monthly Minutes'!$A35,Data!L:L)</f>
        <v>11.625</v>
      </c>
      <c r="F35" s="26">
        <f>AVERAGEIF(Data!R:R,'Monthly Minutes'!$A35,Data!M:M)</f>
        <v>3.6875</v>
      </c>
    </row>
    <row r="36" spans="1:6" x14ac:dyDescent="0.2">
      <c r="A36" t="s">
        <v>347</v>
      </c>
      <c r="B36" s="26">
        <f>AVERAGEIF(Data!R:R,'Monthly Minutes'!$A36,Data!I:I)</f>
        <v>13.8</v>
      </c>
      <c r="C36" s="26">
        <f>AVERAGEIF(Data!R:R,'Monthly Minutes'!$A36,Data!J:J)</f>
        <v>15.733333333333333</v>
      </c>
      <c r="D36" s="26">
        <f>AVERAGEIF(Data!R:R,'Monthly Minutes'!$A36,Data!K:K)</f>
        <v>16.066666666666666</v>
      </c>
      <c r="E36" s="26">
        <f>AVERAGEIF(Data!R:R,'Monthly Minutes'!$A36,Data!L:L)</f>
        <v>11.466666666666667</v>
      </c>
      <c r="F36" s="26">
        <f>AVERAGEIF(Data!R:R,'Monthly Minutes'!$A36,Data!M:M)</f>
        <v>1.3333333333333333</v>
      </c>
    </row>
    <row r="37" spans="1:6" x14ac:dyDescent="0.2">
      <c r="A37" t="s">
        <v>348</v>
      </c>
      <c r="B37" s="26">
        <f>AVERAGEIF(Data!R:R,'Monthly Minutes'!$A37,Data!I:I)</f>
        <v>13.357142857142858</v>
      </c>
      <c r="C37" s="26">
        <f>AVERAGEIF(Data!R:R,'Monthly Minutes'!$A37,Data!J:J)</f>
        <v>13.428571428571429</v>
      </c>
      <c r="D37" s="26">
        <f>AVERAGEIF(Data!R:R,'Monthly Minutes'!$A37,Data!K:K)</f>
        <v>16.357142857142858</v>
      </c>
      <c r="E37" s="26">
        <f>AVERAGEIF(Data!R:R,'Monthly Minutes'!$A37,Data!L:L)</f>
        <v>12.571428571428571</v>
      </c>
      <c r="F37" s="26">
        <f>AVERAGEIF(Data!R:R,'Monthly Minutes'!$A37,Data!M:M)</f>
        <v>1.7142857142857142</v>
      </c>
    </row>
    <row r="38" spans="1:6" x14ac:dyDescent="0.2">
      <c r="A38" t="s">
        <v>349</v>
      </c>
      <c r="B38" s="26">
        <f>AVERAGEIF(Data!R:R,'Monthly Minutes'!$A38,Data!I:I)</f>
        <v>15.066666666666666</v>
      </c>
      <c r="C38" s="26">
        <f>AVERAGEIF(Data!R:R,'Monthly Minutes'!$A38,Data!J:J)</f>
        <v>12.2</v>
      </c>
      <c r="D38" s="26">
        <f>AVERAGEIF(Data!R:R,'Monthly Minutes'!$A38,Data!K:K)</f>
        <v>16.933333333333334</v>
      </c>
      <c r="E38" s="26">
        <f>AVERAGEIF(Data!R:R,'Monthly Minutes'!$A38,Data!L:L)</f>
        <v>12.2</v>
      </c>
      <c r="F38" s="26">
        <f>AVERAGEIF(Data!R:R,'Monthly Minutes'!$A38,Data!M:M)</f>
        <v>1.5333333333333334</v>
      </c>
    </row>
    <row r="39" spans="1:6" x14ac:dyDescent="0.2">
      <c r="A39" t="s">
        <v>350</v>
      </c>
      <c r="B39" s="26">
        <f>AVERAGEIF(Data!R:R,'Monthly Minutes'!$A39,Data!I:I)</f>
        <v>11.333333333333334</v>
      </c>
      <c r="C39" s="26">
        <f>AVERAGEIF(Data!R:R,'Monthly Minutes'!$A39,Data!J:J)</f>
        <v>14</v>
      </c>
      <c r="D39" s="26">
        <f>AVERAGEIF(Data!R:R,'Monthly Minutes'!$A39,Data!K:K)</f>
        <v>17.833333333333332</v>
      </c>
      <c r="E39" s="26">
        <f>AVERAGEIF(Data!R:R,'Monthly Minutes'!$A39,Data!L:L)</f>
        <v>11.833333333333334</v>
      </c>
      <c r="F39" s="26">
        <f>AVERAGEIF(Data!R:R,'Monthly Minutes'!$A39,Data!M:M)</f>
        <v>2.1666666666666665</v>
      </c>
    </row>
    <row r="40" spans="1:6" x14ac:dyDescent="0.2">
      <c r="A40" t="s">
        <v>351</v>
      </c>
      <c r="B40" s="26">
        <f>AVERAGEIF(Data!R:R,'Monthly Minutes'!$A40,Data!I:I)</f>
        <v>14.076923076923077</v>
      </c>
      <c r="C40" s="26">
        <f>AVERAGEIF(Data!R:R,'Monthly Minutes'!$A40,Data!J:J)</f>
        <v>14.153846153846153</v>
      </c>
      <c r="D40" s="26">
        <f>AVERAGEIF(Data!R:R,'Monthly Minutes'!$A40,Data!K:K)</f>
        <v>15.461538461538462</v>
      </c>
      <c r="E40" s="26">
        <f>AVERAGEIF(Data!R:R,'Monthly Minutes'!$A40,Data!L:L)</f>
        <v>10.615384615384615</v>
      </c>
      <c r="F40" s="26">
        <f>AVERAGEIF(Data!R:R,'Monthly Minutes'!$A40,Data!M:M)</f>
        <v>2.5384615384615383</v>
      </c>
    </row>
    <row r="41" spans="1:6" x14ac:dyDescent="0.2">
      <c r="A41" t="s">
        <v>352</v>
      </c>
      <c r="B41" s="26">
        <f>AVERAGEIF(Data!R:R,'Monthly Minutes'!$A41,Data!I:I)</f>
        <v>13.8</v>
      </c>
      <c r="C41" s="26">
        <f>AVERAGEIF(Data!R:R,'Monthly Minutes'!$A41,Data!J:J)</f>
        <v>17</v>
      </c>
      <c r="D41" s="26">
        <f>AVERAGEIF(Data!R:R,'Monthly Minutes'!$A41,Data!K:K)</f>
        <v>12.4</v>
      </c>
      <c r="E41" s="26">
        <f>AVERAGEIF(Data!R:R,'Monthly Minutes'!$A41,Data!L:L)</f>
        <v>13</v>
      </c>
      <c r="F41" s="26">
        <f>AVERAGEIF(Data!R:R,'Monthly Minutes'!$A41,Data!M:M)</f>
        <v>1.8666666666666667</v>
      </c>
    </row>
    <row r="42" spans="1:6" x14ac:dyDescent="0.2">
      <c r="A42" t="s">
        <v>353</v>
      </c>
      <c r="B42" s="26">
        <f>AVERAGEIF(Data!R:R,'Monthly Minutes'!$A42,Data!I:I)</f>
        <v>10.199999999999999</v>
      </c>
      <c r="C42" s="26">
        <f>AVERAGEIF(Data!R:R,'Monthly Minutes'!$A42,Data!J:J)</f>
        <v>16.5</v>
      </c>
      <c r="D42" s="26">
        <f>AVERAGEIF(Data!R:R,'Monthly Minutes'!$A42,Data!K:K)</f>
        <v>15.1</v>
      </c>
      <c r="E42" s="26">
        <f>AVERAGEIF(Data!R:R,'Monthly Minutes'!$A42,Data!L:L)</f>
        <v>13.9</v>
      </c>
      <c r="F42" s="26">
        <f>AVERAGEIF(Data!R:R,'Monthly Minutes'!$A42,Data!M:M)</f>
        <v>2.5</v>
      </c>
    </row>
    <row r="43" spans="1:6" x14ac:dyDescent="0.2">
      <c r="A43" t="s">
        <v>354</v>
      </c>
      <c r="B43" s="26">
        <f>AVERAGEIF(Data!R:R,'Monthly Minutes'!$A43,Data!I:I)</f>
        <v>15.153846153846153</v>
      </c>
      <c r="C43" s="26">
        <f>AVERAGEIF(Data!R:R,'Monthly Minutes'!$A43,Data!J:J)</f>
        <v>15.846153846153847</v>
      </c>
      <c r="D43" s="26">
        <f>AVERAGEIF(Data!R:R,'Monthly Minutes'!$A43,Data!K:K)</f>
        <v>15.076923076923077</v>
      </c>
      <c r="E43" s="26">
        <f>AVERAGEIF(Data!R:R,'Monthly Minutes'!$A43,Data!L:L)</f>
        <v>11.538461538461538</v>
      </c>
      <c r="F43" s="26">
        <f>AVERAGEIF(Data!R:R,'Monthly Minutes'!$A43,Data!M:M)</f>
        <v>1.7692307692307692</v>
      </c>
    </row>
    <row r="44" spans="1:6" x14ac:dyDescent="0.2">
      <c r="A44" t="s">
        <v>355</v>
      </c>
      <c r="B44" s="26">
        <f>AVERAGEIF(Data!R:R,'Monthly Minutes'!$A44,Data!I:I)</f>
        <v>13.533333333333333</v>
      </c>
      <c r="C44" s="26">
        <f>AVERAGEIF(Data!R:R,'Monthly Minutes'!$A44,Data!J:J)</f>
        <v>17.066666666666666</v>
      </c>
      <c r="D44" s="26">
        <f>AVERAGEIF(Data!R:R,'Monthly Minutes'!$A44,Data!K:K)</f>
        <v>13.733333333333333</v>
      </c>
      <c r="E44" s="26">
        <f>AVERAGEIF(Data!R:R,'Monthly Minutes'!$A44,Data!L:L)</f>
        <v>12.4</v>
      </c>
      <c r="F44" s="26">
        <f>AVERAGEIF(Data!R:R,'Monthly Minutes'!$A44,Data!M:M)</f>
        <v>1.7333333333333334</v>
      </c>
    </row>
    <row r="45" spans="1:6" x14ac:dyDescent="0.2">
      <c r="A45" t="s">
        <v>356</v>
      </c>
      <c r="B45" s="26">
        <f>AVERAGEIF(Data!R:R,'Monthly Minutes'!$A45,Data!I:I)</f>
        <v>15.466666666666667</v>
      </c>
      <c r="C45" s="26">
        <f>AVERAGEIF(Data!R:R,'Monthly Minutes'!$A45,Data!J:J)</f>
        <v>14.933333333333334</v>
      </c>
      <c r="D45" s="26">
        <f>AVERAGEIF(Data!R:R,'Monthly Minutes'!$A45,Data!K:K)</f>
        <v>13.666666666666666</v>
      </c>
      <c r="E45" s="26">
        <f>AVERAGEIF(Data!R:R,'Monthly Minutes'!$A45,Data!L:L)</f>
        <v>12.466666666666667</v>
      </c>
      <c r="F45" s="26">
        <f>AVERAGEIF(Data!R:R,'Monthly Minutes'!$A45,Data!M:M)</f>
        <v>1.6</v>
      </c>
    </row>
    <row r="46" spans="1:6" x14ac:dyDescent="0.2">
      <c r="A46" t="s">
        <v>357</v>
      </c>
      <c r="B46" s="26">
        <f>AVERAGEIF(Data!R:R,'Monthly Minutes'!$A46,Data!I:I)</f>
        <v>12.25</v>
      </c>
      <c r="C46" s="26">
        <f>AVERAGEIF(Data!R:R,'Monthly Minutes'!$A46,Data!J:J)</f>
        <v>14</v>
      </c>
      <c r="D46" s="26">
        <f>AVERAGEIF(Data!R:R,'Monthly Minutes'!$A46,Data!K:K)</f>
        <v>16.75</v>
      </c>
      <c r="E46" s="26">
        <f>AVERAGEIF(Data!R:R,'Monthly Minutes'!$A46,Data!L:L)</f>
        <v>13.5</v>
      </c>
      <c r="F46" s="26">
        <f>AVERAGEIF(Data!R:R,'Monthly Minutes'!$A46,Data!M:M)</f>
        <v>1.75</v>
      </c>
    </row>
    <row r="47" spans="1:6" x14ac:dyDescent="0.2">
      <c r="A47" t="s">
        <v>358</v>
      </c>
      <c r="B47" s="26">
        <f>AVERAGEIF(Data!R:R,'Monthly Minutes'!$A47,Data!I:I)</f>
        <v>15.375</v>
      </c>
      <c r="C47" s="26">
        <f>AVERAGEIF(Data!R:R,'Monthly Minutes'!$A47,Data!J:J)</f>
        <v>14.875</v>
      </c>
      <c r="D47" s="26">
        <f>AVERAGEIF(Data!R:R,'Monthly Minutes'!$A47,Data!K:K)</f>
        <v>15.1875</v>
      </c>
      <c r="E47" s="26">
        <f>AVERAGEIF(Data!R:R,'Monthly Minutes'!$A47,Data!L:L)</f>
        <v>11.6875</v>
      </c>
      <c r="F47" s="26">
        <f>AVERAGEIF(Data!R:R,'Monthly Minutes'!$A47,Data!M:M)</f>
        <v>1.75</v>
      </c>
    </row>
    <row r="48" spans="1:6" x14ac:dyDescent="0.2">
      <c r="A48" t="s">
        <v>359</v>
      </c>
      <c r="B48" s="26">
        <f>AVERAGEIF(Data!R:R,'Monthly Minutes'!$A48,Data!I:I)</f>
        <v>12.384615384615385</v>
      </c>
      <c r="C48" s="26">
        <f>AVERAGEIF(Data!R:R,'Monthly Minutes'!$A48,Data!J:J)</f>
        <v>15.23076923076923</v>
      </c>
      <c r="D48" s="26">
        <f>AVERAGEIF(Data!R:R,'Monthly Minutes'!$A48,Data!K:K)</f>
        <v>15.692307692307692</v>
      </c>
      <c r="E48" s="26">
        <f>AVERAGEIF(Data!R:R,'Monthly Minutes'!$A48,Data!L:L)</f>
        <v>13</v>
      </c>
      <c r="F48" s="26">
        <f>AVERAGEIF(Data!R:R,'Monthly Minutes'!$A48,Data!M:M)</f>
        <v>1.6923076923076923</v>
      </c>
    </row>
    <row r="49" spans="1:6" x14ac:dyDescent="0.2">
      <c r="A49" t="s">
        <v>360</v>
      </c>
      <c r="B49" s="26">
        <f>AVERAGEIF(Data!R:R,'Monthly Minutes'!$A49,Data!I:I)</f>
        <v>14.76923076923077</v>
      </c>
      <c r="C49" s="26">
        <f>AVERAGEIF(Data!R:R,'Monthly Minutes'!$A49,Data!J:J)</f>
        <v>16.153846153846153</v>
      </c>
      <c r="D49" s="26">
        <f>AVERAGEIF(Data!R:R,'Monthly Minutes'!$A49,Data!K:K)</f>
        <v>15.076923076923077</v>
      </c>
      <c r="E49" s="26">
        <f>AVERAGEIF(Data!R:R,'Monthly Minutes'!$A49,Data!L:L)</f>
        <v>11.615384615384615</v>
      </c>
      <c r="F49" s="26">
        <f>AVERAGEIF(Data!R:R,'Monthly Minutes'!$A49,Data!M:M)</f>
        <v>1.3846153846153846</v>
      </c>
    </row>
    <row r="50" spans="1:6" x14ac:dyDescent="0.2">
      <c r="A50" t="s">
        <v>361</v>
      </c>
      <c r="B50" s="26">
        <f>AVERAGEIF(Data!R:R,'Monthly Minutes'!$A50,Data!I:I)</f>
        <v>17.23076923076923</v>
      </c>
      <c r="C50" s="26">
        <f>AVERAGEIF(Data!R:R,'Monthly Minutes'!$A50,Data!J:J)</f>
        <v>14.923076923076923</v>
      </c>
      <c r="D50" s="26">
        <f>AVERAGEIF(Data!R:R,'Monthly Minutes'!$A50,Data!K:K)</f>
        <v>12</v>
      </c>
      <c r="E50" s="26">
        <f>AVERAGEIF(Data!R:R,'Monthly Minutes'!$A50,Data!L:L)</f>
        <v>11.76923076923077</v>
      </c>
      <c r="F50" s="26">
        <f>AVERAGEIF(Data!R:R,'Monthly Minutes'!$A50,Data!M:M)</f>
        <v>1.6153846153846154</v>
      </c>
    </row>
    <row r="51" spans="1:6" x14ac:dyDescent="0.2">
      <c r="A51" t="s">
        <v>362</v>
      </c>
      <c r="B51" s="26">
        <f>AVERAGEIF(Data!R:R,'Monthly Minutes'!$A51,Data!I:I)</f>
        <v>18.285714285714285</v>
      </c>
      <c r="C51" s="26">
        <f>AVERAGEIF(Data!R:R,'Monthly Minutes'!$A51,Data!J:J)</f>
        <v>12.785714285714286</v>
      </c>
      <c r="D51" s="26">
        <f>AVERAGEIF(Data!R:R,'Monthly Minutes'!$A51,Data!K:K)</f>
        <v>13.642857142857142</v>
      </c>
      <c r="E51" s="26">
        <f>AVERAGEIF(Data!R:R,'Monthly Minutes'!$A51,Data!L:L)</f>
        <v>11.071428571428571</v>
      </c>
      <c r="F51" s="26">
        <f>AVERAGEIF(Data!R:R,'Monthly Minutes'!$A51,Data!M:M)</f>
        <v>2.4285714285714284</v>
      </c>
    </row>
    <row r="52" spans="1:6" x14ac:dyDescent="0.2">
      <c r="A52" t="s">
        <v>363</v>
      </c>
      <c r="B52" s="26">
        <f>AVERAGEIF(Data!R:R,'Monthly Minutes'!$A52,Data!I:I)</f>
        <v>18.285714285714285</v>
      </c>
      <c r="C52" s="26">
        <f>AVERAGEIF(Data!R:R,'Monthly Minutes'!$A52,Data!J:J)</f>
        <v>15.142857142857142</v>
      </c>
      <c r="D52" s="26">
        <f>AVERAGEIF(Data!R:R,'Monthly Minutes'!$A52,Data!K:K)</f>
        <v>14.142857142857142</v>
      </c>
      <c r="E52" s="26">
        <f>AVERAGEIF(Data!R:R,'Monthly Minutes'!$A52,Data!L:L)</f>
        <v>11.357142857142858</v>
      </c>
      <c r="F52" s="26">
        <f>AVERAGEIF(Data!R:R,'Monthly Minutes'!$A52,Data!M:M)</f>
        <v>1.0714285714285714</v>
      </c>
    </row>
    <row r="53" spans="1:6" x14ac:dyDescent="0.2">
      <c r="A53" t="s">
        <v>364</v>
      </c>
      <c r="B53" s="26">
        <f>AVERAGEIF(Data!R:R,'Monthly Minutes'!$A53,Data!I:I)</f>
        <v>19.600000000000001</v>
      </c>
      <c r="C53" s="26">
        <f>AVERAGEIF(Data!R:R,'Monthly Minutes'!$A53,Data!J:J)</f>
        <v>13.4</v>
      </c>
      <c r="D53" s="26">
        <f>AVERAGEIF(Data!R:R,'Monthly Minutes'!$A53,Data!K:K)</f>
        <v>12.4</v>
      </c>
      <c r="E53" s="26">
        <f>AVERAGEIF(Data!R:R,'Monthly Minutes'!$A53,Data!L:L)</f>
        <v>13.333333333333334</v>
      </c>
      <c r="F53" s="26">
        <f>AVERAGEIF(Data!R:R,'Monthly Minutes'!$A53,Data!M:M)</f>
        <v>1.4666666666666666</v>
      </c>
    </row>
    <row r="54" spans="1:6" x14ac:dyDescent="0.2">
      <c r="A54" t="s">
        <v>365</v>
      </c>
      <c r="B54" s="26">
        <f>AVERAGEIF(Data!R:R,'Monthly Minutes'!$A54,Data!I:I)</f>
        <v>17.777777777777779</v>
      </c>
      <c r="C54" s="26">
        <f>AVERAGEIF(Data!R:R,'Monthly Minutes'!$A54,Data!J:J)</f>
        <v>14.222222222222221</v>
      </c>
      <c r="D54" s="26">
        <f>AVERAGEIF(Data!R:R,'Monthly Minutes'!$A54,Data!K:K)</f>
        <v>12.444444444444445</v>
      </c>
      <c r="E54" s="26">
        <f>AVERAGEIF(Data!R:R,'Monthly Minutes'!$A54,Data!L:L)</f>
        <v>12.555555555555555</v>
      </c>
      <c r="F54" s="26">
        <f>AVERAGEIF(Data!R:R,'Monthly Minutes'!$A54,Data!M:M)</f>
        <v>3.8888888888888888</v>
      </c>
    </row>
    <row r="55" spans="1:6" x14ac:dyDescent="0.2">
      <c r="A55" t="s">
        <v>366</v>
      </c>
      <c r="B55" s="26">
        <f>AVERAGEIF(Data!R:R,'Monthly Minutes'!$A55,Data!I:I)</f>
        <v>17.214285714285715</v>
      </c>
      <c r="C55" s="26">
        <f>AVERAGEIF(Data!R:R,'Monthly Minutes'!$A55,Data!J:J)</f>
        <v>15.428571428571429</v>
      </c>
      <c r="D55" s="26">
        <f>AVERAGEIF(Data!R:R,'Monthly Minutes'!$A55,Data!K:K)</f>
        <v>12.857142857142858</v>
      </c>
      <c r="E55" s="26">
        <f>AVERAGEIF(Data!R:R,'Monthly Minutes'!$A55,Data!L:L)</f>
        <v>12.285714285714286</v>
      </c>
      <c r="F55" s="26">
        <f>AVERAGEIF(Data!R:R,'Monthly Minutes'!$A55,Data!M:M)</f>
        <v>1.8571428571428572</v>
      </c>
    </row>
    <row r="56" spans="1:6" x14ac:dyDescent="0.2">
      <c r="A56" t="s">
        <v>367</v>
      </c>
      <c r="B56" s="26">
        <f>AVERAGEIF(Data!R:R,'Monthly Minutes'!$A56,Data!I:I)</f>
        <v>14.571428571428571</v>
      </c>
      <c r="C56" s="26">
        <f>AVERAGEIF(Data!R:R,'Monthly Minutes'!$A56,Data!J:J)</f>
        <v>16.142857142857142</v>
      </c>
      <c r="D56" s="26">
        <f>AVERAGEIF(Data!R:R,'Monthly Minutes'!$A56,Data!K:K)</f>
        <v>12.714285714285714</v>
      </c>
      <c r="E56" s="26">
        <f>AVERAGEIF(Data!R:R,'Monthly Minutes'!$A56,Data!L:L)</f>
        <v>13.785714285714286</v>
      </c>
      <c r="F56" s="26">
        <f>AVERAGEIF(Data!R:R,'Monthly Minutes'!$A56,Data!M:M)</f>
        <v>1.4285714285714286</v>
      </c>
    </row>
    <row r="57" spans="1:6" x14ac:dyDescent="0.2">
      <c r="A57" t="s">
        <v>368</v>
      </c>
      <c r="B57" s="26">
        <f>AVERAGEIF(Data!R:R,'Monthly Minutes'!$A57,Data!I:I)</f>
        <v>17</v>
      </c>
      <c r="C57" s="26">
        <f>AVERAGEIF(Data!R:R,'Monthly Minutes'!$A57,Data!J:J)</f>
        <v>14.571428571428571</v>
      </c>
      <c r="D57" s="26">
        <f>AVERAGEIF(Data!R:R,'Monthly Minutes'!$A57,Data!K:K)</f>
        <v>12.785714285714286</v>
      </c>
      <c r="E57" s="26">
        <f>AVERAGEIF(Data!R:R,'Monthly Minutes'!$A57,Data!L:L)</f>
        <v>13.428571428571429</v>
      </c>
      <c r="F57" s="26">
        <f>AVERAGEIF(Data!R:R,'Monthly Minutes'!$A57,Data!M:M)</f>
        <v>1.3571428571428572</v>
      </c>
    </row>
    <row r="58" spans="1:6" x14ac:dyDescent="0.2">
      <c r="A58" t="s">
        <v>369</v>
      </c>
      <c r="B58" s="26">
        <f>AVERAGEIF(Data!R:R,'Monthly Minutes'!$A58,Data!I:I)</f>
        <v>14.25</v>
      </c>
      <c r="C58" s="26">
        <f>AVERAGEIF(Data!R:R,'Monthly Minutes'!$A58,Data!J:J)</f>
        <v>14</v>
      </c>
      <c r="D58" s="26">
        <f>AVERAGEIF(Data!R:R,'Monthly Minutes'!$A58,Data!K:K)</f>
        <v>16.416666666666668</v>
      </c>
      <c r="E58" s="26">
        <f>AVERAGEIF(Data!R:R,'Monthly Minutes'!$A58,Data!L:L)</f>
        <v>12.666666666666666</v>
      </c>
      <c r="F58" s="26">
        <f>AVERAGEIF(Data!R:R,'Monthly Minutes'!$A58,Data!M:M)</f>
        <v>2.0833333333333335</v>
      </c>
    </row>
    <row r="59" spans="1:6" x14ac:dyDescent="0.2">
      <c r="A59" t="s">
        <v>370</v>
      </c>
      <c r="B59" s="26">
        <f>AVERAGEIF(Data!R:R,'Monthly Minutes'!$A59,Data!I:I)</f>
        <v>14.6875</v>
      </c>
      <c r="C59" s="26">
        <f>AVERAGEIF(Data!R:R,'Monthly Minutes'!$A59,Data!J:J)</f>
        <v>16.1875</v>
      </c>
      <c r="D59" s="26">
        <f>AVERAGEIF(Data!R:R,'Monthly Minutes'!$A59,Data!K:K)</f>
        <v>14.25</v>
      </c>
      <c r="E59" s="26">
        <f>AVERAGEIF(Data!R:R,'Monthly Minutes'!$A59,Data!L:L)</f>
        <v>12</v>
      </c>
      <c r="F59" s="26">
        <f>AVERAGEIF(Data!R:R,'Monthly Minutes'!$A59,Data!M:M)</f>
        <v>1.875</v>
      </c>
    </row>
    <row r="60" spans="1:6" x14ac:dyDescent="0.2">
      <c r="A60" t="s">
        <v>371</v>
      </c>
      <c r="B60" s="26">
        <f>AVERAGEIF(Data!R:R,'Monthly Minutes'!$A60,Data!I:I)</f>
        <v>16.25</v>
      </c>
      <c r="C60" s="26">
        <f>AVERAGEIF(Data!R:R,'Monthly Minutes'!$A60,Data!J:J)</f>
        <v>15.25</v>
      </c>
      <c r="D60" s="26">
        <f>AVERAGEIF(Data!R:R,'Monthly Minutes'!$A60,Data!K:K)</f>
        <v>13</v>
      </c>
      <c r="E60" s="26">
        <f>AVERAGEIF(Data!R:R,'Monthly Minutes'!$A60,Data!L:L)</f>
        <v>12.5</v>
      </c>
      <c r="F60" s="26">
        <f>AVERAGEIF(Data!R:R,'Monthly Minutes'!$A60,Data!M:M)</f>
        <v>1.9166666666666667</v>
      </c>
    </row>
    <row r="61" spans="1:6" x14ac:dyDescent="0.2">
      <c r="A61" t="s">
        <v>372</v>
      </c>
      <c r="B61" s="26">
        <f>AVERAGEIF(Data!R:R,'Monthly Minutes'!$A61,Data!I:I)</f>
        <v>17.3125</v>
      </c>
      <c r="C61" s="26">
        <f>AVERAGEIF(Data!R:R,'Monthly Minutes'!$A61,Data!J:J)</f>
        <v>14.6875</v>
      </c>
      <c r="D61" s="26">
        <f>AVERAGEIF(Data!R:R,'Monthly Minutes'!$A61,Data!K:K)</f>
        <v>12.8125</v>
      </c>
      <c r="E61" s="26">
        <f>AVERAGEIF(Data!R:R,'Monthly Minutes'!$A61,Data!L:L)</f>
        <v>12.5625</v>
      </c>
      <c r="F61" s="26">
        <f>AVERAGEIF(Data!R:R,'Monthly Minutes'!$A61,Data!M:M)</f>
        <v>1.375</v>
      </c>
    </row>
    <row r="62" spans="1:6" x14ac:dyDescent="0.2">
      <c r="A62" t="s">
        <v>373</v>
      </c>
      <c r="B62" s="26">
        <f>AVERAGEIF(Data!R:R,'Monthly Minutes'!$A62,Data!I:I)</f>
        <v>16.384615384615383</v>
      </c>
      <c r="C62" s="26">
        <f>AVERAGEIF(Data!R:R,'Monthly Minutes'!$A62,Data!J:J)</f>
        <v>14.692307692307692</v>
      </c>
      <c r="D62" s="26">
        <f>AVERAGEIF(Data!R:R,'Monthly Minutes'!$A62,Data!K:K)</f>
        <v>11.923076923076923</v>
      </c>
      <c r="E62" s="26">
        <f>AVERAGEIF(Data!R:R,'Monthly Minutes'!$A62,Data!L:L)</f>
        <v>13.307692307692308</v>
      </c>
      <c r="F62" s="26">
        <f>AVERAGEIF(Data!R:R,'Monthly Minutes'!$A62,Data!M:M)</f>
        <v>1.5384615384615385</v>
      </c>
    </row>
    <row r="63" spans="1:6" x14ac:dyDescent="0.2">
      <c r="A63" t="s">
        <v>374</v>
      </c>
      <c r="B63" s="26">
        <f>AVERAGEIF(Data!R:R,'Monthly Minutes'!$A63,Data!I:I)</f>
        <v>15.214285714285714</v>
      </c>
      <c r="C63" s="26">
        <f>AVERAGEIF(Data!R:R,'Monthly Minutes'!$A63,Data!J:J)</f>
        <v>16.5</v>
      </c>
      <c r="D63" s="26">
        <f>AVERAGEIF(Data!R:R,'Monthly Minutes'!$A63,Data!K:K)</f>
        <v>12</v>
      </c>
      <c r="E63" s="26">
        <f>AVERAGEIF(Data!R:R,'Monthly Minutes'!$A63,Data!L:L)</f>
        <v>12.571428571428571</v>
      </c>
      <c r="F63" s="26">
        <f>AVERAGEIF(Data!R:R,'Monthly Minutes'!$A63,Data!M:M)</f>
        <v>1.9285714285714286</v>
      </c>
    </row>
    <row r="64" spans="1:6" x14ac:dyDescent="0.2">
      <c r="A64" t="s">
        <v>375</v>
      </c>
      <c r="B64" s="26">
        <f>AVERAGEIF(Data!R:R,'Monthly Minutes'!$A64,Data!I:I)</f>
        <v>15.25</v>
      </c>
      <c r="C64" s="26">
        <f>AVERAGEIF(Data!R:R,'Monthly Minutes'!$A64,Data!J:J)</f>
        <v>15.5</v>
      </c>
      <c r="D64" s="26">
        <f>AVERAGEIF(Data!R:R,'Monthly Minutes'!$A64,Data!K:K)</f>
        <v>11.25</v>
      </c>
      <c r="E64" s="26">
        <f>AVERAGEIF(Data!R:R,'Monthly Minutes'!$A64,Data!L:L)</f>
        <v>15.083333333333334</v>
      </c>
      <c r="F64" s="26">
        <f>AVERAGEIF(Data!R:R,'Monthly Minutes'!$A64,Data!M:M)</f>
        <v>1.3333333333333333</v>
      </c>
    </row>
    <row r="65" spans="1:6" x14ac:dyDescent="0.2">
      <c r="A65" t="s">
        <v>376</v>
      </c>
      <c r="B65" s="26">
        <f>AVERAGEIF(Data!R:R,'Monthly Minutes'!$A65,Data!I:I)</f>
        <v>18.416666666666668</v>
      </c>
      <c r="C65" s="26">
        <f>AVERAGEIF(Data!R:R,'Monthly Minutes'!$A65,Data!J:J)</f>
        <v>12.166666666666666</v>
      </c>
      <c r="D65" s="26">
        <f>AVERAGEIF(Data!R:R,'Monthly Minutes'!$A65,Data!K:K)</f>
        <v>14.916666666666666</v>
      </c>
      <c r="E65" s="26">
        <f>AVERAGEIF(Data!R:R,'Monthly Minutes'!$A65,Data!L:L)</f>
        <v>12.666666666666666</v>
      </c>
      <c r="F65" s="26">
        <f>AVERAGEIF(Data!R:R,'Monthly Minutes'!$A65,Data!M:M)</f>
        <v>1.5</v>
      </c>
    </row>
    <row r="66" spans="1:6" x14ac:dyDescent="0.2">
      <c r="A66" t="s">
        <v>377</v>
      </c>
      <c r="B66" s="26">
        <f>AVERAGEIF(Data!R:R,'Monthly Minutes'!$A66,Data!I:I)</f>
        <v>18.285714285714285</v>
      </c>
      <c r="C66" s="26">
        <f>AVERAGEIF(Data!R:R,'Monthly Minutes'!$A66,Data!J:J)</f>
        <v>14.857142857142858</v>
      </c>
      <c r="D66" s="26">
        <f>AVERAGEIF(Data!R:R,'Monthly Minutes'!$A66,Data!K:K)</f>
        <v>12.357142857142858</v>
      </c>
      <c r="E66" s="26">
        <f>AVERAGEIF(Data!R:R,'Monthly Minutes'!$A66,Data!L:L)</f>
        <v>12.928571428571429</v>
      </c>
      <c r="F66" s="26">
        <f>AVERAGEIF(Data!R:R,'Monthly Minutes'!$A66,Data!M:M)</f>
        <v>1.2142857142857142</v>
      </c>
    </row>
    <row r="67" spans="1:6" x14ac:dyDescent="0.2">
      <c r="A67" t="s">
        <v>378</v>
      </c>
      <c r="B67" s="26">
        <f>AVERAGEIF(Data!R:R,'Monthly Minutes'!$A67,Data!I:I)</f>
        <v>20.274725274725274</v>
      </c>
      <c r="C67" s="26">
        <f>AVERAGEIF(Data!R:R,'Monthly Minutes'!$A67,Data!J:J)</f>
        <v>14.241758241758243</v>
      </c>
      <c r="D67" s="26">
        <f>AVERAGEIF(Data!R:R,'Monthly Minutes'!$A67,Data!K:K)</f>
        <v>12.472527472527473</v>
      </c>
      <c r="E67" s="26">
        <f>AVERAGEIF(Data!R:R,'Monthly Minutes'!$A67,Data!L:L)</f>
        <v>12.714285714285714</v>
      </c>
      <c r="F67" s="26">
        <f>AVERAGEIF(Data!R:R,'Monthly Minutes'!$A67,Data!M:M)</f>
        <v>0.7142857142857143</v>
      </c>
    </row>
    <row r="68" spans="1:6" x14ac:dyDescent="0.2">
      <c r="A68" t="s">
        <v>379</v>
      </c>
      <c r="B68" s="26">
        <f>AVERAGEIF(Data!R:R,'Monthly Minutes'!$A68,Data!I:I)</f>
        <v>16.933333333333334</v>
      </c>
      <c r="C68" s="26">
        <f>AVERAGEIF(Data!R:R,'Monthly Minutes'!$A68,Data!J:J)</f>
        <v>13.933333333333334</v>
      </c>
      <c r="D68" s="26">
        <f>AVERAGEIF(Data!R:R,'Monthly Minutes'!$A68,Data!K:K)</f>
        <v>14.266666666666667</v>
      </c>
      <c r="E68" s="26">
        <f>AVERAGEIF(Data!R:R,'Monthly Minutes'!$A68,Data!L:L)</f>
        <v>14.4</v>
      </c>
      <c r="F68" s="26">
        <f>AVERAGEIF(Data!R:R,'Monthly Minutes'!$A68,Data!M:M)</f>
        <v>0.8</v>
      </c>
    </row>
    <row r="69" spans="1:6" x14ac:dyDescent="0.2">
      <c r="A69" t="s">
        <v>380</v>
      </c>
      <c r="B69" s="26">
        <f>AVERAGEIF(Data!R:R,'Monthly Minutes'!$A69,Data!I:I)</f>
        <v>19.083333333333332</v>
      </c>
      <c r="C69" s="26">
        <f>AVERAGEIF(Data!R:R,'Monthly Minutes'!$A69,Data!J:J)</f>
        <v>13.166666666666666</v>
      </c>
      <c r="D69" s="26">
        <f>AVERAGEIF(Data!R:R,'Monthly Minutes'!$A69,Data!K:K)</f>
        <v>13.25</v>
      </c>
      <c r="E69" s="26">
        <f>AVERAGEIF(Data!R:R,'Monthly Minutes'!$A69,Data!L:L)</f>
        <v>13</v>
      </c>
      <c r="F69" s="26">
        <f>AVERAGEIF(Data!R:R,'Monthly Minutes'!$A69,Data!M:M)</f>
        <v>0.91666666666666663</v>
      </c>
    </row>
    <row r="70" spans="1:6" x14ac:dyDescent="0.2">
      <c r="A70" t="s">
        <v>381</v>
      </c>
      <c r="B70" s="26">
        <f>AVERAGEIF(Data!R:R,'Monthly Minutes'!$A70,Data!I:I)</f>
        <v>17.181818181818183</v>
      </c>
      <c r="C70" s="26">
        <f>AVERAGEIF(Data!R:R,'Monthly Minutes'!$A70,Data!J:J)</f>
        <v>12.454545454545455</v>
      </c>
      <c r="D70" s="26">
        <f>AVERAGEIF(Data!R:R,'Monthly Minutes'!$A70,Data!K:K)</f>
        <v>14</v>
      </c>
      <c r="E70" s="26">
        <f>AVERAGEIF(Data!R:R,'Monthly Minutes'!$A70,Data!L:L)</f>
        <v>13.636363636363637</v>
      </c>
      <c r="F70" s="26">
        <f>AVERAGEIF(Data!R:R,'Monthly Minutes'!$A70,Data!M:M)</f>
        <v>1.8181818181818181</v>
      </c>
    </row>
    <row r="71" spans="1:6" x14ac:dyDescent="0.2">
      <c r="A71" t="s">
        <v>382</v>
      </c>
      <c r="B71" s="26">
        <f>AVERAGEIF(Data!R:R,'Monthly Minutes'!$A71,Data!I:I)</f>
        <v>15.466666666666667</v>
      </c>
      <c r="C71" s="26">
        <f>AVERAGEIF(Data!R:R,'Monthly Minutes'!$A71,Data!J:J)</f>
        <v>12.8</v>
      </c>
      <c r="D71" s="26">
        <f>AVERAGEIF(Data!R:R,'Monthly Minutes'!$A71,Data!K:K)</f>
        <v>16.333333333333332</v>
      </c>
      <c r="E71" s="26">
        <f>AVERAGEIF(Data!R:R,'Monthly Minutes'!$A71,Data!L:L)</f>
        <v>12.333333333333334</v>
      </c>
      <c r="F71" s="26">
        <f>AVERAGEIF(Data!R:R,'Monthly Minutes'!$A71,Data!M:M)</f>
        <v>1.4</v>
      </c>
    </row>
    <row r="72" spans="1:6" x14ac:dyDescent="0.2">
      <c r="A72" t="s">
        <v>383</v>
      </c>
      <c r="B72" s="26">
        <f>AVERAGEIF(Data!R:R,'Monthly Minutes'!$A72,Data!I:I)</f>
        <v>18.153846153846153</v>
      </c>
      <c r="C72" s="26">
        <f>AVERAGEIF(Data!R:R,'Monthly Minutes'!$A72,Data!J:J)</f>
        <v>15.692307692307692</v>
      </c>
      <c r="D72" s="26">
        <f>AVERAGEIF(Data!R:R,'Monthly Minutes'!$A72,Data!K:K)</f>
        <v>13.615384615384615</v>
      </c>
      <c r="E72" s="26">
        <f>AVERAGEIF(Data!R:R,'Monthly Minutes'!$A72,Data!L:L)</f>
        <v>12.76923076923077</v>
      </c>
      <c r="F72" s="26">
        <f>AVERAGEIF(Data!R:R,'Monthly Minutes'!$A72,Data!M:M)</f>
        <v>0.92307692307692313</v>
      </c>
    </row>
    <row r="73" spans="1:6" x14ac:dyDescent="0.2">
      <c r="A73" t="s">
        <v>384</v>
      </c>
      <c r="B73" s="26">
        <f>AVERAGEIF(Data!R:R,'Monthly Minutes'!$A73,Data!I:I)</f>
        <v>17.142857142857142</v>
      </c>
      <c r="C73" s="26">
        <f>AVERAGEIF(Data!R:R,'Monthly Minutes'!$A73,Data!J:J)</f>
        <v>16.642857142857142</v>
      </c>
      <c r="D73" s="26">
        <f>AVERAGEIF(Data!R:R,'Monthly Minutes'!$A73,Data!K:K)</f>
        <v>14.071428571428571</v>
      </c>
      <c r="E73" s="26">
        <f>AVERAGEIF(Data!R:R,'Monthly Minutes'!$A73,Data!L:L)</f>
        <v>10.428571428571429</v>
      </c>
      <c r="F73" s="26">
        <f>AVERAGEIF(Data!R:R,'Monthly Minutes'!$A73,Data!M:M)</f>
        <v>0.6428571428571429</v>
      </c>
    </row>
    <row r="74" spans="1:6" x14ac:dyDescent="0.2">
      <c r="A74" s="39" t="s">
        <v>392</v>
      </c>
      <c r="B74" s="26">
        <f>AVERAGEIF(Data!R:R,'Monthly Minutes'!$A74,Data!I:I)</f>
        <v>21</v>
      </c>
      <c r="C74" s="26">
        <f>AVERAGEIF(Data!R:R,'Monthly Minutes'!$A74,Data!J:J)</f>
        <v>14</v>
      </c>
      <c r="D74" s="26">
        <f>AVERAGEIF(Data!R:R,'Monthly Minutes'!$A74,Data!K:K)</f>
        <v>13</v>
      </c>
      <c r="E74" s="26">
        <f>AVERAGEIF(Data!R:R,'Monthly Minutes'!$A74,Data!L:L)</f>
        <v>10</v>
      </c>
      <c r="F74" s="26">
        <f>AVERAGEIF(Data!R:R,'Monthly Minutes'!$A74,Data!M:M)</f>
        <v>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E2AA7-20B9-4D4F-BD0D-7D6482B1B67F}">
  <dimension ref="A1:H27"/>
  <sheetViews>
    <sheetView tabSelected="1" workbookViewId="0">
      <selection activeCell="Q19" sqref="Q19"/>
    </sheetView>
  </sheetViews>
  <sheetFormatPr baseColWidth="10" defaultRowHeight="15" x14ac:dyDescent="0.2"/>
  <cols>
    <col min="6" max="6" width="11.5" customWidth="1"/>
    <col min="7" max="7" width="12.1640625" customWidth="1"/>
  </cols>
  <sheetData>
    <row r="1" spans="1:8" x14ac:dyDescent="0.2">
      <c r="A1" t="s">
        <v>391</v>
      </c>
      <c r="B1" t="s">
        <v>18</v>
      </c>
      <c r="C1" t="s">
        <v>390</v>
      </c>
      <c r="D1" t="s">
        <v>385</v>
      </c>
      <c r="E1" t="s">
        <v>386</v>
      </c>
      <c r="F1" t="s">
        <v>387</v>
      </c>
      <c r="G1" t="s">
        <v>388</v>
      </c>
      <c r="H1" t="s">
        <v>389</v>
      </c>
    </row>
    <row r="2" spans="1:8" ht="16" x14ac:dyDescent="0.25">
      <c r="A2" t="str">
        <f>_xlfn.CONCAT(B2,"-Q",C2)</f>
        <v>2019-Q1</v>
      </c>
      <c r="B2" s="38">
        <v>2019</v>
      </c>
      <c r="C2" s="37">
        <v>1</v>
      </c>
      <c r="D2" s="26">
        <f>AVERAGEIFS(Data!I:I,Data!AE:AE,'Quarterly Minutes'!$B2,Data!AY:AY,'Quarterly Minutes'!$C2)</f>
        <v>15.666666666666666</v>
      </c>
      <c r="E2" s="26">
        <f>AVERAGEIFS(Data!J:J,Data!AE:AE,'Quarterly Minutes'!$B2,Data!AY:AY,'Quarterly Minutes'!$C2)</f>
        <v>18</v>
      </c>
      <c r="F2" s="26">
        <f>AVERAGEIFS(Data!K:K,Data!AE:AE,'Quarterly Minutes'!$B2,Data!AY:AY,'Quarterly Minutes'!$C2)</f>
        <v>21.666666666666668</v>
      </c>
      <c r="G2" s="26">
        <f>AVERAGEIFS(Data!L:L,Data!AE:AE,'Quarterly Minutes'!$B2,Data!AY:AY,'Quarterly Minutes'!$C2)</f>
        <v>1.3333333333333333</v>
      </c>
      <c r="H2" s="26">
        <f>AVERAGEIFS(Data!M:M,Data!AE:AE,'Quarterly Minutes'!$B2,Data!AY:AY,'Quarterly Minutes'!$C2)</f>
        <v>0</v>
      </c>
    </row>
    <row r="3" spans="1:8" ht="16" x14ac:dyDescent="0.25">
      <c r="A3" t="str">
        <f t="shared" ref="A3:A27" si="0">_xlfn.CONCAT(B3,"-Q",C3)</f>
        <v>2019-Q2</v>
      </c>
      <c r="B3" s="38">
        <v>2019</v>
      </c>
      <c r="C3" s="37">
        <v>2</v>
      </c>
      <c r="D3" s="26">
        <f>AVERAGEIFS(Data!I:I,Data!AE:AE,'Quarterly Minutes'!$B3,Data!AY:AY,'Quarterly Minutes'!$C3)</f>
        <v>15.350980392176469</v>
      </c>
      <c r="E3" s="26">
        <f>AVERAGEIFS(Data!J:J,Data!AE:AE,'Quarterly Minutes'!$B3,Data!AY:AY,'Quarterly Minutes'!$C3)</f>
        <v>15.398039215588236</v>
      </c>
      <c r="F3" s="26">
        <f>AVERAGEIFS(Data!K:K,Data!AE:AE,'Quarterly Minutes'!$B3,Data!AY:AY,'Quarterly Minutes'!$C3)</f>
        <v>16.380392156823525</v>
      </c>
      <c r="G3" s="26">
        <f>AVERAGEIFS(Data!L:L,Data!AE:AE,'Quarterly Minutes'!$B3,Data!AY:AY,'Quarterly Minutes'!$C3)</f>
        <v>9.4725490196470581</v>
      </c>
      <c r="H3" s="26">
        <f>AVERAGEIFS(Data!M:M,Data!AE:AE,'Quarterly Minutes'!$B3,Data!AY:AY,'Quarterly Minutes'!$C3)</f>
        <v>0.51372549017647051</v>
      </c>
    </row>
    <row r="4" spans="1:8" ht="16" x14ac:dyDescent="0.25">
      <c r="A4" t="str">
        <f t="shared" si="0"/>
        <v>2019-Q3</v>
      </c>
      <c r="B4" s="38">
        <v>2019</v>
      </c>
      <c r="C4" s="37">
        <v>3</v>
      </c>
      <c r="D4" s="26">
        <f>AVERAGEIFS(Data!I:I,Data!AE:AE,'Quarterly Minutes'!$B4,Data!AY:AY,'Quarterly Minutes'!$C4)</f>
        <v>14.525641025666669</v>
      </c>
      <c r="E4" s="26">
        <f>AVERAGEIFS(Data!J:J,Data!AE:AE,'Quarterly Minutes'!$B4,Data!AY:AY,'Quarterly Minutes'!$C4)</f>
        <v>13.243589743589743</v>
      </c>
      <c r="F4" s="26">
        <f>AVERAGEIFS(Data!K:K,Data!AE:AE,'Quarterly Minutes'!$B4,Data!AY:AY,'Quarterly Minutes'!$C4)</f>
        <v>15.453846153820511</v>
      </c>
      <c r="G4" s="26">
        <f>AVERAGEIFS(Data!L:L,Data!AE:AE,'Quarterly Minutes'!$B4,Data!AY:AY,'Quarterly Minutes'!$C4)</f>
        <v>11.023931623871798</v>
      </c>
      <c r="H4" s="26">
        <f>AVERAGEIFS(Data!M:M,Data!AE:AE,'Quarterly Minutes'!$B4,Data!AY:AY,'Quarterly Minutes'!$C4)</f>
        <v>3.5012820513076925</v>
      </c>
    </row>
    <row r="5" spans="1:8" ht="16" x14ac:dyDescent="0.25">
      <c r="A5" t="str">
        <f t="shared" si="0"/>
        <v>2019-Q4</v>
      </c>
      <c r="B5" s="38">
        <v>2019</v>
      </c>
      <c r="C5" s="37">
        <v>4</v>
      </c>
      <c r="D5" s="26">
        <f>AVERAGEIFS(Data!I:I,Data!AE:AE,'Quarterly Minutes'!$B5,Data!AY:AY,'Quarterly Minutes'!$C5)</f>
        <v>15.2623188406087</v>
      </c>
      <c r="E5" s="26">
        <f>AVERAGEIFS(Data!J:J,Data!AE:AE,'Quarterly Minutes'!$B5,Data!AY:AY,'Quarterly Minutes'!$C5)</f>
        <v>11.554710144934784</v>
      </c>
      <c r="F5" s="26">
        <f>AVERAGEIFS(Data!K:K,Data!AE:AE,'Quarterly Minutes'!$B5,Data!AY:AY,'Quarterly Minutes'!$C5)</f>
        <v>15.160507246413045</v>
      </c>
      <c r="G5" s="26">
        <f>AVERAGEIFS(Data!L:L,Data!AE:AE,'Quarterly Minutes'!$B5,Data!AY:AY,'Quarterly Minutes'!$C5)</f>
        <v>11.763405797152176</v>
      </c>
      <c r="H5" s="26">
        <f>AVERAGEIFS(Data!M:M,Data!AE:AE,'Quarterly Minutes'!$B5,Data!AY:AY,'Quarterly Minutes'!$C5)</f>
        <v>2.8257246376521739</v>
      </c>
    </row>
    <row r="6" spans="1:8" ht="16" x14ac:dyDescent="0.25">
      <c r="A6" t="str">
        <f t="shared" si="0"/>
        <v>2020-Q1</v>
      </c>
      <c r="B6" s="38">
        <v>2020</v>
      </c>
      <c r="C6" s="37">
        <v>1</v>
      </c>
      <c r="D6" s="26">
        <f>AVERAGEIFS(Data!I:I,Data!AE:AE,'Quarterly Minutes'!$B6,Data!AY:AY,'Quarterly Minutes'!$C6)</f>
        <v>16.010964912263159</v>
      </c>
      <c r="E6" s="26">
        <f>AVERAGEIFS(Data!J:J,Data!AE:AE,'Quarterly Minutes'!$B6,Data!AY:AY,'Quarterly Minutes'!$C6)</f>
        <v>12.3087719298421</v>
      </c>
      <c r="F6" s="26">
        <f>AVERAGEIFS(Data!K:K,Data!AE:AE,'Quarterly Minutes'!$B6,Data!AY:AY,'Quarterly Minutes'!$C6)</f>
        <v>14.889473684184207</v>
      </c>
      <c r="G6" s="26">
        <f>AVERAGEIFS(Data!L:L,Data!AE:AE,'Quarterly Minutes'!$B6,Data!AY:AY,'Quarterly Minutes'!$C6)</f>
        <v>10.584210526236841</v>
      </c>
      <c r="H6" s="26">
        <f>AVERAGEIFS(Data!M:M,Data!AE:AE,'Quarterly Minutes'!$B6,Data!AY:AY,'Quarterly Minutes'!$C6)</f>
        <v>3.1929824561578952</v>
      </c>
    </row>
    <row r="7" spans="1:8" ht="16" x14ac:dyDescent="0.25">
      <c r="A7" t="str">
        <f t="shared" si="0"/>
        <v>2021-Q2</v>
      </c>
      <c r="B7" s="38">
        <v>2021</v>
      </c>
      <c r="C7" s="37">
        <v>2</v>
      </c>
      <c r="D7" s="26">
        <f>AVERAGEIFS(Data!I:I,Data!AE:AE,'Quarterly Minutes'!$B7,Data!AY:AY,'Quarterly Minutes'!$C7)</f>
        <v>14.666666666666666</v>
      </c>
      <c r="E7" s="26">
        <f>AVERAGEIFS(Data!J:J,Data!AE:AE,'Quarterly Minutes'!$B7,Data!AY:AY,'Quarterly Minutes'!$C7)</f>
        <v>13.047619047619047</v>
      </c>
      <c r="F7" s="26">
        <f>AVERAGEIFS(Data!K:K,Data!AE:AE,'Quarterly Minutes'!$B7,Data!AY:AY,'Quarterly Minutes'!$C7)</f>
        <v>17</v>
      </c>
      <c r="G7" s="26">
        <f>AVERAGEIFS(Data!L:L,Data!AE:AE,'Quarterly Minutes'!$B7,Data!AY:AY,'Quarterly Minutes'!$C7)</f>
        <v>11.285714285714286</v>
      </c>
      <c r="H7" s="26">
        <f>AVERAGEIFS(Data!M:M,Data!AE:AE,'Quarterly Minutes'!$B7,Data!AY:AY,'Quarterly Minutes'!$C7)</f>
        <v>2.2857142857142856</v>
      </c>
    </row>
    <row r="8" spans="1:8" ht="16" x14ac:dyDescent="0.25">
      <c r="A8" t="str">
        <f t="shared" si="0"/>
        <v>2021-Q3</v>
      </c>
      <c r="B8" s="38">
        <v>2021</v>
      </c>
      <c r="C8" s="37">
        <v>3</v>
      </c>
      <c r="D8" s="26">
        <f>AVERAGEIFS(Data!I:I,Data!AE:AE,'Quarterly Minutes'!$B8,Data!AY:AY,'Quarterly Minutes'!$C8)</f>
        <v>12.791666666666666</v>
      </c>
      <c r="E8" s="26">
        <f>AVERAGEIFS(Data!J:J,Data!AE:AE,'Quarterly Minutes'!$B8,Data!AY:AY,'Quarterly Minutes'!$C8)</f>
        <v>14.4375</v>
      </c>
      <c r="F8" s="26">
        <f>AVERAGEIFS(Data!K:K,Data!AE:AE,'Quarterly Minutes'!$B8,Data!AY:AY,'Quarterly Minutes'!$C8)</f>
        <v>16.541666666666668</v>
      </c>
      <c r="G8" s="26">
        <f>AVERAGEIFS(Data!L:L,Data!AE:AE,'Quarterly Minutes'!$B8,Data!AY:AY,'Quarterly Minutes'!$C8)</f>
        <v>11.958333333333334</v>
      </c>
      <c r="H8" s="26">
        <f>AVERAGEIFS(Data!M:M,Data!AE:AE,'Quarterly Minutes'!$B8,Data!AY:AY,'Quarterly Minutes'!$C8)</f>
        <v>2.25</v>
      </c>
    </row>
    <row r="9" spans="1:8" ht="16" x14ac:dyDescent="0.25">
      <c r="A9" t="str">
        <f t="shared" si="0"/>
        <v>2021-Q4</v>
      </c>
      <c r="B9" s="38">
        <v>2021</v>
      </c>
      <c r="C9" s="37">
        <v>4</v>
      </c>
      <c r="D9" s="26">
        <f>AVERAGEIFS(Data!I:I,Data!AE:AE,'Quarterly Minutes'!$B9,Data!AY:AY,'Quarterly Minutes'!$C9)</f>
        <v>9.9411764705882355</v>
      </c>
      <c r="E9" s="26">
        <f>AVERAGEIFS(Data!J:J,Data!AE:AE,'Quarterly Minutes'!$B9,Data!AY:AY,'Quarterly Minutes'!$C9)</f>
        <v>15.882352941176471</v>
      </c>
      <c r="F9" s="26">
        <f>AVERAGEIFS(Data!K:K,Data!AE:AE,'Quarterly Minutes'!$B9,Data!AY:AY,'Quarterly Minutes'!$C9)</f>
        <v>16.205882352941178</v>
      </c>
      <c r="G9" s="26">
        <f>AVERAGEIFS(Data!L:L,Data!AE:AE,'Quarterly Minutes'!$B9,Data!AY:AY,'Quarterly Minutes'!$C9)</f>
        <v>12.735294117647058</v>
      </c>
      <c r="H9" s="26">
        <f>AVERAGEIFS(Data!M:M,Data!AE:AE,'Quarterly Minutes'!$B9,Data!AY:AY,'Quarterly Minutes'!$C9)</f>
        <v>2.4117647058823528</v>
      </c>
    </row>
    <row r="10" spans="1:8" ht="16" x14ac:dyDescent="0.25">
      <c r="A10" t="str">
        <f t="shared" si="0"/>
        <v>2022-Q1</v>
      </c>
      <c r="B10" s="38">
        <v>2022</v>
      </c>
      <c r="C10" s="37">
        <v>1</v>
      </c>
      <c r="D10" s="26">
        <f>AVERAGEIFS(Data!I:I,Data!AE:AE,'Quarterly Minutes'!$B10,Data!AY:AY,'Quarterly Minutes'!$C10)</f>
        <v>11.733333333333333</v>
      </c>
      <c r="E10" s="26">
        <f>AVERAGEIFS(Data!J:J,Data!AE:AE,'Quarterly Minutes'!$B10,Data!AY:AY,'Quarterly Minutes'!$C10)</f>
        <v>14.733333333333333</v>
      </c>
      <c r="F10" s="26">
        <f>AVERAGEIFS(Data!K:K,Data!AE:AE,'Quarterly Minutes'!$B10,Data!AY:AY,'Quarterly Minutes'!$C10)</f>
        <v>17.333333333333332</v>
      </c>
      <c r="G10" s="26">
        <f>AVERAGEIFS(Data!L:L,Data!AE:AE,'Quarterly Minutes'!$B10,Data!AY:AY,'Quarterly Minutes'!$C10)</f>
        <v>12.133333333333333</v>
      </c>
      <c r="H10" s="26">
        <f>AVERAGEIFS(Data!M:M,Data!AE:AE,'Quarterly Minutes'!$B10,Data!AY:AY,'Quarterly Minutes'!$C10)</f>
        <v>2.1333333333333333</v>
      </c>
    </row>
    <row r="11" spans="1:8" ht="16" x14ac:dyDescent="0.25">
      <c r="A11" t="str">
        <f t="shared" si="0"/>
        <v>2022-Q2</v>
      </c>
      <c r="B11" s="38">
        <v>2022</v>
      </c>
      <c r="C11" s="37">
        <v>2</v>
      </c>
      <c r="D11" s="26">
        <f>AVERAGEIFS(Data!I:I,Data!AE:AE,'Quarterly Minutes'!$B11,Data!AY:AY,'Quarterly Minutes'!$C11)</f>
        <v>14.55813953488372</v>
      </c>
      <c r="E11" s="26">
        <f>AVERAGEIFS(Data!J:J,Data!AE:AE,'Quarterly Minutes'!$B11,Data!AY:AY,'Quarterly Minutes'!$C11)</f>
        <v>15.13953488372093</v>
      </c>
      <c r="F11" s="26">
        <f>AVERAGEIFS(Data!K:K,Data!AE:AE,'Quarterly Minutes'!$B11,Data!AY:AY,'Quarterly Minutes'!$C11)</f>
        <v>15.302325581395349</v>
      </c>
      <c r="G11" s="26">
        <f>AVERAGEIFS(Data!L:L,Data!AE:AE,'Quarterly Minutes'!$B11,Data!AY:AY,'Quarterly Minutes'!$C11)</f>
        <v>11.488372093023257</v>
      </c>
      <c r="H11" s="26">
        <f>AVERAGEIFS(Data!M:M,Data!AE:AE,'Quarterly Minutes'!$B11,Data!AY:AY,'Quarterly Minutes'!$C11)</f>
        <v>1.7209302325581395</v>
      </c>
    </row>
    <row r="12" spans="1:8" ht="16" x14ac:dyDescent="0.25">
      <c r="A12" t="str">
        <f t="shared" si="0"/>
        <v>2022-Q3</v>
      </c>
      <c r="B12" s="38">
        <v>2022</v>
      </c>
      <c r="C12" s="37">
        <v>3</v>
      </c>
      <c r="D12" s="26">
        <f>AVERAGEIFS(Data!I:I,Data!AE:AE,'Quarterly Minutes'!$B12,Data!AY:AY,'Quarterly Minutes'!$C12)</f>
        <v>13.204081632653061</v>
      </c>
      <c r="E12" s="26">
        <f>AVERAGEIFS(Data!J:J,Data!AE:AE,'Quarterly Minutes'!$B12,Data!AY:AY,'Quarterly Minutes'!$C12)</f>
        <v>15.551020408163266</v>
      </c>
      <c r="F12" s="26">
        <f>AVERAGEIFS(Data!K:K,Data!AE:AE,'Quarterly Minutes'!$B12,Data!AY:AY,'Quarterly Minutes'!$C12)</f>
        <v>14.571428571428571</v>
      </c>
      <c r="G12" s="26">
        <f>AVERAGEIFS(Data!L:L,Data!AE:AE,'Quarterly Minutes'!$B12,Data!AY:AY,'Quarterly Minutes'!$C12)</f>
        <v>12.020408163265307</v>
      </c>
      <c r="H12" s="26">
        <f>AVERAGEIFS(Data!M:M,Data!AE:AE,'Quarterly Minutes'!$B12,Data!AY:AY,'Quarterly Minutes'!$C12)</f>
        <v>2.4081632653061225</v>
      </c>
    </row>
    <row r="13" spans="1:8" ht="16" x14ac:dyDescent="0.25">
      <c r="A13" t="str">
        <f t="shared" si="0"/>
        <v>2022-Q4</v>
      </c>
      <c r="B13" s="38">
        <v>2022</v>
      </c>
      <c r="C13" s="37">
        <v>4</v>
      </c>
      <c r="D13" s="26">
        <f>AVERAGEIFS(Data!I:I,Data!AE:AE,'Quarterly Minutes'!$B13,Data!AY:AY,'Quarterly Minutes'!$C13)</f>
        <v>10.725</v>
      </c>
      <c r="E13" s="26">
        <f>AVERAGEIFS(Data!J:J,Data!AE:AE,'Quarterly Minutes'!$B13,Data!AY:AY,'Quarterly Minutes'!$C13)</f>
        <v>14.35</v>
      </c>
      <c r="F13" s="26">
        <f>AVERAGEIFS(Data!K:K,Data!AE:AE,'Quarterly Minutes'!$B13,Data!AY:AY,'Quarterly Minutes'!$C13)</f>
        <v>16.574999999999999</v>
      </c>
      <c r="G13" s="26">
        <f>AVERAGEIFS(Data!L:L,Data!AE:AE,'Quarterly Minutes'!$B13,Data!AY:AY,'Quarterly Minutes'!$C13)</f>
        <v>12.35</v>
      </c>
      <c r="H13" s="26">
        <f>AVERAGEIFS(Data!M:M,Data!AE:AE,'Quarterly Minutes'!$B13,Data!AY:AY,'Quarterly Minutes'!$C13)</f>
        <v>3.6749999999999998</v>
      </c>
    </row>
    <row r="14" spans="1:8" ht="16" x14ac:dyDescent="0.25">
      <c r="A14" t="str">
        <f t="shared" si="0"/>
        <v>2023-Q1</v>
      </c>
      <c r="B14" s="38">
        <v>2023</v>
      </c>
      <c r="C14" s="37">
        <v>1</v>
      </c>
      <c r="D14" s="26">
        <f>AVERAGEIFS(Data!I:I,Data!AE:AE,'Quarterly Minutes'!$B14,Data!AY:AY,'Quarterly Minutes'!$C14)</f>
        <v>12.955555555555556</v>
      </c>
      <c r="E14" s="26">
        <f>AVERAGEIFS(Data!J:J,Data!AE:AE,'Quarterly Minutes'!$B14,Data!AY:AY,'Quarterly Minutes'!$C14)</f>
        <v>14.244444444444444</v>
      </c>
      <c r="F14" s="26">
        <f>AVERAGEIFS(Data!K:K,Data!AE:AE,'Quarterly Minutes'!$B14,Data!AY:AY,'Quarterly Minutes'!$C14)</f>
        <v>16.555555555555557</v>
      </c>
      <c r="G14" s="26">
        <f>AVERAGEIFS(Data!L:L,Data!AE:AE,'Quarterly Minutes'!$B14,Data!AY:AY,'Quarterly Minutes'!$C14)</f>
        <v>11.866666666666667</v>
      </c>
      <c r="H14" s="26">
        <f>AVERAGEIFS(Data!M:M,Data!AE:AE,'Quarterly Minutes'!$B14,Data!AY:AY,'Quarterly Minutes'!$C14)</f>
        <v>2.2888888888888888</v>
      </c>
    </row>
    <row r="15" spans="1:8" ht="16" x14ac:dyDescent="0.25">
      <c r="A15" t="str">
        <f t="shared" si="0"/>
        <v>2023-Q2</v>
      </c>
      <c r="B15" s="38">
        <v>2023</v>
      </c>
      <c r="C15" s="37">
        <v>2</v>
      </c>
      <c r="D15" s="26">
        <f>AVERAGEIFS(Data!I:I,Data!AE:AE,'Quarterly Minutes'!$B15,Data!AY:AY,'Quarterly Minutes'!$C15)</f>
        <v>14.029411764705882</v>
      </c>
      <c r="E15" s="26">
        <f>AVERAGEIFS(Data!J:J,Data!AE:AE,'Quarterly Minutes'!$B15,Data!AY:AY,'Quarterly Minutes'!$C15)</f>
        <v>13.264705882352942</v>
      </c>
      <c r="F15" s="26">
        <f>AVERAGEIFS(Data!K:K,Data!AE:AE,'Quarterly Minutes'!$B15,Data!AY:AY,'Quarterly Minutes'!$C15)</f>
        <v>16.529411764705884</v>
      </c>
      <c r="G15" s="26">
        <f>AVERAGEIFS(Data!L:L,Data!AE:AE,'Quarterly Minutes'!$B15,Data!AY:AY,'Quarterly Minutes'!$C15)</f>
        <v>11.529411764705882</v>
      </c>
      <c r="H15" s="26">
        <f>AVERAGEIFS(Data!M:M,Data!AE:AE,'Quarterly Minutes'!$B15,Data!AY:AY,'Quarterly Minutes'!$C15)</f>
        <v>2.0294117647058822</v>
      </c>
    </row>
    <row r="16" spans="1:8" ht="16" x14ac:dyDescent="0.25">
      <c r="A16" t="str">
        <f t="shared" si="0"/>
        <v>2023-Q3</v>
      </c>
      <c r="B16" s="38">
        <v>2023</v>
      </c>
      <c r="C16" s="37">
        <v>3</v>
      </c>
      <c r="D16" s="26">
        <f>AVERAGEIFS(Data!I:I,Data!AE:AE,'Quarterly Minutes'!$B16,Data!AY:AY,'Quarterly Minutes'!$C16)</f>
        <v>13.315789473684211</v>
      </c>
      <c r="E16" s="26">
        <f>AVERAGEIFS(Data!J:J,Data!AE:AE,'Quarterly Minutes'!$B16,Data!AY:AY,'Quarterly Minutes'!$C16)</f>
        <v>16.473684210526315</v>
      </c>
      <c r="F16" s="26">
        <f>AVERAGEIFS(Data!K:K,Data!AE:AE,'Quarterly Minutes'!$B16,Data!AY:AY,'Quarterly Minutes'!$C16)</f>
        <v>14.026315789473685</v>
      </c>
      <c r="G16" s="26">
        <f>AVERAGEIFS(Data!L:L,Data!AE:AE,'Quarterly Minutes'!$B16,Data!AY:AY,'Quarterly Minutes'!$C16)</f>
        <v>12.736842105263158</v>
      </c>
      <c r="H16" s="26">
        <f>AVERAGEIFS(Data!M:M,Data!AE:AE,'Quarterly Minutes'!$B16,Data!AY:AY,'Quarterly Minutes'!$C16)</f>
        <v>2</v>
      </c>
    </row>
    <row r="17" spans="1:8" ht="16" x14ac:dyDescent="0.25">
      <c r="A17" t="str">
        <f t="shared" si="0"/>
        <v>2023-Q4</v>
      </c>
      <c r="B17" s="38">
        <v>2023</v>
      </c>
      <c r="C17" s="37">
        <v>4</v>
      </c>
      <c r="D17" s="26">
        <f>AVERAGEIFS(Data!I:I,Data!AE:AE,'Quarterly Minutes'!$B17,Data!AY:AY,'Quarterly Minutes'!$C17)</f>
        <v>13.857142857142858</v>
      </c>
      <c r="E17" s="26">
        <f>AVERAGEIFS(Data!J:J,Data!AE:AE,'Quarterly Minutes'!$B17,Data!AY:AY,'Quarterly Minutes'!$C17)</f>
        <v>15.428571428571429</v>
      </c>
      <c r="F17" s="26">
        <f>AVERAGEIFS(Data!K:K,Data!AE:AE,'Quarterly Minutes'!$B17,Data!AY:AY,'Quarterly Minutes'!$C17)</f>
        <v>14.571428571428571</v>
      </c>
      <c r="G17" s="26">
        <f>AVERAGEIFS(Data!L:L,Data!AE:AE,'Quarterly Minutes'!$B17,Data!AY:AY,'Quarterly Minutes'!$C17)</f>
        <v>12.738095238095237</v>
      </c>
      <c r="H17" s="26">
        <f>AVERAGEIFS(Data!M:M,Data!AE:AE,'Quarterly Minutes'!$B17,Data!AY:AY,'Quarterly Minutes'!$C17)</f>
        <v>1.6904761904761905</v>
      </c>
    </row>
    <row r="18" spans="1:8" ht="16" x14ac:dyDescent="0.25">
      <c r="A18" t="str">
        <f t="shared" si="0"/>
        <v>2024-Q1</v>
      </c>
      <c r="B18" s="38">
        <v>2024</v>
      </c>
      <c r="C18" s="37">
        <v>1</v>
      </c>
      <c r="D18" s="26">
        <f>AVERAGEIFS(Data!I:I,Data!AE:AE,'Quarterly Minutes'!$B18,Data!AY:AY,'Quarterly Minutes'!$C18)</f>
        <v>14.261904761904763</v>
      </c>
      <c r="E18" s="26">
        <f>AVERAGEIFS(Data!J:J,Data!AE:AE,'Quarterly Minutes'!$B18,Data!AY:AY,'Quarterly Minutes'!$C18)</f>
        <v>15.380952380952381</v>
      </c>
      <c r="F18" s="26">
        <f>AVERAGEIFS(Data!K:K,Data!AE:AE,'Quarterly Minutes'!$B18,Data!AY:AY,'Quarterly Minutes'!$C18)</f>
        <v>15.30952380952381</v>
      </c>
      <c r="G18" s="26">
        <f>AVERAGEIFS(Data!L:L,Data!AE:AE,'Quarterly Minutes'!$B18,Data!AY:AY,'Quarterly Minutes'!$C18)</f>
        <v>12.071428571428571</v>
      </c>
      <c r="H18" s="26">
        <f>AVERAGEIFS(Data!M:M,Data!AE:AE,'Quarterly Minutes'!$B18,Data!AY:AY,'Quarterly Minutes'!$C18)</f>
        <v>1.6190476190476191</v>
      </c>
    </row>
    <row r="19" spans="1:8" ht="16" x14ac:dyDescent="0.25">
      <c r="A19" t="str">
        <f t="shared" si="0"/>
        <v>2024-Q2</v>
      </c>
      <c r="B19" s="38">
        <v>2024</v>
      </c>
      <c r="C19" s="37">
        <v>2</v>
      </c>
      <c r="D19" s="26">
        <f>AVERAGEIFS(Data!I:I,Data!AE:AE,'Quarterly Minutes'!$B19,Data!AY:AY,'Quarterly Minutes'!$C19)</f>
        <v>17.951219512195124</v>
      </c>
      <c r="E19" s="26">
        <f>AVERAGEIFS(Data!J:J,Data!AE:AE,'Quarterly Minutes'!$B19,Data!AY:AY,'Quarterly Minutes'!$C19)</f>
        <v>14.268292682926829</v>
      </c>
      <c r="F19" s="26">
        <f>AVERAGEIFS(Data!K:K,Data!AE:AE,'Quarterly Minutes'!$B19,Data!AY:AY,'Quarterly Minutes'!$C19)</f>
        <v>13.292682926829269</v>
      </c>
      <c r="G19" s="26">
        <f>AVERAGEIFS(Data!L:L,Data!AE:AE,'Quarterly Minutes'!$B19,Data!AY:AY,'Quarterly Minutes'!$C19)</f>
        <v>11.390243902439025</v>
      </c>
      <c r="H19" s="26">
        <f>AVERAGEIFS(Data!M:M,Data!AE:AE,'Quarterly Minutes'!$B19,Data!AY:AY,'Quarterly Minutes'!$C19)</f>
        <v>1.7073170731707317</v>
      </c>
    </row>
    <row r="20" spans="1:8" ht="16" x14ac:dyDescent="0.25">
      <c r="A20" t="str">
        <f t="shared" si="0"/>
        <v>2024-Q3</v>
      </c>
      <c r="B20" s="38">
        <v>2024</v>
      </c>
      <c r="C20" s="37">
        <v>3</v>
      </c>
      <c r="D20" s="26">
        <f>AVERAGEIFS(Data!I:I,Data!AE:AE,'Quarterly Minutes'!$B20,Data!AY:AY,'Quarterly Minutes'!$C20)</f>
        <v>18.289473684210527</v>
      </c>
      <c r="E20" s="26">
        <f>AVERAGEIFS(Data!J:J,Data!AE:AE,'Quarterly Minutes'!$B20,Data!AY:AY,'Quarterly Minutes'!$C20)</f>
        <v>14.342105263157896</v>
      </c>
      <c r="F20" s="26">
        <f>AVERAGEIFS(Data!K:K,Data!AE:AE,'Quarterly Minutes'!$B20,Data!AY:AY,'Quarterly Minutes'!$C20)</f>
        <v>12.578947368421053</v>
      </c>
      <c r="G20" s="26">
        <f>AVERAGEIFS(Data!L:L,Data!AE:AE,'Quarterly Minutes'!$B20,Data!AY:AY,'Quarterly Minutes'!$C20)</f>
        <v>12.763157894736842</v>
      </c>
      <c r="H20" s="26">
        <f>AVERAGEIFS(Data!M:M,Data!AE:AE,'Quarterly Minutes'!$B20,Data!AY:AY,'Quarterly Minutes'!$C20)</f>
        <v>2.1842105263157894</v>
      </c>
    </row>
    <row r="21" spans="1:8" ht="16" x14ac:dyDescent="0.25">
      <c r="A21" t="str">
        <f t="shared" si="0"/>
        <v>2024-Q4</v>
      </c>
      <c r="B21" s="38">
        <v>2024</v>
      </c>
      <c r="C21" s="37">
        <v>4</v>
      </c>
      <c r="D21" s="26">
        <f>AVERAGEIFS(Data!I:I,Data!AE:AE,'Quarterly Minutes'!$B21,Data!AY:AY,'Quarterly Minutes'!$C21)</f>
        <v>15.324999999999999</v>
      </c>
      <c r="E21" s="26">
        <f>AVERAGEIFS(Data!J:J,Data!AE:AE,'Quarterly Minutes'!$B21,Data!AY:AY,'Quarterly Minutes'!$C21)</f>
        <v>14.95</v>
      </c>
      <c r="F21" s="26">
        <f>AVERAGEIFS(Data!K:K,Data!AE:AE,'Quarterly Minutes'!$B21,Data!AY:AY,'Quarterly Minutes'!$C21)</f>
        <v>13.85</v>
      </c>
      <c r="G21" s="26">
        <f>AVERAGEIFS(Data!L:L,Data!AE:AE,'Quarterly Minutes'!$B21,Data!AY:AY,'Quarterly Minutes'!$C21)</f>
        <v>13.324999999999999</v>
      </c>
      <c r="H21" s="26">
        <f>AVERAGEIFS(Data!M:M,Data!AE:AE,'Quarterly Minutes'!$B21,Data!AY:AY,'Quarterly Minutes'!$C21)</f>
        <v>1.6</v>
      </c>
    </row>
    <row r="22" spans="1:8" ht="16" x14ac:dyDescent="0.25">
      <c r="A22" t="str">
        <f t="shared" si="0"/>
        <v>2025-Q1</v>
      </c>
      <c r="B22" s="38">
        <v>2025</v>
      </c>
      <c r="C22" s="37">
        <v>1</v>
      </c>
      <c r="D22" s="26">
        <f>AVERAGEIFS(Data!I:I,Data!AE:AE,'Quarterly Minutes'!$B22,Data!AY:AY,'Quarterly Minutes'!$C22)</f>
        <v>16.068181818181817</v>
      </c>
      <c r="E22" s="26">
        <f>AVERAGEIFS(Data!J:J,Data!AE:AE,'Quarterly Minutes'!$B22,Data!AY:AY,'Quarterly Minutes'!$C22)</f>
        <v>15.386363636363637</v>
      </c>
      <c r="F22" s="26">
        <f>AVERAGEIFS(Data!K:K,Data!AE:AE,'Quarterly Minutes'!$B22,Data!AY:AY,'Quarterly Minutes'!$C22)</f>
        <v>13.386363636363637</v>
      </c>
      <c r="G22" s="26">
        <f>AVERAGEIFS(Data!L:L,Data!AE:AE,'Quarterly Minutes'!$B22,Data!AY:AY,'Quarterly Minutes'!$C22)</f>
        <v>12.340909090909092</v>
      </c>
      <c r="H22" s="26">
        <f>AVERAGEIFS(Data!M:M,Data!AE:AE,'Quarterly Minutes'!$B22,Data!AY:AY,'Quarterly Minutes'!$C22)</f>
        <v>1.7045454545454546</v>
      </c>
    </row>
    <row r="23" spans="1:8" ht="16" x14ac:dyDescent="0.25">
      <c r="A23" t="str">
        <f t="shared" si="0"/>
        <v>2025-Q2</v>
      </c>
      <c r="B23" s="38">
        <v>2025</v>
      </c>
      <c r="C23" s="37">
        <v>2</v>
      </c>
      <c r="D23" s="26">
        <f>AVERAGEIFS(Data!I:I,Data!AE:AE,'Quarterly Minutes'!$B23,Data!AY:AY,'Quarterly Minutes'!$C23)</f>
        <v>15.615384615384615</v>
      </c>
      <c r="E23" s="26">
        <f>AVERAGEIFS(Data!J:J,Data!AE:AE,'Quarterly Minutes'!$B23,Data!AY:AY,'Quarterly Minutes'!$C23)</f>
        <v>15.589743589743589</v>
      </c>
      <c r="F23" s="26">
        <f>AVERAGEIFS(Data!K:K,Data!AE:AE,'Quarterly Minutes'!$B23,Data!AY:AY,'Quarterly Minutes'!$C23)</f>
        <v>11.743589743589743</v>
      </c>
      <c r="G23" s="26">
        <f>AVERAGEIFS(Data!L:L,Data!AE:AE,'Quarterly Minutes'!$B23,Data!AY:AY,'Quarterly Minutes'!$C23)</f>
        <v>13.589743589743589</v>
      </c>
      <c r="H23" s="26">
        <f>AVERAGEIFS(Data!M:M,Data!AE:AE,'Quarterly Minutes'!$B23,Data!AY:AY,'Quarterly Minutes'!$C23)</f>
        <v>1.6153846153846154</v>
      </c>
    </row>
    <row r="24" spans="1:8" ht="16" x14ac:dyDescent="0.25">
      <c r="A24" t="str">
        <f t="shared" si="0"/>
        <v>2025-Q3</v>
      </c>
      <c r="B24" s="38">
        <v>2025</v>
      </c>
      <c r="C24" s="37">
        <v>3</v>
      </c>
      <c r="D24" s="26">
        <f>AVERAGEIFS(Data!I:I,Data!AE:AE,'Quarterly Minutes'!$B24,Data!AY:AY,'Quarterly Minutes'!$C24)</f>
        <v>19.021153846153844</v>
      </c>
      <c r="E24" s="26">
        <f>AVERAGEIFS(Data!J:J,Data!AE:AE,'Quarterly Minutes'!$B24,Data!AY:AY,'Quarterly Minutes'!$C24)</f>
        <v>13.834615384615384</v>
      </c>
      <c r="F24" s="26">
        <f>AVERAGEIFS(Data!K:K,Data!AE:AE,'Quarterly Minutes'!$B24,Data!AY:AY,'Quarterly Minutes'!$C24)</f>
        <v>13.165384615384616</v>
      </c>
      <c r="G24" s="26">
        <f>AVERAGEIFS(Data!L:L,Data!AE:AE,'Quarterly Minutes'!$B24,Data!AY:AY,'Quarterly Minutes'!$C24)</f>
        <v>12.775</v>
      </c>
      <c r="H24" s="26">
        <f>AVERAGEIFS(Data!M:M,Data!AE:AE,'Quarterly Minutes'!$B24,Data!AY:AY,'Quarterly Minutes'!$C24)</f>
        <v>1.125</v>
      </c>
    </row>
    <row r="25" spans="1:8" ht="16" x14ac:dyDescent="0.25">
      <c r="A25" t="str">
        <f t="shared" si="0"/>
        <v>2025-Q4</v>
      </c>
      <c r="B25" s="38">
        <v>2025</v>
      </c>
      <c r="C25" s="37">
        <v>4</v>
      </c>
      <c r="D25" s="26">
        <f>AVERAGEIFS(Data!I:I,Data!AE:AE,'Quarterly Minutes'!$B25,Data!AY:AY,'Quarterly Minutes'!$C25)</f>
        <v>17.684210526315791</v>
      </c>
      <c r="E25" s="26">
        <f>AVERAGEIFS(Data!J:J,Data!AE:AE,'Quarterly Minutes'!$B25,Data!AY:AY,'Quarterly Minutes'!$C25)</f>
        <v>13.263157894736842</v>
      </c>
      <c r="F25" s="26">
        <f>AVERAGEIFS(Data!K:K,Data!AE:AE,'Quarterly Minutes'!$B25,Data!AY:AY,'Quarterly Minutes'!$C25)</f>
        <v>13.868421052631579</v>
      </c>
      <c r="G25" s="26">
        <f>AVERAGEIFS(Data!L:L,Data!AE:AE,'Quarterly Minutes'!$B25,Data!AY:AY,'Quarterly Minutes'!$C25)</f>
        <v>13.736842105263158</v>
      </c>
      <c r="H25" s="26">
        <f>AVERAGEIFS(Data!M:M,Data!AE:AE,'Quarterly Minutes'!$B25,Data!AY:AY,'Quarterly Minutes'!$C25)</f>
        <v>1.131578947368421</v>
      </c>
    </row>
    <row r="26" spans="1:8" ht="16" x14ac:dyDescent="0.25">
      <c r="A26" t="str">
        <f t="shared" si="0"/>
        <v>2026-Q1</v>
      </c>
      <c r="B26" s="38">
        <v>2026</v>
      </c>
      <c r="C26" s="37">
        <v>1</v>
      </c>
      <c r="D26" s="26">
        <f>AVERAGEIFS(Data!I:I,Data!AE:AE,'Quarterly Minutes'!$B26,Data!AY:AY,'Quarterly Minutes'!$C26)</f>
        <v>16.857142857142858</v>
      </c>
      <c r="E26" s="26">
        <f>AVERAGEIFS(Data!J:J,Data!AE:AE,'Quarterly Minutes'!$B26,Data!AY:AY,'Quarterly Minutes'!$C26)</f>
        <v>14.976190476190476</v>
      </c>
      <c r="F26" s="26">
        <f>AVERAGEIFS(Data!K:K,Data!AE:AE,'Quarterly Minutes'!$B26,Data!AY:AY,'Quarterly Minutes'!$C26)</f>
        <v>14.738095238095237</v>
      </c>
      <c r="G26" s="26">
        <f>AVERAGEIFS(Data!L:L,Data!AE:AE,'Quarterly Minutes'!$B26,Data!AY:AY,'Quarterly Minutes'!$C26)</f>
        <v>11.833333333333334</v>
      </c>
      <c r="H26" s="26">
        <f>AVERAGEIFS(Data!M:M,Data!AE:AE,'Quarterly Minutes'!$B26,Data!AY:AY,'Quarterly Minutes'!$C26)</f>
        <v>1</v>
      </c>
    </row>
    <row r="27" spans="1:8" ht="16" x14ac:dyDescent="0.25">
      <c r="A27" t="str">
        <f t="shared" si="0"/>
        <v>2026-Q2</v>
      </c>
      <c r="B27" s="38">
        <v>2026</v>
      </c>
      <c r="C27" s="37">
        <v>2</v>
      </c>
      <c r="D27" s="26">
        <f>AVERAGEIFS(Data!I:I,Data!AE:AE,'Quarterly Minutes'!$B27,Data!AY:AY,'Quarterly Minutes'!$C27)</f>
        <v>21</v>
      </c>
      <c r="E27" s="26">
        <f>AVERAGEIFS(Data!J:J,Data!AE:AE,'Quarterly Minutes'!$B27,Data!AY:AY,'Quarterly Minutes'!$C27)</f>
        <v>14</v>
      </c>
      <c r="F27" s="26">
        <f>AVERAGEIFS(Data!K:K,Data!AE:AE,'Quarterly Minutes'!$B27,Data!AY:AY,'Quarterly Minutes'!$C27)</f>
        <v>13</v>
      </c>
      <c r="G27" s="26">
        <f>AVERAGEIFS(Data!L:L,Data!AE:AE,'Quarterly Minutes'!$B27,Data!AY:AY,'Quarterly Minutes'!$C27)</f>
        <v>10</v>
      </c>
      <c r="H27" s="26">
        <f>AVERAGEIFS(Data!M:M,Data!AE:AE,'Quarterly Minutes'!$B27,Data!AY:AY,'Quarterly Minutes'!$C27)</f>
        <v>3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Helpful Tables</vt:lpstr>
      <vt:lpstr>Monthly Minutes</vt:lpstr>
      <vt:lpstr>Quarterly Minutes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Jon Zimmerman</cp:lastModifiedBy>
  <dcterms:created xsi:type="dcterms:W3CDTF">2025-07-06T00:23:38Z</dcterms:created>
  <dcterms:modified xsi:type="dcterms:W3CDTF">2026-04-03T00:16:52Z</dcterms:modified>
</cp:coreProperties>
</file>